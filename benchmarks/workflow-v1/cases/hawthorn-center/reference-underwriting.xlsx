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683a85c81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bef9b71a1e834332"/>
    <x:sheet xmlns:r="http://schemas.openxmlformats.org/officeDocument/2006/relationships" name="Inputs" sheetId="2" r:id="Rb00038939cac4b47"/>
    <x:sheet xmlns:r="http://schemas.openxmlformats.org/officeDocument/2006/relationships" name="Rent Roll" sheetId="3" r:id="Rda774fa72b88463d"/>
    <x:sheet xmlns:r="http://schemas.openxmlformats.org/officeDocument/2006/relationships" name="T12" sheetId="4" r:id="Rb583a807e4e4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fe26c6f95442f" /><Relationship Type="http://schemas.openxmlformats.org/officeDocument/2006/relationships/theme" Target="/xl/theme/theme1.xml" Id="R4ea4135636a14168" /><Relationship Type="http://schemas.openxmlformats.org/officeDocument/2006/relationships/sharedStrings" Target="/xl/sharedStrings.xml" Id="Re38f1060a941414c" /><Relationship Type="http://schemas.openxmlformats.org/officeDocument/2006/relationships/worksheet" Target="/xl/worksheets/sheet1.xml" Id="Rbef9b71a1e834332" /><Relationship Type="http://schemas.openxmlformats.org/officeDocument/2006/relationships/worksheet" Target="/xl/worksheets/sheet2.xml" Id="Rb00038939cac4b47" /><Relationship Type="http://schemas.openxmlformats.org/officeDocument/2006/relationships/worksheet" Target="/xl/worksheets/sheet3.xml" Id="Rda774fa72b88463d" /><Relationship Type="http://schemas.openxmlformats.org/officeDocument/2006/relationships/worksheet" Target="/xl/worksheets/sheet4.xml" Id="Rb583a807e4e4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Hawthorn Center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921000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36840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291240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629760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4320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625440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0.0625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10076160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0.0635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0.0635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0.07990371531238386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6297600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6261936.6076267185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6997333.333333334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6261936.6076267185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500352.00000000006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1.2499999999999998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0.10056952656355296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500352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1959841.1147657046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866400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264000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602400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11520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590880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780000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0.05</x:v>
      </x:c>
    </x:row>
    <x:row r="9" ht="22" customHeight="1">
      <x:c r="C9" s="1" t="str">
        <x:v>Other income</x:v>
      </x:c>
      <x:c r="D9" s="15" t="n">
        <x:v>180000</x:v>
      </x:c>
    </x:row>
    <x:row r="10" ht="22" customHeight="1">
      <x:c r="C10" s="1" t="str">
        <x:v>Annual taxes</x:v>
      </x:c>
      <x:c r="D10" s="15" t="n">
        <x:v>120000</x:v>
      </x:c>
    </x:row>
    <x:row r="11" ht="22" customHeight="1">
      <x:c r="C11" s="1" t="str">
        <x:v>Annual insurance allowance</x:v>
      </x:c>
      <x:c r="D11" s="15" t="n">
        <x:v>34800</x:v>
      </x:c>
    </x:row>
    <x:row r="12" ht="22" customHeight="1">
      <x:c r="C12" s="1" t="str">
        <x:v>Utilities</x:v>
      </x:c>
      <x:c r="D12" s="15" t="n">
        <x:v>21600</x:v>
      </x:c>
    </x:row>
    <x:row r="13" ht="22" customHeight="1">
      <x:c r="C13" s="1" t="str">
        <x:v>Repairs actual</x:v>
      </x:c>
      <x:c r="D13" s="15" t="n">
        <x:v>36000</x:v>
      </x:c>
    </x:row>
    <x:row r="14" ht="22" customHeight="1">
      <x:c r="C14" s="1" t="str">
        <x:v>Nonrecurring repairs</x:v>
      </x:c>
      <x:c r="D14" s="15" t="n">
        <x:v>0</x:v>
      </x:c>
    </x:row>
    <x:row r="15" ht="22" customHeight="1">
      <x:c r="C15" s="1" t="str">
        <x:v>Payroll / contracts</x:v>
      </x:c>
      <x:c r="D15" s="15" t="n">
        <x:v>24000</x:v>
      </x:c>
    </x:row>
    <x:row r="16" ht="22" customHeight="1">
      <x:c r="C16" s="1" t="str">
        <x:v>Administrative / legal</x:v>
      </x:c>
      <x:c r="D16" s="15" t="n">
        <x:v>18000</x:v>
      </x:c>
    </x:row>
    <x:row r="17" ht="22" customHeight="1">
      <x:c r="C17" s="1" t="str">
        <x:v>Management actual</x:v>
      </x:c>
      <x:c r="D17" s="15" t="n">
        <x:v>18000</x:v>
      </x:c>
    </x:row>
    <x:row r="18" ht="22" customHeight="1">
      <x:c r="C18" s="1" t="str">
        <x:v>Management minimum</x:v>
      </x:c>
      <x:c r="D18" s="16" t="n">
        <x:v>0.04</x:v>
      </x:c>
    </x:row>
    <x:row r="19" ht="22" customHeight="1">
      <x:c r="C19" s="1" t="str">
        <x:v>Reserve rate</x:v>
      </x:c>
      <x:c r="D19" s="16" t="n">
        <x:v>0.15</x:v>
      </x:c>
    </x:row>
    <x:row r="20" ht="22" customHeight="1">
      <x:c r="C20" s="1" t="str">
        <x:v>Reserve quantity</x:v>
      </x:c>
      <x:c r="D20" s="15" t="n">
        <x:v>28800</x:v>
      </x:c>
    </x:row>
    <x:row r="21" ht="22" customHeight="1">
      <x:c r="C21" s="1" t="str">
        <x:v>Valuation cap rate</x:v>
      </x:c>
      <x:c r="D21" s="16" t="n">
        <x:v>0.0625</x:v>
      </x:c>
    </x:row>
    <x:row r="22" ht="22" customHeight="1">
      <x:c r="C22" s="1" t="str">
        <x:v>LTV limit</x:v>
      </x:c>
      <x:c r="D22" s="16" t="n">
        <x:v>0.625</x:v>
      </x:c>
    </x:row>
    <x:row r="23" ht="22" customHeight="1">
      <x:c r="C23" s="1" t="str">
        <x:v>Minimum DSCR</x:v>
      </x:c>
      <x:c r="D23" s="15" t="n">
        <x:v>1.25</x:v>
      </x:c>
    </x:row>
    <x:row r="24" ht="22" customHeight="1">
      <x:c r="C24" s="1" t="str">
        <x:v>Minimum debt yield</x:v>
      </x:c>
      <x:c r="D24" s="16" t="n">
        <x:v>0.09</x:v>
      </x:c>
    </x:row>
    <x:row r="25" ht="22" customHeight="1">
      <x:c r="C25" s="1" t="str">
        <x:v>Fixed contract rate (zero = floating)</x:v>
      </x:c>
      <x:c r="D25" s="16" t="n">
        <x:v>0.0635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0.0635</x:v>
      </x:c>
    </x:row>
    <x:row r="30" ht="22" customHeight="1">
      <x:c r="C30" s="1" t="str">
        <x:v>Amortization years</x:v>
      </x:c>
      <x:c r="D30" s="15" t="n">
        <x:v>25</x:v>
      </x:c>
    </x:row>
    <x:row r="31" ht="22" customHeight="1">
      <x:c r="C31" s="1" t="str">
        <x:v>IO months</x:v>
      </x:c>
      <x:c r="D31" s="15" t="n">
        <x:v>0</x:v>
      </x:c>
    </x:row>
    <x:row r="32" ht="22" customHeight="1">
      <x:c r="C32" s="1" t="str">
        <x:v>Existing debt payoff</x:v>
      </x:c>
      <x:c r="D32" s="15" t="n">
        <x:v>4200000</x:v>
      </x:c>
    </x:row>
    <x:row r="33" ht="22" customHeight="1">
      <x:c r="C33" s="1" t="str">
        <x:v>Loan origination fee</x:v>
      </x:c>
      <x:c r="D33" s="16" t="n">
        <x:v>0.008</x:v>
      </x:c>
    </x:row>
    <x:row r="34" ht="22" customHeight="1">
      <x:c r="C34" s="1" t="str">
        <x:v>Fixed closing costs</x:v>
      </x:c>
      <x:c r="D34" s="15" t="n">
        <x:v>52000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Hawthorn Center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1400</x:v>
      </x:c>
      <x:c r="F7" s="1" t="str">
        <x:v>Occupied</x:v>
      </x:c>
      <x:c r="G7" s="9" t="n">
        <x:v>3000</x:v>
      </x:c>
      <x:c r="H7" s="9" t="n">
        <x:v>3000</x:v>
      </x:c>
      <x:c r="I7" s="1" t="str">
        <x:v>2029-08-31</x:v>
      </x:c>
    </x:row>
    <x:row r="8" ht="22" customHeight="1">
      <x:c r="C8" s="1" t="str">
        <x:v>102</x:v>
      </x:c>
      <x:c r="D8" s="1" t="str">
        <x:v>Tenant B LLC</x:v>
      </x:c>
      <x:c r="E8" s="1" t="n">
        <x:v>1800</x:v>
      </x:c>
      <x:c r="F8" s="1" t="str">
        <x:v>Occupied</x:v>
      </x:c>
      <x:c r="G8" s="9" t="n">
        <x:v>4000</x:v>
      </x:c>
      <x:c r="H8" s="9" t="n">
        <x:v>4000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2200</x:v>
      </x:c>
      <x:c r="F9" s="1" t="str">
        <x:v>Occupied</x:v>
      </x:c>
      <x:c r="G9" s="9" t="n">
        <x:v>4900</x:v>
      </x:c>
      <x:c r="H9" s="9" t="n">
        <x:v>4900</x:v>
      </x:c>
      <x:c r="I9" s="1" t="str">
        <x:v>2029-08-31</x:v>
      </x:c>
    </x:row>
    <x:row r="10" ht="22" customHeight="1">
      <x:c r="C10" s="1" t="str">
        <x:v>104</x:v>
      </x:c>
      <x:c r="D10" s="1" t="str">
        <x:v>Tenant D LLC</x:v>
      </x:c>
      <x:c r="E10" s="1" t="n">
        <x:v>2500</x:v>
      </x:c>
      <x:c r="F10" s="1" t="str">
        <x:v>Occupied</x:v>
      </x:c>
      <x:c r="G10" s="9" t="n">
        <x:v>5600</x:v>
      </x:c>
      <x:c r="H10" s="9" t="n">
        <x:v>5600</x:v>
      </x:c>
      <x:c r="I10" s="1" t="str">
        <x:v>2030-08-31</x:v>
      </x:c>
    </x:row>
    <x:row r="11" ht="22" customHeight="1">
      <x:c r="C11" s="1" t="str">
        <x:v>105</x:v>
      </x:c>
      <x:c r="D11" s="1" t="str">
        <x:v>Tenant E LLC</x:v>
      </x:c>
      <x:c r="E11" s="1" t="n">
        <x:v>3000</x:v>
      </x:c>
      <x:c r="F11" s="1" t="str">
        <x:v>Occupied</x:v>
      </x:c>
      <x:c r="G11" s="9" t="n">
        <x:v>6500</x:v>
      </x:c>
      <x:c r="H11" s="9" t="n">
        <x:v>6500</x:v>
      </x:c>
      <x:c r="I11" s="1" t="str">
        <x:v>2031-08-31</x:v>
      </x:c>
    </x:row>
    <x:row r="12" ht="22" customHeight="1">
      <x:c r="C12" s="1" t="str">
        <x:v>106</x:v>
      </x:c>
      <x:c r="D12" s="1" t="str">
        <x:v>Tenant F LLC</x:v>
      </x:c>
      <x:c r="E12" s="1" t="n">
        <x:v>3300</x:v>
      </x:c>
      <x:c r="F12" s="1" t="str">
        <x:v>Occupied</x:v>
      </x:c>
      <x:c r="G12" s="9" t="n">
        <x:v>7400</x:v>
      </x:c>
      <x:c r="H12" s="9" t="n">
        <x:v>7400</x:v>
      </x:c>
      <x:c r="I12" s="1" t="str">
        <x:v>2027-08-31</x:v>
      </x:c>
    </x:row>
    <x:row r="13" ht="22" customHeight="1">
      <x:c r="C13" s="1" t="str">
        <x:v>107</x:v>
      </x:c>
      <x:c r="D13" s="1" t="str">
        <x:v>Tenant G LLC</x:v>
      </x:c>
      <x:c r="E13" s="1" t="n">
        <x:v>3800</x:v>
      </x:c>
      <x:c r="F13" s="1" t="str">
        <x:v>Occupied</x:v>
      </x:c>
      <x:c r="G13" s="9" t="n">
        <x:v>8600</x:v>
      </x:c>
      <x:c r="H13" s="9" t="n">
        <x:v>8600</x:v>
      </x:c>
      <x:c r="I13" s="1" t="str">
        <x:v>2028-08-31</x:v>
      </x:c>
    </x:row>
    <x:row r="14" ht="22" customHeight="1">
      <x:c r="C14" s="1" t="str">
        <x:v>108</x:v>
      </x:c>
      <x:c r="D14" s="1" t="str">
        <x:v>Tenant H LLC</x:v>
      </x:c>
      <x:c r="E14" s="1" t="n">
        <x:v>4200</x:v>
      </x:c>
      <x:c r="F14" s="1" t="str">
        <x:v>Occupied</x:v>
      </x:c>
      <x:c r="G14" s="9" t="n">
        <x:v>9200</x:v>
      </x:c>
      <x:c r="H14" s="9" t="n">
        <x:v>9200</x:v>
      </x:c>
      <x:c r="I14" s="1" t="str">
        <x:v>2029-08-31</x:v>
      </x:c>
    </x:row>
    <x:row r="15" ht="22" customHeight="1">
      <x:c r="C15" s="1" t="str">
        <x:v>109</x:v>
      </x:c>
      <x:c r="D15" s="1" t="str">
        <x:v>Tenant I LLC</x:v>
      </x:c>
      <x:c r="E15" s="1" t="n">
        <x:v>5000</x:v>
      </x:c>
      <x:c r="F15" s="1" t="str">
        <x:v>Occupied</x:v>
      </x:c>
      <x:c r="G15" s="9" t="n">
        <x:v>10800</x:v>
      </x:c>
      <x:c r="H15" s="9" t="n">
        <x:v>10800</x:v>
      </x:c>
      <x:c r="I15" s="1" t="str">
        <x:v>2030-08-31</x:v>
      </x:c>
    </x:row>
    <x:row r="16" ht="22" customHeight="1">
      <x:c r="C16" s="1" t="str">
        <x:v>110</x:v>
      </x:c>
      <x:c r="D16" s="1" t="str">
        <x:v>Vacant</x:v>
      </x:c>
      <x:c r="E16" s="1" t="n">
        <x:v>1600</x:v>
      </x:c>
      <x:c r="F16" s="1" t="str">
        <x:v>Vacant</x:v>
      </x:c>
      <x:c r="G16" s="9"/>
      <x:c r="H16" s="9" t="n">
        <x:v>3400</x:v>
      </x:c>
      <x:c r="I16" s="1"/>
    </x:row>
    <x:row r="19" ht="36" customHeight="1">
      <x:c r="C19" s="17" t="str">
        <x:v>Blank contractual rent means no current rent for vacant premises. Market rent is not collected income.</x:v>
      </x:c>
    </x:row>
    <x:row r="21" ht="36" customHeight="1">
      <x:c r="C21" s="17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59502</x:v>
      </x:c>
      <x:c r="E7" s="9" t="n">
        <x:v>60768</x:v>
      </x:c>
      <x:c r="F7" s="9" t="n">
        <x:v>62034</x:v>
      </x:c>
      <x:c r="G7" s="9" t="n">
        <x:v>62667</x:v>
      </x:c>
      <x:c r="H7" s="9" t="n">
        <x:v>63933</x:v>
      </x:c>
      <x:c r="I7" s="9" t="n">
        <x:v>65199</x:v>
      </x:c>
      <x:c r="J7" s="9" t="n">
        <x:v>65832</x:v>
      </x:c>
      <x:c r="K7" s="9" t="n">
        <x:v>67098</x:v>
      </x:c>
      <x:c r="L7" s="9" t="n">
        <x:v>65199</x:v>
      </x:c>
      <x:c r="M7" s="9" t="n">
        <x:v>63933</x:v>
      </x:c>
      <x:c r="N7" s="9" t="n">
        <x:v>62034</x:v>
      </x:c>
      <x:c r="O7" s="9" t="n">
        <x:v>61401</x:v>
      </x:c>
      <x:c r="P7" s="9" t="n">
        <x:f>SUM(D7:O7)</x:f>
        <x:v>759600</x:v>
      </x:c>
    </x:row>
    <x:row r="8" ht="22" customHeight="1">
      <x:c r="C8" s="1" t="str">
        <x:v>Vacancy loss</x:v>
      </x:c>
      <x:c r="D8" s="9" t="n">
        <x:v>-3264</x:v>
      </x:c>
      <x:c r="E8" s="9" t="n">
        <x:v>-3332</x:v>
      </x:c>
      <x:c r="F8" s="9" t="n">
        <x:v>-3366</x:v>
      </x:c>
      <x:c r="G8" s="9" t="n">
        <x:v>-3434</x:v>
      </x:c>
      <x:c r="H8" s="9" t="n">
        <x:v>-3502</x:v>
      </x:c>
      <x:c r="I8" s="9" t="n">
        <x:v>-3536</x:v>
      </x:c>
      <x:c r="J8" s="9" t="n">
        <x:v>-3604</x:v>
      </x:c>
      <x:c r="K8" s="9" t="n">
        <x:v>-3502</x:v>
      </x:c>
      <x:c r="L8" s="9" t="n">
        <x:v>-3434</x:v>
      </x:c>
      <x:c r="M8" s="9" t="n">
        <x:v>-3332</x:v>
      </x:c>
      <x:c r="N8" s="9" t="n">
        <x:v>-3298</x:v>
      </x:c>
      <x:c r="O8" s="9" t="n">
        <x:v>-3196</x:v>
      </x:c>
      <x:c r="P8" s="9" t="n">
        <x:f>SUM(D8:O8)</x:f>
        <x:v>-40800</x:v>
      </x:c>
    </x:row>
    <x:row r="9" ht="22" customHeight="1">
      <x:c r="C9" s="1" t="str">
        <x:v>Concessions</x:v>
      </x:c>
      <x:c r="D9" s="9" t="n">
        <x:v>-1862</x:v>
      </x:c>
      <x:c r="E9" s="9" t="n">
        <x:v>-1881</x:v>
      </x:c>
      <x:c r="F9" s="9" t="n">
        <x:v>-1919</x:v>
      </x:c>
      <x:c r="G9" s="9" t="n">
        <x:v>-1957</x:v>
      </x:c>
      <x:c r="H9" s="9" t="n">
        <x:v>-1976</x:v>
      </x:c>
      <x:c r="I9" s="9" t="n">
        <x:v>-2014</x:v>
      </x:c>
      <x:c r="J9" s="9" t="n">
        <x:v>-1957</x:v>
      </x:c>
      <x:c r="K9" s="9" t="n">
        <x:v>-1919</x:v>
      </x:c>
      <x:c r="L9" s="9" t="n">
        <x:v>-1862</x:v>
      </x:c>
      <x:c r="M9" s="9" t="n">
        <x:v>-1843</x:v>
      </x:c>
      <x:c r="N9" s="9" t="n">
        <x:v>-1786</x:v>
      </x:c>
      <x:c r="O9" s="9" t="n">
        <x:v>-1824</x:v>
      </x:c>
      <x:c r="P9" s="9" t="n">
        <x:f>SUM(D9:O9)</x:f>
        <x:v>-22800</x:v>
      </x:c>
    </x:row>
    <x:row r="10" ht="22" customHeight="1">
      <x:c r="C10" s="1" t="str">
        <x:v>Bad debt</x:v>
      </x:c>
      <x:c r="D10" s="9" t="n">
        <x:v>-495</x:v>
      </x:c>
      <x:c r="E10" s="9" t="n">
        <x:v>-505</x:v>
      </x:c>
      <x:c r="F10" s="9" t="n">
        <x:v>-515</x:v>
      </x:c>
      <x:c r="G10" s="9" t="n">
        <x:v>-520</x:v>
      </x:c>
      <x:c r="H10" s="9" t="n">
        <x:v>-530</x:v>
      </x:c>
      <x:c r="I10" s="9" t="n">
        <x:v>-515</x:v>
      </x:c>
      <x:c r="J10" s="9" t="n">
        <x:v>-505</x:v>
      </x:c>
      <x:c r="K10" s="9" t="n">
        <x:v>-490</x:v>
      </x:c>
      <x:c r="L10" s="9" t="n">
        <x:v>-485</x:v>
      </x:c>
      <x:c r="M10" s="9" t="n">
        <x:v>-470</x:v>
      </x:c>
      <x:c r="N10" s="9" t="n">
        <x:v>-480</x:v>
      </x:c>
      <x:c r="O10" s="9" t="n">
        <x:v>-490</x:v>
      </x:c>
      <x:c r="P10" s="9" t="n">
        <x:f>SUM(D10:O10)</x:f>
        <x:v>-6000</x:v>
      </x:c>
    </x:row>
    <x:row r="11" ht="22" customHeight="1">
      <x:c r="C11" s="1" t="str">
        <x:v>Other income / recoveries</x:v>
      </x:c>
      <x:c r="D11" s="9" t="n">
        <x:v>14847</x:v>
      </x:c>
      <x:c r="E11" s="9" t="n">
        <x:v>15141</x:v>
      </x:c>
      <x:c r="F11" s="9" t="n">
        <x:v>15288</x:v>
      </x:c>
      <x:c r="G11" s="9" t="n">
        <x:v>15582</x:v>
      </x:c>
      <x:c r="H11" s="9" t="n">
        <x:v>15141</x:v>
      </x:c>
      <x:c r="I11" s="9" t="n">
        <x:v>14847</x:v>
      </x:c>
      <x:c r="J11" s="9" t="n">
        <x:v>14406</x:v>
      </x:c>
      <x:c r="K11" s="9" t="n">
        <x:v>14259</x:v>
      </x:c>
      <x:c r="L11" s="9" t="n">
        <x:v>13818</x:v>
      </x:c>
      <x:c r="M11" s="9" t="n">
        <x:v>14112</x:v>
      </x:c>
      <x:c r="N11" s="9" t="n">
        <x:v>14406</x:v>
      </x:c>
      <x:c r="O11" s="9" t="n">
        <x:v>14553</x:v>
      </x:c>
      <x:c r="P11" s="9" t="n">
        <x:f>SUM(D11:O11)</x:f>
        <x:v>176400</x:v>
      </x:c>
    </x:row>
    <x:row r="12" ht="22" customHeight="1">
      <x:c r="C12" s="1" t="str">
        <x:v>Real estate taxes</x:v>
      </x:c>
      <x:c r="D12" s="9" t="n">
        <x:v>9785</x:v>
      </x:c>
      <x:c r="E12" s="9" t="n">
        <x:v>9880</x:v>
      </x:c>
      <x:c r="F12" s="9" t="n">
        <x:v>10070</x:v>
      </x:c>
      <x:c r="G12" s="9" t="n">
        <x:v>9785</x:v>
      </x:c>
      <x:c r="H12" s="9" t="n">
        <x:v>9595</x:v>
      </x:c>
      <x:c r="I12" s="9" t="n">
        <x:v>9310</x:v>
      </x:c>
      <x:c r="J12" s="9" t="n">
        <x:v>9215</x:v>
      </x:c>
      <x:c r="K12" s="9" t="n">
        <x:v>8930</x:v>
      </x:c>
      <x:c r="L12" s="9" t="n">
        <x:v>9120</x:v>
      </x:c>
      <x:c r="M12" s="9" t="n">
        <x:v>9310</x:v>
      </x:c>
      <x:c r="N12" s="9" t="n">
        <x:v>9405</x:v>
      </x:c>
      <x:c r="O12" s="9" t="n">
        <x:v>9595</x:v>
      </x:c>
      <x:c r="P12" s="9" t="n">
        <x:f>SUM(D12:O12)</x:f>
        <x:v>114000</x:v>
      </x:c>
    </x:row>
    <x:row r="13" ht="22" customHeight="1">
      <x:c r="C13" s="1" t="str">
        <x:v>Property insurance</x:v>
      </x:c>
      <x:c r="D13" s="9" t="n">
        <x:v>2808</x:v>
      </x:c>
      <x:c r="E13" s="9" t="n">
        <x:v>2862</x:v>
      </x:c>
      <x:c r="F13" s="9" t="n">
        <x:v>2781</x:v>
      </x:c>
      <x:c r="G13" s="9" t="n">
        <x:v>2727</x:v>
      </x:c>
      <x:c r="H13" s="9" t="n">
        <x:v>2646</x:v>
      </x:c>
      <x:c r="I13" s="9" t="n">
        <x:v>2619</x:v>
      </x:c>
      <x:c r="J13" s="9" t="n">
        <x:v>2538</x:v>
      </x:c>
      <x:c r="K13" s="9" t="n">
        <x:v>2592</x:v>
      </x:c>
      <x:c r="L13" s="9" t="n">
        <x:v>2646</x:v>
      </x:c>
      <x:c r="M13" s="9" t="n">
        <x:v>2673</x:v>
      </x:c>
      <x:c r="N13" s="9" t="n">
        <x:v>2727</x:v>
      </x:c>
      <x:c r="O13" s="9" t="n">
        <x:v>2781</x:v>
      </x:c>
      <x:c r="P13" s="9" t="n">
        <x:f>SUM(D13:O13)</x:f>
        <x:v>32400</x:v>
      </x:c>
    </x:row>
    <x:row r="14" ht="22" customHeight="1">
      <x:c r="C14" s="1" t="str">
        <x:v>Utilities</x:v>
      </x:c>
      <x:c r="D14" s="9" t="n">
        <x:v>1908</x:v>
      </x:c>
      <x:c r="E14" s="9" t="n">
        <x:v>1854</x:v>
      </x:c>
      <x:c r="F14" s="9" t="n">
        <x:v>1818</x:v>
      </x:c>
      <x:c r="G14" s="9" t="n">
        <x:v>1764</x:v>
      </x:c>
      <x:c r="H14" s="9" t="n">
        <x:v>1746</x:v>
      </x:c>
      <x:c r="I14" s="9" t="n">
        <x:v>1692</x:v>
      </x:c>
      <x:c r="J14" s="9" t="n">
        <x:v>1728</x:v>
      </x:c>
      <x:c r="K14" s="9" t="n">
        <x:v>1764</x:v>
      </x:c>
      <x:c r="L14" s="9" t="n">
        <x:v>1782</x:v>
      </x:c>
      <x:c r="M14" s="9" t="n">
        <x:v>1818</x:v>
      </x:c>
      <x:c r="N14" s="9" t="n">
        <x:v>1854</x:v>
      </x:c>
      <x:c r="O14" s="9" t="n">
        <x:v>1872</x:v>
      </x:c>
      <x:c r="P14" s="9" t="n">
        <x:f>SUM(D14:O14)</x:f>
        <x:v>21600</x:v>
      </x:c>
    </x:row>
    <x:row r="15" ht="22" customHeight="1">
      <x:c r="C15" s="1" t="str">
        <x:v>Repairs and maintenance</x:v>
      </x:c>
      <x:c r="D15" s="9" t="n">
        <x:v>3090</x:v>
      </x:c>
      <x:c r="E15" s="9" t="n">
        <x:v>3030</x:v>
      </x:c>
      <x:c r="F15" s="9" t="n">
        <x:v>2940</x:v>
      </x:c>
      <x:c r="G15" s="9" t="n">
        <x:v>2910</x:v>
      </x:c>
      <x:c r="H15" s="9" t="n">
        <x:v>2820</x:v>
      </x:c>
      <x:c r="I15" s="9" t="n">
        <x:v>2880</x:v>
      </x:c>
      <x:c r="J15" s="9" t="n">
        <x:v>2940</x:v>
      </x:c>
      <x:c r="K15" s="9" t="n">
        <x:v>2970</x:v>
      </x:c>
      <x:c r="L15" s="9" t="n">
        <x:v>3030</x:v>
      </x:c>
      <x:c r="M15" s="9" t="n">
        <x:v>3090</x:v>
      </x:c>
      <x:c r="N15" s="9" t="n">
        <x:v>3120</x:v>
      </x:c>
      <x:c r="O15" s="9" t="n">
        <x:v>3180</x:v>
      </x:c>
      <x:c r="P15" s="9" t="n">
        <x:f>SUM(D15:O15)</x:f>
        <x:v>36000</x:v>
      </x:c>
    </x:row>
    <x:row r="16" ht="22" customHeight="1">
      <x:c r="C16" s="1" t="str">
        <x:v>Payroll / contract labor</x:v>
      </x:c>
      <x:c r="D16" s="9" t="n">
        <x:v>2020</x:v>
      </x:c>
      <x:c r="E16" s="9" t="n">
        <x:v>1960</x:v>
      </x:c>
      <x:c r="F16" s="9" t="n">
        <x:v>1940</x:v>
      </x:c>
      <x:c r="G16" s="9" t="n">
        <x:v>1880</x:v>
      </x:c>
      <x:c r="H16" s="9" t="n">
        <x:v>1920</x:v>
      </x:c>
      <x:c r="I16" s="9" t="n">
        <x:v>1960</x:v>
      </x:c>
      <x:c r="J16" s="9" t="n">
        <x:v>1980</x:v>
      </x:c>
      <x:c r="K16" s="9" t="n">
        <x:v>2020</x:v>
      </x:c>
      <x:c r="L16" s="9" t="n">
        <x:v>2060</x:v>
      </x:c>
      <x:c r="M16" s="9" t="n">
        <x:v>2080</x:v>
      </x:c>
      <x:c r="N16" s="9" t="n">
        <x:v>2120</x:v>
      </x:c>
      <x:c r="O16" s="9" t="n">
        <x:v>2060</x:v>
      </x:c>
      <x:c r="P16" s="9" t="n">
        <x:f>SUM(D16:O16)</x:f>
        <x:v>24000</x:v>
      </x:c>
    </x:row>
    <x:row r="17" ht="22" customHeight="1">
      <x:c r="C17" s="1" t="str">
        <x:v>Administrative / legal</x:v>
      </x:c>
      <x:c r="D17" s="9" t="n">
        <x:v>1470</x:v>
      </x:c>
      <x:c r="E17" s="9" t="n">
        <x:v>1455</x:v>
      </x:c>
      <x:c r="F17" s="9" t="n">
        <x:v>1410</x:v>
      </x:c>
      <x:c r="G17" s="9" t="n">
        <x:v>1440</x:v>
      </x:c>
      <x:c r="H17" s="9" t="n">
        <x:v>1470</x:v>
      </x:c>
      <x:c r="I17" s="9" t="n">
        <x:v>1485</x:v>
      </x:c>
      <x:c r="J17" s="9" t="n">
        <x:v>1515</x:v>
      </x:c>
      <x:c r="K17" s="9" t="n">
        <x:v>1545</x:v>
      </x:c>
      <x:c r="L17" s="9" t="n">
        <x:v>1560</x:v>
      </x:c>
      <x:c r="M17" s="9" t="n">
        <x:v>1590</x:v>
      </x:c>
      <x:c r="N17" s="9" t="n">
        <x:v>1545</x:v>
      </x:c>
      <x:c r="O17" s="9" t="n">
        <x:v>1515</x:v>
      </x:c>
      <x:c r="P17" s="9" t="n">
        <x:f>SUM(D17:O17)</x:f>
        <x:v>18000</x:v>
      </x:c>
    </x:row>
    <x:row r="18" ht="22" customHeight="1">
      <x:c r="C18" s="1" t="str">
        <x:v>Management fee</x:v>
      </x:c>
      <x:c r="D18" s="9" t="n">
        <x:v>1455</x:v>
      </x:c>
      <x:c r="E18" s="9" t="n">
        <x:v>1410</x:v>
      </x:c>
      <x:c r="F18" s="9" t="n">
        <x:v>1440</x:v>
      </x:c>
      <x:c r="G18" s="9" t="n">
        <x:v>1470</x:v>
      </x:c>
      <x:c r="H18" s="9" t="n">
        <x:v>1485</x:v>
      </x:c>
      <x:c r="I18" s="9" t="n">
        <x:v>1515</x:v>
      </x:c>
      <x:c r="J18" s="9" t="n">
        <x:v>1545</x:v>
      </x:c>
      <x:c r="K18" s="9" t="n">
        <x:v>1560</x:v>
      </x:c>
      <x:c r="L18" s="9" t="n">
        <x:v>1590</x:v>
      </x:c>
      <x:c r="M18" s="9" t="n">
        <x:v>1545</x:v>
      </x:c>
      <x:c r="N18" s="9" t="n">
        <x:v>1515</x:v>
      </x:c>
      <x:c r="O18" s="9" t="n">
        <x:v>1470</x:v>
      </x:c>
      <x:c r="P18" s="9" t="n">
        <x:f>SUM(D18:O18)</x:f>
        <x:v>18000</x:v>
      </x:c>
    </x:row>
    <x:row r="19" ht="22" customHeight="1">
      <x:c r="C19" s="1" t="str">
        <x:v>Replacement reserves (below NOI)</x:v>
      </x:c>
      <x:c r="D19" s="9" t="n">
        <x:v>902</x:v>
      </x:c>
      <x:c r="E19" s="9" t="n">
        <x:v>922</x:v>
      </x:c>
      <x:c r="F19" s="9" t="n">
        <x:v>941</x:v>
      </x:c>
      <x:c r="G19" s="9" t="n">
        <x:v>950</x:v>
      </x:c>
      <x:c r="H19" s="9" t="n">
        <x:v>970</x:v>
      </x:c>
      <x:c r="I19" s="9" t="n">
        <x:v>989</x:v>
      </x:c>
      <x:c r="J19" s="9" t="n">
        <x:v>998</x:v>
      </x:c>
      <x:c r="K19" s="9" t="n">
        <x:v>1018</x:v>
      </x:c>
      <x:c r="L19" s="9" t="n">
        <x:v>989</x:v>
      </x:c>
      <x:c r="M19" s="9" t="n">
        <x:v>970</x:v>
      </x:c>
      <x:c r="N19" s="9" t="n">
        <x:v>941</x:v>
      </x:c>
      <x:c r="O19" s="9" t="n">
        <x:v>930</x:v>
      </x:c>
      <x:c r="P19" s="9" t="n">
        <x:f>SUM(D19:O19)</x:f>
        <x:v>11520</x:v>
      </x:c>
    </x:row>
    <x:row r="20" ht="22" customHeight="1">
      <x:c r="C20" s="1" t="str">
        <x:v>Capital improvements (below cash flow)</x:v>
      </x:c>
      <x:c r="D20" s="9" t="n">
        <x:v>5920</x:v>
      </x:c>
      <x:c r="E20" s="9" t="n">
        <x:v>6043</x:v>
      </x:c>
      <x:c r="F20" s="9" t="n">
        <x:v>6105</x:v>
      </x:c>
      <x:c r="G20" s="9" t="n">
        <x:v>6228</x:v>
      </x:c>
      <x:c r="H20" s="9" t="n">
        <x:v>6352</x:v>
      </x:c>
      <x:c r="I20" s="9" t="n">
        <x:v>6413</x:v>
      </x:c>
      <x:c r="J20" s="9" t="n">
        <x:v>6537</x:v>
      </x:c>
      <x:c r="K20" s="9" t="n">
        <x:v>6352</x:v>
      </x:c>
      <x:c r="L20" s="9" t="n">
        <x:v>6228</x:v>
      </x:c>
      <x:c r="M20" s="9" t="n">
        <x:v>6043</x:v>
      </x:c>
      <x:c r="N20" s="9" t="n">
        <x:v>5982</x:v>
      </x:c>
      <x:c r="O20" s="9" t="n">
        <x:v>5797</x:v>
      </x:c>
      <x:c r="P20" s="9" t="n">
        <x:f>SUM(D20:O20)</x:f>
        <x:v>74000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