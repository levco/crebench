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23abb16c9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92c71ac8ccea4ad6"/>
    <x:sheet xmlns:r="http://schemas.openxmlformats.org/officeDocument/2006/relationships" name="Inputs" sheetId="2" r:id="Ra1944414046e4b98"/>
    <x:sheet xmlns:r="http://schemas.openxmlformats.org/officeDocument/2006/relationships" name="Rent Roll" sheetId="3" r:id="Ree912b42a1ea497e"/>
    <x:sheet xmlns:r="http://schemas.openxmlformats.org/officeDocument/2006/relationships" name="T12" sheetId="4" r:id="R7bda36e7161b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3e1ac76fa4bc9" /><Relationship Type="http://schemas.openxmlformats.org/officeDocument/2006/relationships/theme" Target="/xl/theme/theme1.xml" Id="Ra9644c813e6e4e12" /><Relationship Type="http://schemas.openxmlformats.org/officeDocument/2006/relationships/sharedStrings" Target="/xl/sharedStrings.xml" Id="R45f414ef51b24034" /><Relationship Type="http://schemas.openxmlformats.org/officeDocument/2006/relationships/worksheet" Target="/xl/worksheets/sheet1.xml" Id="R92c71ac8ccea4ad6" /><Relationship Type="http://schemas.openxmlformats.org/officeDocument/2006/relationships/worksheet" Target="/xl/worksheets/sheet2.xml" Id="Ra1944414046e4b98" /><Relationship Type="http://schemas.openxmlformats.org/officeDocument/2006/relationships/worksheet" Target="/xl/worksheets/sheet3.xml" Id="Ree912b42a1ea497e" /><Relationship Type="http://schemas.openxmlformats.org/officeDocument/2006/relationships/worksheet" Target="/xl/worksheets/sheet4.xml" Id="R7bda36e7161b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Meadow Commerce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895320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26859.6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228459.6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666860.4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14400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652460.4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0.065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10259390.76923077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0.061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0.07584816281915584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6155634.461538462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6617070.16663375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6868004.2105263155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6155634.461538462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LTV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466893.5648939759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1.3974499737390114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0.10599401313978157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375493.70215384616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2439078.1169230775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882000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212400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669600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14400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655200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756000</x:v>
      </x:c>
      <x:c r="F7" s="4" t="str">
        <x:v>Insurance renewal missing: $36,000 is provisional, not verified.</x:v>
      </x:c>
    </x:row>
    <x:row r="8" ht="22" customHeight="1">
      <x:c r="C8" s="1" t="str">
        <x:v>Revenue loss</x:v>
      </x:c>
      <x:c r="D8" s="16" t="n">
        <x:v>0.03</x:v>
      </x:c>
    </x:row>
    <x:row r="9" ht="22" customHeight="1">
      <x:c r="C9" s="1" t="str">
        <x:v>Other income</x:v>
      </x:c>
      <x:c r="D9" s="15" t="n">
        <x:v>162000</x:v>
      </x:c>
    </x:row>
    <x:row r="10" ht="22" customHeight="1">
      <x:c r="C10" s="1" t="str">
        <x:v>Annual taxes</x:v>
      </x:c>
      <x:c r="D10" s="15" t="n">
        <x:v>108000</x:v>
      </x:c>
    </x:row>
    <x:row r="11" ht="22" customHeight="1">
      <x:c r="C11" s="1" t="str">
        <x:v>Annual insurance allowance</x:v>
      </x:c>
      <x:c r="D11" s="15" t="n">
        <x:v>36000</x:v>
      </x:c>
    </x:row>
    <x:row r="12" ht="22" customHeight="1">
      <x:c r="C12" s="1" t="str">
        <x:v>Utilities</x:v>
      </x:c>
      <x:c r="D12" s="15" t="n">
        <x:v>9600</x:v>
      </x:c>
    </x:row>
    <x:row r="13" ht="22" customHeight="1">
      <x:c r="C13" s="1" t="str">
        <x:v>Repairs actual</x:v>
      </x:c>
      <x:c r="D13" s="15" t="n">
        <x:v>19200</x:v>
      </x:c>
    </x:row>
    <x:row r="14" ht="22" customHeight="1">
      <x:c r="C14" s="1" t="str">
        <x:v>Nonrecurring repairs</x:v>
      </x:c>
      <x:c r="D14" s="15" t="n">
        <x:v>0</x:v>
      </x:c>
    </x:row>
    <x:row r="15" ht="22" customHeight="1">
      <x:c r="C15" s="1" t="str">
        <x:v>Payroll / contracts</x:v>
      </x:c>
      <x:c r="D15" s="15" t="n">
        <x:v>12000</x:v>
      </x:c>
    </x:row>
    <x:row r="16" ht="22" customHeight="1">
      <x:c r="C16" s="1" t="str">
        <x:v>Administrative / legal</x:v>
      </x:c>
      <x:c r="D16" s="15" t="n">
        <x:v>16800</x:v>
      </x:c>
    </x:row>
    <x:row r="17" ht="22" customHeight="1">
      <x:c r="C17" s="1" t="str">
        <x:v>Management actual</x:v>
      </x:c>
      <x:c r="D17" s="15" t="n">
        <x:v>26400</x:v>
      </x:c>
    </x:row>
    <x:row r="18" ht="22" customHeight="1">
      <x:c r="C18" s="1" t="str">
        <x:v>Management minimum</x:v>
      </x:c>
      <x:c r="D18" s="16" t="n">
        <x:v>0.03</x:v>
      </x:c>
    </x:row>
    <x:row r="19" ht="22" customHeight="1">
      <x:c r="C19" s="1" t="str">
        <x:v>Reserve rate</x:v>
      </x:c>
      <x:c r="D19" s="16" t="n">
        <x:v>0.2</x:v>
      </x:c>
    </x:row>
    <x:row r="20" ht="22" customHeight="1">
      <x:c r="C20" s="1" t="str">
        <x:v>Reserve quantity</x:v>
      </x:c>
      <x:c r="D20" s="15" t="n">
        <x:v>72000</x:v>
      </x:c>
    </x:row>
    <x:row r="21" ht="22" customHeight="1">
      <x:c r="C21" s="1" t="str">
        <x:v>Valuation cap rate</x:v>
      </x:c>
      <x:c r="D21" s="16" t="n">
        <x:v>0.065</x:v>
      </x:c>
    </x:row>
    <x:row r="22" ht="22" customHeight="1">
      <x:c r="C22" s="1" t="str">
        <x:v>LTV limit</x:v>
      </x:c>
      <x:c r="D22" s="16" t="n">
        <x:v>0.6</x:v>
      </x:c>
    </x:row>
    <x:row r="23" ht="22" customHeight="1">
      <x:c r="C23" s="1" t="str">
        <x:v>Minimum DSCR</x:v>
      </x:c>
      <x:c r="D23" s="15" t="n">
        <x:v>1.3</x:v>
      </x:c>
    </x:row>
    <x:row r="24" ht="22" customHeight="1">
      <x:c r="C24" s="1" t="str">
        <x:v>Minimum debt yield</x:v>
      </x:c>
      <x:c r="D24" s="16" t="n">
        <x:v>0.095</x:v>
      </x:c>
    </x:row>
    <x:row r="25" ht="22" customHeight="1">
      <x:c r="C25" s="1" t="str">
        <x:v>Fixed contract rate (zero = floating)</x:v>
      </x:c>
      <x:c r="D25" s="16" t="n">
        <x:v>0.061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0.065</x:v>
      </x:c>
    </x:row>
    <x:row r="30" ht="22" customHeight="1">
      <x:c r="C30" s="1" t="str">
        <x:v>Amortization years</x:v>
      </x:c>
      <x:c r="D30" s="15" t="n">
        <x:v>30</x:v>
      </x:c>
    </x:row>
    <x:row r="31" ht="22" customHeight="1">
      <x:c r="C31" s="1" t="str">
        <x:v>IO months</x:v>
      </x:c>
      <x:c r="D31" s="15" t="n">
        <x:v>12</x:v>
      </x:c>
    </x:row>
    <x:row r="32" ht="22" customHeight="1">
      <x:c r="C32" s="1" t="str">
        <x:v>Existing debt payoff</x:v>
      </x:c>
      <x:c r="D32" s="15" t="n">
        <x:v>3600000</x:v>
      </x:c>
    </x:row>
    <x:row r="33" ht="22" customHeight="1">
      <x:c r="C33" s="1" t="str">
        <x:v>Loan origination fee</x:v>
      </x:c>
      <x:c r="D33" s="16" t="n">
        <x:v>0.01</x:v>
      </x:c>
    </x:row>
    <x:row r="34" ht="22" customHeight="1">
      <x:c r="C34" s="1" t="str">
        <x:v>Fixed closing costs</x:v>
      </x:c>
      <x:c r="D34" s="15" t="n">
        <x:v>55000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Meadow Commerce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Tenant A LLC</x:v>
      </x:c>
      <x:c r="E7" s="1" t="n">
        <x:v>16000</x:v>
      </x:c>
      <x:c r="F7" s="1" t="str">
        <x:v>Occupied</x:v>
      </x:c>
      <x:c r="G7" s="9" t="n">
        <x:v>12800</x:v>
      </x:c>
      <x:c r="H7" s="9" t="n">
        <x:v>12800</x:v>
      </x:c>
      <x:c r="I7" s="1" t="str">
        <x:v>2028-08-31</x:v>
      </x:c>
    </x:row>
    <x:row r="8" ht="22" customHeight="1">
      <x:c r="C8" s="1" t="str">
        <x:v>102</x:v>
      </x:c>
      <x:c r="D8" s="1" t="str">
        <x:v>Tenant B LLC</x:v>
      </x:c>
      <x:c r="E8" s="1" t="n">
        <x:v>24000</x:v>
      </x:c>
      <x:c r="F8" s="1" t="str">
        <x:v>Occupied</x:v>
      </x:c>
      <x:c r="G8" s="9" t="n">
        <x:v>20400</x:v>
      </x:c>
      <x:c r="H8" s="9" t="n">
        <x:v>20400</x:v>
      </x:c>
      <x:c r="I8" s="1" t="str">
        <x:v>2028-08-31</x:v>
      </x:c>
    </x:row>
    <x:row r="9" ht="22" customHeight="1">
      <x:c r="C9" s="1" t="str">
        <x:v>103</x:v>
      </x:c>
      <x:c r="D9" s="1" t="str">
        <x:v>Tenant C LLC</x:v>
      </x:c>
      <x:c r="E9" s="1" t="n">
        <x:v>32000</x:v>
      </x:c>
      <x:c r="F9" s="1" t="str">
        <x:v>Occupied</x:v>
      </x:c>
      <x:c r="G9" s="9" t="n">
        <x:v>28800</x:v>
      </x:c>
      <x:c r="H9" s="9" t="n">
        <x:v>28800</x:v>
      </x:c>
      <x:c r="I9" s="1" t="str">
        <x:v>2029-08-31</x:v>
      </x:c>
    </x:row>
    <x:row r="12" ht="36" customHeight="1">
      <x:c r="C12" s="17" t="str">
        <x:v>Blank contractual rent means no current rent for vacant premises. Market rent is not collected income.</x:v>
      </x:c>
    </x:row>
    <x:row r="14" ht="36" customHeight="1">
      <x:c r="C14" s="17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58280</x:v>
      </x:c>
      <x:c r="E7" s="9" t="n">
        <x:v>59520</x:v>
      </x:c>
      <x:c r="F7" s="9" t="n">
        <x:v>60760</x:v>
      </x:c>
      <x:c r="G7" s="9" t="n">
        <x:v>61380</x:v>
      </x:c>
      <x:c r="H7" s="9" t="n">
        <x:v>62620</x:v>
      </x:c>
      <x:c r="I7" s="9" t="n">
        <x:v>63860</x:v>
      </x:c>
      <x:c r="J7" s="9" t="n">
        <x:v>64480</x:v>
      </x:c>
      <x:c r="K7" s="9" t="n">
        <x:v>65720</x:v>
      </x:c>
      <x:c r="L7" s="9" t="n">
        <x:v>63860</x:v>
      </x:c>
      <x:c r="M7" s="9" t="n">
        <x:v>62620</x:v>
      </x:c>
      <x:c r="N7" s="9" t="n">
        <x:v>60760</x:v>
      </x:c>
      <x:c r="O7" s="9" t="n">
        <x:v>60140</x:v>
      </x:c>
      <x:c r="P7" s="9" t="n">
        <x:f>SUM(D7:O7)</x:f>
        <x:v>744000</x:v>
      </x:c>
    </x:row>
    <x:row r="8" ht="22" customHeight="1">
      <x:c r="C8" s="1" t="str">
        <x:v>Vacancy loss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9" t="n">
        <x:f>SUM(D8:O8)</x:f>
        <x:v>0</x:v>
      </x:c>
    </x:row>
    <x:row r="9" ht="22" customHeight="1">
      <x:c r="C9" s="1" t="str">
        <x:v>Concessions</x:v>
      </x:c>
      <x:c r="D9" s="9" t="n">
        <x:v>-1470</x:v>
      </x:c>
      <x:c r="E9" s="9" t="n">
        <x:v>-1485</x:v>
      </x:c>
      <x:c r="F9" s="9" t="n">
        <x:v>-1515</x:v>
      </x:c>
      <x:c r="G9" s="9" t="n">
        <x:v>-1545</x:v>
      </x:c>
      <x:c r="H9" s="9" t="n">
        <x:v>-1560</x:v>
      </x:c>
      <x:c r="I9" s="9" t="n">
        <x:v>-1590</x:v>
      </x:c>
      <x:c r="J9" s="9" t="n">
        <x:v>-1545</x:v>
      </x:c>
      <x:c r="K9" s="9" t="n">
        <x:v>-1515</x:v>
      </x:c>
      <x:c r="L9" s="9" t="n">
        <x:v>-1470</x:v>
      </x:c>
      <x:c r="M9" s="9" t="n">
        <x:v>-1455</x:v>
      </x:c>
      <x:c r="N9" s="9" t="n">
        <x:v>-1410</x:v>
      </x:c>
      <x:c r="O9" s="9" t="n">
        <x:v>-1440</x:v>
      </x:c>
      <x:c r="P9" s="9" t="n">
        <x:f>SUM(D9:O9)</x:f>
        <x:v>-18000</x:v>
      </x:c>
    </x:row>
    <x:row r="10" ht="22" customHeight="1">
      <x:c r="C10" s="1" t="str">
        <x:v>Bad debt</x:v>
      </x:c>
      <x:c r="D10" s="9" t="n">
        <x:v>-198</x:v>
      </x:c>
      <x:c r="E10" s="9" t="n">
        <x:v>-202</x:v>
      </x:c>
      <x:c r="F10" s="9" t="n">
        <x:v>-206</x:v>
      </x:c>
      <x:c r="G10" s="9" t="n">
        <x:v>-208</x:v>
      </x:c>
      <x:c r="H10" s="9" t="n">
        <x:v>-212</x:v>
      </x:c>
      <x:c r="I10" s="9" t="n">
        <x:v>-206</x:v>
      </x:c>
      <x:c r="J10" s="9" t="n">
        <x:v>-202</x:v>
      </x:c>
      <x:c r="K10" s="9" t="n">
        <x:v>-196</x:v>
      </x:c>
      <x:c r="L10" s="9" t="n">
        <x:v>-194</x:v>
      </x:c>
      <x:c r="M10" s="9" t="n">
        <x:v>-188</x:v>
      </x:c>
      <x:c r="N10" s="9" t="n">
        <x:v>-192</x:v>
      </x:c>
      <x:c r="O10" s="9" t="n">
        <x:v>-196</x:v>
      </x:c>
      <x:c r="P10" s="9" t="n">
        <x:f>SUM(D10:O10)</x:f>
        <x:v>-2400</x:v>
      </x:c>
    </x:row>
    <x:row r="11" ht="22" customHeight="1">
      <x:c r="C11" s="1" t="str">
        <x:v>Other income / recoveries</x:v>
      </x:c>
      <x:c r="D11" s="9" t="n">
        <x:v>13332</x:v>
      </x:c>
      <x:c r="E11" s="9" t="n">
        <x:v>13596</x:v>
      </x:c>
      <x:c r="F11" s="9" t="n">
        <x:v>13728</x:v>
      </x:c>
      <x:c r="G11" s="9" t="n">
        <x:v>13992</x:v>
      </x:c>
      <x:c r="H11" s="9" t="n">
        <x:v>13596</x:v>
      </x:c>
      <x:c r="I11" s="9" t="n">
        <x:v>13332</x:v>
      </x:c>
      <x:c r="J11" s="9" t="n">
        <x:v>12936</x:v>
      </x:c>
      <x:c r="K11" s="9" t="n">
        <x:v>12804</x:v>
      </x:c>
      <x:c r="L11" s="9" t="n">
        <x:v>12408</x:v>
      </x:c>
      <x:c r="M11" s="9" t="n">
        <x:v>12672</x:v>
      </x:c>
      <x:c r="N11" s="9" t="n">
        <x:v>12936</x:v>
      </x:c>
      <x:c r="O11" s="9" t="n">
        <x:v>13068</x:v>
      </x:c>
      <x:c r="P11" s="9" t="n">
        <x:f>SUM(D11:O11)</x:f>
        <x:v>158400</x:v>
      </x:c>
    </x:row>
    <x:row r="12" ht="22" customHeight="1">
      <x:c r="C12" s="1" t="str">
        <x:v>Real estate taxes</x:v>
      </x:c>
      <x:c r="D12" s="9" t="n">
        <x:v>8755</x:v>
      </x:c>
      <x:c r="E12" s="9" t="n">
        <x:v>8840</x:v>
      </x:c>
      <x:c r="F12" s="9" t="n">
        <x:v>9010</x:v>
      </x:c>
      <x:c r="G12" s="9" t="n">
        <x:v>8755</x:v>
      </x:c>
      <x:c r="H12" s="9" t="n">
        <x:v>8585</x:v>
      </x:c>
      <x:c r="I12" s="9" t="n">
        <x:v>8330</x:v>
      </x:c>
      <x:c r="J12" s="9" t="n">
        <x:v>8245</x:v>
      </x:c>
      <x:c r="K12" s="9" t="n">
        <x:v>7990</x:v>
      </x:c>
      <x:c r="L12" s="9" t="n">
        <x:v>8160</x:v>
      </x:c>
      <x:c r="M12" s="9" t="n">
        <x:v>8330</x:v>
      </x:c>
      <x:c r="N12" s="9" t="n">
        <x:v>8415</x:v>
      </x:c>
      <x:c r="O12" s="9" t="n">
        <x:v>8585</x:v>
      </x:c>
      <x:c r="P12" s="9" t="n">
        <x:f>SUM(D12:O12)</x:f>
        <x:v>102000</x:v>
      </x:c>
    </x:row>
    <x:row r="13" ht="22" customHeight="1">
      <x:c r="C13" s="1" t="str">
        <x:v>Property insurance</x:v>
      </x:c>
      <x:c r="D13" s="9" t="n">
        <x:v>2288</x:v>
      </x:c>
      <x:c r="E13" s="9" t="n">
        <x:v>2332</x:v>
      </x:c>
      <x:c r="F13" s="9" t="n">
        <x:v>2266</x:v>
      </x:c>
      <x:c r="G13" s="9" t="n">
        <x:v>2222</x:v>
      </x:c>
      <x:c r="H13" s="9" t="n">
        <x:v>2156</x:v>
      </x:c>
      <x:c r="I13" s="9" t="n">
        <x:v>2134</x:v>
      </x:c>
      <x:c r="J13" s="9" t="n">
        <x:v>2068</x:v>
      </x:c>
      <x:c r="K13" s="9" t="n">
        <x:v>2112</x:v>
      </x:c>
      <x:c r="L13" s="9" t="n">
        <x:v>2156</x:v>
      </x:c>
      <x:c r="M13" s="9" t="n">
        <x:v>2178</x:v>
      </x:c>
      <x:c r="N13" s="9" t="n">
        <x:v>2222</x:v>
      </x:c>
      <x:c r="O13" s="9" t="n">
        <x:v>2266</x:v>
      </x:c>
      <x:c r="P13" s="9" t="n">
        <x:f>SUM(D13:O13)</x:f>
        <x:v>26400</x:v>
      </x:c>
    </x:row>
    <x:row r="14" ht="22" customHeight="1">
      <x:c r="C14" s="1" t="str">
        <x:v>Utilities</x:v>
      </x:c>
      <x:c r="D14" s="9" t="n">
        <x:v>848</x:v>
      </x:c>
      <x:c r="E14" s="9" t="n">
        <x:v>824</x:v>
      </x:c>
      <x:c r="F14" s="9" t="n">
        <x:v>808</x:v>
      </x:c>
      <x:c r="G14" s="9" t="n">
        <x:v>784</x:v>
      </x:c>
      <x:c r="H14" s="9" t="n">
        <x:v>776</x:v>
      </x:c>
      <x:c r="I14" s="9" t="n">
        <x:v>752</x:v>
      </x:c>
      <x:c r="J14" s="9" t="n">
        <x:v>768</x:v>
      </x:c>
      <x:c r="K14" s="9" t="n">
        <x:v>784</x:v>
      </x:c>
      <x:c r="L14" s="9" t="n">
        <x:v>792</x:v>
      </x:c>
      <x:c r="M14" s="9" t="n">
        <x:v>808</x:v>
      </x:c>
      <x:c r="N14" s="9" t="n">
        <x:v>824</x:v>
      </x:c>
      <x:c r="O14" s="9" t="n">
        <x:v>832</x:v>
      </x:c>
      <x:c r="P14" s="9" t="n">
        <x:f>SUM(D14:O14)</x:f>
        <x:v>9600</x:v>
      </x:c>
    </x:row>
    <x:row r="15" ht="22" customHeight="1">
      <x:c r="C15" s="1" t="str">
        <x:v>Repairs and maintenance</x:v>
      </x:c>
      <x:c r="D15" s="9" t="n">
        <x:v>1648</x:v>
      </x:c>
      <x:c r="E15" s="9" t="n">
        <x:v>1616</x:v>
      </x:c>
      <x:c r="F15" s="9" t="n">
        <x:v>1568</x:v>
      </x:c>
      <x:c r="G15" s="9" t="n">
        <x:v>1552</x:v>
      </x:c>
      <x:c r="H15" s="9" t="n">
        <x:v>1504</x:v>
      </x:c>
      <x:c r="I15" s="9" t="n">
        <x:v>1536</x:v>
      </x:c>
      <x:c r="J15" s="9" t="n">
        <x:v>1568</x:v>
      </x:c>
      <x:c r="K15" s="9" t="n">
        <x:v>1584</x:v>
      </x:c>
      <x:c r="L15" s="9" t="n">
        <x:v>1616</x:v>
      </x:c>
      <x:c r="M15" s="9" t="n">
        <x:v>1648</x:v>
      </x:c>
      <x:c r="N15" s="9" t="n">
        <x:v>1664</x:v>
      </x:c>
      <x:c r="O15" s="9" t="n">
        <x:v>1696</x:v>
      </x:c>
      <x:c r="P15" s="9" t="n">
        <x:f>SUM(D15:O15)</x:f>
        <x:v>19200</x:v>
      </x:c>
    </x:row>
    <x:row r="16" ht="22" customHeight="1">
      <x:c r="C16" s="1" t="str">
        <x:v>Payroll / contract labor</x:v>
      </x:c>
      <x:c r="D16" s="9" t="n">
        <x:v>1010</x:v>
      </x:c>
      <x:c r="E16" s="9" t="n">
        <x:v>980</x:v>
      </x:c>
      <x:c r="F16" s="9" t="n">
        <x:v>970</x:v>
      </x:c>
      <x:c r="G16" s="9" t="n">
        <x:v>940</x:v>
      </x:c>
      <x:c r="H16" s="9" t="n">
        <x:v>960</x:v>
      </x:c>
      <x:c r="I16" s="9" t="n">
        <x:v>980</x:v>
      </x:c>
      <x:c r="J16" s="9" t="n">
        <x:v>990</x:v>
      </x:c>
      <x:c r="K16" s="9" t="n">
        <x:v>1010</x:v>
      </x:c>
      <x:c r="L16" s="9" t="n">
        <x:v>1030</x:v>
      </x:c>
      <x:c r="M16" s="9" t="n">
        <x:v>1040</x:v>
      </x:c>
      <x:c r="N16" s="9" t="n">
        <x:v>1060</x:v>
      </x:c>
      <x:c r="O16" s="9" t="n">
        <x:v>1030</x:v>
      </x:c>
      <x:c r="P16" s="9" t="n">
        <x:f>SUM(D16:O16)</x:f>
        <x:v>12000</x:v>
      </x:c>
    </x:row>
    <x:row r="17" ht="22" customHeight="1">
      <x:c r="C17" s="1" t="str">
        <x:v>Administrative / legal</x:v>
      </x:c>
      <x:c r="D17" s="9" t="n">
        <x:v>1372</x:v>
      </x:c>
      <x:c r="E17" s="9" t="n">
        <x:v>1358</x:v>
      </x:c>
      <x:c r="F17" s="9" t="n">
        <x:v>1316</x:v>
      </x:c>
      <x:c r="G17" s="9" t="n">
        <x:v>1344</x:v>
      </x:c>
      <x:c r="H17" s="9" t="n">
        <x:v>1372</x:v>
      </x:c>
      <x:c r="I17" s="9" t="n">
        <x:v>1386</x:v>
      </x:c>
      <x:c r="J17" s="9" t="n">
        <x:v>1414</x:v>
      </x:c>
      <x:c r="K17" s="9" t="n">
        <x:v>1442</x:v>
      </x:c>
      <x:c r="L17" s="9" t="n">
        <x:v>1456</x:v>
      </x:c>
      <x:c r="M17" s="9" t="n">
        <x:v>1484</x:v>
      </x:c>
      <x:c r="N17" s="9" t="n">
        <x:v>1442</x:v>
      </x:c>
      <x:c r="O17" s="9" t="n">
        <x:v>1414</x:v>
      </x:c>
      <x:c r="P17" s="9" t="n">
        <x:f>SUM(D17:O17)</x:f>
        <x:v>16800</x:v>
      </x:c>
    </x:row>
    <x:row r="18" ht="22" customHeight="1">
      <x:c r="C18" s="1" t="str">
        <x:v>Management fee</x:v>
      </x:c>
      <x:c r="D18" s="9" t="n">
        <x:v>2134</x:v>
      </x:c>
      <x:c r="E18" s="9" t="n">
        <x:v>2068</x:v>
      </x:c>
      <x:c r="F18" s="9" t="n">
        <x:v>2112</x:v>
      </x:c>
      <x:c r="G18" s="9" t="n">
        <x:v>2156</x:v>
      </x:c>
      <x:c r="H18" s="9" t="n">
        <x:v>2178</x:v>
      </x:c>
      <x:c r="I18" s="9" t="n">
        <x:v>2222</x:v>
      </x:c>
      <x:c r="J18" s="9" t="n">
        <x:v>2266</x:v>
      </x:c>
      <x:c r="K18" s="9" t="n">
        <x:v>2288</x:v>
      </x:c>
      <x:c r="L18" s="9" t="n">
        <x:v>2332</x:v>
      </x:c>
      <x:c r="M18" s="9" t="n">
        <x:v>2266</x:v>
      </x:c>
      <x:c r="N18" s="9" t="n">
        <x:v>2222</x:v>
      </x:c>
      <x:c r="O18" s="9" t="n">
        <x:v>2156</x:v>
      </x:c>
      <x:c r="P18" s="9" t="n">
        <x:f>SUM(D18:O18)</x:f>
        <x:v>26400</x:v>
      </x:c>
    </x:row>
    <x:row r="19" ht="22" customHeight="1">
      <x:c r="C19" s="1" t="str">
        <x:v>Replacement reserves (below NOI)</x:v>
      </x:c>
      <x:c r="D19" s="9" t="n">
        <x:v>1128</x:v>
      </x:c>
      <x:c r="E19" s="9" t="n">
        <x:v>1152</x:v>
      </x:c>
      <x:c r="F19" s="9" t="n">
        <x:v>1176</x:v>
      </x:c>
      <x:c r="G19" s="9" t="n">
        <x:v>1188</x:v>
      </x:c>
      <x:c r="H19" s="9" t="n">
        <x:v>1212</x:v>
      </x:c>
      <x:c r="I19" s="9" t="n">
        <x:v>1236</x:v>
      </x:c>
      <x:c r="J19" s="9" t="n">
        <x:v>1248</x:v>
      </x:c>
      <x:c r="K19" s="9" t="n">
        <x:v>1272</x:v>
      </x:c>
      <x:c r="L19" s="9" t="n">
        <x:v>1236</x:v>
      </x:c>
      <x:c r="M19" s="9" t="n">
        <x:v>1212</x:v>
      </x:c>
      <x:c r="N19" s="9" t="n">
        <x:v>1176</x:v>
      </x:c>
      <x:c r="O19" s="9" t="n">
        <x:v>1164</x:v>
      </x:c>
      <x:c r="P19" s="9" t="n">
        <x:f>SUM(D19:O19)</x:f>
        <x:v>14400</x:v>
      </x:c>
    </x:row>
    <x:row r="20" ht="22" customHeight="1">
      <x:c r="C20" s="1" t="str">
        <x:v>Capital improvements (below cash flow)</x:v>
      </x:c>
      <x:c r="D20" s="9" t="n">
        <x:v>8960</x:v>
      </x:c>
      <x:c r="E20" s="9" t="n">
        <x:v>9147</x:v>
      </x:c>
      <x:c r="F20" s="9" t="n">
        <x:v>9240</x:v>
      </x:c>
      <x:c r="G20" s="9" t="n">
        <x:v>9427</x:v>
      </x:c>
      <x:c r="H20" s="9" t="n">
        <x:v>9613</x:v>
      </x:c>
      <x:c r="I20" s="9" t="n">
        <x:v>9707</x:v>
      </x:c>
      <x:c r="J20" s="9" t="n">
        <x:v>9893</x:v>
      </x:c>
      <x:c r="K20" s="9" t="n">
        <x:v>9613</x:v>
      </x:c>
      <x:c r="L20" s="9" t="n">
        <x:v>9427</x:v>
      </x:c>
      <x:c r="M20" s="9" t="n">
        <x:v>9147</x:v>
      </x:c>
      <x:c r="N20" s="9" t="n">
        <x:v>9053</x:v>
      </x:c>
      <x:c r="O20" s="9" t="n">
        <x:v>8773</x:v>
      </x:c>
      <x:c r="P20" s="9" t="n">
        <x:f>SUM(D20:O20)</x:f>
        <x:v>112000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