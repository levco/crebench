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82e134439941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" sheetId="1" r:id="R0c3434a1025145e0"/>
    <x:sheet xmlns:r="http://schemas.openxmlformats.org/officeDocument/2006/relationships" name="Inputs" sheetId="2" r:id="R211e838f6cdd4c56"/>
    <x:sheet xmlns:r="http://schemas.openxmlformats.org/officeDocument/2006/relationships" name="Rent Roll" sheetId="3" r:id="R909119e33a194b7c"/>
    <x:sheet xmlns:r="http://schemas.openxmlformats.org/officeDocument/2006/relationships" name="T12" sheetId="4" r:id="R57471b9823e341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;($#,##0);&quot;-&quot;"/>
    <x:numFmt numFmtId="201" formatCode="0.00%"/>
    <x:numFmt numFmtId="202" formatCode="0.0000%"/>
    <x:numFmt numFmtId="203" formatCode="@"/>
    <x:numFmt numFmtId="204" formatCode="0.0000&quot;x&quot;"/>
    <x:numFmt numFmtId="205" formatCode="#,##0.00"/>
  </x:numFmts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8000"/>
      <x:name val="Arial"/>
    </x:font>
    <x:font>
      <x:sz val="10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1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e41c7c6abd4b49" /><Relationship Type="http://schemas.openxmlformats.org/officeDocument/2006/relationships/theme" Target="/xl/theme/theme1.xml" Id="Rdb3e215f50654d5e" /><Relationship Type="http://schemas.openxmlformats.org/officeDocument/2006/relationships/sharedStrings" Target="/xl/sharedStrings.xml" Id="R15aeeb8477eb42a6" /><Relationship Type="http://schemas.openxmlformats.org/officeDocument/2006/relationships/worksheet" Target="/xl/worksheets/sheet1.xml" Id="R0c3434a1025145e0" /><Relationship Type="http://schemas.openxmlformats.org/officeDocument/2006/relationships/worksheet" Target="/xl/worksheets/sheet2.xml" Id="R211e838f6cdd4c56" /><Relationship Type="http://schemas.openxmlformats.org/officeDocument/2006/relationships/worksheet" Target="/xl/worksheets/sheet3.xml" Id="R909119e33a194b7c" /><Relationship Type="http://schemas.openxmlformats.org/officeDocument/2006/relationships/worksheet" Target="/xl/worksheets/sheet4.xml" Id="R57471b9823e341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1" hidden="0" customWidth="1"/>
    <x:col min="4" max="4" width="23" hidden="0" customWidth="1"/>
    <x:col min="5" max="5" width="4" hidden="0" customWidth="1"/>
    <x:col min="6" max="6" width="57" hidden="0" customWidth="1"/>
  </x:cols>
  <x:sheetData>
    <x:row r="2" ht="27" customHeight="1">
      <x:c r="C2" s="2" t="str">
        <x:v>Juniper Flats | Reference underwriting</x:v>
      </x:c>
    </x:row>
    <x:row r="3" ht="36" customHeight="1">
      <x:c r="C3" s="4" t="str">
        <x:v>Author reference only | USD | Historical and scenario outputs remain separate</x:v>
      </x:c>
    </x:row>
    <x:row r="6" ht="25" customHeight="1">
      <x:c r="C6" s="6" t="str">
        <x:v>Measure</x:v>
      </x:c>
      <x:c r="D6" s="6" t="str">
        <x:v>Amount / ratio</x:v>
      </x:c>
      <x:c r="F6" s="6" t="str">
        <x:v>Source / method</x:v>
      </x:c>
    </x:row>
    <x:row r="7" ht="36" customHeight="1">
      <x:c r="C7" s="1" t="str">
        <x:v>Underwritten EGI</x:v>
      </x:c>
      <x:c r="D7" s="8" t="n">
        <x:f>(Inputs!D7*(1-Inputs!D8)+Inputs!D9)*Inputs!D35</x:f>
        <x:v>854160</x:v>
      </x:c>
      <x:c r="F7" s="4" t="str">
        <x:v>Property plan / lender terms; see Inputs</x:v>
      </x:c>
    </x:row>
    <x:row r="8" ht="36" customHeight="1">
      <x:c r="C8" s="1" t="str">
        <x:v>Management fee</x:v>
      </x:c>
      <x:c r="D8" s="8" t="n">
        <x:f>MAX(Inputs!D17,D7*Inputs!D18)</x:f>
        <x:v>30000</x:v>
      </x:c>
      <x:c r="F8" s="4" t="str">
        <x:v>Property plan / lender terms; see Inputs</x:v>
      </x:c>
    </x:row>
    <x:row r="9" ht="36" customHeight="1">
      <x:c r="C9" s="1" t="str">
        <x:v>Operating expenses</x:v>
      </x:c>
      <x:c r="D9" s="8" t="n">
        <x:f>Inputs!D10+Inputs!D11+Inputs!D12+Inputs!D13-Inputs!D14+Inputs!D15+Inputs!D16+D8</x:f>
        <x:v>308200</x:v>
      </x:c>
      <x:c r="F9" s="4" t="str">
        <x:v>Property plan / lender terms; see Inputs</x:v>
      </x:c>
    </x:row>
    <x:row r="10" ht="36" customHeight="1">
      <x:c r="C10" s="1" t="str">
        <x:v>NOI before reserves</x:v>
      </x:c>
      <x:c r="D10" s="9" t="n">
        <x:f>D7-D9</x:f>
        <x:v>545960</x:v>
      </x:c>
      <x:c r="F10" s="4" t="str">
        <x:v>Property plan / lender terms; see Inputs</x:v>
      </x:c>
    </x:row>
    <x:row r="11" ht="36" customHeight="1">
      <x:c r="C11" s="1" t="str">
        <x:v>Replacement reserves</x:v>
      </x:c>
      <x:c r="D11" s="8" t="n">
        <x:f>Inputs!D19*Inputs!D20</x:f>
        <x:v>10800</x:v>
      </x:c>
      <x:c r="F11" s="4" t="str">
        <x:v>Property plan / lender terms; see Inputs</x:v>
      </x:c>
    </x:row>
    <x:row r="12" ht="36" customHeight="1">
      <x:c r="C12" s="1" t="str">
        <x:v>NCF after reserves</x:v>
      </x:c>
      <x:c r="D12" s="9" t="n">
        <x:f>D10-D11</x:f>
        <x:v>535160</x:v>
      </x:c>
      <x:c r="F12" s="4" t="str">
        <x:v>Property plan / lender terms; see Inputs</x:v>
      </x:c>
    </x:row>
    <x:row r="13" ht="36" customHeight="1">
      <x:c r="C13" s="1" t="str">
        <x:v>Valuation cap rate</x:v>
      </x:c>
      <x:c r="D13" s="10" t="n">
        <x:f>Inputs!D21+Inputs!D37</x:f>
        <x:v>0.0575</x:v>
      </x:c>
      <x:c r="F13" s="4" t="str">
        <x:v>Property plan / lender terms; see Inputs</x:v>
      </x:c>
    </x:row>
    <x:row r="14" ht="36" customHeight="1">
      <x:c r="C14" s="1" t="str">
        <x:v>Indicative value</x:v>
      </x:c>
      <x:c r="D14" s="9" t="n">
        <x:f>D10/D13</x:f>
        <x:v>9494956.52173913</x:v>
      </x:c>
      <x:c r="F14" s="4" t="str">
        <x:v>Property plan / lender terms; see Inputs</x:v>
      </x:c>
    </x:row>
    <x:row r="15" ht="36" customHeight="1">
      <x:c r="C15" s="1" t="str">
        <x:v>Contract rate</x:v>
      </x:c>
      <x:c r="D15" s="10" t="n">
        <x:f>IF(Inputs!D25&gt;0,Inputs!D25,MAX(Inputs!D26,Inputs!D27)+Inputs!D28)</x:f>
        <x:v>0.059</x:v>
      </x:c>
      <x:c r="F15" s="4" t="str">
        <x:v>Property plan / lender terms; see Inputs</x:v>
      </x:c>
    </x:row>
    <x:row r="16" ht="36" customHeight="1">
      <x:c r="C16" s="1" t="str">
        <x:v>Sizing rate</x:v>
      </x:c>
      <x:c r="D16" s="10" t="n">
        <x:f>MAX(D15,Inputs!D29)+Inputs!D36</x:f>
        <x:v>0.0625</x:v>
      </x:c>
      <x:c r="F16" s="4" t="str">
        <x:v>Property plan / lender terms; see Inputs</x:v>
      </x:c>
    </x:row>
    <x:row r="17" ht="36" customHeight="1">
      <x:c r="C17" s="1" t="str">
        <x:v>Annual debt constant</x:v>
      </x:c>
      <x:c r="D17" s="11" t="n">
        <x:f>12*(D16/12)/(1-(1+D16/12)^(-Inputs!D30*12))</x:f>
        <x:v>0.07388606405116734</x:v>
      </x:c>
      <x:c r="F17" s="4" t="str">
        <x:v>Property plan / lender terms; see Inputs</x:v>
      </x:c>
    </x:row>
    <x:row r="18" ht="36" customHeight="1">
      <x:c r="C18" s="1" t="str">
        <x:v>LTV capacity</x:v>
      </x:c>
      <x:c r="D18" s="8" t="n">
        <x:f>D14*Inputs!D22</x:f>
        <x:v>6171721.7391304355</x:v>
      </x:c>
      <x:c r="F18" s="4" t="str">
        <x:v>Property plan / lender terms; see Inputs</x:v>
      </x:c>
    </x:row>
    <x:row r="19" ht="36" customHeight="1">
      <x:c r="C19" s="1" t="str">
        <x:v>DSCR capacity</x:v>
      </x:c>
      <x:c r="D19" s="8" t="n">
        <x:f>D12/(Inputs!D23*D17)</x:f>
        <x:v>5794435.060223457</x:v>
      </x:c>
      <x:c r="F19" s="4" t="str">
        <x:v>Property plan / lender terms; see Inputs</x:v>
      </x:c>
    </x:row>
    <x:row r="20" ht="36" customHeight="1">
      <x:c r="C20" s="1" t="str">
        <x:v>Debt yield capacity</x:v>
      </x:c>
      <x:c r="D20" s="8" t="n">
        <x:f>IF(Inputs!D38=1,D10,D12)/Inputs!D24</x:f>
        <x:v>6296000</x:v>
      </x:c>
      <x:c r="F20" s="4" t="str">
        <x:v>Property plan / lender terms; see Inputs</x:v>
      </x:c>
    </x:row>
    <x:row r="21" ht="36" customHeight="1">
      <x:c r="C21" s="1" t="str">
        <x:v>Maximum loan</x:v>
      </x:c>
      <x:c r="D21" s="9" t="n">
        <x:f>MIN(D18:D20)</x:f>
        <x:v>5794435.060223457</x:v>
      </x:c>
      <x:c r="F21" s="4" t="str">
        <x:v>Property plan / lender terms; see Inputs</x:v>
      </x:c>
    </x:row>
    <x:row r="22" ht="36" customHeight="1">
      <x:c r="C22" s="1" t="str">
        <x:v>Binding constraint</x:v>
      </x:c>
      <x:c r="D22" s="12" t="str">
        <x:f>IF(D21=D18,"LTV",IF(D21=D19,"DSCR","Debt yield"))</x:f>
        <x:v>DSCR</x:v>
      </x:c>
      <x:c r="F22" s="4" t="str">
        <x:v>Property plan / lender terms; see Inputs</x:v>
      </x:c>
    </x:row>
    <x:row r="23" ht="36" customHeight="1">
      <x:c r="C23" s="1" t="str">
        <x:v>Sizing debt service</x:v>
      </x:c>
      <x:c r="D23" s="9" t="n">
        <x:f>D21*D17</x:f>
        <x:v>428128.00000000006</x:v>
      </x:c>
      <x:c r="F23" s="4" t="str">
        <x:v>Property plan / lender terms; see Inputs</x:v>
      </x:c>
    </x:row>
    <x:row r="24" ht="36" customHeight="1">
      <x:c r="C24" s="1" t="str">
        <x:v>Sizing DSCR</x:v>
      </x:c>
      <x:c r="D24" s="13" t="n">
        <x:f>D12/D23</x:f>
        <x:v>1.2499999999999998</x:v>
      </x:c>
      <x:c r="F24" s="4" t="str">
        <x:v>Property plan / lender terms; see Inputs</x:v>
      </x:c>
    </x:row>
    <x:row r="25" ht="36" customHeight="1">
      <x:c r="C25" s="1" t="str">
        <x:v>Sizing debt yield</x:v>
      </x:c>
      <x:c r="D25" s="10" t="n">
        <x:f>IF(Inputs!D38=1,D10,D12)/D21</x:f>
        <x:v>0.09235758006395917</x:v>
      </x:c>
      <x:c r="F25" s="4" t="str">
        <x:v>Property plan / lender terms; see Inputs</x:v>
      </x:c>
    </x:row>
    <x:row r="26" ht="36" customHeight="1">
      <x:c r="C26" s="1" t="str">
        <x:v>Contractual first-year debt service</x:v>
      </x:c>
      <x:c r="D26" s="8" t="n">
        <x:f>IF(Inputs!D31&gt;=12,D21*D15,D21*12*(D15/12)/(1-(1+D15/12)^(-Inputs!D30*12)))</x:f>
        <x:v>341871.66855318396</x:v>
      </x:c>
      <x:c r="F26" s="4" t="str">
        <x:v>Property plan / lender terms; see Inputs</x:v>
      </x:c>
    </x:row>
    <x:row r="27" ht="36" customHeight="1">
      <x:c r="C27" s="1" t="str">
        <x:v>Cash to borrower</x:v>
      </x:c>
      <x:c r="D27" s="8" t="n">
        <x:f>D21-Inputs!D32-D21*Inputs!D33-Inputs!D34</x:f>
        <x:v>2405976.7972717816</x:v>
      </x:c>
      <x:c r="F27" s="4" t="str">
        <x:v>Property plan / lender terms; see Inputs</x:v>
      </x:c>
    </x:row>
    <x:row r="28" ht="36" customHeight="1">
      <x:c r="C28" s="1" t="str">
        <x:v>Historical T12 EGI</x:v>
      </x:c>
      <x:c r="D28" s="8" t="n">
        <x:f>SUM(T12!P7:P11)</x:f>
        <x:v>821100</x:v>
      </x:c>
      <x:c r="F28" s="4" t="str">
        <x:v>Property plan / lender terms; see Inputs</x:v>
      </x:c>
    </x:row>
    <x:row r="29" ht="36" customHeight="1">
      <x:c r="C29" s="1" t="str">
        <x:v>Historical operating expenses</x:v>
      </x:c>
      <x:c r="D29" s="8" t="n">
        <x:f>SUM(T12!P12:P18)</x:f>
        <x:v>307800</x:v>
      </x:c>
      <x:c r="F29" s="4" t="str">
        <x:v>Property plan / lender terms; see Inputs</x:v>
      </x:c>
    </x:row>
    <x:row r="30" ht="36" customHeight="1">
      <x:c r="C30" s="1" t="str">
        <x:v>Historical NOI before reserves</x:v>
      </x:c>
      <x:c r="D30" s="9" t="n">
        <x:f>D28-D29</x:f>
        <x:v>513300</x:v>
      </x:c>
      <x:c r="F30" s="4" t="str">
        <x:v>Property plan / lender terms; see Inputs</x:v>
      </x:c>
    </x:row>
    <x:row r="31" ht="36" customHeight="1">
      <x:c r="C31" s="1" t="str">
        <x:v>Historical replacement reserves</x:v>
      </x:c>
      <x:c r="D31" s="8" t="n">
        <x:f>T12!P19</x:f>
        <x:v>10800</x:v>
      </x:c>
      <x:c r="F31" s="4" t="str">
        <x:v>Property plan / lender terms; see Inputs</x:v>
      </x:c>
    </x:row>
    <x:row r="32" ht="36" customHeight="1">
      <x:c r="C32" s="1" t="str">
        <x:v>Historical NCF after reserves</x:v>
      </x:c>
      <x:c r="D32" s="9" t="n">
        <x:f>D30-D31</x:f>
        <x:v>502500</x:v>
      </x:c>
      <x:c r="F32" s="4" t="str">
        <x:v>Property plan / lender terms; see Inputs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21" hidden="0" customWidth="1"/>
    <x:col min="5" max="5" width="5" hidden="0" customWidth="1"/>
    <x:col min="6" max="6" width="50" hidden="0" customWidth="1"/>
  </x:cols>
  <x:sheetData>
    <x:row r="2" ht="27" customHeight="1">
      <x:c r="C2" s="2" t="str">
        <x:v>Underwriting assumptions</x:v>
      </x:c>
    </x:row>
    <x:row r="3" ht="36" customHeight="1">
      <x:c r="C3" s="4" t="str">
        <x:v>Source: Property-and-Plan.pdf and Lender-Terms.pdf. Blue values are editable.</x:v>
      </x:c>
    </x:row>
    <x:row r="7" ht="36" customHeight="1">
      <x:c r="C7" s="1" t="str">
        <x:v>Gross potential rent</x:v>
      </x:c>
      <x:c r="D7" s="15" t="n">
        <x:v>864000</x:v>
      </x:c>
      <x:c r="F7" s="4" t="str">
        <x:v>Annual insurance renewal is confirmed in source plan.</x:v>
      </x:c>
    </x:row>
    <x:row r="8" ht="22" customHeight="1">
      <x:c r="C8" s="1" t="str">
        <x:v>Revenue loss</x:v>
      </x:c>
      <x:c r="D8" s="16" t="n">
        <x:v>0.06</x:v>
      </x:c>
    </x:row>
    <x:row r="9" ht="22" customHeight="1">
      <x:c r="C9" s="1" t="str">
        <x:v>Other income</x:v>
      </x:c>
      <x:c r="D9" s="15" t="n">
        <x:v>42000</x:v>
      </x:c>
    </x:row>
    <x:row r="10" ht="22" customHeight="1">
      <x:c r="C10" s="1" t="str">
        <x:v>Annual taxes</x:v>
      </x:c>
      <x:c r="D10" s="15" t="n">
        <x:v>112000</x:v>
      </x:c>
    </x:row>
    <x:row r="11" ht="22" customHeight="1">
      <x:c r="C11" s="1" t="str">
        <x:v>Annual insurance allowance</x:v>
      </x:c>
      <x:c r="D11" s="15" t="n">
        <x:v>33600</x:v>
      </x:c>
    </x:row>
    <x:row r="12" ht="22" customHeight="1">
      <x:c r="C12" s="1" t="str">
        <x:v>Utilities</x:v>
      </x:c>
      <x:c r="D12" s="15" t="n">
        <x:v>28800</x:v>
      </x:c>
    </x:row>
    <x:row r="13" ht="22" customHeight="1">
      <x:c r="C13" s="1" t="str">
        <x:v>Repairs actual</x:v>
      </x:c>
      <x:c r="D13" s="15" t="n">
        <x:v>46200</x:v>
      </x:c>
    </x:row>
    <x:row r="14" ht="22" customHeight="1">
      <x:c r="C14" s="1" t="str">
        <x:v>Nonrecurring repairs</x:v>
      </x:c>
      <x:c r="D14" s="15" t="n">
        <x:v>6000</x:v>
      </x:c>
    </x:row>
    <x:row r="15" ht="22" customHeight="1">
      <x:c r="C15" s="1" t="str">
        <x:v>Payroll / contracts</x:v>
      </x:c>
      <x:c r="D15" s="15" t="n">
        <x:v>42000</x:v>
      </x:c>
    </x:row>
    <x:row r="16" ht="22" customHeight="1">
      <x:c r="C16" s="1" t="str">
        <x:v>Administrative / legal</x:v>
      </x:c>
      <x:c r="D16" s="15" t="n">
        <x:v>21600</x:v>
      </x:c>
    </x:row>
    <x:row r="17" ht="22" customHeight="1">
      <x:c r="C17" s="1" t="str">
        <x:v>Management actual</x:v>
      </x:c>
      <x:c r="D17" s="15" t="n">
        <x:v>30000</x:v>
      </x:c>
    </x:row>
    <x:row r="18" ht="22" customHeight="1">
      <x:c r="C18" s="1" t="str">
        <x:v>Management minimum</x:v>
      </x:c>
      <x:c r="D18" s="16" t="n">
        <x:v>0.03</x:v>
      </x:c>
    </x:row>
    <x:row r="19" ht="22" customHeight="1">
      <x:c r="C19" s="1" t="str">
        <x:v>Reserve rate</x:v>
      </x:c>
      <x:c r="D19" s="16" t="n">
        <x:v>300</x:v>
      </x:c>
    </x:row>
    <x:row r="20" ht="22" customHeight="1">
      <x:c r="C20" s="1" t="str">
        <x:v>Reserve quantity</x:v>
      </x:c>
      <x:c r="D20" s="15" t="n">
        <x:v>36</x:v>
      </x:c>
    </x:row>
    <x:row r="21" ht="22" customHeight="1">
      <x:c r="C21" s="1" t="str">
        <x:v>Valuation cap rate</x:v>
      </x:c>
      <x:c r="D21" s="16" t="n">
        <x:v>0.0575</x:v>
      </x:c>
    </x:row>
    <x:row r="22" ht="22" customHeight="1">
      <x:c r="C22" s="1" t="str">
        <x:v>LTV limit</x:v>
      </x:c>
      <x:c r="D22" s="16" t="n">
        <x:v>0.65</x:v>
      </x:c>
    </x:row>
    <x:row r="23" ht="22" customHeight="1">
      <x:c r="C23" s="1" t="str">
        <x:v>Minimum DSCR</x:v>
      </x:c>
      <x:c r="D23" s="15" t="n">
        <x:v>1.25</x:v>
      </x:c>
    </x:row>
    <x:row r="24" ht="22" customHeight="1">
      <x:c r="C24" s="1" t="str">
        <x:v>Minimum debt yield</x:v>
      </x:c>
      <x:c r="D24" s="16" t="n">
        <x:v>0.085</x:v>
      </x:c>
    </x:row>
    <x:row r="25" ht="22" customHeight="1">
      <x:c r="C25" s="1" t="str">
        <x:v>Fixed contract rate (zero = floating)</x:v>
      </x:c>
      <x:c r="D25" s="16" t="n">
        <x:v>0.059</x:v>
      </x:c>
    </x:row>
    <x:row r="26" ht="22" customHeight="1">
      <x:c r="C26" s="1" t="str">
        <x:v>Current floating index</x:v>
      </x:c>
      <x:c r="D26" s="16" t="n">
        <x:v>0</x:v>
      </x:c>
    </x:row>
    <x:row r="27" ht="22" customHeight="1">
      <x:c r="C27" s="1" t="str">
        <x:v>Index floor</x:v>
      </x:c>
      <x:c r="D27" s="16" t="n">
        <x:v>0</x:v>
      </x:c>
    </x:row>
    <x:row r="28" ht="22" customHeight="1">
      <x:c r="C28" s="1" t="str">
        <x:v>Spread</x:v>
      </x:c>
      <x:c r="D28" s="16" t="n">
        <x:v>0</x:v>
      </x:c>
    </x:row>
    <x:row r="29" ht="22" customHeight="1">
      <x:c r="C29" s="1" t="str">
        <x:v>Sizing rate floor</x:v>
      </x:c>
      <x:c r="D29" s="16" t="n">
        <x:v>0.0625</x:v>
      </x:c>
    </x:row>
    <x:row r="30" ht="22" customHeight="1">
      <x:c r="C30" s="1" t="str">
        <x:v>Amortization years</x:v>
      </x:c>
      <x:c r="D30" s="15" t="n">
        <x:v>30</x:v>
      </x:c>
    </x:row>
    <x:row r="31" ht="22" customHeight="1">
      <x:c r="C31" s="1" t="str">
        <x:v>IO months</x:v>
      </x:c>
      <x:c r="D31" s="15" t="n">
        <x:v>24</x:v>
      </x:c>
    </x:row>
    <x:row r="32" ht="22" customHeight="1">
      <x:c r="C32" s="1" t="str">
        <x:v>Existing debt payoff</x:v>
      </x:c>
      <x:c r="D32" s="15" t="n">
        <x:v>3300000</x:v>
      </x:c>
    </x:row>
    <x:row r="33" ht="22" customHeight="1">
      <x:c r="C33" s="1" t="str">
        <x:v>Loan origination fee</x:v>
      </x:c>
      <x:c r="D33" s="16" t="n">
        <x:v>0.0075</x:v>
      </x:c>
    </x:row>
    <x:row r="34" ht="22" customHeight="1">
      <x:c r="C34" s="1" t="str">
        <x:v>Fixed closing costs</x:v>
      </x:c>
      <x:c r="D34" s="15" t="n">
        <x:v>45000</x:v>
      </x:c>
    </x:row>
    <x:row r="35" ht="22" customHeight="1">
      <x:c r="C35" s="1" t="str">
        <x:v>EGI multiplier</x:v>
      </x:c>
      <x:c r="D35" s="15" t="n">
        <x:v>1</x:v>
      </x:c>
    </x:row>
    <x:row r="36" ht="22" customHeight="1">
      <x:c r="C36" s="1" t="str">
        <x:v>Sizing rate increment</x:v>
      </x:c>
      <x:c r="D36" s="16" t="n">
        <x:v>0</x:v>
      </x:c>
    </x:row>
    <x:row r="37" ht="22" customHeight="1">
      <x:c r="C37" s="1" t="str">
        <x:v>Cap rate increment</x:v>
      </x:c>
      <x:c r="D37" s="16" t="n">
        <x:v>0</x:v>
      </x:c>
    </x:row>
    <x:row r="38" ht="22" customHeight="1">
      <x:c r="C38" s="1" t="str">
        <x:v>Debt yield uses NOI before reserves</x:v>
      </x:c>
      <x:c r="D38" s="15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2" hidden="0" customWidth="1"/>
    <x:col min="4" max="4" width="25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7" hidden="0" customWidth="1"/>
  </x:cols>
  <x:sheetData>
    <x:row r="2" ht="27" customHeight="1">
      <x:c r="C2" s="2" t="str">
        <x:v>Juniper Flats | Rent roll</x:v>
      </x:c>
    </x:row>
    <x:row r="3" ht="36" customHeight="1">
      <x:c r="C3" s="17" t="str">
        <x:v>As of August 31, 2026 | USD monthly | original fictional source</x:v>
      </x:c>
    </x:row>
    <x:row r="6" ht="36" customHeight="1">
      <x:c r="C6" s="18" t="str">
        <x:v>Unit / suite</x:v>
      </x:c>
      <x:c r="D6" s="18" t="str">
        <x:v>Tenant</x:v>
      </x:c>
      <x:c r="E6" s="18" t="str">
        <x:v>Area SF</x:v>
      </x:c>
      <x:c r="F6" s="18" t="str">
        <x:v>Status</x:v>
      </x:c>
      <x:c r="G6" s="18" t="str">
        <x:v>Monthly base rent</x:v>
      </x:c>
      <x:c r="H6" s="18" t="str">
        <x:v>Market monthly rent</x:v>
      </x:c>
      <x:c r="I6" s="18" t="str">
        <x:v>Lease expiry</x:v>
      </x:c>
    </x:row>
    <x:row r="7" ht="22" customHeight="1">
      <x:c r="C7" s="1" t="str">
        <x:v>101</x:v>
      </x:c>
      <x:c r="D7" s="1" t="str">
        <x:v>Household 101</x:v>
      </x:c>
      <x:c r="E7" s="1" t="n">
        <x:v>750</x:v>
      </x:c>
      <x:c r="F7" s="1" t="str">
        <x:v>Occupied</x:v>
      </x:c>
      <x:c r="G7" s="9" t="n">
        <x:v>1675</x:v>
      </x:c>
      <x:c r="H7" s="9" t="n">
        <x:v>1675</x:v>
      </x:c>
      <x:c r="I7" s="1" t="str">
        <x:v>2027-07-31</x:v>
      </x:c>
    </x:row>
    <x:row r="8" ht="22" customHeight="1">
      <x:c r="C8" s="1" t="str">
        <x:v>102</x:v>
      </x:c>
      <x:c r="D8" s="1" t="str">
        <x:v>Household 102</x:v>
      </x:c>
      <x:c r="E8" s="1" t="n">
        <x:v>750</x:v>
      </x:c>
      <x:c r="F8" s="1" t="str">
        <x:v>Occupied</x:v>
      </x:c>
      <x:c r="G8" s="9" t="n">
        <x:v>1675</x:v>
      </x:c>
      <x:c r="H8" s="9" t="n">
        <x:v>1675</x:v>
      </x:c>
      <x:c r="I8" s="1" t="str">
        <x:v>2026-10-31</x:v>
      </x:c>
    </x:row>
    <x:row r="9" ht="22" customHeight="1">
      <x:c r="C9" s="1" t="str">
        <x:v>103</x:v>
      </x:c>
      <x:c r="D9" s="1" t="str">
        <x:v>Household 103</x:v>
      </x:c>
      <x:c r="E9" s="1" t="n">
        <x:v>750</x:v>
      </x:c>
      <x:c r="F9" s="1" t="str">
        <x:v>Occupied</x:v>
      </x:c>
      <x:c r="G9" s="9" t="n">
        <x:v>1675</x:v>
      </x:c>
      <x:c r="H9" s="9" t="n">
        <x:v>1675</x:v>
      </x:c>
      <x:c r="I9" s="1" t="str">
        <x:v>2026-11-30</x:v>
      </x:c>
    </x:row>
    <x:row r="10" ht="22" customHeight="1">
      <x:c r="C10" s="1" t="str">
        <x:v>104</x:v>
      </x:c>
      <x:c r="D10" s="1" t="str">
        <x:v>Household 104</x:v>
      </x:c>
      <x:c r="E10" s="1" t="n">
        <x:v>750</x:v>
      </x:c>
      <x:c r="F10" s="1" t="str">
        <x:v>Occupied</x:v>
      </x:c>
      <x:c r="G10" s="9" t="n">
        <x:v>1675</x:v>
      </x:c>
      <x:c r="H10" s="9" t="n">
        <x:v>1675</x:v>
      </x:c>
      <x:c r="I10" s="1" t="str">
        <x:v>2026-12-31</x:v>
      </x:c>
    </x:row>
    <x:row r="11" ht="22" customHeight="1">
      <x:c r="C11" s="1" t="str">
        <x:v>105</x:v>
      </x:c>
      <x:c r="D11" s="1" t="str">
        <x:v>Household 105</x:v>
      </x:c>
      <x:c r="E11" s="1" t="n">
        <x:v>750</x:v>
      </x:c>
      <x:c r="F11" s="1" t="str">
        <x:v>Occupied</x:v>
      </x:c>
      <x:c r="G11" s="9" t="n">
        <x:v>1675</x:v>
      </x:c>
      <x:c r="H11" s="9" t="n">
        <x:v>1675</x:v>
      </x:c>
      <x:c r="I11" s="1" t="str">
        <x:v>2027-01-31</x:v>
      </x:c>
    </x:row>
    <x:row r="12" ht="22" customHeight="1">
      <x:c r="C12" s="1" t="str">
        <x:v>106</x:v>
      </x:c>
      <x:c r="D12" s="1" t="str">
        <x:v>Household 106</x:v>
      </x:c>
      <x:c r="E12" s="1" t="n">
        <x:v>750</x:v>
      </x:c>
      <x:c r="F12" s="1" t="str">
        <x:v>Occupied</x:v>
      </x:c>
      <x:c r="G12" s="9" t="n">
        <x:v>1675</x:v>
      </x:c>
      <x:c r="H12" s="9" t="n">
        <x:v>1675</x:v>
      </x:c>
      <x:c r="I12" s="1" t="str">
        <x:v>2027-02-28</x:v>
      </x:c>
    </x:row>
    <x:row r="13" ht="22" customHeight="1">
      <x:c r="C13" s="1" t="str">
        <x:v>107</x:v>
      </x:c>
      <x:c r="D13" s="1" t="str">
        <x:v>Household 107</x:v>
      </x:c>
      <x:c r="E13" s="1" t="n">
        <x:v>750</x:v>
      </x:c>
      <x:c r="F13" s="1" t="str">
        <x:v>Occupied</x:v>
      </x:c>
      <x:c r="G13" s="9" t="n">
        <x:v>1675</x:v>
      </x:c>
      <x:c r="H13" s="9" t="n">
        <x:v>1675</x:v>
      </x:c>
      <x:c r="I13" s="1" t="str">
        <x:v>2027-03-31</x:v>
      </x:c>
    </x:row>
    <x:row r="14" ht="22" customHeight="1">
      <x:c r="C14" s="1" t="str">
        <x:v>108</x:v>
      </x:c>
      <x:c r="D14" s="1" t="str">
        <x:v>Household 108</x:v>
      </x:c>
      <x:c r="E14" s="1" t="n">
        <x:v>750</x:v>
      </x:c>
      <x:c r="F14" s="1" t="str">
        <x:v>Occupied</x:v>
      </x:c>
      <x:c r="G14" s="9" t="n">
        <x:v>1675</x:v>
      </x:c>
      <x:c r="H14" s="9" t="n">
        <x:v>1675</x:v>
      </x:c>
      <x:c r="I14" s="1" t="str">
        <x:v>2027-04-30</x:v>
      </x:c>
    </x:row>
    <x:row r="15" ht="22" customHeight="1">
      <x:c r="C15" s="1" t="str">
        <x:v>109</x:v>
      </x:c>
      <x:c r="D15" s="1" t="str">
        <x:v>Vacant</x:v>
      </x:c>
      <x:c r="E15" s="1" t="n">
        <x:v>750</x:v>
      </x:c>
      <x:c r="F15" s="1" t="str">
        <x:v>Vacant</x:v>
      </x:c>
      <x:c r="G15" s="9"/>
      <x:c r="H15" s="9" t="n">
        <x:v>1675</x:v>
      </x:c>
      <x:c r="I15" s="1"/>
    </x:row>
    <x:row r="16" ht="22" customHeight="1">
      <x:c r="C16" s="1" t="str">
        <x:v>110</x:v>
      </x:c>
      <x:c r="D16" s="1" t="str">
        <x:v>Household 110</x:v>
      </x:c>
      <x:c r="E16" s="1" t="n">
        <x:v>750</x:v>
      </x:c>
      <x:c r="F16" s="1" t="str">
        <x:v>Occupied</x:v>
      </x:c>
      <x:c r="G16" s="9" t="n">
        <x:v>1675</x:v>
      </x:c>
      <x:c r="H16" s="9" t="n">
        <x:v>1675</x:v>
      </x:c>
      <x:c r="I16" s="1" t="str">
        <x:v>2027-06-30</x:v>
      </x:c>
    </x:row>
    <x:row r="17" ht="22" customHeight="1">
      <x:c r="C17" s="1" t="str">
        <x:v>111</x:v>
      </x:c>
      <x:c r="D17" s="1" t="str">
        <x:v>Household 111</x:v>
      </x:c>
      <x:c r="E17" s="1" t="n">
        <x:v>750</x:v>
      </x:c>
      <x:c r="F17" s="1" t="str">
        <x:v>Occupied</x:v>
      </x:c>
      <x:c r="G17" s="9" t="n">
        <x:v>1675</x:v>
      </x:c>
      <x:c r="H17" s="9" t="n">
        <x:v>1675</x:v>
      </x:c>
      <x:c r="I17" s="1" t="str">
        <x:v>2027-07-31</x:v>
      </x:c>
    </x:row>
    <x:row r="18" ht="22" customHeight="1">
      <x:c r="C18" s="1" t="str">
        <x:v>112</x:v>
      </x:c>
      <x:c r="D18" s="1" t="str">
        <x:v>Household 112</x:v>
      </x:c>
      <x:c r="E18" s="1" t="n">
        <x:v>750</x:v>
      </x:c>
      <x:c r="F18" s="1" t="str">
        <x:v>Occupied</x:v>
      </x:c>
      <x:c r="G18" s="9" t="n">
        <x:v>1675</x:v>
      </x:c>
      <x:c r="H18" s="9" t="n">
        <x:v>1675</x:v>
      </x:c>
      <x:c r="I18" s="1" t="str">
        <x:v>2027-08-31</x:v>
      </x:c>
    </x:row>
    <x:row r="19" ht="22" customHeight="1">
      <x:c r="C19" s="1" t="str">
        <x:v>113</x:v>
      </x:c>
      <x:c r="D19" s="1" t="str">
        <x:v>Household 113</x:v>
      </x:c>
      <x:c r="E19" s="1" t="n">
        <x:v>750</x:v>
      </x:c>
      <x:c r="F19" s="1" t="str">
        <x:v>Occupied</x:v>
      </x:c>
      <x:c r="G19" s="9" t="n">
        <x:v>1675</x:v>
      </x:c>
      <x:c r="H19" s="9" t="n">
        <x:v>1675</x:v>
      </x:c>
      <x:c r="I19" s="1" t="str">
        <x:v>2026-09-30</x:v>
      </x:c>
    </x:row>
    <x:row r="20" ht="22" customHeight="1">
      <x:c r="C20" s="1" t="str">
        <x:v>114</x:v>
      </x:c>
      <x:c r="D20" s="1" t="str">
        <x:v>Household 114</x:v>
      </x:c>
      <x:c r="E20" s="1" t="n">
        <x:v>750</x:v>
      </x:c>
      <x:c r="F20" s="1" t="str">
        <x:v>Occupied</x:v>
      </x:c>
      <x:c r="G20" s="9" t="n">
        <x:v>1675</x:v>
      </x:c>
      <x:c r="H20" s="9" t="n">
        <x:v>1675</x:v>
      </x:c>
      <x:c r="I20" s="1" t="str">
        <x:v>2026-10-31</x:v>
      </x:c>
    </x:row>
    <x:row r="21" ht="22" customHeight="1">
      <x:c r="C21" s="1" t="str">
        <x:v>115</x:v>
      </x:c>
      <x:c r="D21" s="1" t="str">
        <x:v>Household 115</x:v>
      </x:c>
      <x:c r="E21" s="1" t="n">
        <x:v>750</x:v>
      </x:c>
      <x:c r="F21" s="1" t="str">
        <x:v>Occupied</x:v>
      </x:c>
      <x:c r="G21" s="9" t="n">
        <x:v>1675</x:v>
      </x:c>
      <x:c r="H21" s="9" t="n">
        <x:v>1675</x:v>
      </x:c>
      <x:c r="I21" s="1" t="str">
        <x:v>2026-11-30</x:v>
      </x:c>
    </x:row>
    <x:row r="22" ht="22" customHeight="1">
      <x:c r="C22" s="1" t="str">
        <x:v>116</x:v>
      </x:c>
      <x:c r="D22" s="1" t="str">
        <x:v>Household 116</x:v>
      </x:c>
      <x:c r="E22" s="1" t="n">
        <x:v>750</x:v>
      </x:c>
      <x:c r="F22" s="1" t="str">
        <x:v>Occupied</x:v>
      </x:c>
      <x:c r="G22" s="9" t="n">
        <x:v>1675</x:v>
      </x:c>
      <x:c r="H22" s="9" t="n">
        <x:v>1675</x:v>
      </x:c>
      <x:c r="I22" s="1" t="str">
        <x:v>2026-12-31</x:v>
      </x:c>
    </x:row>
    <x:row r="23" ht="22" customHeight="1">
      <x:c r="C23" s="1" t="str">
        <x:v>117</x:v>
      </x:c>
      <x:c r="D23" s="1" t="str">
        <x:v>Household 117</x:v>
      </x:c>
      <x:c r="E23" s="1" t="n">
        <x:v>750</x:v>
      </x:c>
      <x:c r="F23" s="1" t="str">
        <x:v>Occupied</x:v>
      </x:c>
      <x:c r="G23" s="9" t="n">
        <x:v>1675</x:v>
      </x:c>
      <x:c r="H23" s="9" t="n">
        <x:v>1675</x:v>
      </x:c>
      <x:c r="I23" s="1" t="str">
        <x:v>2027-01-31</x:v>
      </x:c>
    </x:row>
    <x:row r="24" ht="22" customHeight="1">
      <x:c r="C24" s="1" t="str">
        <x:v>118</x:v>
      </x:c>
      <x:c r="D24" s="1" t="str">
        <x:v>Household 118</x:v>
      </x:c>
      <x:c r="E24" s="1" t="n">
        <x:v>750</x:v>
      </x:c>
      <x:c r="F24" s="1" t="str">
        <x:v>Occupied</x:v>
      </x:c>
      <x:c r="G24" s="9" t="n">
        <x:v>1675</x:v>
      </x:c>
      <x:c r="H24" s="9" t="n">
        <x:v>1675</x:v>
      </x:c>
      <x:c r="I24" s="1" t="str">
        <x:v>2027-02-28</x:v>
      </x:c>
    </x:row>
    <x:row r="25" ht="22" customHeight="1">
      <x:c r="C25" s="1" t="str">
        <x:v>119</x:v>
      </x:c>
      <x:c r="D25" s="1" t="str">
        <x:v>Household 119</x:v>
      </x:c>
      <x:c r="E25" s="1" t="n">
        <x:v>750</x:v>
      </x:c>
      <x:c r="F25" s="1" t="str">
        <x:v>Occupied</x:v>
      </x:c>
      <x:c r="G25" s="9" t="n">
        <x:v>1675</x:v>
      </x:c>
      <x:c r="H25" s="9" t="n">
        <x:v>1675</x:v>
      </x:c>
      <x:c r="I25" s="1" t="str">
        <x:v>2027-03-31</x:v>
      </x:c>
    </x:row>
    <x:row r="26" ht="22" customHeight="1">
      <x:c r="C26" s="1" t="str">
        <x:v>120</x:v>
      </x:c>
      <x:c r="D26" s="1" t="str">
        <x:v>Household 120</x:v>
      </x:c>
      <x:c r="E26" s="1" t="n">
        <x:v>750</x:v>
      </x:c>
      <x:c r="F26" s="1" t="str">
        <x:v>Occupied</x:v>
      </x:c>
      <x:c r="G26" s="9" t="n">
        <x:v>1675</x:v>
      </x:c>
      <x:c r="H26" s="9" t="n">
        <x:v>1675</x:v>
      </x:c>
      <x:c r="I26" s="1" t="str">
        <x:v>2027-04-30</x:v>
      </x:c>
    </x:row>
    <x:row r="27" ht="22" customHeight="1">
      <x:c r="C27" s="1" t="str">
        <x:v>121</x:v>
      </x:c>
      <x:c r="D27" s="1" t="str">
        <x:v>Household 121</x:v>
      </x:c>
      <x:c r="E27" s="1" t="n">
        <x:v>1050</x:v>
      </x:c>
      <x:c r="F27" s="1" t="str">
        <x:v>Occupied</x:v>
      </x:c>
      <x:c r="G27" s="9" t="n">
        <x:v>2175</x:v>
      </x:c>
      <x:c r="H27" s="9" t="n">
        <x:v>2175</x:v>
      </x:c>
      <x:c r="I27" s="1" t="str">
        <x:v>2027-05-31</x:v>
      </x:c>
    </x:row>
    <x:row r="28" ht="22" customHeight="1">
      <x:c r="C28" s="1" t="str">
        <x:v>122</x:v>
      </x:c>
      <x:c r="D28" s="1" t="str">
        <x:v>Household 122</x:v>
      </x:c>
      <x:c r="E28" s="1" t="n">
        <x:v>1050</x:v>
      </x:c>
      <x:c r="F28" s="1" t="str">
        <x:v>Occupied</x:v>
      </x:c>
      <x:c r="G28" s="9" t="n">
        <x:v>2175</x:v>
      </x:c>
      <x:c r="H28" s="9" t="n">
        <x:v>2175</x:v>
      </x:c>
      <x:c r="I28" s="1" t="str">
        <x:v>2027-06-30</x:v>
      </x:c>
    </x:row>
    <x:row r="29" ht="22" customHeight="1">
      <x:c r="C29" s="1" t="str">
        <x:v>123</x:v>
      </x:c>
      <x:c r="D29" s="1" t="str">
        <x:v>Household 123</x:v>
      </x:c>
      <x:c r="E29" s="1" t="n">
        <x:v>1050</x:v>
      </x:c>
      <x:c r="F29" s="1" t="str">
        <x:v>Occupied</x:v>
      </x:c>
      <x:c r="G29" s="9" t="n">
        <x:v>2175</x:v>
      </x:c>
      <x:c r="H29" s="9" t="n">
        <x:v>2175</x:v>
      </x:c>
      <x:c r="I29" s="1" t="str">
        <x:v>2027-07-31</x:v>
      </x:c>
    </x:row>
    <x:row r="30" ht="22" customHeight="1">
      <x:c r="C30" s="1" t="str">
        <x:v>124</x:v>
      </x:c>
      <x:c r="D30" s="1" t="str">
        <x:v>Household 124</x:v>
      </x:c>
      <x:c r="E30" s="1" t="n">
        <x:v>1050</x:v>
      </x:c>
      <x:c r="F30" s="1" t="str">
        <x:v>Occupied</x:v>
      </x:c>
      <x:c r="G30" s="9" t="n">
        <x:v>2175</x:v>
      </x:c>
      <x:c r="H30" s="9" t="n">
        <x:v>2175</x:v>
      </x:c>
      <x:c r="I30" s="1" t="str">
        <x:v>2027-08-31</x:v>
      </x:c>
    </x:row>
    <x:row r="31" ht="22" customHeight="1">
      <x:c r="C31" s="1" t="str">
        <x:v>125</x:v>
      </x:c>
      <x:c r="D31" s="1" t="str">
        <x:v>Vacant</x:v>
      </x:c>
      <x:c r="E31" s="1" t="n">
        <x:v>1050</x:v>
      </x:c>
      <x:c r="F31" s="1" t="str">
        <x:v>Vacant</x:v>
      </x:c>
      <x:c r="G31" s="9"/>
      <x:c r="H31" s="9" t="n">
        <x:v>2175</x:v>
      </x:c>
      <x:c r="I31" s="1"/>
    </x:row>
    <x:row r="32" ht="22" customHeight="1">
      <x:c r="C32" s="1" t="str">
        <x:v>126</x:v>
      </x:c>
      <x:c r="D32" s="1" t="str">
        <x:v>Household 126</x:v>
      </x:c>
      <x:c r="E32" s="1" t="n">
        <x:v>1050</x:v>
      </x:c>
      <x:c r="F32" s="1" t="str">
        <x:v>Occupied</x:v>
      </x:c>
      <x:c r="G32" s="9" t="n">
        <x:v>2175</x:v>
      </x:c>
      <x:c r="H32" s="9" t="n">
        <x:v>2175</x:v>
      </x:c>
      <x:c r="I32" s="1" t="str">
        <x:v>2026-10-31</x:v>
      </x:c>
    </x:row>
    <x:row r="33" ht="22" customHeight="1">
      <x:c r="C33" s="1" t="str">
        <x:v>127</x:v>
      </x:c>
      <x:c r="D33" s="1" t="str">
        <x:v>Household 127</x:v>
      </x:c>
      <x:c r="E33" s="1" t="n">
        <x:v>1050</x:v>
      </x:c>
      <x:c r="F33" s="1" t="str">
        <x:v>Occupied</x:v>
      </x:c>
      <x:c r="G33" s="9" t="n">
        <x:v>2175</x:v>
      </x:c>
      <x:c r="H33" s="9" t="n">
        <x:v>2175</x:v>
      </x:c>
      <x:c r="I33" s="1" t="str">
        <x:v>2026-11-30</x:v>
      </x:c>
    </x:row>
    <x:row r="34" ht="22" customHeight="1">
      <x:c r="C34" s="1" t="str">
        <x:v>128</x:v>
      </x:c>
      <x:c r="D34" s="1" t="str">
        <x:v>Household 128</x:v>
      </x:c>
      <x:c r="E34" s="1" t="n">
        <x:v>1050</x:v>
      </x:c>
      <x:c r="F34" s="1" t="str">
        <x:v>Occupied</x:v>
      </x:c>
      <x:c r="G34" s="9" t="n">
        <x:v>2175</x:v>
      </x:c>
      <x:c r="H34" s="9" t="n">
        <x:v>2175</x:v>
      </x:c>
      <x:c r="I34" s="1" t="str">
        <x:v>2026-12-31</x:v>
      </x:c>
    </x:row>
    <x:row r="35" ht="22" customHeight="1">
      <x:c r="C35" s="1" t="str">
        <x:v>129</x:v>
      </x:c>
      <x:c r="D35" s="1" t="str">
        <x:v>Household 129</x:v>
      </x:c>
      <x:c r="E35" s="1" t="n">
        <x:v>1050</x:v>
      </x:c>
      <x:c r="F35" s="1" t="str">
        <x:v>Occupied</x:v>
      </x:c>
      <x:c r="G35" s="9" t="n">
        <x:v>2175</x:v>
      </x:c>
      <x:c r="H35" s="9" t="n">
        <x:v>2175</x:v>
      </x:c>
      <x:c r="I35" s="1" t="str">
        <x:v>2027-01-31</x:v>
      </x:c>
    </x:row>
    <x:row r="36" ht="22" customHeight="1">
      <x:c r="C36" s="1" t="str">
        <x:v>130</x:v>
      </x:c>
      <x:c r="D36" s="1" t="str">
        <x:v>Household 130</x:v>
      </x:c>
      <x:c r="E36" s="1" t="n">
        <x:v>1050</x:v>
      </x:c>
      <x:c r="F36" s="1" t="str">
        <x:v>Occupied</x:v>
      </x:c>
      <x:c r="G36" s="9" t="n">
        <x:v>2175</x:v>
      </x:c>
      <x:c r="H36" s="9" t="n">
        <x:v>2175</x:v>
      </x:c>
      <x:c r="I36" s="1" t="str">
        <x:v>2027-02-28</x:v>
      </x:c>
    </x:row>
    <x:row r="37" ht="22" customHeight="1">
      <x:c r="C37" s="1" t="str">
        <x:v>131</x:v>
      </x:c>
      <x:c r="D37" s="1" t="str">
        <x:v>Household 131</x:v>
      </x:c>
      <x:c r="E37" s="1" t="n">
        <x:v>1050</x:v>
      </x:c>
      <x:c r="F37" s="1" t="str">
        <x:v>Occupied</x:v>
      </x:c>
      <x:c r="G37" s="9" t="n">
        <x:v>2175</x:v>
      </x:c>
      <x:c r="H37" s="9" t="n">
        <x:v>2175</x:v>
      </x:c>
      <x:c r="I37" s="1" t="str">
        <x:v>2027-03-31</x:v>
      </x:c>
    </x:row>
    <x:row r="38" ht="22" customHeight="1">
      <x:c r="C38" s="1" t="str">
        <x:v>132</x:v>
      </x:c>
      <x:c r="D38" s="1" t="str">
        <x:v>Household 132</x:v>
      </x:c>
      <x:c r="E38" s="1" t="n">
        <x:v>1050</x:v>
      </x:c>
      <x:c r="F38" s="1" t="str">
        <x:v>Occupied</x:v>
      </x:c>
      <x:c r="G38" s="9" t="n">
        <x:v>2175</x:v>
      </x:c>
      <x:c r="H38" s="9" t="n">
        <x:v>2175</x:v>
      </x:c>
      <x:c r="I38" s="1" t="str">
        <x:v>2027-04-30</x:v>
      </x:c>
    </x:row>
    <x:row r="39" ht="22" customHeight="1">
      <x:c r="C39" s="1" t="str">
        <x:v>133</x:v>
      </x:c>
      <x:c r="D39" s="1" t="str">
        <x:v>Household 133</x:v>
      </x:c>
      <x:c r="E39" s="1" t="n">
        <x:v>1050</x:v>
      </x:c>
      <x:c r="F39" s="1" t="str">
        <x:v>Occupied</x:v>
      </x:c>
      <x:c r="G39" s="9" t="n">
        <x:v>2175</x:v>
      </x:c>
      <x:c r="H39" s="9" t="n">
        <x:v>2175</x:v>
      </x:c>
      <x:c r="I39" s="1" t="str">
        <x:v>2027-05-31</x:v>
      </x:c>
    </x:row>
    <x:row r="40" ht="22" customHeight="1">
      <x:c r="C40" s="1" t="str">
        <x:v>134</x:v>
      </x:c>
      <x:c r="D40" s="1" t="str">
        <x:v>Household 134</x:v>
      </x:c>
      <x:c r="E40" s="1" t="n">
        <x:v>1050</x:v>
      </x:c>
      <x:c r="F40" s="1" t="str">
        <x:v>Occupied</x:v>
      </x:c>
      <x:c r="G40" s="9" t="n">
        <x:v>2175</x:v>
      </x:c>
      <x:c r="H40" s="9" t="n">
        <x:v>2175</x:v>
      </x:c>
      <x:c r="I40" s="1" t="str">
        <x:v>2027-06-30</x:v>
      </x:c>
    </x:row>
    <x:row r="41" ht="22" customHeight="1">
      <x:c r="C41" s="1" t="str">
        <x:v>135</x:v>
      </x:c>
      <x:c r="D41" s="1" t="str">
        <x:v>Household 135</x:v>
      </x:c>
      <x:c r="E41" s="1" t="n">
        <x:v>1050</x:v>
      </x:c>
      <x:c r="F41" s="1" t="str">
        <x:v>Occupied</x:v>
      </x:c>
      <x:c r="G41" s="9" t="n">
        <x:v>2175</x:v>
      </x:c>
      <x:c r="H41" s="9" t="n">
        <x:v>2175</x:v>
      </x:c>
      <x:c r="I41" s="1" t="str">
        <x:v>2027-07-31</x:v>
      </x:c>
    </x:row>
    <x:row r="42" ht="22" customHeight="1">
      <x:c r="C42" s="1" t="str">
        <x:v>136</x:v>
      </x:c>
      <x:c r="D42" s="1" t="str">
        <x:v>Vacant</x:v>
      </x:c>
      <x:c r="E42" s="1" t="n">
        <x:v>1050</x:v>
      </x:c>
      <x:c r="F42" s="1" t="str">
        <x:v>Vacant</x:v>
      </x:c>
      <x:c r="G42" s="9"/>
      <x:c r="H42" s="9" t="n">
        <x:v>2175</x:v>
      </x:c>
      <x:c r="I42" s="1"/>
    </x:row>
    <x:row r="45" ht="36" customHeight="1">
      <x:c r="C45" s="17" t="str">
        <x:v>Blank contractual rent means no current rent for vacant premises. Market rent is not collected income.</x:v>
      </x:c>
    </x:row>
    <x:row r="47" ht="36" customHeight="1">
      <x:c r="C47" s="17" t="str">
        <x:v>Review executed lease evidence for premises 101; no option exercise notice is included.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7" hidden="0" customWidth="1"/>
  </x:cols>
  <x:sheetData>
    <x:row r="2" ht="27" customHeight="1">
      <x:c r="C2" s="2" t="str">
        <x:v>Historical T12 | September 2025 - August 2026</x:v>
      </x:c>
    </x:row>
    <x:row r="6" ht="25" customHeight="1">
      <x:c r="C6" s="6" t="str">
        <x:v>Account</x:v>
      </x:c>
      <x:c r="D6" s="6" t="str">
        <x:v>Sep-25</x:v>
      </x:c>
      <x:c r="E6" s="6" t="str">
        <x:v>Oct-25</x:v>
      </x:c>
      <x:c r="F6" s="6" t="str">
        <x:v>Nov-25</x:v>
      </x:c>
      <x:c r="G6" s="6" t="str">
        <x:v>Dec-25</x:v>
      </x:c>
      <x:c r="H6" s="6" t="str">
        <x:v>Jan-26</x:v>
      </x:c>
      <x:c r="I6" s="6" t="str">
        <x:v>Feb-26</x:v>
      </x:c>
      <x:c r="J6" s="6" t="str">
        <x:v>Mar-26</x:v>
      </x:c>
      <x:c r="K6" s="6" t="str">
        <x:v>Apr-26</x:v>
      </x:c>
      <x:c r="L6" s="6" t="str">
        <x:v>May-26</x:v>
      </x:c>
      <x:c r="M6" s="6" t="str">
        <x:v>Jun-26</x:v>
      </x:c>
      <x:c r="N6" s="6" t="str">
        <x:v>Jul-26</x:v>
      </x:c>
      <x:c r="O6" s="6" t="str">
        <x:v>Aug-26</x:v>
      </x:c>
      <x:c r="P6" s="6" t="str">
        <x:v>Annual</x:v>
      </x:c>
    </x:row>
    <x:row r="7" ht="22" customHeight="1">
      <x:c r="C7" s="1" t="str">
        <x:v>Gross potential base rent</x:v>
      </x:c>
      <x:c r="D7" s="9" t="n">
        <x:v>65800</x:v>
      </x:c>
      <x:c r="E7" s="9" t="n">
        <x:v>67200</x:v>
      </x:c>
      <x:c r="F7" s="9" t="n">
        <x:v>68600</x:v>
      </x:c>
      <x:c r="G7" s="9" t="n">
        <x:v>69300</x:v>
      </x:c>
      <x:c r="H7" s="9" t="n">
        <x:v>70700</x:v>
      </x:c>
      <x:c r="I7" s="9" t="n">
        <x:v>72100</x:v>
      </x:c>
      <x:c r="J7" s="9" t="n">
        <x:v>72800</x:v>
      </x:c>
      <x:c r="K7" s="9" t="n">
        <x:v>74200</x:v>
      </x:c>
      <x:c r="L7" s="9" t="n">
        <x:v>72100</x:v>
      </x:c>
      <x:c r="M7" s="9" t="n">
        <x:v>70700</x:v>
      </x:c>
      <x:c r="N7" s="9" t="n">
        <x:v>68600</x:v>
      </x:c>
      <x:c r="O7" s="9" t="n">
        <x:v>67900</x:v>
      </x:c>
      <x:c r="P7" s="9" t="n">
        <x:f>SUM(D7:O7)</x:f>
        <x:v>840000</x:v>
      </x:c>
    </x:row>
    <x:row r="8" ht="22" customHeight="1">
      <x:c r="C8" s="1" t="str">
        <x:v>Vacancy loss</x:v>
      </x:c>
      <x:c r="D8" s="9" t="n">
        <x:v>-3360</x:v>
      </x:c>
      <x:c r="E8" s="9" t="n">
        <x:v>-3430</x:v>
      </x:c>
      <x:c r="F8" s="9" t="n">
        <x:v>-3465</x:v>
      </x:c>
      <x:c r="G8" s="9" t="n">
        <x:v>-3535</x:v>
      </x:c>
      <x:c r="H8" s="9" t="n">
        <x:v>-3605</x:v>
      </x:c>
      <x:c r="I8" s="9" t="n">
        <x:v>-3640</x:v>
      </x:c>
      <x:c r="J8" s="9" t="n">
        <x:v>-3710</x:v>
      </x:c>
      <x:c r="K8" s="9" t="n">
        <x:v>-3605</x:v>
      </x:c>
      <x:c r="L8" s="9" t="n">
        <x:v>-3535</x:v>
      </x:c>
      <x:c r="M8" s="9" t="n">
        <x:v>-3430</x:v>
      </x:c>
      <x:c r="N8" s="9" t="n">
        <x:v>-3395</x:v>
      </x:c>
      <x:c r="O8" s="9" t="n">
        <x:v>-3290</x:v>
      </x:c>
      <x:c r="P8" s="9" t="n">
        <x:f>SUM(D8:O8)</x:f>
        <x:v>-42000</x:v>
      </x:c>
    </x:row>
    <x:row r="9" ht="22" customHeight="1">
      <x:c r="C9" s="1" t="str">
        <x:v>Concessions</x:v>
      </x:c>
      <x:c r="D9" s="9" t="n">
        <x:v>-980</x:v>
      </x:c>
      <x:c r="E9" s="9" t="n">
        <x:v>-990</x:v>
      </x:c>
      <x:c r="F9" s="9" t="n">
        <x:v>-1010</x:v>
      </x:c>
      <x:c r="G9" s="9" t="n">
        <x:v>-1030</x:v>
      </x:c>
      <x:c r="H9" s="9" t="n">
        <x:v>-1040</x:v>
      </x:c>
      <x:c r="I9" s="9" t="n">
        <x:v>-1060</x:v>
      </x:c>
      <x:c r="J9" s="9" t="n">
        <x:v>-1030</x:v>
      </x:c>
      <x:c r="K9" s="9" t="n">
        <x:v>-1010</x:v>
      </x:c>
      <x:c r="L9" s="9" t="n">
        <x:v>-980</x:v>
      </x:c>
      <x:c r="M9" s="9" t="n">
        <x:v>-970</x:v>
      </x:c>
      <x:c r="N9" s="9" t="n">
        <x:v>-940</x:v>
      </x:c>
      <x:c r="O9" s="9" t="n">
        <x:v>-960</x:v>
      </x:c>
      <x:c r="P9" s="9" t="n">
        <x:f>SUM(D9:O9)</x:f>
        <x:v>-12000</x:v>
      </x:c>
    </x:row>
    <x:row r="10" ht="22" customHeight="1">
      <x:c r="C10" s="1" t="str">
        <x:v>Bad debt</x:v>
      </x:c>
      <x:c r="D10" s="9" t="n">
        <x:v>-371</x:v>
      </x:c>
      <x:c r="E10" s="9" t="n">
        <x:v>-379</x:v>
      </x:c>
      <x:c r="F10" s="9" t="n">
        <x:v>-386</x:v>
      </x:c>
      <x:c r="G10" s="9" t="n">
        <x:v>-390</x:v>
      </x:c>
      <x:c r="H10" s="9" t="n">
        <x:v>-398</x:v>
      </x:c>
      <x:c r="I10" s="9" t="n">
        <x:v>-386</x:v>
      </x:c>
      <x:c r="J10" s="9" t="n">
        <x:v>-379</x:v>
      </x:c>
      <x:c r="K10" s="9" t="n">
        <x:v>-368</x:v>
      </x:c>
      <x:c r="L10" s="9" t="n">
        <x:v>-364</x:v>
      </x:c>
      <x:c r="M10" s="9" t="n">
        <x:v>-352</x:v>
      </x:c>
      <x:c r="N10" s="9" t="n">
        <x:v>-360</x:v>
      </x:c>
      <x:c r="O10" s="9" t="n">
        <x:v>-367</x:v>
      </x:c>
      <x:c r="P10" s="9" t="n">
        <x:f>SUM(D10:O10)</x:f>
        <x:v>-4500</x:v>
      </x:c>
    </x:row>
    <x:row r="11" ht="22" customHeight="1">
      <x:c r="C11" s="1" t="str">
        <x:v>Other income / recoveries</x:v>
      </x:c>
      <x:c r="D11" s="9" t="n">
        <x:v>3333</x:v>
      </x:c>
      <x:c r="E11" s="9" t="n">
        <x:v>3399</x:v>
      </x:c>
      <x:c r="F11" s="9" t="n">
        <x:v>3432</x:v>
      </x:c>
      <x:c r="G11" s="9" t="n">
        <x:v>3498</x:v>
      </x:c>
      <x:c r="H11" s="9" t="n">
        <x:v>3399</x:v>
      </x:c>
      <x:c r="I11" s="9" t="n">
        <x:v>3333</x:v>
      </x:c>
      <x:c r="J11" s="9" t="n">
        <x:v>3234</x:v>
      </x:c>
      <x:c r="K11" s="9" t="n">
        <x:v>3201</x:v>
      </x:c>
      <x:c r="L11" s="9" t="n">
        <x:v>3102</x:v>
      </x:c>
      <x:c r="M11" s="9" t="n">
        <x:v>3168</x:v>
      </x:c>
      <x:c r="N11" s="9" t="n">
        <x:v>3234</x:v>
      </x:c>
      <x:c r="O11" s="9" t="n">
        <x:v>3267</x:v>
      </x:c>
      <x:c r="P11" s="9" t="n">
        <x:f>SUM(D11:O11)</x:f>
        <x:v>39600</x:v>
      </x:c>
    </x:row>
    <x:row r="12" ht="22" customHeight="1">
      <x:c r="C12" s="1" t="str">
        <x:v>Real estate taxes</x:v>
      </x:c>
      <x:c r="D12" s="9" t="n">
        <x:v>9270</x:v>
      </x:c>
      <x:c r="E12" s="9" t="n">
        <x:v>9360</x:v>
      </x:c>
      <x:c r="F12" s="9" t="n">
        <x:v>9540</x:v>
      </x:c>
      <x:c r="G12" s="9" t="n">
        <x:v>9270</x:v>
      </x:c>
      <x:c r="H12" s="9" t="n">
        <x:v>9090</x:v>
      </x:c>
      <x:c r="I12" s="9" t="n">
        <x:v>8820</x:v>
      </x:c>
      <x:c r="J12" s="9" t="n">
        <x:v>8730</x:v>
      </x:c>
      <x:c r="K12" s="9" t="n">
        <x:v>8460</x:v>
      </x:c>
      <x:c r="L12" s="9" t="n">
        <x:v>8640</x:v>
      </x:c>
      <x:c r="M12" s="9" t="n">
        <x:v>8820</x:v>
      </x:c>
      <x:c r="N12" s="9" t="n">
        <x:v>8910</x:v>
      </x:c>
      <x:c r="O12" s="9" t="n">
        <x:v>9090</x:v>
      </x:c>
      <x:c r="P12" s="9" t="n">
        <x:f>SUM(D12:O12)</x:f>
        <x:v>108000</x:v>
      </x:c>
    </x:row>
    <x:row r="13" ht="22" customHeight="1">
      <x:c r="C13" s="1" t="str">
        <x:v>Property insurance</x:v>
      </x:c>
      <x:c r="D13" s="9" t="n">
        <x:v>2704</x:v>
      </x:c>
      <x:c r="E13" s="9" t="n">
        <x:v>2756</x:v>
      </x:c>
      <x:c r="F13" s="9" t="n">
        <x:v>2678</x:v>
      </x:c>
      <x:c r="G13" s="9" t="n">
        <x:v>2626</x:v>
      </x:c>
      <x:c r="H13" s="9" t="n">
        <x:v>2548</x:v>
      </x:c>
      <x:c r="I13" s="9" t="n">
        <x:v>2522</x:v>
      </x:c>
      <x:c r="J13" s="9" t="n">
        <x:v>2444</x:v>
      </x:c>
      <x:c r="K13" s="9" t="n">
        <x:v>2496</x:v>
      </x:c>
      <x:c r="L13" s="9" t="n">
        <x:v>2548</x:v>
      </x:c>
      <x:c r="M13" s="9" t="n">
        <x:v>2574</x:v>
      </x:c>
      <x:c r="N13" s="9" t="n">
        <x:v>2626</x:v>
      </x:c>
      <x:c r="O13" s="9" t="n">
        <x:v>2678</x:v>
      </x:c>
      <x:c r="P13" s="9" t="n">
        <x:f>SUM(D13:O13)</x:f>
        <x:v>31200</x:v>
      </x:c>
    </x:row>
    <x:row r="14" ht="22" customHeight="1">
      <x:c r="C14" s="1" t="str">
        <x:v>Utilities</x:v>
      </x:c>
      <x:c r="D14" s="9" t="n">
        <x:v>2544</x:v>
      </x:c>
      <x:c r="E14" s="9" t="n">
        <x:v>2472</x:v>
      </x:c>
      <x:c r="F14" s="9" t="n">
        <x:v>2424</x:v>
      </x:c>
      <x:c r="G14" s="9" t="n">
        <x:v>2352</x:v>
      </x:c>
      <x:c r="H14" s="9" t="n">
        <x:v>2328</x:v>
      </x:c>
      <x:c r="I14" s="9" t="n">
        <x:v>2256</x:v>
      </x:c>
      <x:c r="J14" s="9" t="n">
        <x:v>2304</x:v>
      </x:c>
      <x:c r="K14" s="9" t="n">
        <x:v>2352</x:v>
      </x:c>
      <x:c r="L14" s="9" t="n">
        <x:v>2376</x:v>
      </x:c>
      <x:c r="M14" s="9" t="n">
        <x:v>2424</x:v>
      </x:c>
      <x:c r="N14" s="9" t="n">
        <x:v>2472</x:v>
      </x:c>
      <x:c r="O14" s="9" t="n">
        <x:v>2496</x:v>
      </x:c>
      <x:c r="P14" s="9" t="n">
        <x:f>SUM(D14:O14)</x:f>
        <x:v>28800</x:v>
      </x:c>
    </x:row>
    <x:row r="15" ht="22" customHeight="1">
      <x:c r="C15" s="1" t="str">
        <x:v>Repairs and maintenance</x:v>
      </x:c>
      <x:c r="D15" s="9" t="n">
        <x:v>3966</x:v>
      </x:c>
      <x:c r="E15" s="9" t="n">
        <x:v>3888</x:v>
      </x:c>
      <x:c r="F15" s="9" t="n">
        <x:v>3773</x:v>
      </x:c>
      <x:c r="G15" s="9" t="n">
        <x:v>3734</x:v>
      </x:c>
      <x:c r="H15" s="9" t="n">
        <x:v>3619</x:v>
      </x:c>
      <x:c r="I15" s="9" t="n">
        <x:v>3696</x:v>
      </x:c>
      <x:c r="J15" s="9" t="n">
        <x:v>3773</x:v>
      </x:c>
      <x:c r="K15" s="9" t="n">
        <x:v>3812</x:v>
      </x:c>
      <x:c r="L15" s="9" t="n">
        <x:v>3888</x:v>
      </x:c>
      <x:c r="M15" s="9" t="n">
        <x:v>3966</x:v>
      </x:c>
      <x:c r="N15" s="9" t="n">
        <x:v>4004</x:v>
      </x:c>
      <x:c r="O15" s="9" t="n">
        <x:v>4081</x:v>
      </x:c>
      <x:c r="P15" s="9" t="n">
        <x:f>SUM(D15:O15)</x:f>
        <x:v>46200</x:v>
      </x:c>
    </x:row>
    <x:row r="16" ht="22" customHeight="1">
      <x:c r="C16" s="1" t="str">
        <x:v>Payroll / contract labor</x:v>
      </x:c>
      <x:c r="D16" s="9" t="n">
        <x:v>3535</x:v>
      </x:c>
      <x:c r="E16" s="9" t="n">
        <x:v>3430</x:v>
      </x:c>
      <x:c r="F16" s="9" t="n">
        <x:v>3395</x:v>
      </x:c>
      <x:c r="G16" s="9" t="n">
        <x:v>3290</x:v>
      </x:c>
      <x:c r="H16" s="9" t="n">
        <x:v>3360</x:v>
      </x:c>
      <x:c r="I16" s="9" t="n">
        <x:v>3430</x:v>
      </x:c>
      <x:c r="J16" s="9" t="n">
        <x:v>3465</x:v>
      </x:c>
      <x:c r="K16" s="9" t="n">
        <x:v>3535</x:v>
      </x:c>
      <x:c r="L16" s="9" t="n">
        <x:v>3605</x:v>
      </x:c>
      <x:c r="M16" s="9" t="n">
        <x:v>3640</x:v>
      </x:c>
      <x:c r="N16" s="9" t="n">
        <x:v>3710</x:v>
      </x:c>
      <x:c r="O16" s="9" t="n">
        <x:v>3605</x:v>
      </x:c>
      <x:c r="P16" s="9" t="n">
        <x:f>SUM(D16:O16)</x:f>
        <x:v>42000</x:v>
      </x:c>
    </x:row>
    <x:row r="17" ht="22" customHeight="1">
      <x:c r="C17" s="1" t="str">
        <x:v>Administrative / legal</x:v>
      </x:c>
      <x:c r="D17" s="9" t="n">
        <x:v>1764</x:v>
      </x:c>
      <x:c r="E17" s="9" t="n">
        <x:v>1746</x:v>
      </x:c>
      <x:c r="F17" s="9" t="n">
        <x:v>1692</x:v>
      </x:c>
      <x:c r="G17" s="9" t="n">
        <x:v>1728</x:v>
      </x:c>
      <x:c r="H17" s="9" t="n">
        <x:v>1764</x:v>
      </x:c>
      <x:c r="I17" s="9" t="n">
        <x:v>1782</x:v>
      </x:c>
      <x:c r="J17" s="9" t="n">
        <x:v>1818</x:v>
      </x:c>
      <x:c r="K17" s="9" t="n">
        <x:v>1854</x:v>
      </x:c>
      <x:c r="L17" s="9" t="n">
        <x:v>1872</x:v>
      </x:c>
      <x:c r="M17" s="9" t="n">
        <x:v>1908</x:v>
      </x:c>
      <x:c r="N17" s="9" t="n">
        <x:v>1854</x:v>
      </x:c>
      <x:c r="O17" s="9" t="n">
        <x:v>1818</x:v>
      </x:c>
      <x:c r="P17" s="9" t="n">
        <x:f>SUM(D17:O17)</x:f>
        <x:v>21600</x:v>
      </x:c>
    </x:row>
    <x:row r="18" ht="22" customHeight="1">
      <x:c r="C18" s="1" t="str">
        <x:v>Management fee</x:v>
      </x:c>
      <x:c r="D18" s="9" t="n">
        <x:v>2425</x:v>
      </x:c>
      <x:c r="E18" s="9" t="n">
        <x:v>2350</x:v>
      </x:c>
      <x:c r="F18" s="9" t="n">
        <x:v>2400</x:v>
      </x:c>
      <x:c r="G18" s="9" t="n">
        <x:v>2450</x:v>
      </x:c>
      <x:c r="H18" s="9" t="n">
        <x:v>2475</x:v>
      </x:c>
      <x:c r="I18" s="9" t="n">
        <x:v>2525</x:v>
      </x:c>
      <x:c r="J18" s="9" t="n">
        <x:v>2575</x:v>
      </x:c>
      <x:c r="K18" s="9" t="n">
        <x:v>2600</x:v>
      </x:c>
      <x:c r="L18" s="9" t="n">
        <x:v>2650</x:v>
      </x:c>
      <x:c r="M18" s="9" t="n">
        <x:v>2575</x:v>
      </x:c>
      <x:c r="N18" s="9" t="n">
        <x:v>2525</x:v>
      </x:c>
      <x:c r="O18" s="9" t="n">
        <x:v>2450</x:v>
      </x:c>
      <x:c r="P18" s="9" t="n">
        <x:f>SUM(D18:O18)</x:f>
        <x:v>30000</x:v>
      </x:c>
    </x:row>
    <x:row r="19" ht="22" customHeight="1">
      <x:c r="C19" s="1" t="str">
        <x:v>Replacement reserves (below NOI)</x:v>
      </x:c>
      <x:c r="D19" s="9" t="n">
        <x:v>846</x:v>
      </x:c>
      <x:c r="E19" s="9" t="n">
        <x:v>864</x:v>
      </x:c>
      <x:c r="F19" s="9" t="n">
        <x:v>882</x:v>
      </x:c>
      <x:c r="G19" s="9" t="n">
        <x:v>891</x:v>
      </x:c>
      <x:c r="H19" s="9" t="n">
        <x:v>909</x:v>
      </x:c>
      <x:c r="I19" s="9" t="n">
        <x:v>927</x:v>
      </x:c>
      <x:c r="J19" s="9" t="n">
        <x:v>936</x:v>
      </x:c>
      <x:c r="K19" s="9" t="n">
        <x:v>954</x:v>
      </x:c>
      <x:c r="L19" s="9" t="n">
        <x:v>927</x:v>
      </x:c>
      <x:c r="M19" s="9" t="n">
        <x:v>909</x:v>
      </x:c>
      <x:c r="N19" s="9" t="n">
        <x:v>882</x:v>
      </x:c>
      <x:c r="O19" s="9" t="n">
        <x:v>873</x:v>
      </x:c>
      <x:c r="P19" s="9" t="n">
        <x:f>SUM(D19:O19)</x:f>
        <x:v>10800</x:v>
      </x:c>
    </x:row>
    <x:row r="20" ht="22" customHeight="1">
      <x:c r="C20" s="1" t="str">
        <x:v>Capital improvements (below cash flow)</x:v>
      </x:c>
      <x:c r="D20" s="9" t="n">
        <x:v>4960</x:v>
      </x:c>
      <x:c r="E20" s="9" t="n">
        <x:v>5063</x:v>
      </x:c>
      <x:c r="F20" s="9" t="n">
        <x:v>5115</x:v>
      </x:c>
      <x:c r="G20" s="9" t="n">
        <x:v>5218</x:v>
      </x:c>
      <x:c r="H20" s="9" t="n">
        <x:v>5322</x:v>
      </x:c>
      <x:c r="I20" s="9" t="n">
        <x:v>5373</x:v>
      </x:c>
      <x:c r="J20" s="9" t="n">
        <x:v>5477</x:v>
      </x:c>
      <x:c r="K20" s="9" t="n">
        <x:v>5322</x:v>
      </x:c>
      <x:c r="L20" s="9" t="n">
        <x:v>5218</x:v>
      </x:c>
      <x:c r="M20" s="9" t="n">
        <x:v>5063</x:v>
      </x:c>
      <x:c r="N20" s="9" t="n">
        <x:v>5012</x:v>
      </x:c>
      <x:c r="O20" s="9" t="n">
        <x:v>4857</x:v>
      </x:c>
      <x:c r="P20" s="9" t="n">
        <x:f>SUM(D20:O20)</x:f>
        <x:v>62000</x:v>
      </x:c>
    </x:row>
    <x:row r="21" ht="22" customHeight="1">
      <x:c r="C21" s="1" t="str">
        <x:v>Loan principal and interest (below cash flow)</x:v>
      </x:c>
      <x:c r="D21" s="9" t="n">
        <x:v>24010</x:v>
      </x:c>
      <x:c r="E21" s="9" t="n">
        <x:v>24255</x:v>
      </x:c>
      <x:c r="F21" s="9" t="n">
        <x:v>24745</x:v>
      </x:c>
      <x:c r="G21" s="9" t="n">
        <x:v>25235</x:v>
      </x:c>
      <x:c r="H21" s="9" t="n">
        <x:v>25480</x:v>
      </x:c>
      <x:c r="I21" s="9" t="n">
        <x:v>25970</x:v>
      </x:c>
      <x:c r="J21" s="9" t="n">
        <x:v>25235</x:v>
      </x:c>
      <x:c r="K21" s="9" t="n">
        <x:v>24745</x:v>
      </x:c>
      <x:c r="L21" s="9" t="n">
        <x:v>24010</x:v>
      </x:c>
      <x:c r="M21" s="9" t="n">
        <x:v>23765</x:v>
      </x:c>
      <x:c r="N21" s="9" t="n">
        <x:v>23030</x:v>
      </x:c>
      <x:c r="O21" s="9" t="n">
        <x:v>23520</x:v>
      </x:c>
      <x:c r="P21" s="9" t="n">
        <x:f>SUM(D21:O21)</x:f>
        <x:v>294000</x:v>
      </x:c>
    </x:row>
    <x:row r="22" ht="22" customHeight="1">
      <x:c r="C22" s="1" t="str">
        <x:v>Depreciation (noncash)</x:v>
      </x:c>
      <x:c r="D22" s="9" t="n">
        <x:v>14850</x:v>
      </x:c>
      <x:c r="E22" s="9" t="n">
        <x:v>15150</x:v>
      </x:c>
      <x:c r="F22" s="9" t="n">
        <x:v>15450</x:v>
      </x:c>
      <x:c r="G22" s="9" t="n">
        <x:v>15600</x:v>
      </x:c>
      <x:c r="H22" s="9" t="n">
        <x:v>15900</x:v>
      </x:c>
      <x:c r="I22" s="9" t="n">
        <x:v>15450</x:v>
      </x:c>
      <x:c r="J22" s="9" t="n">
        <x:v>15150</x:v>
      </x:c>
      <x:c r="K22" s="9" t="n">
        <x:v>14700</x:v>
      </x:c>
      <x:c r="L22" s="9" t="n">
        <x:v>14550</x:v>
      </x:c>
      <x:c r="M22" s="9" t="n">
        <x:v>14100</x:v>
      </x:c>
      <x:c r="N22" s="9" t="n">
        <x:v>14400</x:v>
      </x:c>
      <x:c r="O22" s="9" t="n">
        <x:v>14700</x:v>
      </x:c>
      <x:c r="P22" s="9" t="n">
        <x:f>SUM(D22:O22)</x:f>
        <x:v>180000</x:v>
      </x:c>
    </x:row>
  </x:sheetData>
  <x:pageMargins left="0.7" right="0.7" top="0.75" bottom="0.75" header="0.3" footer="0.3"/>
</x:worksheet>
</file>