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e7a890502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3f4d81b4b91c46cd"/>
    <x:sheet xmlns:r="http://schemas.openxmlformats.org/officeDocument/2006/relationships" name="Rent Roll" sheetId="2" r:id="R4f92ade5b28744aa"/>
    <x:sheet xmlns:r="http://schemas.openxmlformats.org/officeDocument/2006/relationships" name="T12 Historical" sheetId="3" r:id="R1f5a9bf96eaa42be"/>
    <x:sheet xmlns:r="http://schemas.openxmlformats.org/officeDocument/2006/relationships" name="Underwriting" sheetId="4" r:id="R9e3e2b8d4ae142dc"/>
    <x:sheet xmlns:r="http://schemas.openxmlformats.org/officeDocument/2006/relationships" name="Loan Sizing" sheetId="5" r:id="R1815b4d0c816441e"/>
    <x:sheet xmlns:r="http://schemas.openxmlformats.org/officeDocument/2006/relationships" name="Sources and Uses" sheetId="6" r:id="R6d751c74c659480a"/>
    <x:sheet xmlns:r="http://schemas.openxmlformats.org/officeDocument/2006/relationships" name="Sensitivity" sheetId="7" r:id="Rd05b2e043ca7490b"/>
    <x:sheet xmlns:r="http://schemas.openxmlformats.org/officeDocument/2006/relationships" name="Map" sheetId="8" r:id="Rf0c99d43b985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.00"/>
    <x:numFmt numFmtId="204" formatCode="0.0%"/>
    <x:numFmt numFmtId="205" formatCode="#,##0.00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6" fontId="1" fillId="0" borderId="0" xfId="0" applyNumberFormat="1" applyFont="1" applyFill="1" applyBorder="1"/>
    <x:xf numFmtId="207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206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9d309c5da41bc" /><Relationship Type="http://schemas.openxmlformats.org/officeDocument/2006/relationships/theme" Target="/xl/theme/theme1.xml" Id="R81d3ca1696ce43e5" /><Relationship Type="http://schemas.openxmlformats.org/officeDocument/2006/relationships/sharedStrings" Target="/xl/sharedStrings.xml" Id="Re23850aea9c64f0e" /><Relationship Type="http://schemas.openxmlformats.org/officeDocument/2006/relationships/worksheet" Target="/xl/worksheets/sheet1.xml" Id="R3f4d81b4b91c46cd" /><Relationship Type="http://schemas.openxmlformats.org/officeDocument/2006/relationships/worksheet" Target="/xl/worksheets/sheet2.xml" Id="R4f92ade5b28744aa" /><Relationship Type="http://schemas.openxmlformats.org/officeDocument/2006/relationships/worksheet" Target="/xl/worksheets/sheet3.xml" Id="R1f5a9bf96eaa42be" /><Relationship Type="http://schemas.openxmlformats.org/officeDocument/2006/relationships/worksheet" Target="/xl/worksheets/sheet4.xml" Id="R9e3e2b8d4ae142dc" /><Relationship Type="http://schemas.openxmlformats.org/officeDocument/2006/relationships/worksheet" Target="/xl/worksheets/sheet5.xml" Id="R1815b4d0c816441e" /><Relationship Type="http://schemas.openxmlformats.org/officeDocument/2006/relationships/worksheet" Target="/xl/worksheets/sheet6.xml" Id="R6d751c74c659480a" /><Relationship Type="http://schemas.openxmlformats.org/officeDocument/2006/relationships/worksheet" Target="/xl/worksheets/sheet7.xml" Id="Rd05b2e043ca7490b" /><Relationship Type="http://schemas.openxmlformats.org/officeDocument/2006/relationships/worksheet" Target="/xl/worksheets/sheet8.xml" Id="Rf0c99d43b985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62" hidden="0" customWidth="1"/>
  </x:cols>
  <x:sheetData>
    <x:row r="1" ht="27" customHeight="1">
      <x:c r="A1" s="2" t="str">
        <x:v>Market Row | Editable underwriting assumptions (as of 2026-08-31)</x:v>
      </x:c>
    </x:row>
    <x:row r="3" ht="25" customHeight="1">
      <x:c r="A3" s="4" t="str">
        <x:v>Item</x:v>
      </x:c>
      <x:c r="B3" s="4" t="str">
        <x:v>Value</x:v>
      </x:c>
      <x:c r="C3" s="4" t="str">
        <x:v>Source / note</x:v>
      </x:c>
    </x:row>
    <x:row r="4" ht="36" customHeight="1">
      <x:c r="A4" s="1" t="str">
        <x:v>Total rentable SF</x:v>
      </x:c>
      <x:c r="B4" s="6" t="n">
        <x:v>23000</x:v>
      </x:c>
      <x:c r="C4" s="8" t="str">
        <x:v>Rent-Roll.xlsx rows 7-14 (sum of Area SF)</x:v>
      </x:c>
    </x:row>
    <x:row r="5" ht="36" customHeight="1">
      <x:c r="A5" s="1" t="str">
        <x:v>Gross potential base rent (annual, underwritten)</x:v>
      </x:c>
      <x:c r="B5" s="6" t="n">
        <x:v>657600</x:v>
      </x:c>
      <x:c r="C5" s="8" t="str">
        <x:v>Property-and-Plan.pdf p.2 - supplied scenario, not from T12</x:v>
      </x:c>
    </x:row>
    <x:row r="6" ht="36" customHeight="1">
      <x:c r="A6" s="1" t="str">
        <x:v>Combined revenue loss % of gross potential rent</x:v>
      </x:c>
      <x:c r="B6" s="9" t="n">
        <x:v>0.06</x:v>
      </x:c>
      <x:c r="C6" s="8" t="str">
        <x:v>Property-and-Plan.pdf p.2 - vacancy, concessions, bad debt</x:v>
      </x:c>
    </x:row>
    <x:row r="7" ht="36" customHeight="1">
      <x:c r="A7" s="1" t="str">
        <x:v>Other income / recoveries (annual, underwritten)</x:v>
      </x:c>
      <x:c r="B7" s="6" t="n">
        <x:v>150000</x:v>
      </x:c>
      <x:c r="C7" s="8" t="str">
        <x:v>Property-and-Plan.pdf p.2 - added after revenue loss</x:v>
      </x:c>
    </x:row>
    <x:row r="8" ht="36" customHeight="1">
      <x:c r="A8" s="1" t="str">
        <x:v>Capitalization rate</x:v>
      </x:c>
      <x:c r="B8" s="10" t="n">
        <x:v>0.065</x:v>
      </x:c>
      <x:c r="C8" s="8" t="str">
        <x:v>Lender-Terms.pdf p.1 - NOI before reserves / 6.50%</x:v>
      </x:c>
    </x:row>
    <x:row r="9" ht="36" customHeight="1">
      <x:c r="A9" s="1" t="str">
        <x:v>Contract rate (annual, fixed)</x:v>
      </x:c>
      <x:c r="B9" s="10" t="n">
        <x:v>0.0625</x:v>
      </x:c>
      <x:c r="C9" s="8" t="str">
        <x:v>Lender-Terms.pdf p.1</x:v>
      </x:c>
    </x:row>
    <x:row r="10" ht="36" customHeight="1">
      <x:c r="A10" s="1" t="str">
        <x:v>Sizing rate floor</x:v>
      </x:c>
      <x:c r="B10" s="10" t="n">
        <x:v>0.065</x:v>
      </x:c>
      <x:c r="C10" s="8" t="str">
        <x:v>Lender-Terms.pdf p.1 - greater of contract rate and 6.50%</x:v>
      </x:c>
    </x:row>
    <x:row r="11" ht="36" customHeight="1">
      <x:c r="A11" s="1" t="str">
        <x:v>Sizing rate increment (stress lever, e.g. 0.01 = +100 bps)</x:v>
      </x:c>
      <x:c r="B11" s="10" t="n">
        <x:v>0</x:v>
      </x:c>
      <x:c r="C11" s="8" t="str">
        <x:v>Reviewer lever; base case 0</x:v>
      </x:c>
    </x:row>
    <x:row r="12" ht="22" customHeight="1">
      <x:c r="A12" s="12" t="str">
        <x:v>Sizing rate used = MAX(contract, floor) + increment</x:v>
      </x:c>
      <x:c r="B12" s="15" t="n">
        <x:f>MAX(B9,B10)+B11</x:f>
        <x:v>0.065</x:v>
      </x:c>
    </x:row>
    <x:row r="13" ht="36" customHeight="1">
      <x:c r="A13" s="1" t="str">
        <x:v>Amortization (months)</x:v>
      </x:c>
      <x:c r="B13" s="6" t="n">
        <x:v>300</x:v>
      </x:c>
      <x:c r="C13" s="8" t="str">
        <x:v>Lender-Terms.pdf p.1 - 25 years, monthly</x:v>
      </x:c>
    </x:row>
    <x:row r="14" ht="36" customHeight="1">
      <x:c r="A14" s="1" t="str">
        <x:v>Interest-only period (months)</x:v>
      </x:c>
      <x:c r="B14" s="6" t="n">
        <x:v>0</x:v>
      </x:c>
      <x:c r="C14" s="8" t="str">
        <x:v>Lender-Terms.pdf p.1 - 0 months</x:v>
      </x:c>
    </x:row>
    <x:row r="15" ht="22" customHeight="1">
      <x:c r="A15" s="1" t="str">
        <x:v>Maximum LTV</x:v>
      </x:c>
      <x:c r="B15" s="9" t="n">
        <x:v>0.65</x:v>
      </x:c>
    </x:row>
    <x:row r="16" ht="22" customHeight="1">
      <x:c r="A16" s="1" t="str">
        <x:v>Minimum DSCR (NCF after reserves)</x:v>
      </x:c>
      <x:c r="B16" s="16" t="n">
        <x:v>1.25</x:v>
      </x:c>
    </x:row>
    <x:row r="17" ht="22" customHeight="1">
      <x:c r="A17" s="1" t="str">
        <x:v>Minimum debt yield (NOI before reserves)</x:v>
      </x:c>
      <x:c r="B17" s="9" t="n">
        <x:v>0.09</x:v>
      </x:c>
    </x:row>
    <x:row r="18" ht="22" customHeight="1">
      <x:c r="A18" s="1" t="str">
        <x:v>Origination fee % of initial principal</x:v>
      </x:c>
      <x:c r="B18" s="9" t="n">
        <x:v>0.01</x:v>
      </x:c>
    </x:row>
    <x:row r="19" ht="36" customHeight="1">
      <x:c r="A19" s="1" t="str">
        <x:v>Fixed closing costs</x:v>
      </x:c>
      <x:c r="B19" s="6" t="n">
        <x:v>48000</x:v>
      </x:c>
      <x:c r="C19" s="8" t="str">
        <x:v>Property-and-Plan.pdf p.1</x:v>
      </x:c>
    </x:row>
    <x:row r="20" ht="36" customHeight="1">
      <x:c r="A20" s="1" t="str">
        <x:v>Existing debt payoff</x:v>
      </x:c>
      <x:c r="B20" s="6" t="n">
        <x:v>3400000</x:v>
      </x:c>
      <x:c r="C20" s="8" t="str">
        <x:v>Property-and-Plan.pdf p.1</x:v>
      </x:c>
    </x:row>
    <x:row r="21" ht="22" customHeight="1">
      <x:c r="A21" s="1" t="str">
        <x:v>Replacement reserves per SF per year</x:v>
      </x:c>
      <x:c r="B21" s="16" t="n">
        <x:v>0.2</x:v>
      </x:c>
    </x:row>
    <x:row r="22" ht="22" customHeight="1">
      <x:c r="A22" s="1" t="str">
        <x:v>Management fee % of underwritten EGI (minimum test)</x:v>
      </x:c>
      <x:c r="B22" s="9" t="n">
        <x:v>0.04</x:v>
      </x:c>
    </x:row>
    <x:row r="23" ht="22" customHeight="1">
      <x:c r="A23" s="1" t="str">
        <x:v>T12 actual management fee (floor for UW fee)</x:v>
      </x:c>
      <x:c r="B23" s="6" t="n">
        <x:v>24000</x:v>
      </x:c>
    </x:row>
    <x:row r="24" ht="22" customHeight="1">
      <x:c r="A24" s="1" t="str">
        <x:v>Cap-rate sensitivity increment</x:v>
      </x:c>
      <x:c r="B24" s="10" t="n">
        <x:v>0.005</x:v>
      </x:c>
    </x:row>
    <x:row r="25" ht="22" customHeight="1">
      <x:c r="A25" s="1" t="str">
        <x:v>EGI stress factor (0.95 = EGI -5%)</x:v>
      </x:c>
      <x:c r="B25" s="16" t="n">
        <x:v>0.95</x:v>
      </x:c>
    </x:row>
    <x:row r="27" ht="25" customHeight="1">
      <x:c r="A27" s="4" t="str">
        <x:v>Underwritten operating expenses (before reserves)</x:v>
      </x:c>
      <x:c r="B27" s="4" t="str">
        <x:v>Annual</x:v>
      </x:c>
      <x:c r="C27" s="4" t="str">
        <x:v>Treatment</x:v>
      </x:c>
    </x:row>
    <x:row r="28" ht="36" customHeight="1">
      <x:c r="A28" s="1" t="str">
        <x:v>Real estate taxes</x:v>
      </x:c>
      <x:c r="B28" s="6" t="n">
        <x:v>90000</x:v>
      </x:c>
      <x:c r="C28" s="8" t="str">
        <x:v>Plan p.2: T12 $86,400 stepped to $90,000</x:v>
      </x:c>
    </x:row>
    <x:row r="29" ht="36" customHeight="1">
      <x:c r="A29" s="1" t="str">
        <x:v>Property insurance</x:v>
      </x:c>
      <x:c r="B29" s="6" t="n">
        <x:v>27600</x:v>
      </x:c>
      <x:c r="C29" s="8" t="str">
        <x:v>Plan p.2: renewal allowance in scenario (T12 $25,200)</x:v>
      </x:c>
    </x:row>
    <x:row r="30" ht="36" customHeight="1">
      <x:c r="A30" s="1" t="str">
        <x:v>Utilities</x:v>
      </x:c>
      <x:c r="B30" s="6" t="n">
        <x:v>19200</x:v>
      </x:c>
      <x:c r="C30" s="8" t="str">
        <x:v>Plan p.2: T12 actual</x:v>
      </x:c>
    </x:row>
    <x:row r="31" ht="36" customHeight="1">
      <x:c r="A31" s="1" t="str">
        <x:v>Repairs and maintenance</x:v>
      </x:c>
      <x:c r="B31" s="6" t="n">
        <x:v>24000</x:v>
      </x:c>
      <x:c r="C31" s="8" t="str">
        <x:v>Plan p.2: T12 $28,800 less $4,800 one-time casualty cleanup</x:v>
      </x:c>
    </x:row>
    <x:row r="32" ht="36" customHeight="1">
      <x:c r="A32" s="1" t="str">
        <x:v>Payroll / contract labor</x:v>
      </x:c>
      <x:c r="B32" s="6" t="n">
        <x:v>18000</x:v>
      </x:c>
      <x:c r="C32" s="8" t="str">
        <x:v>Plan p.2: T12 actual</x:v>
      </x:c>
    </x:row>
    <x:row r="33" ht="36" customHeight="1">
      <x:c r="A33" s="1" t="str">
        <x:v>Administrative / legal</x:v>
      </x:c>
      <x:c r="B33" s="6" t="n">
        <x:v>14400</x:v>
      </x:c>
      <x:c r="C33" s="8" t="str">
        <x:v>Plan p.2: T12 actual</x:v>
      </x:c>
    </x:row>
    <x:row r="34" ht="22" customHeight="1">
      <x:c r="A34" s="12" t="str">
        <x:v>Subtotal, expenses other than management fee</x:v>
      </x:c>
      <x:c r="B34" s="19" t="n">
        <x:f>SUM(B28:B33)</x:f>
        <x:v>193200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2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7" customHeight="1">
      <x:c r="A1" s="2" t="str">
        <x:v>Market Row | Rent roll as of 2026-08-31 reconciled to executed lease amendment</x:v>
      </x:c>
    </x:row>
    <x:row r="3" ht="25" customHeight="1">
      <x:c r="A3" s="4" t="str">
        <x:v>Unit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Rent roll monthly base</x:v>
      </x:c>
      <x:c r="F3" s="4" t="str">
        <x:v>Amendment adjustment</x:v>
      </x:c>
      <x:c r="G3" s="4" t="str">
        <x:v>Effective monthly base</x:v>
      </x:c>
      <x:c r="H3" s="4" t="str">
        <x:v>Authoritative expiry</x:v>
      </x:c>
    </x:row>
    <x:row r="4" ht="22" customHeight="1">
      <x:c r="A4" s="1" t="str">
        <x:v>101</x:v>
      </x:c>
      <x:c r="B4" s="1" t="str">
        <x:v>Tenant A LLC</x:v>
      </x:c>
      <x:c r="C4" s="17" t="n">
        <x:v>1800</x:v>
      </x:c>
      <x:c r="D4" s="1" t="str">
        <x:v>Occupied</x:v>
      </x:c>
      <x:c r="E4" s="17" t="n">
        <x:v>7000</x:v>
      </x:c>
      <x:c r="F4" s="17" t="n">
        <x:v>500</x:v>
      </x:c>
      <x:c r="G4" s="17" t="n">
        <x:f>E4+F4</x:f>
        <x:v>7500</x:v>
      </x:c>
      <x:c r="H4" s="1" t="str">
        <x:v>2031-08-31</x:v>
      </x:c>
    </x:row>
    <x:row r="5" ht="22" customHeight="1">
      <x:c r="A5" s="1" t="str">
        <x:v>102</x:v>
      </x:c>
      <x:c r="B5" s="1" t="str">
        <x:v>Tenant B LLC</x:v>
      </x:c>
      <x:c r="C5" s="17" t="n">
        <x:v>2200</x:v>
      </x:c>
      <x:c r="D5" s="1" t="str">
        <x:v>Occupied</x:v>
      </x:c>
      <x:c r="E5" s="17" t="n">
        <x:v>5500</x:v>
      </x:c>
      <x:c r="F5" s="17" t="n">
        <x:v>0</x:v>
      </x:c>
      <x:c r="G5" s="17" t="n">
        <x:f>E5+F5</x:f>
        <x:v>5500</x:v>
      </x:c>
      <x:c r="H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7" t="n">
        <x:v>2500</x:v>
      </x:c>
      <x:c r="D6" s="1" t="str">
        <x:v>Occupied</x:v>
      </x:c>
      <x:c r="E6" s="17" t="n">
        <x:v>6000</x:v>
      </x:c>
      <x:c r="F6" s="17" t="n">
        <x:v>0</x:v>
      </x:c>
      <x:c r="G6" s="17" t="n">
        <x:f>E6+F6</x:f>
        <x:v>6000</x:v>
      </x:c>
      <x:c r="H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7" t="n">
        <x:v>3200</x:v>
      </x:c>
      <x:c r="D7" s="1" t="str">
        <x:v>Occupied</x:v>
      </x:c>
      <x:c r="E7" s="17" t="n">
        <x:v>7200</x:v>
      </x:c>
      <x:c r="F7" s="17" t="n">
        <x:v>0</x:v>
      </x:c>
      <x:c r="G7" s="17" t="n">
        <x:f>E7+F7</x:f>
        <x:v>7200</x:v>
      </x:c>
      <x:c r="H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7" t="n">
        <x:v>4000</x:v>
      </x:c>
      <x:c r="D8" s="1" t="str">
        <x:v>Occupied</x:v>
      </x:c>
      <x:c r="E8" s="17" t="n">
        <x:v>9000</x:v>
      </x:c>
      <x:c r="F8" s="17" t="n">
        <x:v>0</x:v>
      </x:c>
      <x:c r="G8" s="17" t="n">
        <x:f>E8+F8</x:f>
        <x:v>9000</x:v>
      </x:c>
      <x:c r="H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7" t="n">
        <x:v>5000</x:v>
      </x:c>
      <x:c r="D9" s="1" t="str">
        <x:v>Occupied</x:v>
      </x:c>
      <x:c r="E9" s="17" t="n">
        <x:v>10500</x:v>
      </x:c>
      <x:c r="F9" s="17" t="n">
        <x:v>0</x:v>
      </x:c>
      <x:c r="G9" s="17" t="n">
        <x:f>E9+F9</x:f>
        <x:v>10500</x:v>
      </x:c>
      <x:c r="H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7" t="n">
        <x:v>1500</x:v>
      </x:c>
      <x:c r="D10" s="1" t="str">
        <x:v>Occupied</x:v>
      </x:c>
      <x:c r="E10" s="17" t="n">
        <x:v>3400</x:v>
      </x:c>
      <x:c r="F10" s="17" t="n">
        <x:v>0</x:v>
      </x:c>
      <x:c r="G10" s="17" t="n">
        <x:f>E10+F10</x:f>
        <x:v>3400</x:v>
      </x:c>
      <x:c r="H10" s="1" t="str">
        <x:v>2028-08-31</x:v>
      </x:c>
    </x:row>
    <x:row r="11" ht="22" customHeight="1">
      <x:c r="A11" s="1" t="str">
        <x:v>108</x:v>
      </x:c>
      <x:c r="B11" s="1" t="str">
        <x:v>Vacant</x:v>
      </x:c>
      <x:c r="C11" s="17" t="n">
        <x:v>2800</x:v>
      </x:c>
      <x:c r="D11" s="1" t="str">
        <x:v>Vacant</x:v>
      </x:c>
      <x:c r="E11" s="17" t="n">
        <x:v>0</x:v>
      </x:c>
      <x:c r="F11" s="17" t="n">
        <x:v>0</x:v>
      </x:c>
      <x:c r="G11" s="17" t="n">
        <x:f>E11+F11</x:f>
        <x:v>0</x:v>
      </x:c>
      <x:c r="H11" s="1" t="str">
        <x:v>n/a</x:v>
      </x:c>
    </x:row>
    <x:row r="12" ht="22" customHeight="1">
      <x:c r="A12" s="12" t="str">
        <x:v>Total</x:v>
      </x:c>
      <x:c r="C12" s="19" t="n">
        <x:f>SUM(C4:C11)</x:f>
        <x:v>23000</x:v>
      </x:c>
      <x:c r="E12" s="19" t="n">
        <x:f>SUM(E4:E11)</x:f>
        <x:v>48600</x:v>
      </x:c>
      <x:c r="F12" s="19" t="n">
        <x:f>SUM(F4:F11)</x:f>
        <x:v>500</x:v>
      </x:c>
      <x:c r="G12" s="19" t="n">
        <x:f>SUM(G4:G11)</x:f>
        <x:v>49100</x:v>
      </x:c>
    </x:row>
    <x:row r="14" ht="25" customHeight="1">
      <x:c r="A14" s="4" t="str">
        <x:v>Occupancy metrics</x:v>
      </x:c>
    </x:row>
    <x:row r="15" ht="22" customHeight="1">
      <x:c r="A15" s="1" t="str">
        <x:v>Space count</x:v>
      </x:c>
      <x:c r="B15" s="17" t="n">
        <x:f>COUNTA(A4:A11)</x:f>
        <x:v>8</x:v>
      </x:c>
    </x:row>
    <x:row r="16" ht="22" customHeight="1">
      <x:c r="A16" s="1" t="str">
        <x:v>Occupied count</x:v>
      </x:c>
      <x:c r="B16" s="17" t="n">
        <x:f>COUNTIF(D4:D11,"Occupied")</x:f>
        <x:v>7</x:v>
      </x:c>
    </x:row>
    <x:row r="17" ht="22" customHeight="1">
      <x:c r="A17" s="1" t="str">
        <x:v>Total area SF</x:v>
      </x:c>
      <x:c r="B17" s="17" t="n">
        <x:f>C12</x:f>
        <x:v>23000</x:v>
      </x:c>
    </x:row>
    <x:row r="18" ht="22" customHeight="1">
      <x:c r="A18" s="1" t="str">
        <x:v>Occupied area SF</x:v>
      </x:c>
      <x:c r="B18" s="17" t="n">
        <x:f>SUMIF(D4:D11,"Occupied",C4:C11)</x:f>
        <x:v>20200</x:v>
      </x:c>
    </x:row>
    <x:row r="19" ht="22" customHeight="1">
      <x:c r="A19" s="1" t="str">
        <x:v>Occupancy by count (%)</x:v>
      </x:c>
      <x:c r="B19" s="20" t="n">
        <x:f>100*B16/B15</x:f>
        <x:v>87.5</x:v>
      </x:c>
    </x:row>
    <x:row r="20" ht="22" customHeight="1">
      <x:c r="A20" s="1" t="str">
        <x:v>Occupancy by area (%)</x:v>
      </x:c>
      <x:c r="B20" s="20" t="n">
        <x:f>100*B18/B17</x:f>
        <x:v>87.82608695652173</x:v>
      </x:c>
    </x:row>
    <x:row r="21" ht="22" customHeight="1">
      <x:c r="A21" s="1" t="str">
        <x:v>Rent roll monthly base as printed</x:v>
      </x:c>
      <x:c r="B21" s="17" t="n">
        <x:f>E12</x:f>
        <x:v>48600</x:v>
      </x:c>
    </x:row>
    <x:row r="22" ht="22" customHeight="1">
      <x:c r="A22" s="1" t="str">
        <x:v>Effective monthly base after executed first amendment</x:v>
      </x:c>
      <x:c r="B22" s="17" t="n">
        <x:f>G12</x:f>
        <x:v>49100</x:v>
      </x:c>
    </x:row>
    <x:row r="23" ht="22" customHeight="1">
      <x:c r="A23" s="1" t="str">
        <x:v>Annualized effective contractual base rent (context only)</x:v>
      </x:c>
      <x:c r="B23" s="17" t="n">
        <x:f>12*G12</x:f>
        <x:v>589200</x:v>
      </x:c>
    </x:row>
    <x:row r="25" ht="36" customHeight="1">
      <x:c r="A25" s="8" t="str">
        <x:v>Unit 101 is reconciled to the executed first amendment (Lease-File.pdf p.2, signed 2026-07-20, effective 2026-08-01): $7,500/month. The unsigned broker proposal ($8,000/month, extension to 2033) is not authoritative and is excluded.</x:v>
      </x:c>
    </x:row>
    <x:row r="26" ht="36" customHeight="1">
      <x:c r="A26" s="8" t="str">
        <x:v>Vacant suite 108 carries market rent of $5,200/month for context only; no contractual rent is included.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54" hidden="0" customWidth="1"/>
  </x:cols>
  <x:sheetData>
    <x:row r="1" ht="27" customHeight="1">
      <x:c r="A1" s="2" t="str">
        <x:v>Historical T12 | September 2025 - August 2026 actuals (T12-Statement.pdf p.1-2)</x:v>
      </x:c>
    </x:row>
    <x:row r="3" ht="25" customHeight="1">
      <x:c r="A3" s="4" t="str">
        <x:v>Line</x:v>
      </x:c>
      <x:c r="B3" s="4" t="str">
        <x:v>Annual actual</x:v>
      </x:c>
      <x:c r="C3" s="4" t="str">
        <x:v>Note</x:v>
      </x:c>
    </x:row>
    <x:row r="4" ht="36" customHeight="1">
      <x:c r="A4" s="1" t="str">
        <x:v>Gross potential base rent</x:v>
      </x:c>
      <x:c r="B4" s="17" t="n">
        <x:v>645600</x:v>
      </x:c>
      <x:c r="C4" s="8" t="str">
        <x:v>T12 p.2 Annual column</x:v>
      </x:c>
    </x:row>
    <x:row r="5" ht="22" customHeight="1">
      <x:c r="A5" s="1" t="str">
        <x:v>Vacancy loss</x:v>
      </x:c>
      <x:c r="B5" s="17" t="n">
        <x:v>-46800</x:v>
      </x:c>
    </x:row>
    <x:row r="6" ht="22" customHeight="1">
      <x:c r="A6" s="1" t="str">
        <x:v>Concessions</x:v>
      </x:c>
      <x:c r="B6" s="17" t="n">
        <x:v>-14400</x:v>
      </x:c>
    </x:row>
    <x:row r="7" ht="22" customHeight="1">
      <x:c r="A7" s="1" t="str">
        <x:v>Bad debt</x:v>
      </x:c>
      <x:c r="B7" s="17" t="n">
        <x:v>-3600</x:v>
      </x:c>
    </x:row>
    <x:row r="8" ht="22" customHeight="1">
      <x:c r="A8" s="1" t="str">
        <x:v>Other income / recoveries</x:v>
      </x:c>
      <x:c r="B8" s="17" t="n">
        <x:v>142800</x:v>
      </x:c>
    </x:row>
    <x:row r="9" ht="22" customHeight="1">
      <x:c r="A9" s="12" t="str">
        <x:v>T12 effective gross income (EGI)</x:v>
      </x:c>
      <x:c r="B9" s="19" t="n">
        <x:f>SUM(B4:B8)</x:f>
        <x:v>723600</x:v>
      </x:c>
    </x:row>
    <x:row r="11" ht="22" customHeight="1">
      <x:c r="A11" s="1" t="str">
        <x:v>Real estate taxes</x:v>
      </x:c>
      <x:c r="B11" s="17" t="n">
        <x:v>86400</x:v>
      </x:c>
    </x:row>
    <x:row r="12" ht="22" customHeight="1">
      <x:c r="A12" s="1" t="str">
        <x:v>Property insurance</x:v>
      </x:c>
      <x:c r="B12" s="17" t="n">
        <x:v>25200</x:v>
      </x:c>
    </x:row>
    <x:row r="13" ht="22" customHeight="1">
      <x:c r="A13" s="1" t="str">
        <x:v>Utilities</x:v>
      </x:c>
      <x:c r="B13" s="17" t="n">
        <x:v>19200</x:v>
      </x:c>
    </x:row>
    <x:row r="14" ht="36" customHeight="1">
      <x:c r="A14" s="1" t="str">
        <x:v>Repairs and maintenance</x:v>
      </x:c>
      <x:c r="B14" s="17" t="n">
        <x:v>28800</x:v>
      </x:c>
      <x:c r="C14" s="8" t="str">
        <x:v>Includes $4,800 one-time casualty cleanup per plan p.2</x:v>
      </x:c>
    </x:row>
    <x:row r="15" ht="22" customHeight="1">
      <x:c r="A15" s="1" t="str">
        <x:v>Payroll / contract labor</x:v>
      </x:c>
      <x:c r="B15" s="17" t="n">
        <x:v>18000</x:v>
      </x:c>
    </x:row>
    <x:row r="16" ht="22" customHeight="1">
      <x:c r="A16" s="1" t="str">
        <x:v>Administrative / legal</x:v>
      </x:c>
      <x:c r="B16" s="17" t="n">
        <x:v>14400</x:v>
      </x:c>
    </x:row>
    <x:row r="17" ht="22" customHeight="1">
      <x:c r="A17" s="1" t="str">
        <x:v>Management fee</x:v>
      </x:c>
      <x:c r="B17" s="17" t="n">
        <x:v>24000</x:v>
      </x:c>
    </x:row>
    <x:row r="18" ht="22" customHeight="1">
      <x:c r="A18" s="12" t="str">
        <x:v>T12 operating expenses (excl. reserves, capex, debt, depreciation)</x:v>
      </x:c>
      <x:c r="B18" s="19" t="n">
        <x:f>SUM(B11:B17)</x:f>
        <x:v>216000</x:v>
      </x:c>
    </x:row>
    <x:row r="19" ht="22" customHeight="1">
      <x:c r="A19" s="12" t="str">
        <x:v>T12 NOI before replacement reserves</x:v>
      </x:c>
      <x:c r="B19" s="19" t="n">
        <x:f>B9-B18</x:f>
        <x:v>507600</x:v>
      </x:c>
    </x:row>
    <x:row r="20" ht="22" customHeight="1">
      <x:c r="A20" s="1" t="str">
        <x:v>Replacement reserves (below NOI)</x:v>
      </x:c>
      <x:c r="B20" s="17" t="n">
        <x:v>9200</x:v>
      </x:c>
    </x:row>
    <x:row r="21" ht="22" customHeight="1">
      <x:c r="A21" s="12" t="str">
        <x:v>T12 NCF after replacement reserves</x:v>
      </x:c>
      <x:c r="B21" s="19" t="n">
        <x:f>B19-B20</x:f>
        <x:v>498400</x:v>
      </x:c>
    </x:row>
    <x:row r="23" ht="25" customHeight="1">
      <x:c r="A23" s="4" t="str">
        <x:v>Below cash flow (reconciliation only, not operating expenses)</x:v>
      </x:c>
    </x:row>
    <x:row r="24" ht="22" customHeight="1">
      <x:c r="A24" s="1" t="str">
        <x:v>Capital improvements</x:v>
      </x:c>
      <x:c r="B24" s="17" t="n">
        <x:v>98000</x:v>
      </x:c>
    </x:row>
    <x:row r="25" ht="22" customHeight="1">
      <x:c r="A25" s="1" t="str">
        <x:v>Loan principal and interest (existing debt)</x:v>
      </x:c>
      <x:c r="B25" s="17" t="n">
        <x:v>294000</x:v>
      </x:c>
    </x:row>
    <x:row r="26" ht="22" customHeight="1">
      <x:c r="A26" s="1" t="str">
        <x:v>Depreciation (noncash)</x:v>
      </x:c>
      <x:c r="B26" s="17" t="n">
        <x:v>180000</x:v>
      </x:c>
    </x:row>
    <x:row r="28" ht="36" customHeight="1">
      <x:c r="A28" s="8" t="str">
        <x:v>The accounting package may label cash flow after reserves as 'property NOI'. Per Property-and-Plan.pdf p.1, NOI before reserves ($507,600) and NCF after reserves ($498,400) are reported separately; capex, debt service and depreciation are excluded from operating expense.</x:v>
      </x:c>
    </x:row>
    <x:row r="29" ht="22" customHeight="1">
      <x:c r="A29" s="1" t="str">
        <x:v>T12 expense ratio</x:v>
      </x:c>
      <x:c r="B29" s="21" t="n">
        <x:f>B18/B9</x:f>
        <x:v>0.29850746268656714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50" hidden="0" customWidth="1"/>
  </x:cols>
  <x:sheetData>
    <x:row r="1" ht="27" customHeight="1">
      <x:c r="A1" s="2" t="str">
        <x:v>Underwritten cash flow | supplied scenario, September 2026 forward (Property-and-Plan.pdf p.2)</x:v>
      </x:c>
    </x:row>
    <x:row r="3" ht="22" customHeight="1">
      <x:c r="A3" s="1" t="str">
        <x:v>Gross potential base rent (annual)</x:v>
      </x:c>
      <x:c r="B3" s="23" t="n">
        <x:f>Assumptions!B5</x:f>
        <x:v>657600</x:v>
      </x:c>
    </x:row>
    <x:row r="4" ht="22" customHeight="1">
      <x:c r="A4" s="1" t="str">
        <x:v>Less combined revenue loss (vacancy, concessions, bad debt)</x:v>
      </x:c>
      <x:c r="B4" s="23" t="n">
        <x:f>-Assumptions!B6*B3</x:f>
        <x:v>-39456</x:v>
      </x:c>
    </x:row>
    <x:row r="5" ht="22" customHeight="1">
      <x:c r="A5" s="12" t="str">
        <x:v>Effective base rental income</x:v>
      </x:c>
      <x:c r="B5" s="19" t="n">
        <x:f>B3+B4</x:f>
        <x:v>618144</x:v>
      </x:c>
    </x:row>
    <x:row r="6" ht="22" customHeight="1">
      <x:c r="A6" s="1" t="str">
        <x:v>Other income / recoveries</x:v>
      </x:c>
      <x:c r="B6" s="23" t="n">
        <x:f>Assumptions!B7</x:f>
        <x:v>150000</x:v>
      </x:c>
    </x:row>
    <x:row r="7" ht="22" customHeight="1">
      <x:c r="A7" s="12" t="str">
        <x:v>Underwritten EGI</x:v>
      </x:c>
      <x:c r="B7" s="19" t="n">
        <x:f>B5+B6</x:f>
        <x:v>768144</x:v>
      </x:c>
    </x:row>
    <x:row r="9" ht="22" customHeight="1">
      <x:c r="A9" s="1" t="str">
        <x:v>Real estate taxes</x:v>
      </x:c>
      <x:c r="B9" s="23" t="n">
        <x:f>Assumptions!B28</x:f>
        <x:v>90000</x:v>
      </x:c>
    </x:row>
    <x:row r="10" ht="22" customHeight="1">
      <x:c r="A10" s="1" t="str">
        <x:v>Property insurance</x:v>
      </x:c>
      <x:c r="B10" s="23" t="n">
        <x:f>Assumptions!B29</x:f>
        <x:v>27600</x:v>
      </x:c>
    </x:row>
    <x:row r="11" ht="22" customHeight="1">
      <x:c r="A11" s="1" t="str">
        <x:v>Utilities</x:v>
      </x:c>
      <x:c r="B11" s="23" t="n">
        <x:f>Assumptions!B30</x:f>
        <x:v>19200</x:v>
      </x:c>
    </x:row>
    <x:row r="12" ht="22" customHeight="1">
      <x:c r="A12" s="1" t="str">
        <x:v>Repairs and maintenance</x:v>
      </x:c>
      <x:c r="B12" s="23" t="n">
        <x:f>Assumptions!B31</x:f>
        <x:v>24000</x:v>
      </x:c>
    </x:row>
    <x:row r="13" ht="22" customHeight="1">
      <x:c r="A13" s="1" t="str">
        <x:v>Payroll / contract labor</x:v>
      </x:c>
      <x:c r="B13" s="23" t="n">
        <x:f>Assumptions!B32</x:f>
        <x:v>18000</x:v>
      </x:c>
    </x:row>
    <x:row r="14" ht="22" customHeight="1">
      <x:c r="A14" s="1" t="str">
        <x:v>Administrative / legal</x:v>
      </x:c>
      <x:c r="B14" s="23" t="n">
        <x:f>Assumptions!B33</x:f>
        <x:v>14400</x:v>
      </x:c>
    </x:row>
    <x:row r="15" ht="22" customHeight="1">
      <x:c r="A15" s="1" t="str">
        <x:v>Management fee (greater of T12 actual and 4.00% of UW EGI)</x:v>
      </x:c>
      <x:c r="B15" s="23" t="n">
        <x:f>MAX(Assumptions!B23,Assumptions!B22*B7)</x:f>
        <x:v>30725.760000000002</x:v>
      </x:c>
    </x:row>
    <x:row r="16" ht="22" customHeight="1">
      <x:c r="A16" s="12" t="str">
        <x:v>Underwritten operating expenses before reserves</x:v>
      </x:c>
      <x:c r="B16" s="19" t="n">
        <x:f>SUM(B9:B15)</x:f>
        <x:v>223925.76</x:v>
      </x:c>
    </x:row>
    <x:row r="17" ht="22" customHeight="1">
      <x:c r="A17" s="12" t="str">
        <x:v>Underwritten NOI before replacement reserves</x:v>
      </x:c>
      <x:c r="B17" s="19" t="n">
        <x:f>B7-B16</x:f>
        <x:v>544218.24</x:v>
      </x:c>
    </x:row>
    <x:row r="18" ht="22" customHeight="1">
      <x:c r="A18" s="1" t="str">
        <x:v>Replacement reserves ($/SF x total SF)</x:v>
      </x:c>
      <x:c r="B18" s="23" t="n">
        <x:f>Assumptions!B21*Assumptions!B4</x:f>
        <x:v>4600</x:v>
      </x:c>
    </x:row>
    <x:row r="19" ht="22" customHeight="1">
      <x:c r="A19" s="12" t="str">
        <x:v>Underwritten NCF after replacement reserves</x:v>
      </x:c>
      <x:c r="B19" s="19" t="n">
        <x:f>B17-B18</x:f>
        <x:v>539618.24</x:v>
      </x:c>
    </x:row>
    <x:row r="21" ht="22" customHeight="1">
      <x:c r="A21" s="1" t="str">
        <x:v>Capitalization rate</x:v>
      </x:c>
      <x:c r="B21" s="24" t="n">
        <x:f>Assumptions!B8</x:f>
        <x:v>0.065</x:v>
      </x:c>
    </x:row>
    <x:row r="22" ht="22" customHeight="1">
      <x:c r="A22" s="12" t="str">
        <x:v>Indicative capitalization value (UW NOI before reserves / cap rate)</x:v>
      </x:c>
      <x:c r="B22" s="19" t="n">
        <x:f>B17/B21</x:f>
        <x:v>8372588.307692307</x:v>
      </x:c>
    </x:row>
    <x:row r="23" ht="22" customHeight="1">
      <x:c r="A23" s="1" t="str">
        <x:v>Underwritten expense ratio</x:v>
      </x:c>
      <x:c r="B23" s="21" t="n">
        <x:f>B16/B7</x:f>
        <x:v>0.2915153408735862</x:v>
      </x:c>
    </x:row>
    <x:row r="24" ht="22" customHeight="1">
      <x:c r="A24" s="1" t="str">
        <x:v>Value per SF</x:v>
      </x:c>
      <x:c r="B24" s="25" t="n">
        <x:f>B22/Assumptions!B4</x:f>
        <x:v>364.0255785953177</x:v>
      </x:c>
    </x:row>
    <x:row r="26" ht="36" customHeight="1">
      <x:c r="A26" s="8" t="str">
        <x:v>The underwriting scenario is supplied by the plan and is not a lender-approved forecast; it is not reconciled to and should not be forced to equal T12 actuals or annualized point-in-time rent roll.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4" hidden="0" customWidth="1"/>
    <x:col min="2" max="2" width="18" hidden="0" customWidth="1"/>
    <x:col min="3" max="3" width="48" hidden="0" customWidth="1"/>
  </x:cols>
  <x:sheetData>
    <x:row r="1" ht="27" customHeight="1">
      <x:c r="A1" s="2" t="str">
        <x:v>Loan sizing | Lender-Terms.pdf p.1 definitions</x:v>
      </x:c>
    </x:row>
    <x:row r="3" ht="22" customHeight="1">
      <x:c r="A3" s="1" t="str">
        <x:v>Sizing rate (greater of contract rate and 6.50% floor, plus increment)</x:v>
      </x:c>
      <x:c r="B3" s="24" t="n">
        <x:f>Assumptions!B12</x:f>
        <x:v>0.065</x:v>
      </x:c>
    </x:row>
    <x:row r="4" ht="22" customHeight="1">
      <x:c r="A4" s="1" t="str">
        <x:v>Amortization (months)</x:v>
      </x:c>
      <x:c r="B4" s="23" t="n">
        <x:f>Assumptions!B13</x:f>
        <x:v>300</x:v>
      </x:c>
    </x:row>
    <x:row r="5" ht="22" customHeight="1">
      <x:c r="A5" s="1" t="str">
        <x:v>Annual debt constant per $1 of principal (12 monthly payments)</x:v>
      </x:c>
      <x:c r="B5" s="26" t="n">
        <x:f>12*-PMT(B3/12,B4,1)</x:f>
        <x:v>0.08102485936171676</x:v>
      </x:c>
    </x:row>
    <x:row r="7" ht="22" customHeight="1">
      <x:c r="A7" s="12" t="str">
        <x:v>LTV limit (65.00% x indicative value)</x:v>
      </x:c>
      <x:c r="B7" s="19" t="n">
        <x:f>Assumptions!B15*Underwriting!B22</x:f>
        <x:v>5442182.399999999</x:v>
      </x:c>
    </x:row>
    <x:row r="8" ht="22" customHeight="1">
      <x:c r="A8" s="12" t="str">
        <x:v>DSCR limit ((UW NCF / 1.25x) / annual debt constant)</x:v>
      </x:c>
      <x:c r="B8" s="19" t="n">
        <x:f>(Underwriting!B19/Assumptions!B16)/B5</x:f>
        <x:v>5327927.692818315</x:v>
      </x:c>
    </x:row>
    <x:row r="9" ht="22" customHeight="1">
      <x:c r="A9" s="12" t="str">
        <x:v>Debt yield limit (UW NOI before reserves / 9.00%)</x:v>
      </x:c>
      <x:c r="B9" s="19" t="n">
        <x:f>Underwriting!B17/Assumptions!B17</x:f>
        <x:v>6046869.333333333</x:v>
      </x:c>
    </x:row>
    <x:row r="10" ht="22" customHeight="1">
      <x:c r="A10" s="12" t="str">
        <x:v>Maximum loan (lowest constraint)</x:v>
      </x:c>
      <x:c r="B10" s="19" t="n">
        <x:f>MIN(B7:B9)</x:f>
        <x:v>5327927.692818315</x:v>
      </x:c>
    </x:row>
    <x:row r="11" ht="22" customHeight="1">
      <x:c r="A11" s="12" t="str">
        <x:v>Binding constraint</x:v>
      </x:c>
      <x:c r="B11" s="12" t="str">
        <x:f>IF(B10=B8,"DSCR",IF(B10=B7,"LTV","Debt yield"))</x:f>
        <x:v>DSCR</x:v>
      </x:c>
    </x:row>
    <x:row r="13" ht="22" customHeight="1">
      <x:c r="A13" s="1" t="str">
        <x:v>Sizing annual debt service (max loan x annual debt constant)</x:v>
      </x:c>
      <x:c r="B13" s="17" t="n">
        <x:f>B10*B5</x:f>
        <x:v>431694.592</x:v>
      </x:c>
    </x:row>
    <x:row r="14" ht="22" customHeight="1">
      <x:c r="A14" s="1" t="str">
        <x:v>Sizing DSCR (UW NCF / sizing annual debt service)</x:v>
      </x:c>
      <x:c r="B14" s="27" t="n">
        <x:f>Underwriting!B19/B13</x:f>
        <x:v>1.25</x:v>
      </x:c>
    </x:row>
    <x:row r="15" ht="22" customHeight="1">
      <x:c r="A15" s="1" t="str">
        <x:v>Sizing debt yield (UW NOI before reserves / max loan)</x:v>
      </x:c>
      <x:c r="B15" s="28" t="n">
        <x:f>Underwriting!B17/B10</x:f>
        <x:v>0.10214444928251734</x:v>
      </x:c>
    </x:row>
    <x:row r="16" ht="22" customHeight="1">
      <x:c r="A16" s="1" t="str">
        <x:v>LTV at maximum loan</x:v>
      </x:c>
      <x:c r="B16" s="28" t="n">
        <x:f>B10/Underwriting!B22</x:f>
        <x:v>0.6363537172756107</x:v>
      </x:c>
    </x:row>
    <x:row r="18" ht="22" customHeight="1">
      <x:c r="A18" s="1" t="str">
        <x:v>Contract rate</x:v>
      </x:c>
      <x:c r="B18" s="24" t="n">
        <x:f>Assumptions!B9</x:f>
        <x:v>0.0625</x:v>
      </x:c>
    </x:row>
    <x:row r="19" ht="22" customHeight="1">
      <x:c r="A19" s="1" t="str">
        <x:v>First-year contractual debt service (IO months observed)</x:v>
      </x:c>
      <x:c r="B19" s="23" t="n">
        <x:f>IF(Assumptions!B14&gt;=12,B10*B18,Assumptions!B14*B10*B18/12+(12-Assumptions!B14)*(-PMT(B18/12,B4,1)*B10))</x:f>
        <x:v>421760.4898594752</x:v>
      </x:c>
    </x:row>
    <x:row r="20" ht="22" customHeight="1">
      <x:c r="A20" s="1" t="str">
        <x:v>First-year DSCR on UW NCF at contract rate</x:v>
      </x:c>
      <x:c r="B20" s="27" t="n">
        <x:f>Underwriting!B19/B19</x:f>
        <x:v>1.279442368297214</x:v>
      </x:c>
    </x:row>
    <x:row r="21" ht="22" customHeight="1">
      <x:c r="A21" s="1" t="str">
        <x:v>Monthly contractual payment at contract rate</x:v>
      </x:c>
      <x:c r="B21" s="17" t="n">
        <x:f>-PMT(B18/12,B4,B10)</x:f>
        <x:v>35146.707488289605</x:v>
      </x:c>
    </x:row>
    <x:row r="22" ht="22" customHeight="1">
      <x:c r="A22" s="1" t="str">
        <x:v>Difference: sizing debt service less first-year contractual debt service</x:v>
      </x:c>
      <x:c r="B22" s="17" t="n">
        <x:f>B13-B19</x:f>
        <x:v>9934.102140524832</x:v>
      </x:c>
    </x:row>
    <x:row r="24" ht="36" customHeight="1">
      <x:c r="A24" s="8" t="str">
        <x:v>IO period is 0 months, so first-year contractual debt service is fully amortizing at the 6.25% contract rate, while sizing uses the 6.50% sizing 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Sources and uses at maximum loan</x:v>
      </x:c>
    </x:row>
    <x:row r="3" ht="25" customHeight="1">
      <x:c r="A3" s="4" t="str">
        <x:v>Sources</x:v>
      </x:c>
      <x:c r="B3" s="4" t="str">
        <x:v>Amount</x:v>
      </x:c>
    </x:row>
    <x:row r="4" ht="22" customHeight="1">
      <x:c r="A4" s="1" t="str">
        <x:v>New first mortgage (maximum loan)</x:v>
      </x:c>
      <x:c r="B4" s="23" t="n">
        <x:f>'Loan Sizing'!B10</x:f>
        <x:v>5327927.692818315</x:v>
      </x:c>
    </x:row>
    <x:row r="5" ht="22" customHeight="1">
      <x:c r="A5" s="1" t="str">
        <x:v>Borrower cash in (if required)</x:v>
      </x:c>
      <x:c r="B5" s="23" t="n">
        <x:f>MAX(0,-(B4-Assumptions!B20-Assumptions!B18*B4-Assumptions!B19))</x:f>
        <x:v>0</x:v>
      </x:c>
    </x:row>
    <x:row r="6" ht="22" customHeight="1">
      <x:c r="A6" s="12" t="str">
        <x:v>Total sources</x:v>
      </x:c>
      <x:c r="B6" s="19" t="n">
        <x:f>B4+B5</x:f>
        <x:v>5327927.692818315</x:v>
      </x:c>
    </x:row>
    <x:row r="8" ht="25" customHeight="1">
      <x:c r="A8" s="4" t="str">
        <x:v>Uses</x:v>
      </x:c>
    </x:row>
    <x:row r="9" ht="22" customHeight="1">
      <x:c r="A9" s="1" t="str">
        <x:v>Existing debt payoff</x:v>
      </x:c>
      <x:c r="B9" s="23" t="n">
        <x:f>Assumptions!B20</x:f>
        <x:v>3400000</x:v>
      </x:c>
    </x:row>
    <x:row r="10" ht="22" customHeight="1">
      <x:c r="A10" s="1" t="str">
        <x:v>Origination fee (1.00% of initial principal)</x:v>
      </x:c>
      <x:c r="B10" s="23" t="n">
        <x:f>Assumptions!B18*B4</x:f>
        <x:v>53279.27692818315</x:v>
      </x:c>
    </x:row>
    <x:row r="11" ht="22" customHeight="1">
      <x:c r="A11" s="1" t="str">
        <x:v>Fixed closing costs</x:v>
      </x:c>
      <x:c r="B11" s="23" t="n">
        <x:f>Assumptions!B19</x:f>
        <x:v>48000</x:v>
      </x:c>
    </x:row>
    <x:row r="12" ht="22" customHeight="1">
      <x:c r="A12" s="1" t="str">
        <x:v>Net cash to borrower (cash-out)</x:v>
      </x:c>
      <x:c r="B12" s="17" t="n">
        <x:f>MAX(0,B4-B9-B10-B11)</x:f>
        <x:v>1826648.4158901316</x:v>
      </x:c>
    </x:row>
    <x:row r="13" ht="22" customHeight="1">
      <x:c r="A13" s="12" t="str">
        <x:v>Total uses</x:v>
      </x:c>
      <x:c r="B13" s="19" t="n">
        <x:f>SUM(B9:B12)</x:f>
        <x:v>5327927.692818315</x:v>
      </x:c>
    </x:row>
    <x:row r="15" ht="22" customHeight="1">
      <x:c r="A15" s="12" t="str">
        <x:v>Net cash to (from) borrower; negative = cash in</x:v>
      </x:c>
      <x:c r="B15" s="19" t="n">
        <x:f>B4-Assumptions!B20-Assumptions!B18*B4-Assumptions!B19</x:f>
        <x:v>1826648.4158901316</x:v>
      </x:c>
    </x:row>
    <x:row r="17" ht="36" customHeight="1">
      <x:c r="A17" s="8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27" customHeight="1">
      <x:c r="A1" s="2" t="str">
        <x:v>Sensitivity | EGI -5%, cap rate +50 bps, and combined EGI -5% with sizing rate +100 bps</x:v>
      </x:c>
    </x:row>
    <x:row r="3" ht="25" customHeight="1">
      <x:c r="A3" s="4" t="str">
        <x:v>Line</x:v>
      </x:c>
      <x:c r="B3" s="4" t="str">
        <x:v>Base case</x:v>
      </x:c>
      <x:c r="C3" s="4" t="str">
        <x:v>EGI -5%</x:v>
      </x:c>
      <x:c r="D3" s="4" t="str">
        <x:v>Cap rate +50 bps</x:v>
      </x:c>
      <x:c r="E3" s="4" t="str">
        <x:v>Combined: EGI -5% and rate +100 bps</x:v>
      </x:c>
    </x:row>
    <x:row r="4" ht="22" customHeight="1">
      <x:c r="A4" s="1" t="str">
        <x:v>EGI factor</x:v>
      </x:c>
      <x:c r="B4" s="20" t="n">
        <x:v>1</x:v>
      </x:c>
      <x:c r="C4" s="29" t="n">
        <x:f>Assumptions!B25</x:f>
        <x:v>0.95</x:v>
      </x:c>
      <x:c r="D4" s="20" t="n">
        <x:v>1</x:v>
      </x:c>
      <x:c r="E4" s="29" t="n">
        <x:f>Assumptions!B25</x:f>
        <x:v>0.95</x:v>
      </x:c>
    </x:row>
    <x:row r="5" ht="22" customHeight="1">
      <x:c r="A5" s="1" t="str">
        <x:v>Cap rate</x:v>
      </x:c>
      <x:c r="B5" s="24" t="n">
        <x:f>Assumptions!B8</x:f>
        <x:v>0.065</x:v>
      </x:c>
      <x:c r="C5" s="24" t="n">
        <x:f>Assumptions!B8</x:f>
        <x:v>0.065</x:v>
      </x:c>
      <x:c r="D5" s="24" t="n">
        <x:f>Assumptions!B8+Assumptions!B24</x:f>
        <x:v>0.07</x:v>
      </x:c>
      <x:c r="E5" s="24" t="n">
        <x:f>Assumptions!B8</x:f>
        <x:v>0.065</x:v>
      </x:c>
    </x:row>
    <x:row r="6" ht="22" customHeight="1">
      <x:c r="A6" s="1" t="str">
        <x:v>Sizing rate</x:v>
      </x:c>
      <x:c r="B6" s="24" t="n">
        <x:f>'Loan Sizing'!B3</x:f>
        <x:v>0.065</x:v>
      </x:c>
      <x:c r="C6" s="24" t="n">
        <x:f>'Loan Sizing'!B3</x:f>
        <x:v>0.065</x:v>
      </x:c>
      <x:c r="D6" s="24" t="n">
        <x:f>'Loan Sizing'!B3</x:f>
        <x:v>0.065</x:v>
      </x:c>
      <x:c r="E6" s="24" t="n">
        <x:f>'Loan Sizing'!B3+0.01</x:f>
        <x:v>0.075</x:v>
      </x:c>
    </x:row>
    <x:row r="7" ht="22" customHeight="1">
      <x:c r="A7" s="1" t="str">
        <x:v>EGI</x:v>
      </x:c>
      <x:c r="B7" s="23" t="n">
        <x:f>Underwriting!$B$7*B4</x:f>
        <x:v>768144</x:v>
      </x:c>
      <x:c r="C7" s="23" t="n">
        <x:f>Underwriting!$B$7*C4</x:f>
        <x:v>729736.7999999999</x:v>
      </x:c>
      <x:c r="D7" s="23" t="n">
        <x:f>Underwriting!$B$7*D4</x:f>
        <x:v>768144</x:v>
      </x:c>
      <x:c r="E7" s="23" t="n">
        <x:f>Underwriting!$B$7*E4</x:f>
        <x:v>729736.7999999999</x:v>
      </x:c>
    </x:row>
    <x:row r="8" ht="22" customHeight="1">
      <x:c r="A8" s="1" t="str">
        <x:v>Operating expenses other than management fee</x:v>
      </x:c>
      <x:c r="B8" s="23" t="n">
        <x:f>Assumptions!$B$34</x:f>
        <x:v>193200</x:v>
      </x:c>
      <x:c r="C8" s="23" t="n">
        <x:f>Assumptions!$B$34</x:f>
        <x:v>193200</x:v>
      </x:c>
      <x:c r="D8" s="23" t="n">
        <x:f>Assumptions!$B$34</x:f>
        <x:v>193200</x:v>
      </x:c>
      <x:c r="E8" s="23" t="n">
        <x:f>Assumptions!$B$34</x:f>
        <x:v>193200</x:v>
      </x:c>
    </x:row>
    <x:row r="9" ht="22" customHeight="1">
      <x:c r="A9" s="1" t="str">
        <x:v>Management fee (recomputed minimum)</x:v>
      </x:c>
      <x:c r="B9" s="23" t="n">
        <x:f>MAX(Assumptions!$B$23,Assumptions!$B$22*B7)</x:f>
        <x:v>30725.760000000002</x:v>
      </x:c>
      <x:c r="C9" s="23" t="n">
        <x:f>MAX(Assumptions!$B$23,Assumptions!$B$22*C7)</x:f>
        <x:v>29189.471999999998</x:v>
      </x:c>
      <x:c r="D9" s="23" t="n">
        <x:f>MAX(Assumptions!$B$23,Assumptions!$B$22*D7)</x:f>
        <x:v>30725.760000000002</x:v>
      </x:c>
      <x:c r="E9" s="23" t="n">
        <x:f>MAX(Assumptions!$B$23,Assumptions!$B$22*E7)</x:f>
        <x:v>29189.471999999998</x:v>
      </x:c>
    </x:row>
    <x:row r="10" ht="22" customHeight="1">
      <x:c r="A10" s="12" t="str">
        <x:v>NOI before reserves</x:v>
      </x:c>
      <x:c r="B10" s="19" t="n">
        <x:f>B7-B8-B9</x:f>
        <x:v>544218.24</x:v>
      </x:c>
      <x:c r="C10" s="19" t="n">
        <x:f>C7-C8-C9</x:f>
        <x:v>507347.3279999999</x:v>
      </x:c>
      <x:c r="D10" s="19" t="n">
        <x:f>D7-D8-D9</x:f>
        <x:v>544218.24</x:v>
      </x:c>
      <x:c r="E10" s="19" t="n">
        <x:f>E7-E8-E9</x:f>
        <x:v>507347.3279999999</x:v>
      </x:c>
    </x:row>
    <x:row r="11" ht="22" customHeight="1">
      <x:c r="A11" s="1" t="str">
        <x:v>Replacement reserves</x:v>
      </x:c>
      <x:c r="B11" s="23" t="n">
        <x:f>Underwriting!$B$18</x:f>
        <x:v>4600</x:v>
      </x:c>
      <x:c r="C11" s="23" t="n">
        <x:f>Underwriting!$B$18</x:f>
        <x:v>4600</x:v>
      </x:c>
      <x:c r="D11" s="23" t="n">
        <x:f>Underwriting!$B$18</x:f>
        <x:v>4600</x:v>
      </x:c>
      <x:c r="E11" s="23" t="n">
        <x:f>Underwriting!$B$18</x:f>
        <x:v>4600</x:v>
      </x:c>
    </x:row>
    <x:row r="12" ht="22" customHeight="1">
      <x:c r="A12" s="12" t="str">
        <x:v>NCF after reserves</x:v>
      </x:c>
      <x:c r="B12" s="19" t="n">
        <x:f>B10-B11</x:f>
        <x:v>539618.24</x:v>
      </x:c>
      <x:c r="C12" s="19" t="n">
        <x:f>C10-C11</x:f>
        <x:v>502747.3279999999</x:v>
      </x:c>
      <x:c r="D12" s="19" t="n">
        <x:f>D10-D11</x:f>
        <x:v>539618.24</x:v>
      </x:c>
      <x:c r="E12" s="19" t="n">
        <x:f>E10-E11</x:f>
        <x:v>502747.3279999999</x:v>
      </x:c>
    </x:row>
    <x:row r="13" ht="22" customHeight="1">
      <x:c r="A13" s="1" t="str">
        <x:v>Indicative value</x:v>
      </x:c>
      <x:c r="B13" s="17" t="n">
        <x:f>B10/B5</x:f>
        <x:v>8372588.307692307</x:v>
      </x:c>
      <x:c r="C13" s="17" t="n">
        <x:f>C10/C5</x:f>
        <x:v>7805343.507692306</x:v>
      </x:c>
      <x:c r="D13" s="17" t="n">
        <x:f>D10/D5</x:f>
        <x:v>7774546.2857142845</x:v>
      </x:c>
      <x:c r="E13" s="17" t="n">
        <x:f>E10/E5</x:f>
        <x:v>7805343.507692306</x:v>
      </x:c>
    </x:row>
    <x:row r="14" ht="22" customHeight="1">
      <x:c r="A14" s="1" t="str">
        <x:v>Annual debt constant at scenario sizing rate</x:v>
      </x:c>
      <x:c r="B14" s="30" t="n">
        <x:f>12*-PMT(B6/12,Assumptions!$B$13,1)</x:f>
        <x:v>0.08102485936171676</x:v>
      </x:c>
      <x:c r="C14" s="30" t="n">
        <x:f>12*-PMT(C6/12,Assumptions!$B$13,1)</x:f>
        <x:v>0.08102485936171676</x:v>
      </x:c>
      <x:c r="D14" s="30" t="n">
        <x:f>12*-PMT(D6/12,Assumptions!$B$13,1)</x:f>
        <x:v>0.08102485936171676</x:v>
      </x:c>
      <x:c r="E14" s="30" t="n">
        <x:f>12*-PMT(E6/12,Assumptions!$B$13,1)</x:f>
        <x:v>0.08867894133569512</x:v>
      </x:c>
    </x:row>
    <x:row r="15" ht="22" customHeight="1">
      <x:c r="A15" s="1" t="str">
        <x:v>LTV limit</x:v>
      </x:c>
      <x:c r="B15" s="23" t="n">
        <x:f>Assumptions!$B$15*B13</x:f>
        <x:v>5442182.399999999</x:v>
      </x:c>
      <x:c r="C15" s="23" t="n">
        <x:f>Assumptions!$B$15*C13</x:f>
        <x:v>5073473.279999999</x:v>
      </x:c>
      <x:c r="D15" s="23" t="n">
        <x:f>Assumptions!$B$15*D13</x:f>
        <x:v>5053455.085714285</x:v>
      </x:c>
      <x:c r="E15" s="23" t="n">
        <x:f>Assumptions!$B$15*E13</x:f>
        <x:v>5073473.279999999</x:v>
      </x:c>
    </x:row>
    <x:row r="16" ht="22" customHeight="1">
      <x:c r="A16" s="1" t="str">
        <x:v>DSCR limit</x:v>
      </x:c>
      <x:c r="B16" s="23" t="n">
        <x:f>(B12/Assumptions!$B$16)/B14</x:f>
        <x:v>5327927.692818315</x:v>
      </x:c>
      <x:c r="C16" s="23" t="n">
        <x:f>(C12/Assumptions!$B$16)/C14</x:f>
        <x:v>4963882.264879727</x:v>
      </x:c>
      <x:c r="D16" s="23" t="n">
        <x:f>(D12/Assumptions!$B$16)/D14</x:f>
        <x:v>5327927.692818315</x:v>
      </x:c>
      <x:c r="E16" s="23" t="n">
        <x:f>(E12/Assumptions!$B$16)/E14</x:f>
        <x:v>4535438.248833795</x:v>
      </x:c>
    </x:row>
    <x:row r="17" ht="22" customHeight="1">
      <x:c r="A17" s="1" t="str">
        <x:v>Debt yield limit</x:v>
      </x:c>
      <x:c r="B17" s="23" t="n">
        <x:f>B10/Assumptions!$B$17</x:f>
        <x:v>6046869.333333333</x:v>
      </x:c>
      <x:c r="C17" s="23" t="n">
        <x:f>C10/Assumptions!$B$17</x:f>
        <x:v>5637192.533333332</x:v>
      </x:c>
      <x:c r="D17" s="23" t="n">
        <x:f>D10/Assumptions!$B$17</x:f>
        <x:v>6046869.333333333</x:v>
      </x:c>
      <x:c r="E17" s="23" t="n">
        <x:f>E10/Assumptions!$B$17</x:f>
        <x:v>5637192.533333332</x:v>
      </x:c>
    </x:row>
    <x:row r="18" ht="22" customHeight="1">
      <x:c r="A18" s="12" t="str">
        <x:v>Maximum loan</x:v>
      </x:c>
      <x:c r="B18" s="19" t="n">
        <x:f>MIN(B15:B17)</x:f>
        <x:v>5327927.692818315</x:v>
      </x:c>
      <x:c r="C18" s="19" t="n">
        <x:f>MIN(C15:C17)</x:f>
        <x:v>4963882.264879727</x:v>
      </x:c>
      <x:c r="D18" s="19" t="n">
        <x:f>MIN(D15:D17)</x:f>
        <x:v>5053455.085714285</x:v>
      </x:c>
      <x:c r="E18" s="19" t="n">
        <x:f>MIN(E15:E17)</x:f>
        <x:v>4535438.248833795</x:v>
      </x:c>
    </x:row>
    <x:row r="19" ht="22" customHeight="1">
      <x:c r="A19" s="12" t="str">
        <x:v>Binding constraint</x:v>
      </x:c>
      <x:c r="B19" s="12" t="str">
        <x:f>IF(B18=B16,"DSCR",IF(B18=B15,"LTV","Debt yield"))</x:f>
        <x:v>DSCR</x:v>
      </x:c>
      <x:c r="C19" s="12" t="str">
        <x:f>IF(C18=C16,"DSCR",IF(C18=C15,"LTV","Debt yield"))</x:f>
        <x:v>DSCR</x:v>
      </x:c>
      <x:c r="D19" s="12" t="str">
        <x:f>IF(D18=D16,"DSCR",IF(D18=D15,"LTV","Debt yield"))</x:f>
        <x:v>LTV</x:v>
      </x:c>
      <x:c r="E19" s="12" t="str">
        <x:f>IF(E18=E16,"DSCR",IF(E18=E15,"LTV","Debt yield"))</x:f>
        <x:v>DSCR</x:v>
      </x:c>
    </x:row>
    <x:row r="20" ht="22" customHeight="1">
      <x:c r="A20" s="1" t="str">
        <x:v>Change in maximum loan vs base</x:v>
      </x:c>
      <x:c r="C20" s="17" t="n">
        <x:f>C18-$B$18</x:f>
        <x:v>-364045.42793858796</x:v>
      </x:c>
      <x:c r="D20" s="17" t="n">
        <x:f>D18-$B$18</x:f>
        <x:v>-274472.6071040295</x:v>
      </x:c>
      <x:c r="E20" s="17" t="n">
        <x:f>E18-$B$18</x:f>
        <x:v>-792489.4439845197</x:v>
      </x:c>
    </x:row>
    <x:row r="22" ht="36" customHeight="1">
      <x:c r="A22" s="8" t="str">
        <x:v>Per plan p.2: in the combined downside the cap rate is unchanged; the cap-rate sensitivity (+50 bps) is run separately.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52" hidden="0" customWidth="1"/>
  </x:cols>
  <x:sheetData>
    <x:row r="1" ht="27" customHeight="1">
      <x:c r="A1" s="2" t="str">
        <x:v>Input and output location map</x:v>
      </x:c>
    </x:row>
    <x:row r="3" ht="25" customHeight="1">
      <x:c r="A3" s="4" t="str">
        <x:v>Item</x:v>
      </x:c>
      <x:c r="B3" s="4" t="str">
        <x:v>Cell</x:v>
      </x:c>
      <x:c r="C3" s="4" t="str">
        <x:v>Description</x:v>
      </x:c>
    </x:row>
    <x:row r="4" ht="22" customHeight="1">
      <x:c r="A4" s="1" t="str">
        <x:v>INPUT cap_rate</x:v>
      </x:c>
      <x:c r="B4" s="1" t="str">
        <x:v>Assumptions!B8</x:v>
      </x:c>
      <x:c r="C4" s="1" t="str">
        <x:v>Valuation cap rate; drives value and LTV limit</x:v>
      </x:c>
    </x:row>
    <x:row r="5" ht="22" customHeight="1">
      <x:c r="A5" s="1" t="str">
        <x:v>INPUT sizing_rate_increment</x:v>
      </x:c>
      <x:c r="B5" s="1" t="str">
        <x:v>Assumptions!B11</x:v>
      </x:c>
      <x:c r="C5" s="1" t="str">
        <x:v>Added to MAX(contract rate, 6.50% floor) in Assumptions!B12</x:v>
      </x:c>
    </x:row>
    <x:row r="6" ht="22" customHeight="1">
      <x:c r="A6" s="1" t="str">
        <x:v>INPUT egi_gross_potential_rent</x:v>
      </x:c>
      <x:c r="B6" s="1" t="str">
        <x:v>Assumptions!B5</x:v>
      </x:c>
      <x:c r="C6" s="1" t="str">
        <x:v>Underwritten gross potential base rent; loss % held constant</x:v>
      </x:c>
    </x:row>
    <x:row r="7" ht="22" customHeight="1">
      <x:c r="A7" s="1" t="str">
        <x:v>INPUT egi_other_income</x:v>
      </x:c>
      <x:c r="B7" s="1" t="str">
        <x:v>Assumptions!B7</x:v>
      </x:c>
      <x:c r="C7" s="1" t="str">
        <x:v>Other income / recoveries added after revenue loss</x:v>
      </x:c>
    </x:row>
    <x:row r="8" ht="22" customHeight="1">
      <x:c r="A8" s="1" t="str">
        <x:v>INPUT revenue loss %</x:v>
      </x:c>
      <x:c r="B8" s="1" t="str">
        <x:v>Assumptions!B6</x:v>
      </x:c>
    </x:row>
    <x:row r="9" ht="22" customHeight="1">
      <x:c r="A9" s="1" t="str">
        <x:v>INPUT contract rate</x:v>
      </x:c>
      <x:c r="B9" s="1" t="str">
        <x:v>Assumptions!B9</x:v>
      </x:c>
    </x:row>
    <x:row r="10" ht="22" customHeight="1">
      <x:c r="A10" s="1" t="str">
        <x:v>INPUT amortization months</x:v>
      </x:c>
      <x:c r="B10" s="1" t="str">
        <x:v>Assumptions!B13</x:v>
      </x:c>
    </x:row>
    <x:row r="11" ht="22" customHeight="1">
      <x:c r="A11" s="1" t="str">
        <x:v>INPUT IO months</x:v>
      </x:c>
      <x:c r="B11" s="1" t="str">
        <x:v>Assumptions!B14</x:v>
      </x:c>
    </x:row>
    <x:row r="12" ht="22" customHeight="1">
      <x:c r="A12" s="1" t="str">
        <x:v>INPUT cap-rate sensitivity increment</x:v>
      </x:c>
      <x:c r="B12" s="1" t="str">
        <x:v>Assumptions!B24</x:v>
      </x:c>
    </x:row>
    <x:row r="13" ht="22" customHeight="1">
      <x:c r="A13" s="1" t="str">
        <x:v>INPUT EGI stress factor</x:v>
      </x:c>
      <x:c r="B13" s="1" t="str">
        <x:v>Assumptions!B25</x:v>
      </x:c>
    </x:row>
    <x:row r="14" ht="22" customHeight="1">
      <x:c r="A14" s="1" t="str">
        <x:v>OUTPUT uw_egi</x:v>
      </x:c>
      <x:c r="B14" s="1" t="str">
        <x:v>Underwriting!B7</x:v>
      </x:c>
    </x:row>
    <x:row r="15" ht="22" customHeight="1">
      <x:c r="A15" s="1" t="str">
        <x:v>OUTPUT uw_noi_before_reserves</x:v>
      </x:c>
      <x:c r="B15" s="1" t="str">
        <x:v>Underwriting!B17</x:v>
      </x:c>
    </x:row>
    <x:row r="16" ht="22" customHeight="1">
      <x:c r="A16" s="1" t="str">
        <x:v>OUTPUT uw_ncf</x:v>
      </x:c>
      <x:c r="B16" s="1" t="str">
        <x:v>Underwriting!B19</x:v>
      </x:c>
    </x:row>
    <x:row r="17" ht="22" customHeight="1">
      <x:c r="A17" s="1" t="str">
        <x:v>OUTPUT capitalization_value</x:v>
      </x:c>
      <x:c r="B17" s="1" t="str">
        <x:v>Underwriting!B22</x:v>
      </x:c>
    </x:row>
    <x:row r="18" ht="22" customHeight="1">
      <x:c r="A18" s="1" t="str">
        <x:v>OUTPUT ltv_limit</x:v>
      </x:c>
      <x:c r="B18" s="1" t="str">
        <x:v>'Loan Sizing'!B7</x:v>
      </x:c>
    </x:row>
    <x:row r="19" ht="22" customHeight="1">
      <x:c r="A19" s="1" t="str">
        <x:v>OUTPUT dscr_limit</x:v>
      </x:c>
      <x:c r="B19" s="1" t="str">
        <x:v>'Loan Sizing'!B8</x:v>
      </x:c>
    </x:row>
    <x:row r="20" ht="22" customHeight="1">
      <x:c r="A20" s="1" t="str">
        <x:v>OUTPUT debt_yield_limit</x:v>
      </x:c>
      <x:c r="B20" s="1" t="str">
        <x:v>'Loan Sizing'!B9</x:v>
      </x:c>
    </x:row>
    <x:row r="21" ht="22" customHeight="1">
      <x:c r="A21" s="1" t="str">
        <x:v>OUTPUT maximum_loan</x:v>
      </x:c>
      <x:c r="B21" s="1" t="str">
        <x:v>'Loan Sizing'!B10</x:v>
      </x:c>
    </x:row>
    <x:row r="22" ht="22" customHeight="1">
      <x:c r="A22" s="1" t="str">
        <x:v>OUTPUT binding_constraint</x:v>
      </x:c>
      <x:c r="B22" s="1" t="str">
        <x:v>'Loan Sizing'!B11</x:v>
      </x:c>
    </x:row>
    <x:row r="23" ht="22" customHeight="1">
      <x:c r="A23" s="1" t="str">
        <x:v>OUTPUT sizing_annual_debt_service</x:v>
      </x:c>
      <x:c r="B23" s="1" t="str">
        <x:v>'Loan Sizing'!B13</x:v>
      </x:c>
    </x:row>
    <x:row r="24" ht="22" customHeight="1">
      <x:c r="A24" s="1" t="str">
        <x:v>OUTPUT first_year_debt_service</x:v>
      </x:c>
      <x:c r="B24" s="1" t="str">
        <x:v>'Loan Sizing'!B19</x:v>
      </x:c>
    </x:row>
    <x:row r="25" ht="22" customHeight="1">
      <x:c r="A25" s="1" t="str">
        <x:v>OUTPUT cash_to_borrower</x:v>
      </x:c>
      <x:c r="B25" s="1" t="str">
        <x:v>'Sources and Uses'!B15</x:v>
      </x:c>
    </x:row>
    <x:row r="26" ht="22" customHeight="1">
      <x:c r="A26" s="1" t="str">
        <x:v>OUTPUT stress_uw_noi (EGI -5%)</x:v>
      </x:c>
      <x:c r="B26" s="1" t="str">
        <x:v>Sensitivity!C10</x:v>
      </x:c>
    </x:row>
    <x:row r="27" ht="22" customHeight="1">
      <x:c r="A27" s="1" t="str">
        <x:v>OUTPUT stress_maximum_loan (combined)</x:v>
      </x:c>
      <x:c r="B27" s="1" t="str">
        <x:v>Sensitivity!E18</x:v>
      </x:c>
    </x:row>
    <x:row r="28" ht="22" customHeight="1">
      <x:c r="A28" s="1" t="str">
        <x:v>OUTPUT T12 NOI before reserves / NCF</x:v>
      </x:c>
      <x:c r="B28" s="1" t="str">
        <x:v>'T12 Historical'!B19 / B21</x:v>
      </x:c>
    </x:row>
  </x:sheetData>
  <x:pageMargins left="0.7" right="0.7" top="0.75" bottom="0.75" header="0.3" footer="0.3"/>
</x:worksheet>
</file>