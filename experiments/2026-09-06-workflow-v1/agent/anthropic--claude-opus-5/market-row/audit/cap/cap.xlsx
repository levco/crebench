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<sst xmlns="http://schemas.openxmlformats.org/spreadsheetml/2006/main" count="274" uniqueCount="242">
  <si>
    <t xml:space="preserve">Market Row | Editable underwriting assumptions (as of 2026-08-31)</t>
  </si>
  <si>
    <t xml:space="preserve">Item</t>
  </si>
  <si>
    <t xml:space="preserve">Value</t>
  </si>
  <si>
    <t xml:space="preserve">Source / note</t>
  </si>
  <si>
    <t xml:space="preserve">Total rentable SF</t>
  </si>
  <si>
    <t xml:space="preserve">Rent-Roll.xlsx rows 7-14 (sum of Area SF)</t>
  </si>
  <si>
    <t xml:space="preserve">Gross potential base rent (annual, underwritten)</t>
  </si>
  <si>
    <t xml:space="preserve">Property-and-Plan.pdf p.2 - supplied scenario, not from T12</t>
  </si>
  <si>
    <t xml:space="preserve">Combined revenue loss % of gross potential rent</t>
  </si>
  <si>
    <t xml:space="preserve">Property-and-Plan.pdf p.2 - vacancy, concessions, bad debt</t>
  </si>
  <si>
    <t xml:space="preserve">Other income / recoveries (annual, underwritten)</t>
  </si>
  <si>
    <t xml:space="preserve">Property-and-Plan.pdf p.2 - added after revenue loss</t>
  </si>
  <si>
    <t xml:space="preserve">Capitalization rate</t>
  </si>
  <si>
    <t xml:space="preserve">Lender-Terms.pdf p.1 - NOI before reserves / 6.50%</t>
  </si>
  <si>
    <t xml:space="preserve">Contract rate (annual, fixed)</t>
  </si>
  <si>
    <t xml:space="preserve">Lender-Terms.pdf p.1</t>
  </si>
  <si>
    <t xml:space="preserve">Sizing rate floor</t>
  </si>
  <si>
    <t xml:space="preserve">Lender-Terms.pdf p.1 - greater of contract rate and 6.50%</t>
  </si>
  <si>
    <t xml:space="preserve">Sizing rate increment (stress lever, e.g. 0.01 = +100 bps)</t>
  </si>
  <si>
    <t xml:space="preserve">Reviewer lever; base case 0</t>
  </si>
  <si>
    <t xml:space="preserve">Sizing rate used = MAX(contract, floor) + increment</t>
  </si>
  <si>
    <t xml:space="preserve">Amortization (months)</t>
  </si>
  <si>
    <t xml:space="preserve">Lender-Terms.pdf p.1 - 25 years, monthly</t>
  </si>
  <si>
    <t xml:space="preserve">Interest-only period (months)</t>
  </si>
  <si>
    <t xml:space="preserve">Lender-Terms.pdf p.1 - 0 months</t>
  </si>
  <si>
    <t xml:space="preserve">Maximum LTV</t>
  </si>
  <si>
    <t xml:space="preserve">Minimum DSCR (NCF after reserves)</t>
  </si>
  <si>
    <t xml:space="preserve">Minimum debt yield (NOI before reserves)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</si>
  <si>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</si>
  <si>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</si>
  <si>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</si>
  <si>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</si>
  <si>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SF per year</t>
  </si>
  <si>
    <t xml:space="preserve">Management fee % of underwritten EGI (minimum test)</t>
  </si>
  <si>
    <t xml:space="preserve">T12 actual management fee (floor for UW fee)</t>
  </si>
  <si>
    <t xml:space="preserve">Cap-rate sensitivity increment</t>
  </si>
  <si>
    <t xml:space="preserve">EGI stress factor (0.95 = EGI -5%)</t>
  </si>
  <si>
    <t xml:space="preserve">Underwritten operating expenses (before reserves)</t>
  </si>
  <si>
    <t xml:space="preserve">Annual</t>
  </si>
  <si>
    <t xml:space="preserve">Treatment</t>
  </si>
  <si>
    <t xml:space="preserve">Real estate taxes</t>
  </si>
  <si>
    <t xml:space="preserve">Plan p.2: T12 $86,400 stepped to $90,000</t>
  </si>
  <si>
    <t xml:space="preserve">Property insurance</t>
  </si>
  <si>
    <t xml:space="preserve">Plan p.2: renewal allowance in scenario (T12 $25,200)</t>
  </si>
  <si>
    <t xml:space="preserve">Utilities</t>
  </si>
  <si>
    <t xml:space="preserve">Plan p.2: T12 actual</t>
  </si>
  <si>
    <t xml:space="preserve">Repairs and maintenance</t>
  </si>
  <si>
    <t xml:space="preserve">Plan p.2: T12 $28,800 less $4,800 one-time casualty cleanup</t>
  </si>
  <si>
    <t xml:space="preserve">Payroll / contract labor</t>
  </si>
  <si>
    <t xml:space="preserve">Administrative / legal</t>
  </si>
  <si>
    <t xml:space="preserve">Subtotal, expenses other than management fee</t>
  </si>
  <si>
    <t xml:space="preserve">Market Row | Rent roll as of 2026-08-31 reconciled to executed lease amendment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</si>
  <si>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</si>
  <si>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</si>
  <si>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</si>
  <si>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</si>
  <si>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 base</t>
  </si>
  <si>
    <t xml:space="preserve">Amendment adjustment</t>
  </si>
  <si>
    <t xml:space="preserve">Effective monthly base</t>
  </si>
  <si>
    <t xml:space="preserve">Authoritative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</si>
  <si>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</si>
  <si>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</si>
  <si>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</si>
  <si>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</si>
  <si>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</si>
  <si>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</si>
  <si>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</si>
  <si>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</si>
  <si>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</si>
  <si>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</si>
  <si>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</si>
  <si>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</si>
  <si>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</si>
  <si>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</si>
  <si>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</si>
  <si>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</si>
  <si>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</si>
  <si>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</si>
  <si>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</si>
  <si>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</si>
  <si>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</si>
  <si>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</si>
  <si>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n/a</t>
  </si>
  <si>
    <t xml:space="preserve">Total</t>
  </si>
  <si>
    <t xml:space="preserve">Occupancy metrics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</si>
  <si>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</si>
  <si>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</si>
  <si>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</si>
  <si>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</si>
  <si>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(%)</t>
  </si>
  <si>
    <t xml:space="preserve">Occupancy by area (%)</t>
  </si>
  <si>
    <t xml:space="preserve">Rent roll monthly base as printed</t>
  </si>
  <si>
    <t xml:space="preserve">Effective monthly base after executed first amendment</t>
  </si>
  <si>
    <t xml:space="preserve">Annualized effective contractual base rent (context only)</t>
  </si>
  <si>
    <t xml:space="preserve">Unit 101 is reconciled to the executed first amendment (Lease-File.pdf p.2, signed 2026-07-20, effective 2026-08-01): $7,500/month. The unsigned broker proposal ($8,000/month, extension to 2033) is not authoritative and is excluded.</t>
  </si>
  <si>
    <t xml:space="preserve">Vacant suite 108 carries market rent of $5,200/month for context only; no contractual rent is included.</t>
  </si>
  <si>
    <t xml:space="preserve">Historical T12 | September 2025 - August 2026 actuals (T12-Statement.pdf p.1-2)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</si>
  <si>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</si>
  <si>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</si>
  <si>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</si>
  <si>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</si>
  <si>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T12 p.2 Annual column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</si>
  <si>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</si>
  <si>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</si>
  <si>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</si>
  <si>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</si>
  <si>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</si>
  <si>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Includes $4,800 one-time casualty cleanup per plan p.2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</si>
  <si>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</si>
  <si>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</si>
  <si>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</si>
  <si>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</si>
  <si>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</si>
  <si>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 cash flow (reconciliation only, not operating expenses)</t>
  </si>
  <si>
    <t xml:space="preserve">Capital improvements</t>
  </si>
  <si>
    <t xml:space="preserve">Loan principal and interest (existing debt)</t>
  </si>
  <si>
    <t xml:space="preserve">Depreciation (noncash)</t>
  </si>
  <si>
    <t xml:space="preserve">The accounting package may label cash flow after reserves as 'property NOI'. Per Property-and-Plan.pdf p.1, NOI before reserves ($507,600) and NCF after reserves ($498,400) are reported separately; capex, debt service and depreciation are excluded from operating expense.</t>
  </si>
  <si>
    <t xml:space="preserve">T12 expense ratio</t>
  </si>
  <si>
    <t xml:space="preserve">Underwritten cash flow | supplied scenario, September 2026 forward (Property-and-Plan.pdf p.2)</t>
  </si>
  <si>
    <t xml:space="preserve">Gross potential base rent (annual)</t>
  </si>
  <si>
    <t xml:space="preserve">Less combined revenue loss (vacancy, concessions, bad debt)</t>
  </si>
  <si>
    <t xml:space="preserve">Effective base rental income</t>
  </si>
  <si>
    <t xml:space="preserve">Underwritten EGI</t>
  </si>
  <si>
    <t xml:space="preserve">Management fee (greater of T12 actual and 4.00% of UW EGI)</t>
  </si>
  <si>
    <t xml:space="preserve">Underwritten operating expenses before reserves</t>
  </si>
  <si>
    <t xml:space="preserve">Underwritten NOI before replacement reserves</t>
  </si>
  <si>
    <t xml:space="preserve">Replacement reserves ($/SF x total SF)</t>
  </si>
  <si>
    <t xml:space="preserve">Underwritten NCF after replacement reserves</t>
  </si>
  <si>
    <t xml:space="preserve">Indicative capitalization value (UW NOI before reserves / cap rate)</t>
  </si>
  <si>
    <t xml:space="preserve">Underwritten expense ratio</t>
  </si>
  <si>
    <t xml:space="preserve">Value per SF</t>
  </si>
  <si>
    <t xml:space="preserve">The underwriting scenario is supplied by the plan and is not a lender-approved forecast; it is not reconciled to and should not be forced to equal T12 actuals or annualized point-in-time rent roll.</t>
  </si>
  <si>
    <t xml:space="preserve">Loan sizing | Lender-Terms.pdf p.1 definitions</t>
  </si>
  <si>
    <t xml:space="preserve">Sizing rate (greater of contract rate and 6.50% floor, plus increment)</t>
  </si>
  <si>
    <t xml:space="preserve">Annual debt constant per $1 of principal (12 monthly payments)</t>
  </si>
  <si>
    <t xml:space="preserve">LTV limit (65.00% x indicative value)</t>
  </si>
  <si>
    <t xml:space="preserve">DSCR limit ((UW NCF / 1.25x) / annual debt constant)</t>
  </si>
  <si>
    <t xml:space="preserve">Debt yield limit (UW NOI before reserves / 9.00%)</t>
  </si>
  <si>
    <t xml:space="preserve">Maximum loan (lowest constraint)</t>
  </si>
  <si>
    <t xml:space="preserve">Binding constraint</t>
  </si>
  <si>
    <t xml:space="preserve">Sizing annual debt service (max loan x annual debt constant)</t>
  </si>
  <si>
    <t xml:space="preserve">Sizing DSCR (UW NCF / sizing annual debt service)</t>
  </si>
  <si>
    <t xml:space="preserve">Sizing debt yield (UW NOI before reserves / max loan)</t>
  </si>
  <si>
    <t xml:space="preserve">LTV at maximum loan</t>
  </si>
  <si>
    <t xml:space="preserve">Contract rate</t>
  </si>
  <si>
    <t xml:space="preserve">First-year contractual debt service (IO months observed)</t>
  </si>
  <si>
    <t xml:space="preserve">First-year DSCR on UW NCF at contract rate</t>
  </si>
  <si>
    <t xml:space="preserve">Monthly contractual payment at contract rate</t>
  </si>
  <si>
    <t xml:space="preserve">Difference: sizing debt service less first-year contractual debt service</t>
  </si>
  <si>
    <t xml:space="preserve">IO period is 0 months, so first-year contractual debt service is fully amortizing at the 6.25% contract rate, while sizing uses the 6.50% sizing rate.</t>
  </si>
  <si>
    <t xml:space="preserve">Sources and uses at maximum loan</t>
  </si>
  <si>
    <t xml:space="preserve">Sources</t>
  </si>
  <si>
    <t xml:space="preserve">Amount</t>
  </si>
  <si>
    <t xml:space="preserve">New first mortgage (maximum loan)</t>
  </si>
  <si>
    <t xml:space="preserve">Borrower cash in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</si>
  <si>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</si>
  <si>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</si>
  <si>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</si>
  <si>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(cash-out)</t>
  </si>
  <si>
    <t xml:space="preserve">Total uses</t>
  </si>
  <si>
    <t xml:space="preserve">Net cash to (from) borrower; negative = cash in</t>
  </si>
  <si>
    <t xml:space="preserve">No fee capitalization, interest reserve, holdback or earn-out is assumed (Lender-Terms.pdf p.1).</t>
  </si>
  <si>
    <t xml:space="preserve">Sensitivity | EGI -5%, cap rate +50 bps, and combined EGI -5% with sizing rate +100 bps</t>
  </si>
  <si>
    <t xml:space="preserve">Base case</t>
  </si>
  <si>
    <t xml:space="preserve">EGI -5%</t>
  </si>
  <si>
    <t xml:space="preserve">Cap rate +50 bps</t>
  </si>
  <si>
    <t xml:space="preserve">Combined: EGI -5% and rate +100 bps</t>
  </si>
  <si>
    <t xml:space="preserve">EGI factor</t>
  </si>
  <si>
    <t xml:space="preserve">Cap rate</t>
  </si>
  <si>
    <t xml:space="preserve">Sizing rate</t>
  </si>
  <si>
    <t xml:space="preserve">EGI</t>
  </si>
  <si>
    <t xml:space="preserve">Operating expenses other than management fee</t>
  </si>
  <si>
    <t xml:space="preserve">Management fee (recomputed minimum)</t>
  </si>
  <si>
    <t xml:space="preserve">NOI before reserves</t>
  </si>
  <si>
    <t xml:space="preserve">Replacement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</si>
  <si>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</si>
  <si>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</si>
  <si>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</si>
  <si>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</si>
  <si>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</si>
  <si>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</si>
  <si>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</si>
  <si>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Change in maximum loan vs base</t>
  </si>
  <si>
    <t xml:space="preserve">Per plan p.2: in the combined downside the cap rate is unchanged; the cap-rate sensitivity (+50 bps) is run separately.</t>
  </si>
  <si>
    <t xml:space="preserve">Input and output location map</t>
  </si>
  <si>
    <t xml:space="preserve">Cell</t>
  </si>
  <si>
    <t xml:space="preserve">Description</t>
  </si>
  <si>
    <t xml:space="preserve">INPUT cap_rate</t>
  </si>
  <si>
    <t xml:space="preserve">Assumptions!B8</t>
  </si>
  <si>
    <t xml:space="preserve">Valuation cap rate; drives value and LTV limit</t>
  </si>
  <si>
    <t xml:space="preserve">INPUT sizing_rate_increment</t>
  </si>
  <si>
    <t xml:space="preserve">Assumptions!B11</t>
  </si>
  <si>
    <t xml:space="preserve">Added to MAX(contract rate, 6.50% floor) in Assumptions!B12</t>
  </si>
  <si>
    <t xml:space="preserve">INPUT egi_gross_potential_rent</t>
  </si>
  <si>
    <t xml:space="preserve">Assumptions!B5</t>
  </si>
  <si>
    <t xml:space="preserve">Underwritten gross potential base rent; loss % held constant</t>
  </si>
  <si>
    <t xml:space="preserve">INPUT egi_other_income</t>
  </si>
  <si>
    <t xml:space="preserve">Assumptions!B7</t>
  </si>
  <si>
    <t xml:space="preserve">Other income / recoveries added after revenue loss</t>
  </si>
  <si>
    <t xml:space="preserve">INPUT revenue loss %</t>
  </si>
  <si>
    <t xml:space="preserve">Assumptions!B6</t>
  </si>
  <si>
    <t xml:space="preserve">INPUT contract rate</t>
  </si>
  <si>
    <t xml:space="preserve">Assumptions!B9</t>
  </si>
  <si>
    <t xml:space="preserve">INPUT amortization months</t>
  </si>
  <si>
    <t xml:space="preserve">Assumptions!B13</t>
  </si>
  <si>
    <t xml:space="preserve">INPUT IO months</t>
  </si>
  <si>
    <t xml:space="preserve">Assumptions!B14</t>
  </si>
  <si>
    <t xml:space="preserve">INPUT cap-rate sensitivity increment</t>
  </si>
  <si>
    <t xml:space="preserve">Assumptions!B24</t>
  </si>
  <si>
    <t xml:space="preserve">INPUT EGI stress factor</t>
  </si>
  <si>
    <t xml:space="preserve">Assumptions!B25</t>
  </si>
  <si>
    <t xml:space="preserve">OUTPUT uw_egi</t>
  </si>
  <si>
    <t xml:space="preserve">Underwriting!B7</t>
  </si>
  <si>
    <t xml:space="preserve">OUTPUT uw_noi_before_reserves</t>
  </si>
  <si>
    <t xml:space="preserve">Underwriting!B17</t>
  </si>
  <si>
    <t xml:space="preserve">OUTPUT uw_ncf</t>
  </si>
  <si>
    <t xml:space="preserve">Underwriting!B19</t>
  </si>
  <si>
    <t xml:space="preserve">OUTPUT capitalization_value</t>
  </si>
  <si>
    <t xml:space="preserve">Underwriting!B22</t>
  </si>
  <si>
    <t xml:space="preserve">OUTPUT ltv_limit</t>
  </si>
  <si>
    <t xml:space="preserve">'Loan Sizing'!B7</t>
  </si>
  <si>
    <t xml:space="preserve">OUTPUT dscr_limit</t>
  </si>
  <si>
    <t xml:space="preserve">'Loan Sizing'!B8</t>
  </si>
  <si>
    <t xml:space="preserve">OUTPUT debt_yield_limit</t>
  </si>
  <si>
    <t xml:space="preserve">'Loan Sizing'!B9</t>
  </si>
  <si>
    <t xml:space="preserve">OUTPUT maximum_loan</t>
  </si>
  <si>
    <t xml:space="preserve">'Loan Sizing'!B10</t>
  </si>
  <si>
    <t xml:space="preserve">OUTPUT binding_constraint</t>
  </si>
  <si>
    <t xml:space="preserve">'Loan Sizing'!B11</t>
  </si>
  <si>
    <t xml:space="preserve">OUTPUT sizing_annual_debt_service</t>
  </si>
  <si>
    <t xml:space="preserve">'Loan Sizing'!B13</t>
  </si>
  <si>
    <t xml:space="preserve">OUTPUT first_year_debt_service</t>
  </si>
  <si>
    <t xml:space="preserve">'Loan Sizing'!B19</t>
  </si>
  <si>
    <t xml:space="preserve">OUTPUT cash_to_borrower</t>
  </si>
  <si>
    <t xml:space="preserve">'Sources and Uses'!B15</t>
  </si>
  <si>
    <t xml:space="preserve">OUTPUT stress_uw_noi (EGI -5%)</t>
  </si>
  <si>
    <t xml:space="preserve">Sensitivity!C10</t>
  </si>
  <si>
    <t xml:space="preserve">OUTPUT stress_maximum_loan (combined)</t>
  </si>
  <si>
    <t xml:space="preserve">Sensitivity!E18</t>
  </si>
  <si>
    <t xml:space="preserve">OUTPUT T12 NOI before reserves / NCF</t>
  </si>
  <si>
    <t xml:space="preserve">'T12 Historical'!B19 / B21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</si>
</sst>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#,##0.00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23000</v>
      </c>
      <c r="C4" s="5" t="s">
        <v>5</v>
      </c>
    </row>
    <row r="5" customFormat="false" ht="36" hidden="false" customHeight="true" outlineLevel="0" collapsed="false">
      <c r="A5" s="3" t="s">
        <v>6</v>
      </c>
      <c r="B5" s="4" t="n">
        <v>657600</v>
      </c>
      <c r="C5" s="5" t="s">
        <v>7</v>
      </c>
    </row>
    <row r="6" customFormat="false" ht="36" hidden="false" customHeight="true" outlineLevel="0" collapsed="false">
      <c r="A6" s="3" t="s">
        <v>8</v>
      </c>
      <c r="B6" s="6" t="n">
        <v>0.06</v>
      </c>
      <c r="C6" s="5" t="s">
        <v>9</v>
      </c>
    </row>
    <row r="7" customFormat="false" ht="36" hidden="false" customHeight="true" outlineLevel="0" collapsed="false">
      <c r="A7" s="3" t="s">
        <v>10</v>
      </c>
      <c r="B7" s="4" t="n">
        <v>150000</v>
      </c>
      <c r="C7" s="5" t="s">
        <v>11</v>
      </c>
    </row>
    <row r="8" customFormat="false" ht="36" hidden="false" customHeight="true" outlineLevel="0" collapsed="false">
      <c r="A8" s="3" t="s">
        <v>12</v>
      </c>
      <c r="B8" s="7" t="n">
        <v>0.07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0.0625</v>
      </c>
      <c r="C9" s="5" t="s">
        <v>15</v>
      </c>
    </row>
    <row r="10" customFormat="false" ht="36" hidden="false" customHeight="true" outlineLevel="0" collapsed="false">
      <c r="A10" s="3" t="s">
        <v>16</v>
      </c>
      <c r="B10" s="7" t="n">
        <v>0.065</v>
      </c>
      <c r="C10" s="5" t="s">
        <v>17</v>
      </c>
    </row>
    <row r="11" customFormat="false" ht="36" hidden="false" customHeight="true" outlineLevel="0" collapsed="false">
      <c r="A11" s="3" t="s">
        <v>18</v>
      </c>
      <c r="B11" s="7" t="n">
        <v>0</v>
      </c>
      <c r="C11" s="5" t="s">
        <v>19</v>
      </c>
    </row>
    <row r="12" customFormat="false" ht="22" hidden="false" customHeight="true" outlineLevel="0" collapsed="false">
      <c r="A12" s="8" t="s">
        <v>20</v>
      </c>
      <c r="B12" s="9" t="n">
        <f aca="false">MAX(B9,B10)+B11</f>
        <v>0.065</v>
      </c>
    </row>
    <row r="13" customFormat="false" ht="36" hidden="false" customHeight="true" outlineLevel="0" collapsed="false">
      <c r="A13" s="3" t="s">
        <v>21</v>
      </c>
      <c r="B13" s="4" t="n">
        <v>300</v>
      </c>
      <c r="C13" s="5" t="s">
        <v>22</v>
      </c>
    </row>
    <row r="14" customFormat="false" ht="36" hidden="false" customHeight="true" outlineLevel="0" collapsed="false">
      <c r="A14" s="3" t="s">
        <v>23</v>
      </c>
      <c r="B14" s="4" t="n">
        <v>0</v>
      </c>
      <c r="C14" s="5" t="s">
        <v>24</v>
      </c>
    </row>
    <row r="15" customFormat="false" ht="22" hidden="false" customHeight="true" outlineLevel="0" collapsed="false">
      <c r="A15" s="3" t="s">
        <v>25</v>
      </c>
      <c r="B15" s="6" t="n">
        <v>0.65</v>
      </c>
    </row>
    <row r="16" customFormat="false" ht="22" hidden="false" customHeight="true" outlineLevel="0" collapsed="false">
      <c r="A16" s="3" t="s">
        <v>26</v>
      </c>
      <c r="B16" s="10" t="n">
        <v>1.25</v>
      </c>
    </row>
    <row r="17" customFormat="false" ht="22" hidden="false" customHeight="true" outlineLevel="0" collapsed="false">
      <c r="A17" s="3" t="s">
        <v>27</v>
      </c>
      <c r="B17" s="6" t="n">
        <v>0.09</v>
      </c>
    </row>
    <row r="18" customFormat="false" ht="22" hidden="false" customHeight="true" outlineLevel="0" collapsed="false">
      <c r="A18" s="3" t="s">
        <v>28</v>
      </c>
      <c r="B18" s="6" t="n">
        <v>0.01</v>
      </c>
    </row>
    <row r="19" customFormat="false" ht="36" hidden="false" customHeight="true" outlineLevel="0" collapsed="false">
      <c r="A19" s="3" t="s">
        <v>29</v>
      </c>
      <c r="B19" s="4" t="n">
        <v>48000</v>
      </c>
      <c r="C19" s="5" t="s">
        <v>30</v>
      </c>
    </row>
    <row r="20" customFormat="false" ht="36" hidden="false" customHeight="true" outlineLevel="0" collapsed="false">
      <c r="A20" s="3" t="s">
        <v>31</v>
      </c>
      <c r="B20" s="4" t="n">
        <v>3400000</v>
      </c>
      <c r="C20" s="5" t="s">
        <v>30</v>
      </c>
    </row>
    <row r="21" customFormat="false" ht="22" hidden="false" customHeight="true" outlineLevel="0" collapsed="false">
      <c r="A21" s="3" t="s">
        <v>32</v>
      </c>
      <c r="B21" s="10" t="n">
        <v>0.2</v>
      </c>
    </row>
    <row r="22" customFormat="false" ht="22" hidden="false" customHeight="true" outlineLevel="0" collapsed="false">
      <c r="A22" s="3" t="s">
        <v>33</v>
      </c>
      <c r="B22" s="6" t="n">
        <v>0.04</v>
      </c>
    </row>
    <row r="23" customFormat="false" ht="22" hidden="false" customHeight="true" outlineLevel="0" collapsed="false">
      <c r="A23" s="3" t="s">
        <v>34</v>
      </c>
      <c r="B23" s="4" t="n">
        <v>24000</v>
      </c>
    </row>
    <row r="24" customFormat="false" ht="22" hidden="false" customHeight="true" outlineLevel="0" collapsed="false">
      <c r="A24" s="3" t="s">
        <v>35</v>
      </c>
      <c r="B24" s="7" t="n">
        <v>0.005</v>
      </c>
    </row>
    <row r="25" customFormat="false" ht="22" hidden="false" customHeight="true" outlineLevel="0" collapsed="false">
      <c r="A25" s="3" t="s">
        <v>36</v>
      </c>
      <c r="B25" s="10" t="n">
        <v>0.95</v>
      </c>
    </row>
    <row r="27" customFormat="false" ht="25" hidden="false" customHeight="true" outlineLevel="0" collapsed="false">
      <c r="A27" s="2" t="s">
        <v>37</v>
      </c>
      <c r="B27" s="2" t="s">
        <v>38</v>
      </c>
      <c r="C27" s="2" t="s">
        <v>39</v>
      </c>
    </row>
    <row r="28" customFormat="false" ht="36" hidden="false" customHeight="true" outlineLevel="0" collapsed="false">
      <c r="A28" s="3" t="s">
        <v>40</v>
      </c>
      <c r="B28" s="4" t="n">
        <v>90000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27600</v>
      </c>
      <c r="C29" s="5" t="s">
        <v>43</v>
      </c>
    </row>
    <row r="30" customFormat="false" ht="36" hidden="false" customHeight="true" outlineLevel="0" collapsed="false">
      <c r="A30" s="3" t="s">
        <v>44</v>
      </c>
      <c r="B30" s="4" t="n">
        <v>19200</v>
      </c>
      <c r="C30" s="5" t="s">
        <v>45</v>
      </c>
    </row>
    <row r="31" customFormat="false" ht="36" hidden="false" customHeight="true" outlineLevel="0" collapsed="false">
      <c r="A31" s="3" t="s">
        <v>46</v>
      </c>
      <c r="B31" s="4" t="n">
        <v>24000</v>
      </c>
      <c r="C31" s="5" t="s">
        <v>47</v>
      </c>
    </row>
    <row r="32" customFormat="false" ht="36" hidden="false" customHeight="true" outlineLevel="0" collapsed="false">
      <c r="A32" s="3" t="s">
        <v>48</v>
      </c>
      <c r="B32" s="4" t="n">
        <v>18000</v>
      </c>
      <c r="C32" s="5" t="s">
        <v>45</v>
      </c>
    </row>
    <row r="33" customFormat="false" ht="36" hidden="false" customHeight="true" outlineLevel="0" collapsed="false">
      <c r="A33" s="3" t="s">
        <v>49</v>
      </c>
      <c r="B33" s="4" t="n">
        <v>14400</v>
      </c>
      <c r="C33" s="5" t="s">
        <v>45</v>
      </c>
    </row>
    <row r="34" customFormat="false" ht="22" hidden="false" customHeight="true" outlineLevel="0" collapsed="false">
      <c r="A34" s="8" t="s">
        <v>50</v>
      </c>
      <c r="B34" s="11" t="n">
        <f aca="false">SUM(B28:B33)</f>
        <v>193200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7" hidden="false" customHeight="true" outlineLevel="0" collapsed="false">
      <c r="A1" s="1" t="s">
        <v>51</v>
      </c>
    </row>
    <row r="3" customFormat="false" ht="25" hidden="false" customHeight="tru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customFormat="false" ht="22" hidden="false" customHeight="true" outlineLevel="0" collapsed="false">
      <c r="A4" s="3" t="s">
        <v>60</v>
      </c>
      <c r="B4" s="3" t="s">
        <v>61</v>
      </c>
      <c r="C4" s="12" t="n">
        <v>1800</v>
      </c>
      <c r="D4" s="3" t="s">
        <v>62</v>
      </c>
      <c r="E4" s="12" t="n">
        <v>7000</v>
      </c>
      <c r="F4" s="12" t="n">
        <v>500</v>
      </c>
      <c r="G4" s="12" t="n">
        <f aca="false">E4+F4</f>
        <v>7500</v>
      </c>
      <c r="H4" s="3" t="s">
        <v>63</v>
      </c>
    </row>
    <row r="5" customFormat="false" ht="22" hidden="false" customHeight="true" outlineLevel="0" collapsed="false">
      <c r="A5" s="3" t="s">
        <v>64</v>
      </c>
      <c r="B5" s="3" t="s">
        <v>65</v>
      </c>
      <c r="C5" s="12" t="n">
        <v>2200</v>
      </c>
      <c r="D5" s="3" t="s">
        <v>62</v>
      </c>
      <c r="E5" s="12" t="n">
        <v>5500</v>
      </c>
      <c r="F5" s="12" t="n">
        <v>0</v>
      </c>
      <c r="G5" s="12" t="n">
        <f aca="false">E5+F5</f>
        <v>5500</v>
      </c>
      <c r="H5" s="3" t="s">
        <v>66</v>
      </c>
    </row>
    <row r="6" customFormat="false" ht="22" hidden="false" customHeight="true" outlineLevel="0" collapsed="false">
      <c r="A6" s="3" t="s">
        <v>67</v>
      </c>
      <c r="B6" s="3" t="s">
        <v>68</v>
      </c>
      <c r="C6" s="12" t="n">
        <v>2500</v>
      </c>
      <c r="D6" s="3" t="s">
        <v>62</v>
      </c>
      <c r="E6" s="12" t="n">
        <v>6000</v>
      </c>
      <c r="F6" s="12" t="n">
        <v>0</v>
      </c>
      <c r="G6" s="12" t="n">
        <f aca="false">E6+F6</f>
        <v>6000</v>
      </c>
      <c r="H6" s="3" t="s">
        <v>69</v>
      </c>
    </row>
    <row r="7" customFormat="false" ht="22" hidden="false" customHeight="true" outlineLevel="0" collapsed="false">
      <c r="A7" s="3" t="s">
        <v>70</v>
      </c>
      <c r="B7" s="3" t="s">
        <v>71</v>
      </c>
      <c r="C7" s="12" t="n">
        <v>3200</v>
      </c>
      <c r="D7" s="3" t="s">
        <v>62</v>
      </c>
      <c r="E7" s="12" t="n">
        <v>7200</v>
      </c>
      <c r="F7" s="12" t="n">
        <v>0</v>
      </c>
      <c r="G7" s="12" t="n">
        <f aca="false">E7+F7</f>
        <v>7200</v>
      </c>
      <c r="H7" s="3" t="s">
        <v>72</v>
      </c>
    </row>
    <row r="8" customFormat="false" ht="22" hidden="false" customHeight="true" outlineLevel="0" collapsed="false">
      <c r="A8" s="3" t="s">
        <v>73</v>
      </c>
      <c r="B8" s="3" t="s">
        <v>74</v>
      </c>
      <c r="C8" s="12" t="n">
        <v>4000</v>
      </c>
      <c r="D8" s="3" t="s">
        <v>62</v>
      </c>
      <c r="E8" s="12" t="n">
        <v>9000</v>
      </c>
      <c r="F8" s="12" t="n">
        <v>0</v>
      </c>
      <c r="G8" s="12" t="n">
        <f aca="false">E8+F8</f>
        <v>9000</v>
      </c>
      <c r="H8" s="3" t="s">
        <v>63</v>
      </c>
    </row>
    <row r="9" customFormat="false" ht="22" hidden="false" customHeight="true" outlineLevel="0" collapsed="false">
      <c r="A9" s="3" t="s">
        <v>75</v>
      </c>
      <c r="B9" s="3" t="s">
        <v>76</v>
      </c>
      <c r="C9" s="12" t="n">
        <v>5000</v>
      </c>
      <c r="D9" s="3" t="s">
        <v>62</v>
      </c>
      <c r="E9" s="12" t="n">
        <v>10500</v>
      </c>
      <c r="F9" s="12" t="n">
        <v>0</v>
      </c>
      <c r="G9" s="12" t="n">
        <f aca="false">E9+F9</f>
        <v>10500</v>
      </c>
      <c r="H9" s="3" t="s">
        <v>77</v>
      </c>
    </row>
    <row r="10" customFormat="false" ht="22" hidden="false" customHeight="true" outlineLevel="0" collapsed="false">
      <c r="A10" s="3" t="s">
        <v>78</v>
      </c>
      <c r="B10" s="3" t="s">
        <v>79</v>
      </c>
      <c r="C10" s="12" t="n">
        <v>1500</v>
      </c>
      <c r="D10" s="3" t="s">
        <v>62</v>
      </c>
      <c r="E10" s="12" t="n">
        <v>3400</v>
      </c>
      <c r="F10" s="12" t="n">
        <v>0</v>
      </c>
      <c r="G10" s="12" t="n">
        <f aca="false">E10+F10</f>
        <v>3400</v>
      </c>
      <c r="H10" s="3" t="s">
        <v>66</v>
      </c>
    </row>
    <row r="11" customFormat="false" ht="22" hidden="false" customHeight="true" outlineLevel="0" collapsed="false">
      <c r="A11" s="3" t="s">
        <v>80</v>
      </c>
      <c r="B11" s="3" t="s">
        <v>81</v>
      </c>
      <c r="C11" s="12" t="n">
        <v>2800</v>
      </c>
      <c r="D11" s="3" t="s">
        <v>81</v>
      </c>
      <c r="E11" s="12" t="n">
        <v>0</v>
      </c>
      <c r="F11" s="12" t="n">
        <v>0</v>
      </c>
      <c r="G11" s="12" t="n">
        <f aca="false">E11+F11</f>
        <v>0</v>
      </c>
      <c r="H11" s="3" t="s">
        <v>82</v>
      </c>
    </row>
    <row r="12" customFormat="false" ht="22" hidden="false" customHeight="true" outlineLevel="0" collapsed="false">
      <c r="A12" s="8" t="s">
        <v>83</v>
      </c>
      <c r="C12" s="11" t="n">
        <f aca="false">SUM(C4:C11)</f>
        <v>23000</v>
      </c>
      <c r="E12" s="11" t="n">
        <f aca="false">SUM(E4:E11)</f>
        <v>48600</v>
      </c>
      <c r="F12" s="11" t="n">
        <f aca="false">SUM(F4:F11)</f>
        <v>500</v>
      </c>
      <c r="G12" s="11" t="n">
        <f aca="false">SUM(G4:G11)</f>
        <v>49100</v>
      </c>
    </row>
    <row r="14" customFormat="false" ht="25" hidden="false" customHeight="true" outlineLevel="0" collapsed="false">
      <c r="A14" s="2" t="s">
        <v>84</v>
      </c>
    </row>
    <row r="15" customFormat="false" ht="22" hidden="false" customHeight="true" outlineLevel="0" collapsed="false">
      <c r="A15" s="3" t="s">
        <v>85</v>
      </c>
      <c r="B15" s="12" t="n">
        <f aca="false">COUNTA(A4:A11)</f>
        <v>8</v>
      </c>
    </row>
    <row r="16" customFormat="false" ht="22" hidden="false" customHeight="true" outlineLevel="0" collapsed="false">
      <c r="A16" s="3" t="s">
        <v>86</v>
      </c>
      <c r="B16" s="12" t="n">
        <f aca="false">COUNTIF(D4:D11,"Occupied")</f>
        <v>7</v>
      </c>
    </row>
    <row r="17" customFormat="false" ht="22" hidden="false" customHeight="true" outlineLevel="0" collapsed="false">
      <c r="A17" s="3" t="s">
        <v>87</v>
      </c>
      <c r="B17" s="12" t="n">
        <f aca="false">C12</f>
        <v>23000</v>
      </c>
    </row>
    <row r="18" customFormat="false" ht="22" hidden="false" customHeight="true" outlineLevel="0" collapsed="false">
      <c r="A18" s="3" t="s">
        <v>88</v>
      </c>
      <c r="B18" s="12" t="n">
        <f aca="false">SUMIF(D4:D11,"Occupied",C4:C11)</f>
        <v>20200</v>
      </c>
    </row>
    <row r="19" customFormat="false" ht="22" hidden="false" customHeight="true" outlineLevel="0" collapsed="false">
      <c r="A19" s="3" t="s">
        <v>89</v>
      </c>
      <c r="B19" s="13" t="n">
        <f aca="false">100*B16/B15</f>
        <v>87.5</v>
      </c>
    </row>
    <row r="20" customFormat="false" ht="22" hidden="false" customHeight="true" outlineLevel="0" collapsed="false">
      <c r="A20" s="3" t="s">
        <v>90</v>
      </c>
      <c r="B20" s="13" t="n">
        <f aca="false">100*B18/B17</f>
        <v>87.8260869565217</v>
      </c>
    </row>
    <row r="21" customFormat="false" ht="22" hidden="false" customHeight="true" outlineLevel="0" collapsed="false">
      <c r="A21" s="3" t="s">
        <v>91</v>
      </c>
      <c r="B21" s="12" t="n">
        <f aca="false">E12</f>
        <v>48600</v>
      </c>
    </row>
    <row r="22" customFormat="false" ht="22" hidden="false" customHeight="true" outlineLevel="0" collapsed="false">
      <c r="A22" s="3" t="s">
        <v>92</v>
      </c>
      <c r="B22" s="12" t="n">
        <f aca="false">G12</f>
        <v>49100</v>
      </c>
    </row>
    <row r="23" customFormat="false" ht="22" hidden="false" customHeight="true" outlineLevel="0" collapsed="false">
      <c r="A23" s="3" t="s">
        <v>93</v>
      </c>
      <c r="B23" s="12" t="n">
        <f aca="false">12*G12</f>
        <v>589200</v>
      </c>
    </row>
    <row r="25" customFormat="false" ht="36" hidden="false" customHeight="true" outlineLevel="0" collapsed="false">
      <c r="A25" s="5" t="s">
        <v>94</v>
      </c>
    </row>
    <row r="26" customFormat="false" ht="36" hidden="false" customHeight="true" outlineLevel="0" collapsed="false">
      <c r="A26" s="5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96</v>
      </c>
    </row>
    <row r="3" customFormat="false" ht="25" hidden="false" customHeight="true" outlineLevel="0" collapsed="false">
      <c r="A3" s="2" t="s">
        <v>97</v>
      </c>
      <c r="B3" s="2" t="s">
        <v>98</v>
      </c>
      <c r="C3" s="2" t="s">
        <v>99</v>
      </c>
    </row>
    <row r="4" customFormat="false" ht="36" hidden="false" customHeight="true" outlineLevel="0" collapsed="false">
      <c r="A4" s="3" t="s">
        <v>100</v>
      </c>
      <c r="B4" s="12" t="n">
        <v>645600</v>
      </c>
      <c r="C4" s="5" t="s">
        <v>101</v>
      </c>
    </row>
    <row r="5" customFormat="false" ht="22" hidden="false" customHeight="true" outlineLevel="0" collapsed="false">
      <c r="A5" s="3" t="s">
        <v>102</v>
      </c>
      <c r="B5" s="12" t="n">
        <v>-46800</v>
      </c>
    </row>
    <row r="6" customFormat="false" ht="22" hidden="false" customHeight="true" outlineLevel="0" collapsed="false">
      <c r="A6" s="3" t="s">
        <v>103</v>
      </c>
      <c r="B6" s="12" t="n">
        <v>-14400</v>
      </c>
    </row>
    <row r="7" customFormat="false" ht="22" hidden="false" customHeight="true" outlineLevel="0" collapsed="false">
      <c r="A7" s="3" t="s">
        <v>104</v>
      </c>
      <c r="B7" s="12" t="n">
        <v>-3600</v>
      </c>
    </row>
    <row r="8" customFormat="false" ht="22" hidden="false" customHeight="true" outlineLevel="0" collapsed="false">
      <c r="A8" s="3" t="s">
        <v>105</v>
      </c>
      <c r="B8" s="12" t="n">
        <v>142800</v>
      </c>
    </row>
    <row r="9" customFormat="false" ht="22" hidden="false" customHeight="true" outlineLevel="0" collapsed="false">
      <c r="A9" s="8" t="s">
        <v>106</v>
      </c>
      <c r="B9" s="11" t="n">
        <f aca="false">SUM(B4:B8)</f>
        <v>723600</v>
      </c>
    </row>
    <row r="11" customFormat="false" ht="22" hidden="false" customHeight="true" outlineLevel="0" collapsed="false">
      <c r="A11" s="3" t="s">
        <v>40</v>
      </c>
      <c r="B11" s="12" t="n">
        <v>86400</v>
      </c>
    </row>
    <row r="12" customFormat="false" ht="22" hidden="false" customHeight="true" outlineLevel="0" collapsed="false">
      <c r="A12" s="3" t="s">
        <v>42</v>
      </c>
      <c r="B12" s="12" t="n">
        <v>25200</v>
      </c>
    </row>
    <row r="13" customFormat="false" ht="22" hidden="false" customHeight="true" outlineLevel="0" collapsed="false">
      <c r="A13" s="3" t="s">
        <v>44</v>
      </c>
      <c r="B13" s="12" t="n">
        <v>19200</v>
      </c>
    </row>
    <row r="14" customFormat="false" ht="36" hidden="false" customHeight="true" outlineLevel="0" collapsed="false">
      <c r="A14" s="3" t="s">
        <v>46</v>
      </c>
      <c r="B14" s="12" t="n">
        <v>28800</v>
      </c>
      <c r="C14" s="5" t="s">
        <v>107</v>
      </c>
    </row>
    <row r="15" customFormat="false" ht="22" hidden="false" customHeight="true" outlineLevel="0" collapsed="false">
      <c r="A15" s="3" t="s">
        <v>48</v>
      </c>
      <c r="B15" s="12" t="n">
        <v>18000</v>
      </c>
    </row>
    <row r="16" customFormat="false" ht="22" hidden="false" customHeight="true" outlineLevel="0" collapsed="false">
      <c r="A16" s="3" t="s">
        <v>49</v>
      </c>
      <c r="B16" s="12" t="n">
        <v>14400</v>
      </c>
    </row>
    <row r="17" customFormat="false" ht="22" hidden="false" customHeight="true" outlineLevel="0" collapsed="false">
      <c r="A17" s="3" t="s">
        <v>108</v>
      </c>
      <c r="B17" s="12" t="n">
        <v>24000</v>
      </c>
    </row>
    <row r="18" customFormat="false" ht="22" hidden="false" customHeight="true" outlineLevel="0" collapsed="false">
      <c r="A18" s="8" t="s">
        <v>109</v>
      </c>
      <c r="B18" s="11" t="n">
        <f aca="false">SUM(B11:B17)</f>
        <v>216000</v>
      </c>
    </row>
    <row r="19" customFormat="false" ht="22" hidden="false" customHeight="true" outlineLevel="0" collapsed="false">
      <c r="A19" s="8" t="s">
        <v>110</v>
      </c>
      <c r="B19" s="11" t="n">
        <f aca="false">B9-B18</f>
        <v>507600</v>
      </c>
    </row>
    <row r="20" customFormat="false" ht="22" hidden="false" customHeight="true" outlineLevel="0" collapsed="false">
      <c r="A20" s="3" t="s">
        <v>111</v>
      </c>
      <c r="B20" s="12" t="n">
        <v>9200</v>
      </c>
    </row>
    <row r="21" customFormat="false" ht="22" hidden="false" customHeight="true" outlineLevel="0" collapsed="false">
      <c r="A21" s="8" t="s">
        <v>112</v>
      </c>
      <c r="B21" s="11" t="n">
        <f aca="false">B19-B20</f>
        <v>498400</v>
      </c>
    </row>
    <row r="23" customFormat="false" ht="25" hidden="false" customHeight="true" outlineLevel="0" collapsed="false">
      <c r="A23" s="2" t="s">
        <v>113</v>
      </c>
    </row>
    <row r="24" customFormat="false" ht="22" hidden="false" customHeight="true" outlineLevel="0" collapsed="false">
      <c r="A24" s="3" t="s">
        <v>114</v>
      </c>
      <c r="B24" s="12" t="n">
        <v>98000</v>
      </c>
    </row>
    <row r="25" customFormat="false" ht="22" hidden="false" customHeight="true" outlineLevel="0" collapsed="false">
      <c r="A25" s="3" t="s">
        <v>115</v>
      </c>
      <c r="B25" s="12" t="n">
        <v>294000</v>
      </c>
    </row>
    <row r="26" customFormat="false" ht="22" hidden="false" customHeight="true" outlineLevel="0" collapsed="false">
      <c r="A26" s="3" t="s">
        <v>116</v>
      </c>
      <c r="B26" s="12" t="n">
        <v>180000</v>
      </c>
    </row>
    <row r="28" customFormat="false" ht="36" hidden="false" customHeight="true" outlineLevel="0" collapsed="false">
      <c r="A28" s="5" t="s">
        <v>117</v>
      </c>
    </row>
    <row r="29" customFormat="false" ht="22" hidden="false" customHeight="true" outlineLevel="0" collapsed="false">
      <c r="A29" s="3" t="s">
        <v>118</v>
      </c>
      <c r="B29" s="14" t="n">
        <f aca="false">B18/B9</f>
        <v>0.298507462686567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119</v>
      </c>
    </row>
    <row r="3" customFormat="false" ht="22" hidden="false" customHeight="true" outlineLevel="0" collapsed="false">
      <c r="A3" s="3" t="s">
        <v>120</v>
      </c>
      <c r="B3" s="15" t="n">
        <f aca="false">Assumptions!B5</f>
        <v>657600</v>
      </c>
    </row>
    <row r="4" customFormat="false" ht="22" hidden="false" customHeight="true" outlineLevel="0" collapsed="false">
      <c r="A4" s="3" t="s">
        <v>121</v>
      </c>
      <c r="B4" s="15" t="n">
        <f aca="false">-Assumptions!B6*B3</f>
        <v>-39456</v>
      </c>
    </row>
    <row r="5" customFormat="false" ht="22" hidden="false" customHeight="true" outlineLevel="0" collapsed="false">
      <c r="A5" s="8" t="s">
        <v>122</v>
      </c>
      <c r="B5" s="11" t="n">
        <f aca="false">B3+B4</f>
        <v>618144</v>
      </c>
    </row>
    <row r="6" customFormat="false" ht="22" hidden="false" customHeight="true" outlineLevel="0" collapsed="false">
      <c r="A6" s="3" t="s">
        <v>105</v>
      </c>
      <c r="B6" s="15" t="n">
        <f aca="false">Assumptions!B7</f>
        <v>150000</v>
      </c>
    </row>
    <row r="7" customFormat="false" ht="22" hidden="false" customHeight="true" outlineLevel="0" collapsed="false">
      <c r="A7" s="8" t="s">
        <v>123</v>
      </c>
      <c r="B7" s="11" t="n">
        <f aca="false">B5+B6</f>
        <v>768144</v>
      </c>
    </row>
    <row r="9" customFormat="false" ht="22" hidden="false" customHeight="true" outlineLevel="0" collapsed="false">
      <c r="A9" s="3" t="s">
        <v>40</v>
      </c>
      <c r="B9" s="15" t="n">
        <f aca="false">Assumptions!B28</f>
        <v>90000</v>
      </c>
    </row>
    <row r="10" customFormat="false" ht="22" hidden="false" customHeight="true" outlineLevel="0" collapsed="false">
      <c r="A10" s="3" t="s">
        <v>42</v>
      </c>
      <c r="B10" s="15" t="n">
        <f aca="false">Assumptions!B29</f>
        <v>27600</v>
      </c>
    </row>
    <row r="11" customFormat="false" ht="22" hidden="false" customHeight="true" outlineLevel="0" collapsed="false">
      <c r="A11" s="3" t="s">
        <v>44</v>
      </c>
      <c r="B11" s="15" t="n">
        <f aca="false">Assumptions!B30</f>
        <v>19200</v>
      </c>
    </row>
    <row r="12" customFormat="false" ht="22" hidden="false" customHeight="true" outlineLevel="0" collapsed="false">
      <c r="A12" s="3" t="s">
        <v>46</v>
      </c>
      <c r="B12" s="15" t="n">
        <f aca="false">Assumptions!B31</f>
        <v>24000</v>
      </c>
    </row>
    <row r="13" customFormat="false" ht="22" hidden="false" customHeight="true" outlineLevel="0" collapsed="false">
      <c r="A13" s="3" t="s">
        <v>48</v>
      </c>
      <c r="B13" s="15" t="n">
        <f aca="false">Assumptions!B32</f>
        <v>18000</v>
      </c>
    </row>
    <row r="14" customFormat="false" ht="22" hidden="false" customHeight="true" outlineLevel="0" collapsed="false">
      <c r="A14" s="3" t="s">
        <v>49</v>
      </c>
      <c r="B14" s="15" t="n">
        <f aca="false">Assumptions!B33</f>
        <v>14400</v>
      </c>
    </row>
    <row r="15" customFormat="false" ht="22" hidden="false" customHeight="true" outlineLevel="0" collapsed="false">
      <c r="A15" s="3" t="s">
        <v>124</v>
      </c>
      <c r="B15" s="15" t="n">
        <f aca="false">MAX(Assumptions!B23,Assumptions!B22*B7)</f>
        <v>30725.76</v>
      </c>
    </row>
    <row r="16" customFormat="false" ht="22" hidden="false" customHeight="true" outlineLevel="0" collapsed="false">
      <c r="A16" s="8" t="s">
        <v>125</v>
      </c>
      <c r="B16" s="11" t="n">
        <f aca="false">SUM(B9:B15)</f>
        <v>223925.76</v>
      </c>
    </row>
    <row r="17" customFormat="false" ht="22" hidden="false" customHeight="true" outlineLevel="0" collapsed="false">
      <c r="A17" s="8" t="s">
        <v>126</v>
      </c>
      <c r="B17" s="11" t="n">
        <f aca="false">B7-B16</f>
        <v>544218.24</v>
      </c>
    </row>
    <row r="18" customFormat="false" ht="22" hidden="false" customHeight="true" outlineLevel="0" collapsed="false">
      <c r="A18" s="3" t="s">
        <v>127</v>
      </c>
      <c r="B18" s="15" t="n">
        <f aca="false">Assumptions!B21*Assumptions!B4</f>
        <v>4600</v>
      </c>
    </row>
    <row r="19" customFormat="false" ht="22" hidden="false" customHeight="true" outlineLevel="0" collapsed="false">
      <c r="A19" s="8" t="s">
        <v>128</v>
      </c>
      <c r="B19" s="11" t="n">
        <f aca="false">B17-B18</f>
        <v>539618.24</v>
      </c>
    </row>
    <row r="21" customFormat="false" ht="22" hidden="false" customHeight="true" outlineLevel="0" collapsed="false">
      <c r="A21" s="3" t="s">
        <v>12</v>
      </c>
      <c r="B21" s="16" t="n">
        <f aca="false">Assumptions!B8</f>
        <v>0.07</v>
      </c>
    </row>
    <row r="22" customFormat="false" ht="22" hidden="false" customHeight="true" outlineLevel="0" collapsed="false">
      <c r="A22" s="8" t="s">
        <v>129</v>
      </c>
      <c r="B22" s="11" t="n">
        <f aca="false">B17/B21</f>
        <v>7774546.28571428</v>
      </c>
    </row>
    <row r="23" customFormat="false" ht="22" hidden="false" customHeight="true" outlineLevel="0" collapsed="false">
      <c r="A23" s="3" t="s">
        <v>130</v>
      </c>
      <c r="B23" s="14" t="n">
        <f aca="false">B16/B7</f>
        <v>0.291515340873586</v>
      </c>
    </row>
    <row r="24" customFormat="false" ht="22" hidden="false" customHeight="true" outlineLevel="0" collapsed="false">
      <c r="A24" s="3" t="s">
        <v>131</v>
      </c>
      <c r="B24" s="17" t="n">
        <f aca="false">B22/Assumptions!B4</f>
        <v>338.023751552795</v>
      </c>
    </row>
    <row r="26" customFormat="false" ht="36" hidden="false" customHeight="true" outlineLevel="0" collapsed="false">
      <c r="A26" s="5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133</v>
      </c>
    </row>
    <row r="3" customFormat="false" ht="22" hidden="false" customHeight="true" outlineLevel="0" collapsed="false">
      <c r="A3" s="3" t="s">
        <v>134</v>
      </c>
      <c r="B3" s="16" t="n">
        <f aca="false">Assumptions!B12</f>
        <v>0.065</v>
      </c>
    </row>
    <row r="4" customFormat="false" ht="22" hidden="false" customHeight="true" outlineLevel="0" collapsed="false">
      <c r="A4" s="3" t="s">
        <v>21</v>
      </c>
      <c r="B4" s="15" t="n">
        <f aca="false">Assumptions!B13</f>
        <v>300</v>
      </c>
    </row>
    <row r="5" customFormat="false" ht="22" hidden="false" customHeight="true" outlineLevel="0" collapsed="false">
      <c r="A5" s="3" t="s">
        <v>135</v>
      </c>
      <c r="B5" s="18" t="n">
        <f aca="false">12*-PMT(B3/12,B4,1)</f>
        <v>0.0810248593617168</v>
      </c>
    </row>
    <row r="7" customFormat="false" ht="22" hidden="false" customHeight="true" outlineLevel="0" collapsed="false">
      <c r="A7" s="8" t="s">
        <v>136</v>
      </c>
      <c r="B7" s="11" t="n">
        <f aca="false">Assumptions!B15*Underwriting!B22</f>
        <v>5053455.08571429</v>
      </c>
    </row>
    <row r="8" customFormat="false" ht="22" hidden="false" customHeight="true" outlineLevel="0" collapsed="false">
      <c r="A8" s="8" t="s">
        <v>137</v>
      </c>
      <c r="B8" s="11" t="n">
        <f aca="false">(Underwriting!B19/Assumptions!B16)/B5</f>
        <v>5327927.69281832</v>
      </c>
    </row>
    <row r="9" customFormat="false" ht="22" hidden="false" customHeight="true" outlineLevel="0" collapsed="false">
      <c r="A9" s="8" t="s">
        <v>138</v>
      </c>
      <c r="B9" s="11" t="n">
        <f aca="false">Underwriting!B17/Assumptions!B17</f>
        <v>6046869.33333333</v>
      </c>
    </row>
    <row r="10" customFormat="false" ht="22" hidden="false" customHeight="true" outlineLevel="0" collapsed="false">
      <c r="A10" s="8" t="s">
        <v>139</v>
      </c>
      <c r="B10" s="11" t="n">
        <f aca="false">MIN(B7:B9)</f>
        <v>5053455.08571429</v>
      </c>
    </row>
    <row r="11" customFormat="false" ht="22" hidden="false" customHeight="true" outlineLevel="0" collapsed="false">
      <c r="A11" s="8" t="s">
        <v>140</v>
      </c>
      <c r="B11" s="8" t="str">
        <f aca="false">IF(B10=B8,"DSCR",IF(B10=B7,"LTV","Debt yield"))</f>
        <v>LTV</v>
      </c>
    </row>
    <row r="13" customFormat="false" ht="22" hidden="false" customHeight="true" outlineLevel="0" collapsed="false">
      <c r="A13" s="3" t="s">
        <v>141</v>
      </c>
      <c r="B13" s="12" t="n">
        <f aca="false">B10*B5</f>
        <v>409455.487610752</v>
      </c>
    </row>
    <row r="14" customFormat="false" ht="22" hidden="false" customHeight="true" outlineLevel="0" collapsed="false">
      <c r="A14" s="3" t="s">
        <v>142</v>
      </c>
      <c r="B14" s="19" t="n">
        <f aca="false">Underwriting!B19/B13</f>
        <v>1.3178923138844</v>
      </c>
    </row>
    <row r="15" customFormat="false" ht="22" hidden="false" customHeight="true" outlineLevel="0" collapsed="false">
      <c r="A15" s="3" t="s">
        <v>143</v>
      </c>
      <c r="B15" s="20" t="n">
        <f aca="false">Underwriting!B17/B10</f>
        <v>0.107692307692308</v>
      </c>
    </row>
    <row r="16" customFormat="false" ht="22" hidden="false" customHeight="true" outlineLevel="0" collapsed="false">
      <c r="A16" s="3" t="s">
        <v>144</v>
      </c>
      <c r="B16" s="20" t="n">
        <f aca="false">B10/Underwriting!B22</f>
        <v>0.65</v>
      </c>
    </row>
    <row r="18" customFormat="false" ht="22" hidden="false" customHeight="true" outlineLevel="0" collapsed="false">
      <c r="A18" s="3" t="s">
        <v>145</v>
      </c>
      <c r="B18" s="16" t="n">
        <f aca="false">Assumptions!B9</f>
        <v>0.0625</v>
      </c>
    </row>
    <row r="19" customFormat="false" ht="22" hidden="false" customHeight="true" outlineLevel="0" collapsed="false">
      <c r="A19" s="3" t="s">
        <v>146</v>
      </c>
      <c r="B19" s="15" t="n">
        <f aca="false">IF(Assumptions!B14&gt;=12,B10*B18,Assumptions!B14*B10*B18/12+(12-Assumptions!B14)*(-PMT(B18/12,B4,1)*B10))</f>
        <v>400033.148968336</v>
      </c>
    </row>
    <row r="20" customFormat="false" ht="22" hidden="false" customHeight="true" outlineLevel="0" collapsed="false">
      <c r="A20" s="3" t="s">
        <v>147</v>
      </c>
      <c r="B20" s="19" t="n">
        <f aca="false">Underwriting!B19/B19</f>
        <v>1.34893381058956</v>
      </c>
    </row>
    <row r="21" customFormat="false" ht="22" hidden="false" customHeight="true" outlineLevel="0" collapsed="false">
      <c r="A21" s="3" t="s">
        <v>148</v>
      </c>
      <c r="B21" s="12" t="n">
        <f aca="false">-PMT(B18/12,B4,B10)</f>
        <v>33336.0957473614</v>
      </c>
    </row>
    <row r="22" customFormat="false" ht="22" hidden="false" customHeight="true" outlineLevel="0" collapsed="false">
      <c r="A22" s="3" t="s">
        <v>149</v>
      </c>
      <c r="B22" s="12" t="n">
        <f aca="false">B13-B19</f>
        <v>9422.338642416</v>
      </c>
    </row>
    <row r="24" customFormat="false" ht="36" hidden="false" customHeight="true" outlineLevel="0" collapsed="false">
      <c r="A24" s="5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151</v>
      </c>
    </row>
    <row r="3" customFormat="false" ht="25" hidden="false" customHeight="true" outlineLevel="0" collapsed="false">
      <c r="A3" s="2" t="s">
        <v>152</v>
      </c>
      <c r="B3" s="2" t="s">
        <v>153</v>
      </c>
    </row>
    <row r="4" customFormat="false" ht="22" hidden="false" customHeight="true" outlineLevel="0" collapsed="false">
      <c r="A4" s="3" t="s">
        <v>154</v>
      </c>
      <c r="B4" s="15" t="n">
        <f aca="false">'Loan Sizing'!B10</f>
        <v>5053455.08571429</v>
      </c>
    </row>
    <row r="5" customFormat="false" ht="22" hidden="false" customHeight="true" outlineLevel="0" collapsed="false">
      <c r="A5" s="3" t="s">
        <v>155</v>
      </c>
      <c r="B5" s="15" t="n">
        <f aca="false">MAX(0,-(B4-Assumptions!B20-Assumptions!B18*B4-Assumptions!B19))</f>
        <v>0</v>
      </c>
    </row>
    <row r="6" customFormat="false" ht="22" hidden="false" customHeight="true" outlineLevel="0" collapsed="false">
      <c r="A6" s="8" t="s">
        <v>156</v>
      </c>
      <c r="B6" s="11" t="n">
        <f aca="false">B4+B5</f>
        <v>5053455.08571429</v>
      </c>
    </row>
    <row r="8" customFormat="false" ht="25" hidden="false" customHeight="true" outlineLevel="0" collapsed="false">
      <c r="A8" s="2" t="s">
        <v>157</v>
      </c>
    </row>
    <row r="9" customFormat="false" ht="22" hidden="false" customHeight="true" outlineLevel="0" collapsed="false">
      <c r="A9" s="3" t="s">
        <v>31</v>
      </c>
      <c r="B9" s="15" t="n">
        <f aca="false">Assumptions!B20</f>
        <v>3400000</v>
      </c>
    </row>
    <row r="10" customFormat="false" ht="22" hidden="false" customHeight="true" outlineLevel="0" collapsed="false">
      <c r="A10" s="3" t="s">
        <v>158</v>
      </c>
      <c r="B10" s="15" t="n">
        <f aca="false">Assumptions!B18*B4</f>
        <v>50534.5508571429</v>
      </c>
    </row>
    <row r="11" customFormat="false" ht="22" hidden="false" customHeight="true" outlineLevel="0" collapsed="false">
      <c r="A11" s="3" t="s">
        <v>29</v>
      </c>
      <c r="B11" s="15" t="n">
        <f aca="false">Assumptions!B19</f>
        <v>48000</v>
      </c>
    </row>
    <row r="12" customFormat="false" ht="22" hidden="false" customHeight="true" outlineLevel="0" collapsed="false">
      <c r="A12" s="3" t="s">
        <v>159</v>
      </c>
      <c r="B12" s="12" t="n">
        <f aca="false">MAX(0,B4-B9-B10-B11)</f>
        <v>1554920.53485714</v>
      </c>
    </row>
    <row r="13" customFormat="false" ht="22" hidden="false" customHeight="true" outlineLevel="0" collapsed="false">
      <c r="A13" s="8" t="s">
        <v>160</v>
      </c>
      <c r="B13" s="11" t="n">
        <f aca="false">SUM(B9:B12)</f>
        <v>5053455.08571429</v>
      </c>
    </row>
    <row r="15" customFormat="false" ht="22" hidden="false" customHeight="true" outlineLevel="0" collapsed="false">
      <c r="A15" s="8" t="s">
        <v>161</v>
      </c>
      <c r="B15" s="11" t="n">
        <f aca="false">B4-Assumptions!B20-Assumptions!B18*B4-Assumptions!B19</f>
        <v>1554920.53485714</v>
      </c>
    </row>
    <row r="17" customFormat="false" ht="36" hidden="false" customHeight="true" outlineLevel="0" collapsed="false">
      <c r="A17" s="5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27" hidden="false" customHeight="true" outlineLevel="0" collapsed="false">
      <c r="A1" s="1" t="s">
        <v>163</v>
      </c>
    </row>
    <row r="3" customFormat="false" ht="25" hidden="false" customHeight="true" outlineLevel="0" collapsed="false">
      <c r="A3" s="2" t="s">
        <v>97</v>
      </c>
      <c r="B3" s="2" t="s">
        <v>164</v>
      </c>
      <c r="C3" s="2" t="s">
        <v>165</v>
      </c>
      <c r="D3" s="2" t="s">
        <v>166</v>
      </c>
      <c r="E3" s="2" t="s">
        <v>167</v>
      </c>
    </row>
    <row r="4" customFormat="false" ht="22" hidden="false" customHeight="true" outlineLevel="0" collapsed="false">
      <c r="A4" s="3" t="s">
        <v>168</v>
      </c>
      <c r="B4" s="13" t="n">
        <v>1</v>
      </c>
      <c r="C4" s="21" t="n">
        <f aca="false">Assumptions!B25</f>
        <v>0.95</v>
      </c>
      <c r="D4" s="13" t="n">
        <v>1</v>
      </c>
      <c r="E4" s="21" t="n">
        <f aca="false">Assumptions!B25</f>
        <v>0.95</v>
      </c>
    </row>
    <row r="5" customFormat="false" ht="22" hidden="false" customHeight="true" outlineLevel="0" collapsed="false">
      <c r="A5" s="3" t="s">
        <v>169</v>
      </c>
      <c r="B5" s="16" t="n">
        <f aca="false">Assumptions!B8</f>
        <v>0.07</v>
      </c>
      <c r="C5" s="16" t="n">
        <f aca="false">Assumptions!B8</f>
        <v>0.07</v>
      </c>
      <c r="D5" s="16" t="n">
        <f aca="false">Assumptions!B8+Assumptions!B24</f>
        <v>0.075</v>
      </c>
      <c r="E5" s="16" t="n">
        <f aca="false">Assumptions!B8</f>
        <v>0.07</v>
      </c>
    </row>
    <row r="6" customFormat="false" ht="22" hidden="false" customHeight="true" outlineLevel="0" collapsed="false">
      <c r="A6" s="3" t="s">
        <v>170</v>
      </c>
      <c r="B6" s="16" t="n">
        <f aca="false">'Loan Sizing'!B3</f>
        <v>0.065</v>
      </c>
      <c r="C6" s="16" t="n">
        <f aca="false">'Loan Sizing'!B3</f>
        <v>0.065</v>
      </c>
      <c r="D6" s="16" t="n">
        <f aca="false">'Loan Sizing'!B3</f>
        <v>0.065</v>
      </c>
      <c r="E6" s="16" t="n">
        <f aca="false">'Loan Sizing'!B3+0.01</f>
        <v>0.075</v>
      </c>
    </row>
    <row r="7" customFormat="false" ht="22" hidden="false" customHeight="true" outlineLevel="0" collapsed="false">
      <c r="A7" s="3" t="s">
        <v>171</v>
      </c>
      <c r="B7" s="15" t="n">
        <f aca="false">Underwriting!$B$7*B4</f>
        <v>768144</v>
      </c>
      <c r="C7" s="15" t="n">
        <f aca="false">Underwriting!$B$7*C4</f>
        <v>729736.8</v>
      </c>
      <c r="D7" s="15" t="n">
        <f aca="false">Underwriting!$B$7*D4</f>
        <v>768144</v>
      </c>
      <c r="E7" s="15" t="n">
        <f aca="false">Underwriting!$B$7*E4</f>
        <v>729736.8</v>
      </c>
    </row>
    <row r="8" customFormat="false" ht="22" hidden="false" customHeight="true" outlineLevel="0" collapsed="false">
      <c r="A8" s="3" t="s">
        <v>172</v>
      </c>
      <c r="B8" s="15" t="n">
        <f aca="false">Assumptions!$B$34</f>
        <v>193200</v>
      </c>
      <c r="C8" s="15" t="n">
        <f aca="false">Assumptions!$B$34</f>
        <v>193200</v>
      </c>
      <c r="D8" s="15" t="n">
        <f aca="false">Assumptions!$B$34</f>
        <v>193200</v>
      </c>
      <c r="E8" s="15" t="n">
        <f aca="false">Assumptions!$B$34</f>
        <v>193200</v>
      </c>
    </row>
    <row r="9" customFormat="false" ht="22" hidden="false" customHeight="true" outlineLevel="0" collapsed="false">
      <c r="A9" s="3" t="s">
        <v>173</v>
      </c>
      <c r="B9" s="15" t="n">
        <f aca="false">MAX(Assumptions!$B$23,Assumptions!$B$22*B7)</f>
        <v>30725.76</v>
      </c>
      <c r="C9" s="15" t="n">
        <f aca="false">MAX(Assumptions!$B$23,Assumptions!$B$22*C7)</f>
        <v>29189.472</v>
      </c>
      <c r="D9" s="15" t="n">
        <f aca="false">MAX(Assumptions!$B$23,Assumptions!$B$22*D7)</f>
        <v>30725.76</v>
      </c>
      <c r="E9" s="15" t="n">
        <f aca="false">MAX(Assumptions!$B$23,Assumptions!$B$22*E7)</f>
        <v>29189.472</v>
      </c>
    </row>
    <row r="10" customFormat="false" ht="22" hidden="false" customHeight="true" outlineLevel="0" collapsed="false">
      <c r="A10" s="8" t="s">
        <v>174</v>
      </c>
      <c r="B10" s="11" t="n">
        <f aca="false">B7-B8-B9</f>
        <v>544218.24</v>
      </c>
      <c r="C10" s="11" t="n">
        <f aca="false">C7-C8-C9</f>
        <v>507347.328</v>
      </c>
      <c r="D10" s="11" t="n">
        <f aca="false">D7-D8-D9</f>
        <v>544218.24</v>
      </c>
      <c r="E10" s="11" t="n">
        <f aca="false">E7-E8-E9</f>
        <v>507347.328</v>
      </c>
    </row>
    <row r="11" customFormat="false" ht="22" hidden="false" customHeight="true" outlineLevel="0" collapsed="false">
      <c r="A11" s="3" t="s">
        <v>175</v>
      </c>
      <c r="B11" s="15" t="n">
        <f aca="false">Underwriting!$B$18</f>
        <v>4600</v>
      </c>
      <c r="C11" s="15" t="n">
        <f aca="false">Underwriting!$B$18</f>
        <v>4600</v>
      </c>
      <c r="D11" s="15" t="n">
        <f aca="false">Underwriting!$B$18</f>
        <v>4600</v>
      </c>
      <c r="E11" s="15" t="n">
        <f aca="false">Underwriting!$B$18</f>
        <v>4600</v>
      </c>
    </row>
    <row r="12" customFormat="false" ht="22" hidden="false" customHeight="true" outlineLevel="0" collapsed="false">
      <c r="A12" s="8" t="s">
        <v>176</v>
      </c>
      <c r="B12" s="11" t="n">
        <f aca="false">B10-B11</f>
        <v>539618.24</v>
      </c>
      <c r="C12" s="11" t="n">
        <f aca="false">C10-C11</f>
        <v>502747.328</v>
      </c>
      <c r="D12" s="11" t="n">
        <f aca="false">D10-D11</f>
        <v>539618.24</v>
      </c>
      <c r="E12" s="11" t="n">
        <f aca="false">E10-E11</f>
        <v>502747.328</v>
      </c>
    </row>
    <row r="13" customFormat="false" ht="22" hidden="false" customHeight="true" outlineLevel="0" collapsed="false">
      <c r="A13" s="3" t="s">
        <v>177</v>
      </c>
      <c r="B13" s="12" t="n">
        <f aca="false">B10/B5</f>
        <v>7774546.28571428</v>
      </c>
      <c r="C13" s="12" t="n">
        <f aca="false">C10/C5</f>
        <v>7247818.97142857</v>
      </c>
      <c r="D13" s="12" t="n">
        <f aca="false">D10/D5</f>
        <v>7256243.2</v>
      </c>
      <c r="E13" s="12" t="n">
        <f aca="false">E10/E5</f>
        <v>7247818.97142857</v>
      </c>
    </row>
    <row r="14" customFormat="false" ht="22" hidden="false" customHeight="true" outlineLevel="0" collapsed="false">
      <c r="A14" s="3" t="s">
        <v>178</v>
      </c>
      <c r="B14" s="22" t="n">
        <f aca="false">12*-PMT(B6/12,Assumptions!$B$13,1)</f>
        <v>0.0810248593617168</v>
      </c>
      <c r="C14" s="22" t="n">
        <f aca="false">12*-PMT(C6/12,Assumptions!$B$13,1)</f>
        <v>0.0810248593617168</v>
      </c>
      <c r="D14" s="22" t="n">
        <f aca="false">12*-PMT(D6/12,Assumptions!$B$13,1)</f>
        <v>0.0810248593617168</v>
      </c>
      <c r="E14" s="22" t="n">
        <f aca="false">12*-PMT(E6/12,Assumptions!$B$13,1)</f>
        <v>0.0886789413356951</v>
      </c>
    </row>
    <row r="15" customFormat="false" ht="22" hidden="false" customHeight="true" outlineLevel="0" collapsed="false">
      <c r="A15" s="3" t="s">
        <v>179</v>
      </c>
      <c r="B15" s="15" t="n">
        <f aca="false">Assumptions!$B$15*B13</f>
        <v>5053455.08571429</v>
      </c>
      <c r="C15" s="15" t="n">
        <f aca="false">Assumptions!$B$15*C13</f>
        <v>4711082.33142857</v>
      </c>
      <c r="D15" s="15" t="n">
        <f aca="false">Assumptions!$B$15*D13</f>
        <v>4716558.08</v>
      </c>
      <c r="E15" s="15" t="n">
        <f aca="false">Assumptions!$B$15*E13</f>
        <v>4711082.33142857</v>
      </c>
    </row>
    <row r="16" customFormat="false" ht="22" hidden="false" customHeight="true" outlineLevel="0" collapsed="false">
      <c r="A16" s="3" t="s">
        <v>180</v>
      </c>
      <c r="B16" s="15" t="n">
        <f aca="false">(B12/Assumptions!$B$16)/B14</f>
        <v>5327927.69281832</v>
      </c>
      <c r="C16" s="15" t="n">
        <f aca="false">(C12/Assumptions!$B$16)/C14</f>
        <v>4963882.26487973</v>
      </c>
      <c r="D16" s="15" t="n">
        <f aca="false">(D12/Assumptions!$B$16)/D14</f>
        <v>5327927.69281832</v>
      </c>
      <c r="E16" s="15" t="n">
        <f aca="false">(E12/Assumptions!$B$16)/E14</f>
        <v>4535438.2488338</v>
      </c>
    </row>
    <row r="17" customFormat="false" ht="22" hidden="false" customHeight="true" outlineLevel="0" collapsed="false">
      <c r="A17" s="3" t="s">
        <v>181</v>
      </c>
      <c r="B17" s="15" t="n">
        <f aca="false">B10/Assumptions!$B$17</f>
        <v>6046869.33333333</v>
      </c>
      <c r="C17" s="15" t="n">
        <f aca="false">C10/Assumptions!$B$17</f>
        <v>5637192.53333333</v>
      </c>
      <c r="D17" s="15" t="n">
        <f aca="false">D10/Assumptions!$B$17</f>
        <v>6046869.33333333</v>
      </c>
      <c r="E17" s="15" t="n">
        <f aca="false">E10/Assumptions!$B$17</f>
        <v>5637192.53333333</v>
      </c>
    </row>
    <row r="18" customFormat="false" ht="22" hidden="false" customHeight="true" outlineLevel="0" collapsed="false">
      <c r="A18" s="8" t="s">
        <v>182</v>
      </c>
      <c r="B18" s="11" t="n">
        <f aca="false">MIN(B15:B17)</f>
        <v>5053455.08571429</v>
      </c>
      <c r="C18" s="11" t="n">
        <f aca="false">MIN(C15:C17)</f>
        <v>4711082.33142857</v>
      </c>
      <c r="D18" s="11" t="n">
        <f aca="false">MIN(D15:D17)</f>
        <v>4716558.08</v>
      </c>
      <c r="E18" s="11" t="n">
        <f aca="false">MIN(E15:E17)</f>
        <v>4535438.2488338</v>
      </c>
    </row>
    <row r="19" customFormat="false" ht="22" hidden="false" customHeight="true" outlineLevel="0" collapsed="false">
      <c r="A19" s="8" t="s">
        <v>140</v>
      </c>
      <c r="B19" s="8" t="str">
        <f aca="false">IF(B18=B16,"DSCR",IF(B18=B15,"LTV","Debt yield"))</f>
        <v>LTV</v>
      </c>
      <c r="C19" s="8" t="str">
        <f aca="false">IF(C18=C16,"DSCR",IF(C18=C15,"LTV","Debt yield"))</f>
        <v>LTV</v>
      </c>
      <c r="D19" s="8" t="str">
        <f aca="false">IF(D18=D16,"DSCR",IF(D18=D15,"LTV","Debt yield"))</f>
        <v>LTV</v>
      </c>
      <c r="E19" s="8" t="str">
        <f aca="false">IF(E18=E16,"DSCR",IF(E18=E15,"LTV","Debt yield"))</f>
        <v>DSCR</v>
      </c>
    </row>
    <row r="20" customFormat="false" ht="22" hidden="false" customHeight="true" outlineLevel="0" collapsed="false">
      <c r="A20" s="3" t="s">
        <v>183</v>
      </c>
      <c r="C20" s="12" t="n">
        <f aca="false">C18-$B$18</f>
        <v>-342372.754285715</v>
      </c>
      <c r="D20" s="12" t="n">
        <f aca="false">D18-$B$18</f>
        <v>-336897.005714285</v>
      </c>
      <c r="E20" s="12" t="n">
        <f aca="false">E18-$B$18</f>
        <v>-518016.83688049</v>
      </c>
    </row>
    <row r="22" customFormat="false" ht="36" hidden="false" customHeight="true" outlineLevel="0" collapsed="false">
      <c r="A22" s="5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185</v>
      </c>
    </row>
    <row r="3" customFormat="false" ht="25" hidden="false" customHeight="true" outlineLevel="0" collapsed="false">
      <c r="A3" s="2" t="s">
        <v>1</v>
      </c>
      <c r="B3" s="2" t="s">
        <v>186</v>
      </c>
      <c r="C3" s="2" t="s">
        <v>187</v>
      </c>
    </row>
    <row r="4" customFormat="false" ht="22" hidden="false" customHeight="true" outlineLevel="0" collapsed="false">
      <c r="A4" s="3" t="s">
        <v>188</v>
      </c>
      <c r="B4" s="3" t="s">
        <v>189</v>
      </c>
      <c r="C4" s="3" t="s">
        <v>190</v>
      </c>
    </row>
    <row r="5" customFormat="false" ht="22" hidden="false" customHeight="true" outlineLevel="0" collapsed="false">
      <c r="A5" s="3" t="s">
        <v>191</v>
      </c>
      <c r="B5" s="3" t="s">
        <v>192</v>
      </c>
      <c r="C5" s="3" t="s">
        <v>193</v>
      </c>
    </row>
    <row r="6" customFormat="false" ht="22" hidden="false" customHeight="true" outlineLevel="0" collapsed="false">
      <c r="A6" s="3" t="s">
        <v>194</v>
      </c>
      <c r="B6" s="3" t="s">
        <v>195</v>
      </c>
      <c r="C6" s="3" t="s">
        <v>196</v>
      </c>
    </row>
    <row r="7" customFormat="false" ht="22" hidden="false" customHeight="true" outlineLevel="0" collapsed="false">
      <c r="A7" s="3" t="s">
        <v>197</v>
      </c>
      <c r="B7" s="3" t="s">
        <v>198</v>
      </c>
      <c r="C7" s="3" t="s">
        <v>199</v>
      </c>
    </row>
    <row r="8" customFormat="false" ht="22" hidden="false" customHeight="true" outlineLevel="0" collapsed="false">
      <c r="A8" s="3" t="s">
        <v>200</v>
      </c>
      <c r="B8" s="3" t="s">
        <v>201</v>
      </c>
    </row>
    <row r="9" customFormat="false" ht="22" hidden="false" customHeight="true" outlineLevel="0" collapsed="false">
      <c r="A9" s="3" t="s">
        <v>202</v>
      </c>
      <c r="B9" s="3" t="s">
        <v>203</v>
      </c>
    </row>
    <row r="10" customFormat="false" ht="22" hidden="false" customHeight="true" outlineLevel="0" collapsed="false">
      <c r="A10" s="3" t="s">
        <v>204</v>
      </c>
      <c r="B10" s="3" t="s">
        <v>205</v>
      </c>
    </row>
    <row r="11" customFormat="false" ht="22" hidden="false" customHeight="true" outlineLevel="0" collapsed="false">
      <c r="A11" s="3" t="s">
        <v>206</v>
      </c>
      <c r="B11" s="3" t="s">
        <v>207</v>
      </c>
    </row>
    <row r="12" customFormat="false" ht="22" hidden="false" customHeight="true" outlineLevel="0" collapsed="false">
      <c r="A12" s="3" t="s">
        <v>208</v>
      </c>
      <c r="B12" s="3" t="s">
        <v>209</v>
      </c>
    </row>
    <row r="13" customFormat="false" ht="22" hidden="false" customHeight="true" outlineLevel="0" collapsed="false">
      <c r="A13" s="3" t="s">
        <v>210</v>
      </c>
      <c r="B13" s="3" t="s">
        <v>211</v>
      </c>
    </row>
    <row r="14" customFormat="false" ht="22" hidden="false" customHeight="true" outlineLevel="0" collapsed="false">
      <c r="A14" s="3" t="s">
        <v>212</v>
      </c>
      <c r="B14" s="3" t="s">
        <v>213</v>
      </c>
    </row>
    <row r="15" customFormat="false" ht="22" hidden="false" customHeight="true" outlineLevel="0" collapsed="false">
      <c r="A15" s="3" t="s">
        <v>214</v>
      </c>
      <c r="B15" s="3" t="s">
        <v>215</v>
      </c>
    </row>
    <row r="16" customFormat="false" ht="22" hidden="false" customHeight="true" outlineLevel="0" collapsed="false">
      <c r="A16" s="3" t="s">
        <v>216</v>
      </c>
      <c r="B16" s="3" t="s">
        <v>217</v>
      </c>
    </row>
    <row r="17" customFormat="false" ht="22" hidden="false" customHeight="true" outlineLevel="0" collapsed="false">
      <c r="A17" s="3" t="s">
        <v>218</v>
      </c>
      <c r="B17" s="3" t="s">
        <v>219</v>
      </c>
    </row>
    <row r="18" customFormat="false" ht="22" hidden="false" customHeight="true" outlineLevel="0" collapsed="false">
      <c r="A18" s="3" t="s">
        <v>220</v>
      </c>
      <c r="B18" s="3" t="s">
        <v>221</v>
      </c>
    </row>
    <row r="19" customFormat="false" ht="22" hidden="false" customHeight="true" outlineLevel="0" collapsed="false">
      <c r="A19" s="3" t="s">
        <v>222</v>
      </c>
      <c r="B19" s="3" t="s">
        <v>223</v>
      </c>
    </row>
    <row r="20" customFormat="false" ht="22" hidden="false" customHeight="true" outlineLevel="0" collapsed="false">
      <c r="A20" s="3" t="s">
        <v>224</v>
      </c>
      <c r="B20" s="3" t="s">
        <v>225</v>
      </c>
    </row>
    <row r="21" customFormat="false" ht="22" hidden="false" customHeight="true" outlineLevel="0" collapsed="false">
      <c r="A21" s="3" t="s">
        <v>226</v>
      </c>
      <c r="B21" s="3" t="s">
        <v>227</v>
      </c>
    </row>
    <row r="22" customFormat="false" ht="22" hidden="false" customHeight="true" outlineLevel="0" collapsed="false">
      <c r="A22" s="3" t="s">
        <v>228</v>
      </c>
      <c r="B22" s="3" t="s">
        <v>229</v>
      </c>
    </row>
    <row r="23" customFormat="false" ht="22" hidden="false" customHeight="true" outlineLevel="0" collapsed="false">
      <c r="A23" s="3" t="s">
        <v>230</v>
      </c>
      <c r="B23" s="3" t="s">
        <v>231</v>
      </c>
    </row>
    <row r="24" customFormat="false" ht="22" hidden="false" customHeight="true" outlineLevel="0" collapsed="false">
      <c r="A24" s="3" t="s">
        <v>232</v>
      </c>
      <c r="B24" s="3" t="s">
        <v>233</v>
      </c>
    </row>
    <row r="25" customFormat="false" ht="22" hidden="false" customHeight="true" outlineLevel="0" collapsed="false">
      <c r="A25" s="3" t="s">
        <v>234</v>
      </c>
      <c r="B25" s="3" t="s">
        <v>235</v>
      </c>
    </row>
    <row r="26" customFormat="false" ht="22" hidden="false" customHeight="true" outlineLevel="0" collapsed="false">
      <c r="A26" s="3" t="s">
        <v>236</v>
      </c>
      <c r="B26" s="3" t="s">
        <v>237</v>
      </c>
    </row>
    <row r="27" customFormat="false" ht="22" hidden="false" customHeight="true" outlineLevel="0" collapsed="false">
      <c r="A27" s="3" t="s">
        <v>238</v>
      </c>
      <c r="B27" s="3" t="s">
        <v>239</v>
      </c>
    </row>
    <row r="28" customFormat="false" ht="22" hidden="false" customHeight="true" outlineLevel="0" collapsed="false">
      <c r="A28" s="3" t="s">
        <v>240</v>
      </c>
      <c r="B28" s="3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