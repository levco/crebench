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Historical T12" sheetId="2" state="visible" r:id="rId4"/>
    <sheet name="Rent Roll" sheetId="3" state="visible" r:id="rId5"/>
    <sheet name="Underwriting" sheetId="4" state="visible" r:id="rId6"/>
    <sheet name="Loan Sizing" sheetId="5" state="visible" r:id="rId7"/>
    <sheet name="Sources Uses" sheetId="6" state="visible" r:id="rId8"/>
    <sheet name="Sensitivity" sheetId="7" state="visible" r:id="rId9"/>
    <sheet name="Input Output 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<sst xmlns="http://schemas.openxmlformats.org/spreadsheetml/2006/main" count="277" uniqueCount="230">
  <si>
    <t xml:space="preserve">Stonebridge Logistics - Refinance underwriting assumptions</t>
  </si>
  <si>
    <t xml:space="preserve">As of 2026-08-31 | fictional packet | USD</t>
  </si>
  <si>
    <t xml:space="preserve">Cells in column B are editable inputs driving all downstream sheets</t>
  </si>
  <si>
    <t xml:space="preserve">Assumption</t>
  </si>
  <si>
    <t xml:space="preserve">Value</t>
  </si>
  <si>
    <t xml:space="preserve">Source</t>
  </si>
  <si>
    <t xml:space="preserve">Valuation cap rate (INPUT)</t>
  </si>
  <si>
    <t xml:space="preserve">Lender-Terms.pdf p1 Valuation</t>
  </si>
  <si>
    <t xml:space="preserve">Index rate</t>
  </si>
  <si>
    <t xml:space="preserve">Lender-Terms.pdf p1 Contract rate</t>
  </si>
  <si>
    <t xml:space="preserve">Index floor</t>
  </si>
  <si>
    <t xml:space="preserve">Spread (applied after floor)</t>
  </si>
  <si>
    <t xml:space="preserve">Contract rate (computed)</t>
  </si>
  <si>
    <t xml:space="preserve">MAX(index, floor) + spread</t>
  </si>
  <si>
    <t xml:space="preserve">Underwriting (sizing) rate floor</t>
  </si>
  <si>
    <t xml:space="preserve">Lender-Terms.pdf p1 Sizing rate</t>
  </si>
  <si>
    <t xml:space="preserve">Sizing rate increment (INPUT; 0.01 = +100bps)</t>
  </si>
  <si>
    <t xml:space="preserve">Property-and-Plan.pdf p2 sensitivity instruction</t>
  </si>
  <si>
    <t xml:space="preserve">Sizing rate (computed, INPUT-driven)</t>
  </si>
  <si>
    <t xml:space="preserve">MAX(contract rate, 7.25% floor) + increment</t>
  </si>
  <si>
    <t xml:space="preserve">Amortization term (months)</t>
  </si>
  <si>
    <t xml:space="preserve">Lender-Terms.pdf p1 Amortization 25 years</t>
  </si>
  <si>
    <t xml:space="preserve">Interest-only period (months)</t>
  </si>
  <si>
    <t xml:space="preserve">Lender-Terms.pdf p1 IO period</t>
  </si>
  <si>
    <t xml:space="preserve">Gross potential base rent (INPUT, annual)</t>
  </si>
  <si>
    <t xml:space="preserve">Property-and-Plan.pdf p2 supplied scenario</t>
  </si>
  <si>
    <t xml:space="preserve">Combined revenue loss % of GPR</t>
  </si>
  <si>
    <t xml:space="preserve">Property-and-Plan.pdf p2</t>
  </si>
  <si>
    <t xml:space="preserve">Other income / recoveries (INPUT, annual)</t>
  </si>
  <si>
    <t xml:space="preserve">Property-and-Plan.pdf p2, added after revenue loss</t>
  </si>
  <si>
    <t xml:space="preserve">EGI multiplier (INPUT; 0.95 = EGI -5%)</t>
  </si>
  <si>
    <t xml:space="preserve">Scales GPR and other income; loss % held constant</t>
  </si>
  <si>
    <t xml:space="preserve">Total rentable SF</t>
  </si>
  <si>
    <t xml:space="preserve">Rent-Roll.xlsx rows 7-10</t>
  </si>
  <si>
    <t xml:space="preserve">Replacement reserves per SF per year</t>
  </si>
  <si>
    <t xml:space="preserve">Management fee % of underwritten EGI</t>
  </si>
  <si>
    <t xml:space="preserve">Property-and-Plan.pdf p2 greater of T12 or 3%</t>
  </si>
  <si>
    <t xml:space="preserve">T12 actual management fee</t>
  </si>
  <si>
    <t xml:space="preserve">T12-Statement.pdf p2 annual column</t>
  </si>
  <si>
    <t xml:space="preserve">Maximum LTV</t>
  </si>
  <si>
    <t xml:space="preserve">Lender-Terms.pdf p1 LTV</t>
  </si>
  <si>
    <t xml:space="preserve">Minimum DSCR (NCF after reserves)</t>
  </si>
  <si>
    <t xml:space="preserve">Lender-Terms.pdf p1 DSCR</t>
  </si>
  <si>
    <t xml:space="preserve">Minimum debt yield (NCF after reserves)</t>
  </si>
  <si>
    <t xml:space="preserve">Lender-Terms.pdf p1 Debt yield</t>
  </si>
  <si>
    <t xml:space="preserve">Origination fee % of principal</t>
  </si>
  <si>
    <t xml:space="preserve">Lender-Terms.pdf p1 Origination fee</t>
  </si>
  <si>
    <t xml:space="preserve">Existing debt payoff</t>
  </si>
  <si>
    <t xml:space="preserve">Property-and-Plan.pdf p1</t>
  </si>
  <si>
    <t xml:space="preserve">Fixed closing costs</t>
  </si>
  <si>
    <t xml:space="preserve">Underwritten operating expenses excluding management</t>
  </si>
  <si>
    <t xml:space="preserve">Annual</t>
  </si>
  <si>
    <t xml:space="preserve">Basis</t>
  </si>
  <si>
    <t xml:space="preserve">Real estate taxes</t>
  </si>
  <si>
    <t xml:space="preserve">Property-and-Plan.pdf p2 (T12 actual $126,000)</t>
  </si>
  <si>
    <t xml:space="preserve">Property insurance</t>
  </si>
  <si>
    <t xml:space="preserve">Plan p2 renewal confirmation dated 2026-08-25</t>
  </si>
  <si>
    <t xml:space="preserve">Utilities</t>
  </si>
  <si>
    <t xml:space="preserve">T12 actual per plan</t>
  </si>
  <si>
    <t xml:space="preserve">Repairs and maintenance</t>
  </si>
  <si>
    <t xml:space="preserve">T12 $24,000 less $6,000 one-time casualty cleanup</t>
  </si>
  <si>
    <t xml:space="preserve">Payroll / contract labor</t>
  </si>
  <si>
    <t xml:space="preserve">Administrative / legal</t>
  </si>
  <si>
    <t xml:space="preserve">Historical T12 - September 2025 through August 2026 actual</t>
  </si>
  <si>
    <t xml:space="preserve">Source: T12-Statement.pdf pages 1-2, Annual column</t>
  </si>
  <si>
    <t xml:space="preserve">Line</t>
  </si>
  <si>
    <t xml:space="preserve">T12 actual</t>
  </si>
  <si>
    <t xml:space="preserve">Note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</si>
  <si>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</si>
  <si>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</si>
  <si>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</si>
  <si>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</si>
  <si>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</si>
  <si>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</t>
  </si>
  <si>
    <t xml:space="preserve">Includes $6,000 one-time casualty cleanup</t>
  </si>
  <si>
    <t xml:space="preserve">Management fee</t>
  </si>
  <si>
    <t xml:space="preserve">T12 operating expenses (excl. reserves, capex, debt, depreciation)</t>
  </si>
  <si>
    <t xml:space="preserve">T12 NOI before replacement reserves</t>
  </si>
  <si>
    <t xml:space="preserve">T12 replacement reserves (below NOI)</t>
  </si>
  <si>
    <t xml:space="preserve">T12 NCF after replacement reserves</t>
  </si>
  <si>
    <t xml:space="preserve">Memo: capital improvements (below cash flow)</t>
  </si>
  <si>
    <t xml:space="preserve">Memo: loan principal and interest (below cash flow)</t>
  </si>
  <si>
    <t xml:space="preserve">Memo: depreciation (noncash)</t>
  </si>
  <si>
    <t xml:space="preserve">Historical results are actuals, not annualized rent roll and not underwriting.</t>
  </si>
  <si>
    <t xml:space="preserve">Contractual rent and occupancy as of 2026-08-31</t>
  </si>
  <si>
    <t xml:space="preserve">Source: Rent-Roll.xlsx rows 7-10; Lease-File.pdf p1 for premises 101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</si>
  <si>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</si>
  <si>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</si>
  <si>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</si>
  <si>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</si>
  <si>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</si>
  <si>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</si>
  <si>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</si>
  <si>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</si>
  <si>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</si>
  <si>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</si>
  <si>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2030-08-31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</si>
  <si>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</si>
  <si>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</si>
  <si>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</si>
  <si>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</si>
  <si>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</si>
  <si>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</si>
  <si>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</si>
  <si>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Vacant</t>
  </si>
  <si>
    <t xml:space="preserve">n/a</t>
  </si>
  <si>
    <t xml:space="preserve">Totals</t>
  </si>
  <si>
    <t xml:space="preserve">Space count</t>
  </si>
  <si>
    <t xml:space="preserve">Occupied count</t>
  </si>
  <si>
    <t xml:space="preserve">Occupied SF</t>
  </si>
  <si>
    <t xml:space="preserve">Occupancy by count (percent)</t>
  </si>
  <si>
    <t xml:space="preserve">Occupancy by area (percent)</t>
  </si>
  <si>
    <t xml:space="preserve">Annualized contractual base rent (context only)</t>
  </si>
  <si>
    <t xml:space="preserve">Executed lease for premises 101 confirms $15,000 per month, expiry 2030-08-31, $30,000 security deposit; no amendment or renewal exercise notice is in the packet.</t>
  </si>
  <si>
    <t xml:space="preserve">Underwritten cash flow - supplied scenario, September 2026 forward</t>
  </si>
  <si>
    <t xml:space="preserve">Source: Property-and-Plan.pdf p2; live links to Assumptions</t>
  </si>
  <si>
    <t xml:space="preserve">Underwritten</t>
  </si>
  <si>
    <t xml:space="preserve">GPR input times EGI multiplier</t>
  </si>
  <si>
    <t xml:space="preserve">Combined revenue loss (vacancy, concessions, bad debt)</t>
  </si>
  <si>
    <t xml:space="preserve">8.00% of underwritten GPR</t>
  </si>
  <si>
    <t xml:space="preserve">Added after revenue loss</t>
  </si>
  <si>
    <t xml:space="preserve">Underwritten effective gross income (EGI)</t>
  </si>
  <si>
    <t xml:space="preserve">Management fee (greater of T12 actual and 3.00% of EGI)</t>
  </si>
  <si>
    <t xml:space="preserve">Underwritten operating expenses before reserves</t>
  </si>
  <si>
    <t xml:space="preserve">Underwritten NOI before replacement reserves</t>
  </si>
  <si>
    <t xml:space="preserve">Replacement reserves (per SF times SF)</t>
  </si>
  <si>
    <t xml:space="preserve">Underwritten NCF after replacement reserves</t>
  </si>
  <si>
    <t xml:space="preserve">Indicative capitalized value (NOI before reserves / cap rate)</t>
  </si>
  <si>
    <t xml:space="preserve">Expense ratio (opex / EGI)</t>
  </si>
  <si>
    <t xml:space="preserve">Loan sizing - three constraints</t>
  </si>
  <si>
    <t xml:space="preserve">Source: Lender-Terms.pdf p1; unrounded intermediates</t>
  </si>
  <si>
    <t xml:space="preserve">Item</t>
  </si>
  <si>
    <t xml:space="preserve">Definition</t>
  </si>
  <si>
    <t xml:space="preserve">Contract rate (current; first-year debt service)</t>
  </si>
  <si>
    <t xml:space="preserve">MAX(3.25% index, 4.00% floor) plus 2.75% spread</t>
  </si>
  <si>
    <t xml:space="preserve">Sizing rate (underwriting)</t>
  </si>
  <si>
    <t xml:space="preserve">Greater of contract rate and 7.25% floor plus increment</t>
  </si>
  <si>
    <t xml:space="preserve">Annual debt constant per $1 at sizing rate</t>
  </si>
  <si>
    <t xml:space="preserve">12 monthly payments, 300-month amortization</t>
  </si>
  <si>
    <t xml:space="preserve">LTV limit</t>
  </si>
  <si>
    <t xml:space="preserve">60.00% times capitalized value</t>
  </si>
  <si>
    <t xml:space="preserve">DSCR limit</t>
  </si>
  <si>
    <t xml:space="preserve">UW NCF divided by (1.30 times annual constant)</t>
  </si>
  <si>
    <t xml:space="preserve">Debt yield limit</t>
  </si>
  <si>
    <t xml:space="preserve">UW NCF divided by 10.00%</t>
  </si>
  <si>
    <t xml:space="preserve">Maximum loan (lowest constraint)</t>
  </si>
  <si>
    <t xml:space="preserve">Binding constraint</t>
  </si>
  <si>
    <t xml:space="preserve">Sizing annual debt service (amortizing, sizing rate)</t>
  </si>
  <si>
    <t xml:space="preserve">Sizing DSCR (UW NCF / sizing debt service)</t>
  </si>
  <si>
    <t xml:space="preserve">Sizing debt yield (UW NCF / maximum loan)</t>
  </si>
  <si>
    <t xml:space="preserve">First-year contractual debt service (12-month IO at contract rate)</t>
  </si>
  <si>
    <t xml:space="preserve">Memo: amortizing annual debt service at contract rate</t>
  </si>
  <si>
    <t xml:space="preserve">Memo: DSCR on first-year contractual (IO) debt service</t>
  </si>
  <si>
    <t xml:space="preserve">Memo: loan per rentable SF</t>
  </si>
  <si>
    <t xml:space="preserve">Sources and uses at the maximum loan</t>
  </si>
  <si>
    <t xml:space="preserve">Source: Property-and-Plan.pdf p1; Lender-Terms.pdf p1</t>
  </si>
  <si>
    <t xml:space="preserve">Sources</t>
  </si>
  <si>
    <t xml:space="preserve">Amount</t>
  </si>
  <si>
    <t xml:space="preserve">Reference</t>
  </si>
  <si>
    <t xml:space="preserve">New first-mortgage loan proceeds</t>
  </si>
  <si>
    <t xml:space="preserve">Loan Sizing!B12</t>
  </si>
  <si>
    <t xml:space="preserve">Borrower cash contribution (if required)</t>
  </si>
  <si>
    <t xml:space="preserve">Cash-in only if proceeds are insufficient</t>
  </si>
  <si>
    <t xml:space="preserve">Total sources</t>
  </si>
  <si>
    <t xml:space="preserve">Uses</t>
  </si>
  <si>
    <t xml:space="preserve">Origination fee (1.25% of principal)</t>
  </si>
  <si>
    <t xml:space="preserve">Lender-Terms.pdf p1</t>
  </si>
  <si>
    <t xml:space="preserve">Total uses before distribution</t>
  </si>
  <si>
    <t xml:space="preserve">Net cash to borrower (negative equals cash in)</t>
  </si>
  <si>
    <t xml:space="preserve">No fee capitalization, interest reserve, holdback or earn-out is assumed (Lender-Terms.pdf p1).</t>
  </si>
  <si>
    <t xml:space="preserve">Sensitivity scenarios</t>
  </si>
  <si>
    <t xml:space="preserve">EGI -5% recomputes the management minimum; other operating expenses and reserves held constant (Property-and-Plan.pdf p2)</t>
  </si>
  <si>
    <t xml:space="preserve">Metric</t>
  </si>
  <si>
    <t xml:space="preserve">Base case</t>
  </si>
  <si>
    <t xml:space="preserve">EGI -5%</t>
  </si>
  <si>
    <t xml:space="preserve">EGI -5% and rate +100bps</t>
  </si>
  <si>
    <t xml:space="preserve">Cap rate +50bps</t>
  </si>
  <si>
    <t xml:space="preserve">EGI</t>
  </si>
  <si>
    <t xml:space="preserve">Other operating expenses (unchanged)</t>
  </si>
  <si>
    <t xml:space="preserve">NOI before reserves</t>
  </si>
  <si>
    <t xml:space="preserve">Replacement reserves</t>
  </si>
  <si>
    <t xml:space="preserve">NCF after reserves</t>
  </si>
  <si>
    <t xml:space="preserve">Cap rate used</t>
  </si>
  <si>
    <t xml:space="preserve">Indicative value</t>
  </si>
  <si>
    <t xml:space="preserve">Sizing rate used</t>
  </si>
  <si>
    <t xml:space="preserve">Annual debt constant</t>
  </si>
  <si>
    <t xml:space="preserve">Maximum loan</t>
  </si>
  <si>
    <t xml:space="preserve">Reviewer map - editable inputs and key outputs</t>
  </si>
  <si>
    <t xml:space="preserve">Editable input</t>
  </si>
  <si>
    <t xml:space="preserve">Location</t>
  </si>
  <si>
    <t xml:space="preserve">Cap rate</t>
  </si>
  <si>
    <t xml:space="preserve">Assumptions!B5</t>
  </si>
  <si>
    <t xml:space="preserve">Valuation cap rate; +50bps case in Sensitivity column E</t>
  </si>
  <si>
    <t xml:space="preserve">Sizing rate increment</t>
  </si>
  <si>
    <t xml:space="preserve">Assumptions!B11</t>
  </si>
  <si>
    <t xml:space="preserve">Enter 0.01 for +100bps; sizing rate computes at Assumptions!B12</t>
  </si>
  <si>
    <t xml:space="preserve">Assumptions!B15</t>
  </si>
  <si>
    <t xml:space="preserve">Drives underwritten EGI</t>
  </si>
  <si>
    <t xml:space="preserve">Assumptions!B17</t>
  </si>
  <si>
    <t xml:space="preserve">EGI multiplier</t>
  </si>
  <si>
    <t xml:space="preserve">Assumptions!B18</t>
  </si>
  <si>
    <t xml:space="preserve">Set 0.95 to scale EGI down 5%, loss % constant</t>
  </si>
  <si>
    <t xml:space="preserve">Revenue loss percentage</t>
  </si>
  <si>
    <t xml:space="preserve">Assumptions!B16</t>
  </si>
  <si>
    <t xml:space="preserve">Expense, reserve and loan term inputs</t>
  </si>
  <si>
    <t xml:space="preserve">Assumptions!B10:B36</t>
  </si>
  <si>
    <t xml:space="preserve">Key output</t>
  </si>
  <si>
    <t xml:space="preserve">Live value</t>
  </si>
  <si>
    <t xml:space="preserve">Underwritten NOI before reserves</t>
  </si>
  <si>
    <t xml:space="preserve">Underwriting!B19</t>
  </si>
  <si>
    <t xml:space="preserve">Underwritten NCF after reserves</t>
  </si>
  <si>
    <t xml:space="preserve">Underwriting!B21</t>
  </si>
  <si>
    <t xml:space="preserve">Capitalized value</t>
  </si>
  <si>
    <t xml:space="preserve">Underwriting!B23</t>
  </si>
  <si>
    <t xml:space="preserve">Loan Sizing!B9</t>
  </si>
  <si>
    <t xml:space="preserve">Loan Sizing!B10</t>
  </si>
  <si>
    <t xml:space="preserve">Loan Sizing!B11</t>
  </si>
  <si>
    <t xml:space="preserve">Loan Sizing!B13</t>
  </si>
  <si>
    <t xml:space="preserve">First-year contractual debt service</t>
  </si>
  <si>
    <t xml:space="preserve">Loan Sizing!B18</t>
  </si>
  <si>
    <t xml:space="preserve">Net cash to borrower</t>
  </si>
  <si>
    <t xml:space="preserve">Sources Uses!B14</t>
  </si>
  <si>
    <t xml:space="preserve">Stress NOI (EGI -5%)</t>
  </si>
  <si>
    <t xml:space="preserve">Sensitivity!C8</t>
  </si>
  <si>
    <t xml:space="preserve">Stress maximum loan (EGI -5%, rate +100bps)</t>
  </si>
  <si>
    <t xml:space="preserve">Sensitivity!D18</t>
  </si>
  <si>
    <t xml:space="preserve">T12 NOI before reserves</t>
  </si>
  <si>
    <t xml:space="preserve">Historical T12!B21</t>
  </si>
  <si>
    <t xml:space="preserve">T12 NCF after reserves</t>
  </si>
  <si>
    <t xml:space="preserve">Historical T12!B23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</si>
</sst>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"/>
    <numFmt numFmtId="167" formatCode="#,##0"/>
    <numFmt numFmtId="168" formatCode="0.000"/>
    <numFmt numFmtId="169" formatCode="0.00"/>
    <numFmt numFmtId="170" formatCode="0.0%"/>
    <numFmt numFmtId="171" formatCode="0.00000000"/>
    <numFmt numFmtId="172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27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3" customFormat="false" ht="36" hidden="false" customHeight="true" outlineLevel="0" collapsed="false">
      <c r="A3" s="2" t="s">
        <v>2</v>
      </c>
    </row>
    <row r="4" customFormat="false" ht="25" hidden="false" customHeight="true" outlineLevel="0" collapsed="false">
      <c r="A4" s="3" t="s">
        <v>3</v>
      </c>
      <c r="B4" s="3" t="s">
        <v>4</v>
      </c>
      <c r="C4" s="3" t="s">
        <v>5</v>
      </c>
    </row>
    <row r="5" customFormat="false" ht="36" hidden="false" customHeight="true" outlineLevel="0" collapsed="false">
      <c r="A5" s="4" t="s">
        <v>6</v>
      </c>
      <c r="B5" s="5" t="n">
        <v>0.0675</v>
      </c>
      <c r="C5" s="2" t="s">
        <v>7</v>
      </c>
    </row>
    <row r="6" customFormat="false" ht="36" hidden="false" customHeight="true" outlineLevel="0" collapsed="false">
      <c r="A6" s="4" t="s">
        <v>8</v>
      </c>
      <c r="B6" s="5" t="n">
        <v>0.0325</v>
      </c>
      <c r="C6" s="2" t="s">
        <v>9</v>
      </c>
    </row>
    <row r="7" customFormat="false" ht="36" hidden="false" customHeight="true" outlineLevel="0" collapsed="false">
      <c r="A7" s="4" t="s">
        <v>10</v>
      </c>
      <c r="B7" s="5" t="n">
        <v>0.04</v>
      </c>
      <c r="C7" s="2" t="s">
        <v>9</v>
      </c>
    </row>
    <row r="8" customFormat="false" ht="36" hidden="false" customHeight="true" outlineLevel="0" collapsed="false">
      <c r="A8" s="4" t="s">
        <v>11</v>
      </c>
      <c r="B8" s="5" t="n">
        <v>0.0275</v>
      </c>
      <c r="C8" s="2" t="s">
        <v>9</v>
      </c>
    </row>
    <row r="9" customFormat="false" ht="36" hidden="false" customHeight="true" outlineLevel="0" collapsed="false">
      <c r="A9" s="6" t="s">
        <v>12</v>
      </c>
      <c r="B9" s="7" t="n">
        <f aca="false">MAX(B6,B7)+B8</f>
        <v>0.0675</v>
      </c>
      <c r="C9" s="2" t="s">
        <v>13</v>
      </c>
    </row>
    <row r="10" customFormat="false" ht="36" hidden="false" customHeight="true" outlineLevel="0" collapsed="false">
      <c r="A10" s="4" t="s">
        <v>14</v>
      </c>
      <c r="B10" s="5" t="n">
        <v>0.0725</v>
      </c>
      <c r="C10" s="2" t="s">
        <v>15</v>
      </c>
    </row>
    <row r="11" customFormat="false" ht="36" hidden="false" customHeight="true" outlineLevel="0" collapsed="false">
      <c r="A11" s="4" t="s">
        <v>16</v>
      </c>
      <c r="B11" s="5" t="n">
        <v>0</v>
      </c>
      <c r="C11" s="2" t="s">
        <v>17</v>
      </c>
    </row>
    <row r="12" customFormat="false" ht="36" hidden="false" customHeight="true" outlineLevel="0" collapsed="false">
      <c r="A12" s="6" t="s">
        <v>18</v>
      </c>
      <c r="B12" s="7" t="n">
        <f aca="false">MAX(B9,B10)+B11</f>
        <v>0.0725</v>
      </c>
      <c r="C12" s="2" t="s">
        <v>19</v>
      </c>
    </row>
    <row r="13" customFormat="false" ht="36" hidden="false" customHeight="true" outlineLevel="0" collapsed="false">
      <c r="A13" s="4" t="s">
        <v>20</v>
      </c>
      <c r="B13" s="8" t="n">
        <v>300</v>
      </c>
      <c r="C13" s="2" t="s">
        <v>21</v>
      </c>
    </row>
    <row r="14" customFormat="false" ht="36" hidden="false" customHeight="true" outlineLevel="0" collapsed="false">
      <c r="A14" s="4" t="s">
        <v>22</v>
      </c>
      <c r="B14" s="8" t="n">
        <v>12</v>
      </c>
      <c r="C14" s="2" t="s">
        <v>23</v>
      </c>
    </row>
    <row r="15" customFormat="false" ht="36" hidden="false" customHeight="true" outlineLevel="0" collapsed="false">
      <c r="A15" s="4" t="s">
        <v>24</v>
      </c>
      <c r="B15" s="9" t="n">
        <v>900000</v>
      </c>
      <c r="C15" s="2" t="s">
        <v>25</v>
      </c>
    </row>
    <row r="16" customFormat="false" ht="36" hidden="false" customHeight="true" outlineLevel="0" collapsed="false">
      <c r="A16" s="4" t="s">
        <v>26</v>
      </c>
      <c r="B16" s="5" t="n">
        <v>0.08</v>
      </c>
      <c r="C16" s="2" t="s">
        <v>27</v>
      </c>
    </row>
    <row r="17" customFormat="false" ht="36" hidden="false" customHeight="true" outlineLevel="0" collapsed="false">
      <c r="A17" s="4" t="s">
        <v>28</v>
      </c>
      <c r="B17" s="9" t="n">
        <v>195000</v>
      </c>
      <c r="C17" s="2" t="s">
        <v>29</v>
      </c>
    </row>
    <row r="18" customFormat="false" ht="36" hidden="false" customHeight="true" outlineLevel="0" collapsed="false">
      <c r="A18" s="4" t="s">
        <v>30</v>
      </c>
      <c r="B18" s="10" t="n">
        <v>1</v>
      </c>
      <c r="C18" s="2" t="s">
        <v>31</v>
      </c>
    </row>
    <row r="19" customFormat="false" ht="36" hidden="false" customHeight="true" outlineLevel="0" collapsed="false">
      <c r="A19" s="4" t="s">
        <v>32</v>
      </c>
      <c r="B19" s="9" t="n">
        <v>85000</v>
      </c>
      <c r="C19" s="2" t="s">
        <v>33</v>
      </c>
    </row>
    <row r="20" customFormat="false" ht="36" hidden="false" customHeight="true" outlineLevel="0" collapsed="false">
      <c r="A20" s="4" t="s">
        <v>34</v>
      </c>
      <c r="B20" s="11" t="n">
        <v>0.2</v>
      </c>
      <c r="C20" s="2" t="s">
        <v>27</v>
      </c>
    </row>
    <row r="21" customFormat="false" ht="36" hidden="false" customHeight="true" outlineLevel="0" collapsed="false">
      <c r="A21" s="4" t="s">
        <v>35</v>
      </c>
      <c r="B21" s="5" t="n">
        <v>0.03</v>
      </c>
      <c r="C21" s="2" t="s">
        <v>36</v>
      </c>
    </row>
    <row r="22" customFormat="false" ht="36" hidden="false" customHeight="true" outlineLevel="0" collapsed="false">
      <c r="A22" s="4" t="s">
        <v>37</v>
      </c>
      <c r="B22" s="9" t="n">
        <v>25200</v>
      </c>
      <c r="C22" s="2" t="s">
        <v>38</v>
      </c>
    </row>
    <row r="23" customFormat="false" ht="36" hidden="false" customHeight="true" outlineLevel="0" collapsed="false">
      <c r="A23" s="4" t="s">
        <v>39</v>
      </c>
      <c r="B23" s="5" t="n">
        <v>0.6</v>
      </c>
      <c r="C23" s="2" t="s">
        <v>40</v>
      </c>
    </row>
    <row r="24" customFormat="false" ht="36" hidden="false" customHeight="true" outlineLevel="0" collapsed="false">
      <c r="A24" s="4" t="s">
        <v>41</v>
      </c>
      <c r="B24" s="11" t="n">
        <v>1.3</v>
      </c>
      <c r="C24" s="2" t="s">
        <v>42</v>
      </c>
    </row>
    <row r="25" customFormat="false" ht="36" hidden="false" customHeight="true" outlineLevel="0" collapsed="false">
      <c r="A25" s="4" t="s">
        <v>43</v>
      </c>
      <c r="B25" s="5" t="n">
        <v>0.1</v>
      </c>
      <c r="C25" s="2" t="s">
        <v>44</v>
      </c>
    </row>
    <row r="26" customFormat="false" ht="36" hidden="false" customHeight="true" outlineLevel="0" collapsed="false">
      <c r="A26" s="4" t="s">
        <v>45</v>
      </c>
      <c r="B26" s="5" t="n">
        <v>0.0125</v>
      </c>
      <c r="C26" s="2" t="s">
        <v>46</v>
      </c>
    </row>
    <row r="27" customFormat="false" ht="36" hidden="false" customHeight="true" outlineLevel="0" collapsed="false">
      <c r="A27" s="4" t="s">
        <v>47</v>
      </c>
      <c r="B27" s="9" t="n">
        <v>4200000</v>
      </c>
      <c r="C27" s="2" t="s">
        <v>48</v>
      </c>
    </row>
    <row r="28" customFormat="false" ht="36" hidden="false" customHeight="true" outlineLevel="0" collapsed="false">
      <c r="A28" s="4" t="s">
        <v>49</v>
      </c>
      <c r="B28" s="9" t="n">
        <v>70000</v>
      </c>
      <c r="C28" s="2" t="s">
        <v>48</v>
      </c>
    </row>
    <row r="30" customFormat="false" ht="25" hidden="false" customHeight="true" outlineLevel="0" collapsed="false">
      <c r="A30" s="3" t="s">
        <v>50</v>
      </c>
      <c r="B30" s="3" t="s">
        <v>51</v>
      </c>
      <c r="C30" s="3" t="s">
        <v>52</v>
      </c>
    </row>
    <row r="31" customFormat="false" ht="36" hidden="false" customHeight="true" outlineLevel="0" collapsed="false">
      <c r="A31" s="4" t="s">
        <v>53</v>
      </c>
      <c r="B31" s="9" t="n">
        <v>132000</v>
      </c>
      <c r="C31" s="2" t="s">
        <v>54</v>
      </c>
    </row>
    <row r="32" customFormat="false" ht="36" hidden="false" customHeight="true" outlineLevel="0" collapsed="false">
      <c r="A32" s="4" t="s">
        <v>55</v>
      </c>
      <c r="B32" s="9" t="n">
        <v>33600</v>
      </c>
      <c r="C32" s="2" t="s">
        <v>56</v>
      </c>
    </row>
    <row r="33" customFormat="false" ht="36" hidden="false" customHeight="true" outlineLevel="0" collapsed="false">
      <c r="A33" s="4" t="s">
        <v>57</v>
      </c>
      <c r="B33" s="9" t="n">
        <v>12000</v>
      </c>
      <c r="C33" s="2" t="s">
        <v>58</v>
      </c>
    </row>
    <row r="34" customFormat="false" ht="36" hidden="false" customHeight="true" outlineLevel="0" collapsed="false">
      <c r="A34" s="4" t="s">
        <v>59</v>
      </c>
      <c r="B34" s="9" t="n">
        <v>18000</v>
      </c>
      <c r="C34" s="2" t="s">
        <v>60</v>
      </c>
    </row>
    <row r="35" customFormat="false" ht="36" hidden="false" customHeight="true" outlineLevel="0" collapsed="false">
      <c r="A35" s="4" t="s">
        <v>61</v>
      </c>
      <c r="B35" s="9" t="n">
        <v>18000</v>
      </c>
      <c r="C35" s="2" t="s">
        <v>58</v>
      </c>
    </row>
    <row r="36" customFormat="false" ht="36" hidden="false" customHeight="true" outlineLevel="0" collapsed="false">
      <c r="A36" s="4" t="s">
        <v>62</v>
      </c>
      <c r="B36" s="9" t="n">
        <v>18000</v>
      </c>
      <c r="C36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63</v>
      </c>
    </row>
    <row r="2" customFormat="false" ht="36" hidden="false" customHeight="true" outlineLevel="0" collapsed="false">
      <c r="A2" s="2" t="s">
        <v>64</v>
      </c>
    </row>
    <row r="4" customFormat="false" ht="25" hidden="false" customHeight="true" outlineLevel="0" collapsed="false">
      <c r="A4" s="3" t="s">
        <v>65</v>
      </c>
      <c r="B4" s="3" t="s">
        <v>66</v>
      </c>
      <c r="C4" s="3" t="s">
        <v>67</v>
      </c>
    </row>
    <row r="5" customFormat="false" ht="22" hidden="false" customHeight="true" outlineLevel="0" collapsed="false">
      <c r="A5" s="4" t="s">
        <v>68</v>
      </c>
      <c r="B5" s="12" t="n">
        <v>852000</v>
      </c>
    </row>
    <row r="6" customFormat="false" ht="22" hidden="false" customHeight="true" outlineLevel="0" collapsed="false">
      <c r="A6" s="4" t="s">
        <v>69</v>
      </c>
      <c r="B6" s="12" t="n">
        <v>-150000</v>
      </c>
    </row>
    <row r="7" customFormat="false" ht="22" hidden="false" customHeight="true" outlineLevel="0" collapsed="false">
      <c r="A7" s="4" t="s">
        <v>70</v>
      </c>
      <c r="B7" s="12" t="n">
        <v>-36000</v>
      </c>
    </row>
    <row r="8" customFormat="false" ht="22" hidden="false" customHeight="true" outlineLevel="0" collapsed="false">
      <c r="A8" s="4" t="s">
        <v>71</v>
      </c>
      <c r="B8" s="12" t="n">
        <v>-6000</v>
      </c>
    </row>
    <row r="9" customFormat="false" ht="22" hidden="false" customHeight="true" outlineLevel="0" collapsed="false">
      <c r="A9" s="4" t="s">
        <v>72</v>
      </c>
      <c r="B9" s="12" t="n">
        <v>186000</v>
      </c>
    </row>
    <row r="10" customFormat="false" ht="22" hidden="false" customHeight="true" outlineLevel="0" collapsed="false">
      <c r="A10" s="6" t="s">
        <v>73</v>
      </c>
      <c r="B10" s="13" t="n">
        <f aca="false">SUM(B5:B9)</f>
        <v>846000</v>
      </c>
    </row>
    <row r="12" customFormat="false" ht="22" hidden="false" customHeight="true" outlineLevel="0" collapsed="false">
      <c r="A12" s="4" t="s">
        <v>53</v>
      </c>
      <c r="B12" s="12" t="n">
        <v>126000</v>
      </c>
    </row>
    <row r="13" customFormat="false" ht="22" hidden="false" customHeight="true" outlineLevel="0" collapsed="false">
      <c r="A13" s="4" t="s">
        <v>55</v>
      </c>
      <c r="B13" s="12" t="n">
        <v>30000</v>
      </c>
    </row>
    <row r="14" customFormat="false" ht="22" hidden="false" customHeight="true" outlineLevel="0" collapsed="false">
      <c r="A14" s="4" t="s">
        <v>57</v>
      </c>
      <c r="B14" s="12" t="n">
        <v>12000</v>
      </c>
    </row>
    <row r="15" customFormat="false" ht="36" hidden="false" customHeight="true" outlineLevel="0" collapsed="false">
      <c r="A15" s="4" t="s">
        <v>59</v>
      </c>
      <c r="B15" s="12" t="n">
        <v>24000</v>
      </c>
      <c r="C15" s="2" t="s">
        <v>74</v>
      </c>
    </row>
    <row r="16" customFormat="false" ht="22" hidden="false" customHeight="true" outlineLevel="0" collapsed="false">
      <c r="A16" s="4" t="s">
        <v>61</v>
      </c>
      <c r="B16" s="12" t="n">
        <v>18000</v>
      </c>
    </row>
    <row r="17" customFormat="false" ht="22" hidden="false" customHeight="true" outlineLevel="0" collapsed="false">
      <c r="A17" s="4" t="s">
        <v>62</v>
      </c>
      <c r="B17" s="12" t="n">
        <v>18000</v>
      </c>
    </row>
    <row r="18" customFormat="false" ht="22" hidden="false" customHeight="true" outlineLevel="0" collapsed="false">
      <c r="A18" s="4" t="s">
        <v>75</v>
      </c>
      <c r="B18" s="12" t="n">
        <v>25200</v>
      </c>
    </row>
    <row r="19" customFormat="false" ht="22" hidden="false" customHeight="true" outlineLevel="0" collapsed="false">
      <c r="A19" s="6" t="s">
        <v>76</v>
      </c>
      <c r="B19" s="13" t="n">
        <f aca="false">SUM(B12:B18)</f>
        <v>253200</v>
      </c>
    </row>
    <row r="21" customFormat="false" ht="22" hidden="false" customHeight="true" outlineLevel="0" collapsed="false">
      <c r="A21" s="6" t="s">
        <v>77</v>
      </c>
      <c r="B21" s="13" t="n">
        <f aca="false">B10-B19</f>
        <v>592800</v>
      </c>
    </row>
    <row r="22" customFormat="false" ht="22" hidden="false" customHeight="true" outlineLevel="0" collapsed="false">
      <c r="A22" s="4" t="s">
        <v>78</v>
      </c>
      <c r="B22" s="12" t="n">
        <v>17000</v>
      </c>
    </row>
    <row r="23" customFormat="false" ht="22" hidden="false" customHeight="true" outlineLevel="0" collapsed="false">
      <c r="A23" s="6" t="s">
        <v>79</v>
      </c>
      <c r="B23" s="13" t="n">
        <f aca="false">B21-B22</f>
        <v>575800</v>
      </c>
    </row>
    <row r="25" customFormat="false" ht="22" hidden="false" customHeight="true" outlineLevel="0" collapsed="false">
      <c r="A25" s="4" t="s">
        <v>80</v>
      </c>
      <c r="B25" s="12" t="n">
        <v>220000</v>
      </c>
    </row>
    <row r="26" customFormat="false" ht="22" hidden="false" customHeight="true" outlineLevel="0" collapsed="false">
      <c r="A26" s="4" t="s">
        <v>81</v>
      </c>
      <c r="B26" s="12" t="n">
        <v>294000</v>
      </c>
    </row>
    <row r="27" customFormat="false" ht="22" hidden="false" customHeight="true" outlineLevel="0" collapsed="false">
      <c r="A27" s="4" t="s">
        <v>82</v>
      </c>
      <c r="B27" s="12" t="n">
        <v>180000</v>
      </c>
    </row>
    <row r="29" customFormat="false" ht="36" hidden="false" customHeight="true" outlineLevel="0" collapsed="false">
      <c r="A29" s="2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6" min="5" style="0" width="20"/>
    <col collapsed="false" customWidth="true" hidden="false" outlineLevel="0" max="7" min="7" style="0" width="16"/>
  </cols>
  <sheetData>
    <row r="1" customFormat="false" ht="27" hidden="false" customHeight="true" outlineLevel="0" collapsed="false">
      <c r="A1" s="1" t="s">
        <v>84</v>
      </c>
    </row>
    <row r="2" customFormat="false" ht="36" hidden="false" customHeight="true" outlineLevel="0" collapsed="false">
      <c r="A2" s="2" t="s">
        <v>85</v>
      </c>
    </row>
    <row r="4" customFormat="false" ht="25" hidden="false" customHeight="true" outlineLevel="0" collapsed="false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92</v>
      </c>
    </row>
    <row r="5" customFormat="false" ht="22" hidden="false" customHeight="true" outlineLevel="0" collapsed="false">
      <c r="A5" s="4" t="s">
        <v>93</v>
      </c>
      <c r="B5" s="4" t="s">
        <v>94</v>
      </c>
      <c r="C5" s="12" t="n">
        <v>18000</v>
      </c>
      <c r="D5" s="4" t="s">
        <v>95</v>
      </c>
      <c r="E5" s="12" t="n">
        <v>15000</v>
      </c>
      <c r="F5" s="12" t="n">
        <v>15000</v>
      </c>
      <c r="G5" s="4" t="s">
        <v>96</v>
      </c>
    </row>
    <row r="6" customFormat="false" ht="22" hidden="false" customHeight="true" outlineLevel="0" collapsed="false">
      <c r="A6" s="4" t="s">
        <v>97</v>
      </c>
      <c r="B6" s="4" t="s">
        <v>98</v>
      </c>
      <c r="C6" s="12" t="n">
        <v>22000</v>
      </c>
      <c r="D6" s="4" t="s">
        <v>95</v>
      </c>
      <c r="E6" s="12" t="n">
        <v>18700</v>
      </c>
      <c r="F6" s="12" t="n">
        <v>18700</v>
      </c>
      <c r="G6" s="4" t="s">
        <v>99</v>
      </c>
    </row>
    <row r="7" customFormat="false" ht="22" hidden="false" customHeight="true" outlineLevel="0" collapsed="false">
      <c r="A7" s="4" t="s">
        <v>100</v>
      </c>
      <c r="B7" s="4" t="s">
        <v>101</v>
      </c>
      <c r="C7" s="12" t="n">
        <v>30000</v>
      </c>
      <c r="D7" s="4" t="s">
        <v>95</v>
      </c>
      <c r="E7" s="12" t="n">
        <v>27000</v>
      </c>
      <c r="F7" s="12" t="n">
        <v>27000</v>
      </c>
      <c r="G7" s="4" t="s">
        <v>102</v>
      </c>
    </row>
    <row r="8" customFormat="false" ht="22" hidden="false" customHeight="true" outlineLevel="0" collapsed="false">
      <c r="A8" s="4" t="s">
        <v>103</v>
      </c>
      <c r="B8" s="4" t="s">
        <v>104</v>
      </c>
      <c r="C8" s="12" t="n">
        <v>15000</v>
      </c>
      <c r="D8" s="4" t="s">
        <v>104</v>
      </c>
      <c r="E8" s="12" t="n">
        <v>0</v>
      </c>
      <c r="F8" s="12" t="n">
        <v>12500</v>
      </c>
      <c r="G8" s="4" t="s">
        <v>105</v>
      </c>
    </row>
    <row r="10" customFormat="false" ht="22" hidden="false" customHeight="true" outlineLevel="0" collapsed="false">
      <c r="A10" s="6" t="s">
        <v>106</v>
      </c>
      <c r="C10" s="13" t="n">
        <f aca="false">SUM(C5:C8)</f>
        <v>85000</v>
      </c>
      <c r="E10" s="13" t="n">
        <f aca="false">SUM(E5:E8)</f>
        <v>60700</v>
      </c>
    </row>
    <row r="12" customFormat="false" ht="22" hidden="false" customHeight="true" outlineLevel="0" collapsed="false">
      <c r="A12" s="4" t="s">
        <v>107</v>
      </c>
      <c r="C12" s="14" t="n">
        <f aca="false">COUNTA(A5:A8)</f>
        <v>4</v>
      </c>
    </row>
    <row r="13" customFormat="false" ht="22" hidden="false" customHeight="true" outlineLevel="0" collapsed="false">
      <c r="A13" s="4" t="s">
        <v>108</v>
      </c>
      <c r="C13" s="14" t="n">
        <f aca="false">COUNTIF(D5:D8,"Occupied")</f>
        <v>3</v>
      </c>
    </row>
    <row r="14" customFormat="false" ht="22" hidden="false" customHeight="true" outlineLevel="0" collapsed="false">
      <c r="A14" s="4" t="s">
        <v>109</v>
      </c>
      <c r="C14" s="13" t="n">
        <f aca="false">SUMIF(D5:D8,"Occupied",C5:C8)</f>
        <v>70000</v>
      </c>
    </row>
    <row r="15" customFormat="false" ht="22" hidden="false" customHeight="true" outlineLevel="0" collapsed="false">
      <c r="A15" s="4" t="s">
        <v>110</v>
      </c>
      <c r="C15" s="15" t="n">
        <f aca="false">100*C13/C12</f>
        <v>75</v>
      </c>
    </row>
    <row r="16" customFormat="false" ht="22" hidden="false" customHeight="true" outlineLevel="0" collapsed="false">
      <c r="A16" s="4" t="s">
        <v>111</v>
      </c>
      <c r="C16" s="15" t="n">
        <f aca="false">100*C14/C10</f>
        <v>82.3529411764706</v>
      </c>
    </row>
    <row r="17" customFormat="false" ht="22" hidden="false" customHeight="true" outlineLevel="0" collapsed="false">
      <c r="A17" s="4" t="s">
        <v>112</v>
      </c>
      <c r="C17" s="13" t="n">
        <f aca="false">E10*12</f>
        <v>728400</v>
      </c>
    </row>
    <row r="19" customFormat="false" ht="36" hidden="false" customHeight="true" outlineLevel="0" collapsed="false">
      <c r="A19" s="2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114</v>
      </c>
    </row>
    <row r="2" customFormat="false" ht="36" hidden="false" customHeight="true" outlineLevel="0" collapsed="false">
      <c r="A2" s="2" t="s">
        <v>115</v>
      </c>
    </row>
    <row r="4" customFormat="false" ht="25" hidden="false" customHeight="true" outlineLevel="0" collapsed="false">
      <c r="A4" s="3" t="s">
        <v>65</v>
      </c>
      <c r="B4" s="3" t="s">
        <v>116</v>
      </c>
      <c r="C4" s="3" t="s">
        <v>52</v>
      </c>
    </row>
    <row r="5" customFormat="false" ht="36" hidden="false" customHeight="true" outlineLevel="0" collapsed="false">
      <c r="A5" s="4" t="s">
        <v>68</v>
      </c>
      <c r="B5" s="16" t="n">
        <f aca="false">Assumptions!B15*Assumptions!B18</f>
        <v>900000</v>
      </c>
      <c r="C5" s="2" t="s">
        <v>117</v>
      </c>
    </row>
    <row r="6" customFormat="false" ht="36" hidden="false" customHeight="true" outlineLevel="0" collapsed="false">
      <c r="A6" s="4" t="s">
        <v>118</v>
      </c>
      <c r="B6" s="16" t="n">
        <f aca="false">-B5*Assumptions!B16</f>
        <v>-72000</v>
      </c>
      <c r="C6" s="2" t="s">
        <v>119</v>
      </c>
    </row>
    <row r="7" customFormat="false" ht="36" hidden="false" customHeight="true" outlineLevel="0" collapsed="false">
      <c r="A7" s="4" t="s">
        <v>72</v>
      </c>
      <c r="B7" s="16" t="n">
        <f aca="false">Assumptions!B17*Assumptions!B18</f>
        <v>195000</v>
      </c>
      <c r="C7" s="2" t="s">
        <v>120</v>
      </c>
    </row>
    <row r="8" customFormat="false" ht="22" hidden="false" customHeight="true" outlineLevel="0" collapsed="false">
      <c r="A8" s="6" t="s">
        <v>121</v>
      </c>
      <c r="B8" s="13" t="n">
        <f aca="false">B5+B6+B7</f>
        <v>1023000</v>
      </c>
    </row>
    <row r="10" customFormat="false" ht="22" hidden="false" customHeight="true" outlineLevel="0" collapsed="false">
      <c r="A10" s="4" t="s">
        <v>53</v>
      </c>
      <c r="B10" s="16" t="n">
        <f aca="false">Assumptions!B31</f>
        <v>132000</v>
      </c>
    </row>
    <row r="11" customFormat="false" ht="22" hidden="false" customHeight="true" outlineLevel="0" collapsed="false">
      <c r="A11" s="4" t="s">
        <v>55</v>
      </c>
      <c r="B11" s="16" t="n">
        <f aca="false">Assumptions!B32</f>
        <v>33600</v>
      </c>
    </row>
    <row r="12" customFormat="false" ht="22" hidden="false" customHeight="true" outlineLevel="0" collapsed="false">
      <c r="A12" s="4" t="s">
        <v>57</v>
      </c>
      <c r="B12" s="16" t="n">
        <f aca="false">Assumptions!B33</f>
        <v>12000</v>
      </c>
    </row>
    <row r="13" customFormat="false" ht="22" hidden="false" customHeight="true" outlineLevel="0" collapsed="false">
      <c r="A13" s="4" t="s">
        <v>59</v>
      </c>
      <c r="B13" s="16" t="n">
        <f aca="false">Assumptions!B34</f>
        <v>18000</v>
      </c>
    </row>
    <row r="14" customFormat="false" ht="22" hidden="false" customHeight="true" outlineLevel="0" collapsed="false">
      <c r="A14" s="4" t="s">
        <v>61</v>
      </c>
      <c r="B14" s="16" t="n">
        <f aca="false">Assumptions!B35</f>
        <v>18000</v>
      </c>
    </row>
    <row r="15" customFormat="false" ht="22" hidden="false" customHeight="true" outlineLevel="0" collapsed="false">
      <c r="A15" s="4" t="s">
        <v>62</v>
      </c>
      <c r="B15" s="16" t="n">
        <f aca="false">Assumptions!B36</f>
        <v>18000</v>
      </c>
    </row>
    <row r="16" customFormat="false" ht="22" hidden="false" customHeight="true" outlineLevel="0" collapsed="false">
      <c r="A16" s="4" t="s">
        <v>122</v>
      </c>
      <c r="B16" s="16" t="n">
        <f aca="false">MAX(Assumptions!B22,Assumptions!B21*B8)</f>
        <v>30690</v>
      </c>
    </row>
    <row r="17" customFormat="false" ht="22" hidden="false" customHeight="true" outlineLevel="0" collapsed="false">
      <c r="A17" s="6" t="s">
        <v>123</v>
      </c>
      <c r="B17" s="13" t="n">
        <f aca="false">SUM(B10:B16)</f>
        <v>262290</v>
      </c>
    </row>
    <row r="19" customFormat="false" ht="22" hidden="false" customHeight="true" outlineLevel="0" collapsed="false">
      <c r="A19" s="6" t="s">
        <v>124</v>
      </c>
      <c r="B19" s="13" t="n">
        <f aca="false">B8-B17</f>
        <v>760710</v>
      </c>
    </row>
    <row r="20" customFormat="false" ht="22" hidden="false" customHeight="true" outlineLevel="0" collapsed="false">
      <c r="A20" s="4" t="s">
        <v>125</v>
      </c>
      <c r="B20" s="16" t="n">
        <f aca="false">Assumptions!B19*Assumptions!B20</f>
        <v>17000</v>
      </c>
    </row>
    <row r="21" customFormat="false" ht="22" hidden="false" customHeight="true" outlineLevel="0" collapsed="false">
      <c r="A21" s="6" t="s">
        <v>126</v>
      </c>
      <c r="B21" s="13" t="n">
        <f aca="false">B19-B20</f>
        <v>743710</v>
      </c>
    </row>
    <row r="23" customFormat="false" ht="22" hidden="false" customHeight="true" outlineLevel="0" collapsed="false">
      <c r="A23" s="6" t="s">
        <v>127</v>
      </c>
      <c r="B23" s="13" t="n">
        <f aca="false">B19/Assumptions!B5</f>
        <v>11269777.7777778</v>
      </c>
    </row>
    <row r="24" customFormat="false" ht="22" hidden="false" customHeight="true" outlineLevel="0" collapsed="false">
      <c r="A24" s="4" t="s">
        <v>128</v>
      </c>
      <c r="B24" s="17" t="n">
        <f aca="false">B17/B8</f>
        <v>0.256392961876833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129</v>
      </c>
    </row>
    <row r="2" customFormat="false" ht="36" hidden="false" customHeight="true" outlineLevel="0" collapsed="false">
      <c r="A2" s="2" t="s">
        <v>130</v>
      </c>
    </row>
    <row r="4" customFormat="false" ht="25" hidden="false" customHeight="true" outlineLevel="0" collapsed="false">
      <c r="A4" s="3" t="s">
        <v>131</v>
      </c>
      <c r="B4" s="3" t="s">
        <v>4</v>
      </c>
      <c r="C4" s="3" t="s">
        <v>132</v>
      </c>
    </row>
    <row r="5" customFormat="false" ht="36" hidden="false" customHeight="true" outlineLevel="0" collapsed="false">
      <c r="A5" s="4" t="s">
        <v>133</v>
      </c>
      <c r="B5" s="18" t="n">
        <f aca="false">Assumptions!B9</f>
        <v>0.0675</v>
      </c>
      <c r="C5" s="2" t="s">
        <v>134</v>
      </c>
    </row>
    <row r="6" customFormat="false" ht="36" hidden="false" customHeight="true" outlineLevel="0" collapsed="false">
      <c r="A6" s="4" t="s">
        <v>135</v>
      </c>
      <c r="B6" s="18" t="n">
        <f aca="false">Assumptions!B12</f>
        <v>0.0725</v>
      </c>
      <c r="C6" s="2" t="s">
        <v>136</v>
      </c>
    </row>
    <row r="7" customFormat="false" ht="36" hidden="false" customHeight="true" outlineLevel="0" collapsed="false">
      <c r="A7" s="6" t="s">
        <v>137</v>
      </c>
      <c r="B7" s="19" t="n">
        <f aca="false">-PMT(B6/12,Assumptions!B13,1)*12</f>
        <v>0.0867368236916599</v>
      </c>
      <c r="C7" s="2" t="s">
        <v>138</v>
      </c>
    </row>
    <row r="9" customFormat="false" ht="36" hidden="false" customHeight="true" outlineLevel="0" collapsed="false">
      <c r="A9" s="4" t="s">
        <v>139</v>
      </c>
      <c r="B9" s="16" t="n">
        <f aca="false">Assumptions!B23*Underwriting!B23</f>
        <v>6761866.66666667</v>
      </c>
      <c r="C9" s="2" t="s">
        <v>140</v>
      </c>
    </row>
    <row r="10" customFormat="false" ht="36" hidden="false" customHeight="true" outlineLevel="0" collapsed="false">
      <c r="A10" s="4" t="s">
        <v>141</v>
      </c>
      <c r="B10" s="16" t="n">
        <f aca="false">Underwriting!B21/(Assumptions!B24*B7)</f>
        <v>6595637.13582959</v>
      </c>
      <c r="C10" s="2" t="s">
        <v>142</v>
      </c>
    </row>
    <row r="11" customFormat="false" ht="36" hidden="false" customHeight="true" outlineLevel="0" collapsed="false">
      <c r="A11" s="4" t="s">
        <v>143</v>
      </c>
      <c r="B11" s="16" t="n">
        <f aca="false">Underwriting!B21/Assumptions!B25</f>
        <v>7437100</v>
      </c>
      <c r="C11" s="2" t="s">
        <v>144</v>
      </c>
    </row>
    <row r="12" customFormat="false" ht="22" hidden="false" customHeight="true" outlineLevel="0" collapsed="false">
      <c r="A12" s="6" t="s">
        <v>145</v>
      </c>
      <c r="B12" s="13" t="n">
        <f aca="false">MIN(B9:B11)</f>
        <v>6595637.13582959</v>
      </c>
    </row>
    <row r="13" customFormat="false" ht="22" hidden="false" customHeight="true" outlineLevel="0" collapsed="false">
      <c r="A13" s="6" t="s">
        <v>146</v>
      </c>
      <c r="B13" s="6" t="str">
        <f aca="false">IF(B12=B9,"LTV",IF(B12=B10,"DSCR","Debt yield"))</f>
        <v>DSCR</v>
      </c>
    </row>
    <row r="15" customFormat="false" ht="22" hidden="false" customHeight="true" outlineLevel="0" collapsed="false">
      <c r="A15" s="6" t="s">
        <v>147</v>
      </c>
      <c r="B15" s="13" t="n">
        <f aca="false">B12*B7</f>
        <v>572084.615384615</v>
      </c>
    </row>
    <row r="16" customFormat="false" ht="22" hidden="false" customHeight="true" outlineLevel="0" collapsed="false">
      <c r="A16" s="6" t="s">
        <v>148</v>
      </c>
      <c r="B16" s="20" t="n">
        <f aca="false">Underwriting!B21/B15</f>
        <v>1.3</v>
      </c>
    </row>
    <row r="17" customFormat="false" ht="22" hidden="false" customHeight="true" outlineLevel="0" collapsed="false">
      <c r="A17" s="6" t="s">
        <v>149</v>
      </c>
      <c r="B17" s="7" t="n">
        <f aca="false">Underwriting!B21/B12</f>
        <v>0.112757870799158</v>
      </c>
    </row>
    <row r="18" customFormat="false" ht="22" hidden="false" customHeight="true" outlineLevel="0" collapsed="false">
      <c r="A18" s="6" t="s">
        <v>150</v>
      </c>
      <c r="B18" s="13" t="n">
        <f aca="false">IF(Assumptions!B14&gt;=12,B12*B5,-PMT(B5/12,Assumptions!B13,B12)*12)</f>
        <v>445205.506668497</v>
      </c>
    </row>
    <row r="19" customFormat="false" ht="22" hidden="false" customHeight="true" outlineLevel="0" collapsed="false">
      <c r="A19" s="4" t="s">
        <v>151</v>
      </c>
      <c r="B19" s="16" t="n">
        <f aca="false">-PMT(B5/12,Assumptions!B13,B12)*12</f>
        <v>546840.205591823</v>
      </c>
    </row>
    <row r="20" customFormat="false" ht="22" hidden="false" customHeight="true" outlineLevel="0" collapsed="false">
      <c r="A20" s="4" t="s">
        <v>152</v>
      </c>
      <c r="B20" s="21" t="n">
        <f aca="false">Underwriting!B21/B18</f>
        <v>1.67048697480234</v>
      </c>
    </row>
    <row r="21" customFormat="false" ht="22" hidden="false" customHeight="true" outlineLevel="0" collapsed="false">
      <c r="A21" s="4" t="s">
        <v>153</v>
      </c>
      <c r="B21" s="22" t="n">
        <f aca="false">B12/Assumptions!B19</f>
        <v>77.5957310097599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7" hidden="false" customHeight="true" outlineLevel="0" collapsed="false">
      <c r="A1" s="1" t="s">
        <v>154</v>
      </c>
    </row>
    <row r="2" customFormat="false" ht="36" hidden="false" customHeight="true" outlineLevel="0" collapsed="false">
      <c r="A2" s="2" t="s">
        <v>155</v>
      </c>
    </row>
    <row r="4" customFormat="false" ht="25" hidden="false" customHeight="true" outlineLevel="0" collapsed="false">
      <c r="A4" s="3" t="s">
        <v>156</v>
      </c>
      <c r="B4" s="3" t="s">
        <v>157</v>
      </c>
      <c r="C4" s="3" t="s">
        <v>158</v>
      </c>
    </row>
    <row r="5" customFormat="false" ht="36" hidden="false" customHeight="true" outlineLevel="0" collapsed="false">
      <c r="A5" s="4" t="s">
        <v>159</v>
      </c>
      <c r="B5" s="16" t="n">
        <f aca="false">'Loan Sizing'!B12</f>
        <v>6595637.13582959</v>
      </c>
      <c r="C5" s="2" t="s">
        <v>160</v>
      </c>
    </row>
    <row r="6" customFormat="false" ht="36" hidden="false" customHeight="true" outlineLevel="0" collapsed="false">
      <c r="A6" s="4" t="s">
        <v>161</v>
      </c>
      <c r="B6" s="12" t="n">
        <f aca="false">MAX(0,-B14)</f>
        <v>0</v>
      </c>
      <c r="C6" s="2" t="s">
        <v>162</v>
      </c>
    </row>
    <row r="7" customFormat="false" ht="22" hidden="false" customHeight="true" outlineLevel="0" collapsed="false">
      <c r="A7" s="6" t="s">
        <v>163</v>
      </c>
      <c r="B7" s="13" t="n">
        <f aca="false">B5+B6</f>
        <v>6595637.13582959</v>
      </c>
    </row>
    <row r="9" customFormat="false" ht="25" hidden="false" customHeight="true" outlineLevel="0" collapsed="false">
      <c r="A9" s="3" t="s">
        <v>164</v>
      </c>
    </row>
    <row r="10" customFormat="false" ht="36" hidden="false" customHeight="true" outlineLevel="0" collapsed="false">
      <c r="A10" s="4" t="s">
        <v>47</v>
      </c>
      <c r="B10" s="16" t="n">
        <f aca="false">Assumptions!B27</f>
        <v>4200000</v>
      </c>
      <c r="C10" s="2" t="s">
        <v>48</v>
      </c>
    </row>
    <row r="11" customFormat="false" ht="36" hidden="false" customHeight="true" outlineLevel="0" collapsed="false">
      <c r="A11" s="4" t="s">
        <v>165</v>
      </c>
      <c r="B11" s="16" t="n">
        <f aca="false">Assumptions!B26*B5</f>
        <v>82445.4641978699</v>
      </c>
      <c r="C11" s="2" t="s">
        <v>166</v>
      </c>
    </row>
    <row r="12" customFormat="false" ht="36" hidden="false" customHeight="true" outlineLevel="0" collapsed="false">
      <c r="A12" s="4" t="s">
        <v>49</v>
      </c>
      <c r="B12" s="16" t="n">
        <f aca="false">Assumptions!B28</f>
        <v>70000</v>
      </c>
      <c r="C12" s="2" t="s">
        <v>48</v>
      </c>
    </row>
    <row r="13" customFormat="false" ht="22" hidden="false" customHeight="true" outlineLevel="0" collapsed="false">
      <c r="A13" s="6" t="s">
        <v>167</v>
      </c>
      <c r="B13" s="13" t="n">
        <f aca="false">SUM(B10:B12)</f>
        <v>4352445.46419787</v>
      </c>
    </row>
    <row r="14" customFormat="false" ht="22" hidden="false" customHeight="true" outlineLevel="0" collapsed="false">
      <c r="A14" s="6" t="s">
        <v>168</v>
      </c>
      <c r="B14" s="13" t="n">
        <f aca="false">B5-B13</f>
        <v>2243191.67163172</v>
      </c>
    </row>
    <row r="16" customFormat="false" ht="36" hidden="false" customHeight="true" outlineLevel="0" collapsed="false">
      <c r="A16" s="2" t="s">
        <v>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27" hidden="false" customHeight="true" outlineLevel="0" collapsed="false">
      <c r="A1" s="1" t="s">
        <v>170</v>
      </c>
    </row>
    <row r="2" customFormat="false" ht="36" hidden="false" customHeight="true" outlineLevel="0" collapsed="false">
      <c r="A2" s="2" t="s">
        <v>171</v>
      </c>
    </row>
    <row r="4" customFormat="false" ht="25" hidden="false" customHeight="true" outlineLevel="0" collapsed="false">
      <c r="A4" s="3" t="s">
        <v>172</v>
      </c>
      <c r="B4" s="3" t="s">
        <v>173</v>
      </c>
      <c r="C4" s="3" t="s">
        <v>174</v>
      </c>
      <c r="D4" s="3" t="s">
        <v>175</v>
      </c>
      <c r="E4" s="3" t="s">
        <v>176</v>
      </c>
    </row>
    <row r="5" customFormat="false" ht="22" hidden="false" customHeight="true" outlineLevel="0" collapsed="false">
      <c r="A5" s="4" t="s">
        <v>177</v>
      </c>
      <c r="B5" s="16" t="n">
        <f aca="false">Underwriting!B8</f>
        <v>1023000</v>
      </c>
      <c r="C5" s="16" t="n">
        <f aca="false">Underwriting!B8*0.95</f>
        <v>971850</v>
      </c>
      <c r="D5" s="12" t="n">
        <f aca="false">C5</f>
        <v>971850</v>
      </c>
      <c r="E5" s="12" t="n">
        <f aca="false">B5</f>
        <v>1023000</v>
      </c>
    </row>
    <row r="6" customFormat="false" ht="22" hidden="false" customHeight="true" outlineLevel="0" collapsed="false">
      <c r="A6" s="4" t="s">
        <v>75</v>
      </c>
      <c r="B6" s="16" t="n">
        <f aca="false">Underwriting!B16</f>
        <v>30690</v>
      </c>
      <c r="C6" s="16" t="n">
        <f aca="false">MAX(Assumptions!B22,Assumptions!B21*C5)</f>
        <v>29155.5</v>
      </c>
      <c r="D6" s="12" t="n">
        <f aca="false">C6</f>
        <v>29155.5</v>
      </c>
      <c r="E6" s="12" t="n">
        <f aca="false">B6</f>
        <v>30690</v>
      </c>
    </row>
    <row r="7" customFormat="false" ht="22" hidden="false" customHeight="true" outlineLevel="0" collapsed="false">
      <c r="A7" s="4" t="s">
        <v>178</v>
      </c>
      <c r="B7" s="16" t="n">
        <f aca="false">Underwriting!B17-Underwriting!B16</f>
        <v>231600</v>
      </c>
      <c r="C7" s="12" t="n">
        <f aca="false">B7</f>
        <v>231600</v>
      </c>
      <c r="D7" s="12" t="n">
        <f aca="false">B7</f>
        <v>231600</v>
      </c>
      <c r="E7" s="12" t="n">
        <f aca="false">B7</f>
        <v>231600</v>
      </c>
    </row>
    <row r="8" customFormat="false" ht="22" hidden="false" customHeight="true" outlineLevel="0" collapsed="false">
      <c r="A8" s="6" t="s">
        <v>179</v>
      </c>
      <c r="B8" s="13" t="n">
        <f aca="false">B5-B6-B7</f>
        <v>760710</v>
      </c>
      <c r="C8" s="13" t="n">
        <f aca="false">C5-C6-C7</f>
        <v>711094.5</v>
      </c>
      <c r="D8" s="13" t="n">
        <f aca="false">D5-D6-D7</f>
        <v>711094.5</v>
      </c>
      <c r="E8" s="13" t="n">
        <f aca="false">E5-E6-E7</f>
        <v>760710</v>
      </c>
    </row>
    <row r="9" customFormat="false" ht="22" hidden="false" customHeight="true" outlineLevel="0" collapsed="false">
      <c r="A9" s="4" t="s">
        <v>180</v>
      </c>
      <c r="B9" s="16" t="n">
        <f aca="false">Underwriting!B20</f>
        <v>17000</v>
      </c>
      <c r="C9" s="12" t="n">
        <f aca="false">B9</f>
        <v>17000</v>
      </c>
      <c r="D9" s="12" t="n">
        <f aca="false">B9</f>
        <v>17000</v>
      </c>
      <c r="E9" s="12" t="n">
        <f aca="false">B9</f>
        <v>17000</v>
      </c>
    </row>
    <row r="10" customFormat="false" ht="22" hidden="false" customHeight="true" outlineLevel="0" collapsed="false">
      <c r="A10" s="6" t="s">
        <v>181</v>
      </c>
      <c r="B10" s="13" t="n">
        <f aca="false">B8-B9</f>
        <v>743710</v>
      </c>
      <c r="C10" s="13" t="n">
        <f aca="false">C8-C9</f>
        <v>694094.5</v>
      </c>
      <c r="D10" s="13" t="n">
        <f aca="false">D8-D9</f>
        <v>694094.5</v>
      </c>
      <c r="E10" s="13" t="n">
        <f aca="false">E8-E9</f>
        <v>743710</v>
      </c>
    </row>
    <row r="11" customFormat="false" ht="22" hidden="false" customHeight="true" outlineLevel="0" collapsed="false">
      <c r="A11" s="4" t="s">
        <v>182</v>
      </c>
      <c r="B11" s="18" t="n">
        <f aca="false">Assumptions!B5</f>
        <v>0.0675</v>
      </c>
      <c r="C11" s="18" t="n">
        <f aca="false">Assumptions!B5</f>
        <v>0.0675</v>
      </c>
      <c r="D11" s="18" t="n">
        <f aca="false">Assumptions!B5</f>
        <v>0.0675</v>
      </c>
      <c r="E11" s="18" t="n">
        <f aca="false">Assumptions!B5+0.005</f>
        <v>0.0725</v>
      </c>
    </row>
    <row r="12" customFormat="false" ht="22" hidden="false" customHeight="true" outlineLevel="0" collapsed="false">
      <c r="A12" s="4" t="s">
        <v>183</v>
      </c>
      <c r="B12" s="12" t="n">
        <f aca="false">B8/B11</f>
        <v>11269777.7777778</v>
      </c>
      <c r="C12" s="12" t="n">
        <f aca="false">C8/C11</f>
        <v>10534733.3333333</v>
      </c>
      <c r="D12" s="12" t="n">
        <f aca="false">D8/D11</f>
        <v>10534733.3333333</v>
      </c>
      <c r="E12" s="12" t="n">
        <f aca="false">E8/E11</f>
        <v>10492551.7241379</v>
      </c>
    </row>
    <row r="13" customFormat="false" ht="22" hidden="false" customHeight="true" outlineLevel="0" collapsed="false">
      <c r="A13" s="4" t="s">
        <v>184</v>
      </c>
      <c r="B13" s="18" t="n">
        <f aca="false">Assumptions!B12</f>
        <v>0.0725</v>
      </c>
      <c r="C13" s="18" t="n">
        <f aca="false">Assumptions!B12</f>
        <v>0.0725</v>
      </c>
      <c r="D13" s="18" t="n">
        <f aca="false">Assumptions!B12+0.01</f>
        <v>0.0825</v>
      </c>
      <c r="E13" s="18" t="n">
        <f aca="false">Assumptions!B12</f>
        <v>0.0725</v>
      </c>
    </row>
    <row r="14" customFormat="false" ht="22" hidden="false" customHeight="true" outlineLevel="0" collapsed="false">
      <c r="A14" s="4" t="s">
        <v>185</v>
      </c>
      <c r="B14" s="23" t="n">
        <f aca="false">-PMT(B13/12,Assumptions!B13,1)*12</f>
        <v>0.0867368236916599</v>
      </c>
      <c r="C14" s="23" t="n">
        <f aca="false">-PMT(C13/12,Assumptions!B13,1)*12</f>
        <v>0.0867368236916599</v>
      </c>
      <c r="D14" s="23" t="n">
        <f aca="false">-PMT(D13/12,Assumptions!B13,1)*12</f>
        <v>0.0946140161623425</v>
      </c>
      <c r="E14" s="23" t="n">
        <f aca="false">-PMT(E13/12,Assumptions!B13,1)*12</f>
        <v>0.0867368236916599</v>
      </c>
    </row>
    <row r="15" customFormat="false" ht="22" hidden="false" customHeight="true" outlineLevel="0" collapsed="false">
      <c r="A15" s="4" t="s">
        <v>139</v>
      </c>
      <c r="B15" s="16" t="n">
        <f aca="false">Assumptions!B23*B12</f>
        <v>6761866.66666667</v>
      </c>
      <c r="C15" s="16" t="n">
        <f aca="false">Assumptions!B23*C12</f>
        <v>6320840</v>
      </c>
      <c r="D15" s="16" t="n">
        <f aca="false">Assumptions!B23*D12</f>
        <v>6320840</v>
      </c>
      <c r="E15" s="16" t="n">
        <f aca="false">Assumptions!B23*E12</f>
        <v>6295531.03448276</v>
      </c>
    </row>
    <row r="16" customFormat="false" ht="22" hidden="false" customHeight="true" outlineLevel="0" collapsed="false">
      <c r="A16" s="4" t="s">
        <v>141</v>
      </c>
      <c r="B16" s="16" t="n">
        <f aca="false">B10/(Assumptions!B24*B14)</f>
        <v>6595637.13582959</v>
      </c>
      <c r="C16" s="16" t="n">
        <f aca="false">C10/(Assumptions!B24*C14)</f>
        <v>6155619.07191657</v>
      </c>
      <c r="D16" s="16" t="n">
        <f aca="false">D10/(Assumptions!B24*D14)</f>
        <v>5643126.33381641</v>
      </c>
      <c r="E16" s="16" t="n">
        <f aca="false">E10/(Assumptions!B24*E14)</f>
        <v>6595637.13582959</v>
      </c>
    </row>
    <row r="17" customFormat="false" ht="22" hidden="false" customHeight="true" outlineLevel="0" collapsed="false">
      <c r="A17" s="4" t="s">
        <v>143</v>
      </c>
      <c r="B17" s="16" t="n">
        <f aca="false">B10/Assumptions!B25</f>
        <v>7437100</v>
      </c>
      <c r="C17" s="16" t="n">
        <f aca="false">C10/Assumptions!B25</f>
        <v>6940945</v>
      </c>
      <c r="D17" s="16" t="n">
        <f aca="false">D10/Assumptions!B25</f>
        <v>6940945</v>
      </c>
      <c r="E17" s="16" t="n">
        <f aca="false">E10/Assumptions!B25</f>
        <v>7437100</v>
      </c>
    </row>
    <row r="18" customFormat="false" ht="22" hidden="false" customHeight="true" outlineLevel="0" collapsed="false">
      <c r="A18" s="6" t="s">
        <v>186</v>
      </c>
      <c r="B18" s="13" t="n">
        <f aca="false">MIN(B15:B17)</f>
        <v>6595637.13582959</v>
      </c>
      <c r="C18" s="13" t="n">
        <f aca="false">MIN(C15:C17)</f>
        <v>6155619.07191657</v>
      </c>
      <c r="D18" s="13" t="n">
        <f aca="false">MIN(D15:D17)</f>
        <v>5643126.33381641</v>
      </c>
      <c r="E18" s="13" t="n">
        <f aca="false">MIN(E15:E17)</f>
        <v>6295531.03448276</v>
      </c>
    </row>
    <row r="19" customFormat="false" ht="22" hidden="false" customHeight="true" outlineLevel="0" collapsed="false">
      <c r="A19" s="6" t="s">
        <v>146</v>
      </c>
      <c r="B19" s="6" t="str">
        <f aca="false">IF(B18=B15,"LTV",IF(B18=B16,"DSCR","Debt yield"))</f>
        <v>DSCR</v>
      </c>
      <c r="C19" s="6" t="str">
        <f aca="false">IF(C18=C15,"LTV",IF(C18=C16,"DSCR","Debt yield"))</f>
        <v>DSCR</v>
      </c>
      <c r="D19" s="6" t="str">
        <f aca="false">IF(D18=D15,"LTV",IF(D18=D16,"DSCR","Debt yield"))</f>
        <v>DSCR</v>
      </c>
      <c r="E19" s="6" t="str">
        <f aca="false">IF(E18=E15,"LTV",IF(E18=E16,"DSCR","Debt yield"))</f>
        <v>LTV</v>
      </c>
    </row>
    <row r="20" customFormat="false" ht="22" hidden="false" customHeight="true" outlineLevel="0" collapsed="false">
      <c r="A20" s="4" t="s">
        <v>168</v>
      </c>
      <c r="B20" s="16" t="n">
        <f aca="false">B18-Assumptions!B27-Assumptions!B26*B18-Assumptions!B28</f>
        <v>2243191.67163172</v>
      </c>
      <c r="C20" s="16" t="n">
        <f aca="false">C18-Assumptions!B27-Assumptions!B26*C18-Assumptions!B28</f>
        <v>1808673.83351761</v>
      </c>
      <c r="D20" s="16" t="n">
        <f aca="false">D18-Assumptions!B27-Assumptions!B26*D18-Assumptions!B28</f>
        <v>1302587.2546437</v>
      </c>
      <c r="E20" s="16" t="n">
        <f aca="false">E18-Assumptions!B27-Assumptions!B26*E18-Assumptions!B28</f>
        <v>1946836.89655172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50"/>
  </cols>
  <sheetData>
    <row r="1" customFormat="false" ht="27" hidden="false" customHeight="true" outlineLevel="0" collapsed="false">
      <c r="A1" s="1" t="s">
        <v>187</v>
      </c>
    </row>
    <row r="3" customFormat="false" ht="25" hidden="false" customHeight="true" outlineLevel="0" collapsed="false">
      <c r="A3" s="3" t="s">
        <v>188</v>
      </c>
      <c r="B3" s="3" t="s">
        <v>189</v>
      </c>
      <c r="C3" s="3" t="s">
        <v>67</v>
      </c>
    </row>
    <row r="4" customFormat="false" ht="36" hidden="false" customHeight="true" outlineLevel="0" collapsed="false">
      <c r="A4" s="4" t="s">
        <v>190</v>
      </c>
      <c r="B4" s="4" t="s">
        <v>191</v>
      </c>
      <c r="C4" s="2" t="s">
        <v>192</v>
      </c>
    </row>
    <row r="5" customFormat="false" ht="36" hidden="false" customHeight="true" outlineLevel="0" collapsed="false">
      <c r="A5" s="4" t="s">
        <v>193</v>
      </c>
      <c r="B5" s="4" t="s">
        <v>194</v>
      </c>
      <c r="C5" s="2" t="s">
        <v>195</v>
      </c>
    </row>
    <row r="6" customFormat="false" ht="36" hidden="false" customHeight="true" outlineLevel="0" collapsed="false">
      <c r="A6" s="4" t="s">
        <v>68</v>
      </c>
      <c r="B6" s="4" t="s">
        <v>196</v>
      </c>
      <c r="C6" s="2" t="s">
        <v>197</v>
      </c>
    </row>
    <row r="7" customFormat="false" ht="36" hidden="false" customHeight="true" outlineLevel="0" collapsed="false">
      <c r="A7" s="4" t="s">
        <v>72</v>
      </c>
      <c r="B7" s="4" t="s">
        <v>198</v>
      </c>
      <c r="C7" s="2" t="s">
        <v>120</v>
      </c>
    </row>
    <row r="8" customFormat="false" ht="36" hidden="false" customHeight="true" outlineLevel="0" collapsed="false">
      <c r="A8" s="4" t="s">
        <v>199</v>
      </c>
      <c r="B8" s="4" t="s">
        <v>200</v>
      </c>
      <c r="C8" s="2" t="s">
        <v>201</v>
      </c>
    </row>
    <row r="9" customFormat="false" ht="22" hidden="false" customHeight="true" outlineLevel="0" collapsed="false">
      <c r="A9" s="4" t="s">
        <v>202</v>
      </c>
      <c r="B9" s="4" t="s">
        <v>203</v>
      </c>
    </row>
    <row r="10" customFormat="false" ht="22" hidden="false" customHeight="true" outlineLevel="0" collapsed="false">
      <c r="A10" s="4" t="s">
        <v>204</v>
      </c>
      <c r="B10" s="4" t="s">
        <v>205</v>
      </c>
    </row>
    <row r="12" customFormat="false" ht="25" hidden="false" customHeight="true" outlineLevel="0" collapsed="false">
      <c r="A12" s="3" t="s">
        <v>206</v>
      </c>
      <c r="B12" s="3" t="s">
        <v>189</v>
      </c>
      <c r="C12" s="3" t="s">
        <v>207</v>
      </c>
    </row>
    <row r="13" customFormat="false" ht="22" hidden="false" customHeight="true" outlineLevel="0" collapsed="false">
      <c r="A13" s="4" t="s">
        <v>208</v>
      </c>
      <c r="B13" s="4" t="s">
        <v>209</v>
      </c>
      <c r="C13" s="13" t="n">
        <f aca="false">Underwriting!B19</f>
        <v>760710</v>
      </c>
    </row>
    <row r="14" customFormat="false" ht="22" hidden="false" customHeight="true" outlineLevel="0" collapsed="false">
      <c r="A14" s="4" t="s">
        <v>210</v>
      </c>
      <c r="B14" s="4" t="s">
        <v>211</v>
      </c>
      <c r="C14" s="13" t="n">
        <f aca="false">Underwriting!B21</f>
        <v>743710</v>
      </c>
    </row>
    <row r="15" customFormat="false" ht="22" hidden="false" customHeight="true" outlineLevel="0" collapsed="false">
      <c r="A15" s="4" t="s">
        <v>212</v>
      </c>
      <c r="B15" s="4" t="s">
        <v>213</v>
      </c>
      <c r="C15" s="13" t="n">
        <f aca="false">Underwriting!B23</f>
        <v>11269777.7777778</v>
      </c>
    </row>
    <row r="16" customFormat="false" ht="22" hidden="false" customHeight="true" outlineLevel="0" collapsed="false">
      <c r="A16" s="4" t="s">
        <v>139</v>
      </c>
      <c r="B16" s="4" t="s">
        <v>214</v>
      </c>
      <c r="C16" s="13" t="n">
        <f aca="false">'Loan Sizing'!B9</f>
        <v>6761866.66666667</v>
      </c>
    </row>
    <row r="17" customFormat="false" ht="22" hidden="false" customHeight="true" outlineLevel="0" collapsed="false">
      <c r="A17" s="4" t="s">
        <v>141</v>
      </c>
      <c r="B17" s="4" t="s">
        <v>215</v>
      </c>
      <c r="C17" s="13" t="n">
        <f aca="false">'Loan Sizing'!B10</f>
        <v>6595637.13582959</v>
      </c>
    </row>
    <row r="18" customFormat="false" ht="22" hidden="false" customHeight="true" outlineLevel="0" collapsed="false">
      <c r="A18" s="4" t="s">
        <v>143</v>
      </c>
      <c r="B18" s="4" t="s">
        <v>216</v>
      </c>
      <c r="C18" s="13" t="n">
        <f aca="false">'Loan Sizing'!B11</f>
        <v>7437100</v>
      </c>
    </row>
    <row r="19" customFormat="false" ht="22" hidden="false" customHeight="true" outlineLevel="0" collapsed="false">
      <c r="A19" s="4" t="s">
        <v>186</v>
      </c>
      <c r="B19" s="4" t="s">
        <v>160</v>
      </c>
      <c r="C19" s="13" t="n">
        <f aca="false">'Loan Sizing'!B12</f>
        <v>6595637.13582959</v>
      </c>
    </row>
    <row r="20" customFormat="false" ht="22" hidden="false" customHeight="true" outlineLevel="0" collapsed="false">
      <c r="A20" s="4" t="s">
        <v>146</v>
      </c>
      <c r="B20" s="4" t="s">
        <v>217</v>
      </c>
      <c r="C20" s="6" t="str">
        <f aca="false">'Loan Sizing'!B13</f>
        <v>DSCR</v>
      </c>
    </row>
    <row r="21" customFormat="false" ht="22" hidden="false" customHeight="true" outlineLevel="0" collapsed="false">
      <c r="A21" s="4" t="s">
        <v>218</v>
      </c>
      <c r="B21" s="4" t="s">
        <v>219</v>
      </c>
      <c r="C21" s="13" t="n">
        <f aca="false">'Loan Sizing'!B18</f>
        <v>445205.506668497</v>
      </c>
    </row>
    <row r="22" customFormat="false" ht="22" hidden="false" customHeight="true" outlineLevel="0" collapsed="false">
      <c r="A22" s="4" t="s">
        <v>220</v>
      </c>
      <c r="B22" s="4" t="s">
        <v>221</v>
      </c>
      <c r="C22" s="13" t="n">
        <f aca="false">'Sources Uses'!B14</f>
        <v>2243191.67163172</v>
      </c>
    </row>
    <row r="23" customFormat="false" ht="22" hidden="false" customHeight="true" outlineLevel="0" collapsed="false">
      <c r="A23" s="4" t="s">
        <v>222</v>
      </c>
      <c r="B23" s="4" t="s">
        <v>223</v>
      </c>
      <c r="C23" s="13" t="n">
        <f aca="false">Sensitivity!C8</f>
        <v>711094.5</v>
      </c>
    </row>
    <row r="24" customFormat="false" ht="22" hidden="false" customHeight="true" outlineLevel="0" collapsed="false">
      <c r="A24" s="4" t="s">
        <v>224</v>
      </c>
      <c r="B24" s="4" t="s">
        <v>225</v>
      </c>
      <c r="C24" s="13" t="n">
        <f aca="false">Sensitivity!D18</f>
        <v>5643126.33381641</v>
      </c>
    </row>
    <row r="25" customFormat="false" ht="22" hidden="false" customHeight="true" outlineLevel="0" collapsed="false">
      <c r="A25" s="4" t="s">
        <v>226</v>
      </c>
      <c r="B25" s="4" t="s">
        <v>227</v>
      </c>
      <c r="C25" s="13" t="n">
        <f aca="false">'Historical T12'!B21</f>
        <v>592800</v>
      </c>
    </row>
    <row r="26" customFormat="false" ht="22" hidden="false" customHeight="true" outlineLevel="0" collapsed="false">
      <c r="A26" s="4" t="s">
        <v>228</v>
      </c>
      <c r="B26" s="4" t="s">
        <v>229</v>
      </c>
      <c r="C26" s="13" t="n">
        <f aca="false">'Historical T12'!B23</f>
        <v>575800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