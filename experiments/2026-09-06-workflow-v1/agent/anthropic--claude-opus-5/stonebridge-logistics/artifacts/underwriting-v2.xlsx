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c6884158b47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016d24d133f54e24"/>
    <x:sheet xmlns:r="http://schemas.openxmlformats.org/officeDocument/2006/relationships" name="Historical T12" sheetId="2" r:id="R6c4fa72655264d86"/>
    <x:sheet xmlns:r="http://schemas.openxmlformats.org/officeDocument/2006/relationships" name="Rent Roll" sheetId="3" r:id="R79b1646d0ae5436d"/>
    <x:sheet xmlns:r="http://schemas.openxmlformats.org/officeDocument/2006/relationships" name="Underwriting" sheetId="4" r:id="Rf76bdc9c254e4c1f"/>
    <x:sheet xmlns:r="http://schemas.openxmlformats.org/officeDocument/2006/relationships" name="Loan Sizing" sheetId="5" r:id="Rf100b541eb5a4a6b"/>
    <x:sheet xmlns:r="http://schemas.openxmlformats.org/officeDocument/2006/relationships" name="Sources Uses" sheetId="6" r:id="Rae2c637b30f242e1"/>
    <x:sheet xmlns:r="http://schemas.openxmlformats.org/officeDocument/2006/relationships" name="Sensitivity" sheetId="7" r:id="R469b66f518b748e3"/>
    <x:sheet xmlns:r="http://schemas.openxmlformats.org/officeDocument/2006/relationships" name="Input Output Map" sheetId="8" r:id="R4f1fe970649644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%"/>
    <x:numFmt numFmtId="201" formatCode="0"/>
    <x:numFmt numFmtId="202" formatCode="#,##0"/>
    <x:numFmt numFmtId="203" formatCode="0.000"/>
    <x:numFmt numFmtId="204" formatCode="0.00"/>
    <x:numFmt numFmtId="205" formatCode="0.0%"/>
    <x:numFmt numFmtId="206" formatCode="0.00000000"/>
    <x:numFmt numFmtId="207" formatCode="#,##0.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1" fontId="1" fillId="0" borderId="0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4" fontId="1" fillId="0" borderId="0" xfId="0" applyNumberFormat="1" applyFont="1" applyFill="1" applyBorder="1"/>
    <x:xf numFmtId="204" fontId="6" fillId="0" borderId="0" xfId="0" applyNumberFormat="1" applyFont="1" applyFill="1" applyBorder="1"/>
    <x:xf numFmtId="204" fontId="6" fillId="0" borderId="1" xfId="0" applyNumberFormat="1" applyFont="1" applyFill="1" applyBorder="1"/>
    <x:xf numFmtId="0" fontId="7" fillId="0" borderId="0" xfId="0" applyNumberFormat="1" applyFont="1" applyFill="1" applyBorder="1"/>
    <x:xf numFmtId="202" fontId="7" fillId="0" borderId="0" xfId="0" applyNumberFormat="1" applyFont="1" applyFill="1" applyBorder="1"/>
    <x:xf numFmtId="205" fontId="1" fillId="0" borderId="0" xfId="0" applyNumberFormat="1" applyFont="1" applyFill="1" applyBorder="1"/>
    <x:xf numFmtId="200" fontId="7" fillId="0" borderId="0" xfId="0" applyNumberFormat="1" applyFont="1" applyFill="1" applyBorder="1"/>
    <x:xf numFmtId="206" fontId="7" fillId="0" borderId="0" xfId="0" applyNumberFormat="1" applyFont="1" applyFill="1" applyBorder="1"/>
    <x:xf numFmtId="206" fontId="6" fillId="0" borderId="0" xfId="0" applyNumberFormat="1" applyFont="1" applyFill="1" applyBorder="1"/>
    <x:xf numFmtId="206" fontId="6" fillId="0" borderId="1" xfId="0" applyNumberFormat="1" applyFont="1" applyFill="1" applyBorder="1"/>
    <x:xf numFmtId="203" fontId="7" fillId="0" borderId="0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207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14d1ba98a241e3" /><Relationship Type="http://schemas.openxmlformats.org/officeDocument/2006/relationships/theme" Target="/xl/theme/theme1.xml" Id="Rf4d108b769ab4ea8" /><Relationship Type="http://schemas.openxmlformats.org/officeDocument/2006/relationships/sharedStrings" Target="/xl/sharedStrings.xml" Id="Rf98f5eacbac143ab" /><Relationship Type="http://schemas.openxmlformats.org/officeDocument/2006/relationships/worksheet" Target="/xl/worksheets/sheet1.xml" Id="R016d24d133f54e24" /><Relationship Type="http://schemas.openxmlformats.org/officeDocument/2006/relationships/worksheet" Target="/xl/worksheets/sheet2.xml" Id="R6c4fa72655264d86" /><Relationship Type="http://schemas.openxmlformats.org/officeDocument/2006/relationships/worksheet" Target="/xl/worksheets/sheet3.xml" Id="R79b1646d0ae5436d" /><Relationship Type="http://schemas.openxmlformats.org/officeDocument/2006/relationships/worksheet" Target="/xl/worksheets/sheet4.xml" Id="Rf76bdc9c254e4c1f" /><Relationship Type="http://schemas.openxmlformats.org/officeDocument/2006/relationships/worksheet" Target="/xl/worksheets/sheet5.xml" Id="Rf100b541eb5a4a6b" /><Relationship Type="http://schemas.openxmlformats.org/officeDocument/2006/relationships/worksheet" Target="/xl/worksheets/sheet6.xml" Id="Rae2c637b30f242e1" /><Relationship Type="http://schemas.openxmlformats.org/officeDocument/2006/relationships/worksheet" Target="/xl/worksheets/sheet7.xml" Id="R469b66f518b748e3" /><Relationship Type="http://schemas.openxmlformats.org/officeDocument/2006/relationships/worksheet" Target="/xl/worksheets/sheet8.xml" Id="R4f1fe970649644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52" hidden="0" customWidth="1"/>
  </x:cols>
  <x:sheetData>
    <x:row r="1" ht="27" customHeight="1">
      <x:c r="A1" s="2" t="str">
        <x:v>Stonebridge Logistics - Refinance underwriting assumptions</x:v>
      </x:c>
    </x:row>
    <x:row r="2" ht="36" customHeight="1">
      <x:c r="A2" s="4" t="str">
        <x:v>As of 2026-08-31 | fictional packet | USD</x:v>
      </x:c>
    </x:row>
    <x:row r="3" ht="36" customHeight="1">
      <x:c r="A3" s="4" t="str">
        <x:v>Cells in column B are editable inputs driving all downstream sheets</x:v>
      </x:c>
    </x:row>
    <x:row r="4" ht="25" customHeight="1">
      <x:c r="A4" s="6" t="str">
        <x:v>Assumption</x:v>
      </x:c>
      <x:c r="B4" s="6" t="str">
        <x:v>Value</x:v>
      </x:c>
      <x:c r="C4" s="6" t="str">
        <x:v>Source</x:v>
      </x:c>
    </x:row>
    <x:row r="5" ht="36" customHeight="1">
      <x:c r="A5" s="1" t="str">
        <x:v>Valuation cap rate (INPUT)</x:v>
      </x:c>
      <x:c r="B5" s="8" t="n">
        <x:v>0.0675</x:v>
      </x:c>
      <x:c r="C5" s="4" t="str">
        <x:v>Lender-Terms.pdf p1 Valuation</x:v>
      </x:c>
    </x:row>
    <x:row r="6" ht="36" customHeight="1">
      <x:c r="A6" s="1" t="str">
        <x:v>Index rate</x:v>
      </x:c>
      <x:c r="B6" s="8" t="n">
        <x:v>0.0325</x:v>
      </x:c>
      <x:c r="C6" s="4" t="str">
        <x:v>Lender-Terms.pdf p1 Contract rate</x:v>
      </x:c>
    </x:row>
    <x:row r="7" ht="36" customHeight="1">
      <x:c r="A7" s="1" t="str">
        <x:v>Index floor</x:v>
      </x:c>
      <x:c r="B7" s="8" t="n">
        <x:v>0.04</x:v>
      </x:c>
      <x:c r="C7" s="4" t="str">
        <x:v>Lender-Terms.pdf p1 Contract rate</x:v>
      </x:c>
    </x:row>
    <x:row r="8" ht="36" customHeight="1">
      <x:c r="A8" s="1" t="str">
        <x:v>Spread (applied after floor)</x:v>
      </x:c>
      <x:c r="B8" s="8" t="n">
        <x:v>0.0275</x:v>
      </x:c>
      <x:c r="C8" s="4" t="str">
        <x:v>Lender-Terms.pdf p1 Contract rate</x:v>
      </x:c>
    </x:row>
    <x:row r="9" ht="36" customHeight="1">
      <x:c r="A9" s="10" t="str">
        <x:v>Contract rate (computed)</x:v>
      </x:c>
      <x:c r="B9" s="13" t="n">
        <x:f>MAX(B6,B7)+B8</x:f>
        <x:v>0.0675</x:v>
      </x:c>
      <x:c r="C9" s="4" t="str">
        <x:v>MAX(index, floor) + spread</x:v>
      </x:c>
    </x:row>
    <x:row r="10" ht="36" customHeight="1">
      <x:c r="A10" s="1" t="str">
        <x:v>Underwriting (sizing) rate floor</x:v>
      </x:c>
      <x:c r="B10" s="8" t="n">
        <x:v>0.0725</x:v>
      </x:c>
      <x:c r="C10" s="4" t="str">
        <x:v>Lender-Terms.pdf p1 Sizing rate</x:v>
      </x:c>
    </x:row>
    <x:row r="11" ht="36" customHeight="1">
      <x:c r="A11" s="1" t="str">
        <x:v>Sizing rate increment (INPUT; 0.01 = +100bps)</x:v>
      </x:c>
      <x:c r="B11" s="8" t="n">
        <x:v>0</x:v>
      </x:c>
      <x:c r="C11" s="4" t="str">
        <x:v>Property-and-Plan.pdf p2 sensitivity instruction</x:v>
      </x:c>
    </x:row>
    <x:row r="12" ht="36" customHeight="1">
      <x:c r="A12" s="10" t="str">
        <x:v>Sizing rate (computed, INPUT-driven)</x:v>
      </x:c>
      <x:c r="B12" s="13" t="n">
        <x:f>MAX(B9,B10)+B11</x:f>
        <x:v>0.0725</x:v>
      </x:c>
      <x:c r="C12" s="4" t="str">
        <x:v>MAX(contract rate, 7.25% floor) + increment</x:v>
      </x:c>
    </x:row>
    <x:row r="13" ht="36" customHeight="1">
      <x:c r="A13" s="1" t="str">
        <x:v>Amortization term (months)</x:v>
      </x:c>
      <x:c r="B13" s="14" t="n">
        <x:v>300</x:v>
      </x:c>
      <x:c r="C13" s="4" t="str">
        <x:v>Lender-Terms.pdf p1 Amortization 25 years</x:v>
      </x:c>
    </x:row>
    <x:row r="14" ht="36" customHeight="1">
      <x:c r="A14" s="1" t="str">
        <x:v>Interest-only period (months)</x:v>
      </x:c>
      <x:c r="B14" s="14" t="n">
        <x:v>12</x:v>
      </x:c>
      <x:c r="C14" s="4" t="str">
        <x:v>Lender-Terms.pdf p1 IO period</x:v>
      </x:c>
    </x:row>
    <x:row r="15" ht="36" customHeight="1">
      <x:c r="A15" s="1" t="str">
        <x:v>Gross potential base rent (INPUT, annual)</x:v>
      </x:c>
      <x:c r="B15" s="15" t="n">
        <x:v>900000</x:v>
      </x:c>
      <x:c r="C15" s="4" t="str">
        <x:v>Property-and-Plan.pdf p2 supplied scenario</x:v>
      </x:c>
    </x:row>
    <x:row r="16" ht="36" customHeight="1">
      <x:c r="A16" s="1" t="str">
        <x:v>Combined revenue loss % of GPR</x:v>
      </x:c>
      <x:c r="B16" s="8" t="n">
        <x:v>0.08</x:v>
      </x:c>
      <x:c r="C16" s="4" t="str">
        <x:v>Property-and-Plan.pdf p2</x:v>
      </x:c>
    </x:row>
    <x:row r="17" ht="36" customHeight="1">
      <x:c r="A17" s="1" t="str">
        <x:v>Other income / recoveries (INPUT, annual)</x:v>
      </x:c>
      <x:c r="B17" s="15" t="n">
        <x:v>195000</x:v>
      </x:c>
      <x:c r="C17" s="4" t="str">
        <x:v>Property-and-Plan.pdf p2, added after revenue loss</x:v>
      </x:c>
    </x:row>
    <x:row r="18" ht="36" customHeight="1">
      <x:c r="A18" s="1" t="str">
        <x:v>EGI multiplier (INPUT; 0.95 = EGI -5%)</x:v>
      </x:c>
      <x:c r="B18" s="16" t="n">
        <x:v>1</x:v>
      </x:c>
      <x:c r="C18" s="4" t="str">
        <x:v>Scales GPR and other income; loss % held constant</x:v>
      </x:c>
    </x:row>
    <x:row r="19" ht="36" customHeight="1">
      <x:c r="A19" s="1" t="str">
        <x:v>Total rentable SF</x:v>
      </x:c>
      <x:c r="B19" s="15" t="n">
        <x:v>85000</x:v>
      </x:c>
      <x:c r="C19" s="4" t="str">
        <x:v>Rent-Roll.xlsx rows 7-10</x:v>
      </x:c>
    </x:row>
    <x:row r="20" ht="36" customHeight="1">
      <x:c r="A20" s="1" t="str">
        <x:v>Replacement reserves per SF per year</x:v>
      </x:c>
      <x:c r="B20" s="17" t="n">
        <x:v>0.2</x:v>
      </x:c>
      <x:c r="C20" s="4" t="str">
        <x:v>Property-and-Plan.pdf p2</x:v>
      </x:c>
    </x:row>
    <x:row r="21" ht="36" customHeight="1">
      <x:c r="A21" s="1" t="str">
        <x:v>Management fee % of underwritten EGI</x:v>
      </x:c>
      <x:c r="B21" s="8" t="n">
        <x:v>0.03</x:v>
      </x:c>
      <x:c r="C21" s="4" t="str">
        <x:v>Property-and-Plan.pdf p2 greater of T12 or 3%</x:v>
      </x:c>
    </x:row>
    <x:row r="22" ht="36" customHeight="1">
      <x:c r="A22" s="1" t="str">
        <x:v>T12 actual management fee</x:v>
      </x:c>
      <x:c r="B22" s="15" t="n">
        <x:v>25200</x:v>
      </x:c>
      <x:c r="C22" s="4" t="str">
        <x:v>T12-Statement.pdf p2 annual column</x:v>
      </x:c>
    </x:row>
    <x:row r="23" ht="36" customHeight="1">
      <x:c r="A23" s="1" t="str">
        <x:v>Maximum LTV</x:v>
      </x:c>
      <x:c r="B23" s="8" t="n">
        <x:v>0.6</x:v>
      </x:c>
      <x:c r="C23" s="4" t="str">
        <x:v>Lender-Terms.pdf p1 LTV</x:v>
      </x:c>
    </x:row>
    <x:row r="24" ht="36" customHeight="1">
      <x:c r="A24" s="1" t="str">
        <x:v>Minimum DSCR (NCF after reserves)</x:v>
      </x:c>
      <x:c r="B24" s="17" t="n">
        <x:v>1.3</x:v>
      </x:c>
      <x:c r="C24" s="4" t="str">
        <x:v>Lender-Terms.pdf p1 DSCR</x:v>
      </x:c>
    </x:row>
    <x:row r="25" ht="36" customHeight="1">
      <x:c r="A25" s="1" t="str">
        <x:v>Minimum debt yield (NCF after reserves)</x:v>
      </x:c>
      <x:c r="B25" s="8" t="n">
        <x:v>0.1</x:v>
      </x:c>
      <x:c r="C25" s="4" t="str">
        <x:v>Lender-Terms.pdf p1 Debt yield</x:v>
      </x:c>
    </x:row>
    <x:row r="26" ht="36" customHeight="1">
      <x:c r="A26" s="1" t="str">
        <x:v>Origination fee % of principal</x:v>
      </x:c>
      <x:c r="B26" s="8" t="n">
        <x:v>0.0125</x:v>
      </x:c>
      <x:c r="C26" s="4" t="str">
        <x:v>Lender-Terms.pdf p1 Origination fee</x:v>
      </x:c>
    </x:row>
    <x:row r="27" ht="36" customHeight="1">
      <x:c r="A27" s="1" t="str">
        <x:v>Existing debt payoff</x:v>
      </x:c>
      <x:c r="B27" s="15" t="n">
        <x:v>4200000</x:v>
      </x:c>
      <x:c r="C27" s="4" t="str">
        <x:v>Property-and-Plan.pdf p1</x:v>
      </x:c>
    </x:row>
    <x:row r="28" ht="36" customHeight="1">
      <x:c r="A28" s="1" t="str">
        <x:v>Fixed closing costs</x:v>
      </x:c>
      <x:c r="B28" s="15" t="n">
        <x:v>70000</x:v>
      </x:c>
      <x:c r="C28" s="4" t="str">
        <x:v>Property-and-Plan.pdf p1</x:v>
      </x:c>
    </x:row>
    <x:row r="30" ht="25" customHeight="1">
      <x:c r="A30" s="6" t="str">
        <x:v>Underwritten operating expenses excluding management</x:v>
      </x:c>
      <x:c r="B30" s="6" t="str">
        <x:v>Annual</x:v>
      </x:c>
      <x:c r="C30" s="6" t="str">
        <x:v>Basis</x:v>
      </x:c>
    </x:row>
    <x:row r="31" ht="36" customHeight="1">
      <x:c r="A31" s="1" t="str">
        <x:v>Real estate taxes</x:v>
      </x:c>
      <x:c r="B31" s="15" t="n">
        <x:v>132000</x:v>
      </x:c>
      <x:c r="C31" s="4" t="str">
        <x:v>Property-and-Plan.pdf p2 (T12 actual $126,000)</x:v>
      </x:c>
    </x:row>
    <x:row r="32" ht="36" customHeight="1">
      <x:c r="A32" s="1" t="str">
        <x:v>Property insurance</x:v>
      </x:c>
      <x:c r="B32" s="15" t="n">
        <x:v>33600</x:v>
      </x:c>
      <x:c r="C32" s="4" t="str">
        <x:v>Plan p2 renewal confirmation dated 2026-08-25</x:v>
      </x:c>
    </x:row>
    <x:row r="33" ht="36" customHeight="1">
      <x:c r="A33" s="1" t="str">
        <x:v>Utilities</x:v>
      </x:c>
      <x:c r="B33" s="15" t="n">
        <x:v>12000</x:v>
      </x:c>
      <x:c r="C33" s="4" t="str">
        <x:v>T12 actual per plan</x:v>
      </x:c>
    </x:row>
    <x:row r="34" ht="36" customHeight="1">
      <x:c r="A34" s="1" t="str">
        <x:v>Repairs and maintenance</x:v>
      </x:c>
      <x:c r="B34" s="15" t="n">
        <x:v>18000</x:v>
      </x:c>
      <x:c r="C34" s="4" t="str">
        <x:v>T12 $24,000 less $6,000 one-time casualty cleanup</x:v>
      </x:c>
    </x:row>
    <x:row r="35" ht="36" customHeight="1">
      <x:c r="A35" s="1" t="str">
        <x:v>Payroll / contract labor</x:v>
      </x:c>
      <x:c r="B35" s="15" t="n">
        <x:v>18000</x:v>
      </x:c>
      <x:c r="C35" s="4" t="str">
        <x:v>T12 actual per plan</x:v>
      </x:c>
    </x:row>
    <x:row r="36" ht="36" customHeight="1">
      <x:c r="A36" s="1" t="str">
        <x:v>Administrative / legal</x:v>
      </x:c>
      <x:c r="B36" s="15" t="n">
        <x:v>18000</x:v>
      </x:c>
      <x:c r="C36" s="4" t="str">
        <x:v>T12 actual per plan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46" hidden="0" customWidth="1"/>
  </x:cols>
  <x:sheetData>
    <x:row r="1" ht="27" customHeight="1">
      <x:c r="A1" s="2" t="str">
        <x:v>Historical T12 - September 2025 through August 2026 actual</x:v>
      </x:c>
    </x:row>
    <x:row r="2" ht="36" customHeight="1">
      <x:c r="A2" s="4" t="str">
        <x:v>Source: T12-Statement.pdf pages 1-2, Annual column</x:v>
      </x:c>
    </x:row>
    <x:row r="4" ht="25" customHeight="1">
      <x:c r="A4" s="6" t="str">
        <x:v>Line</x:v>
      </x:c>
      <x:c r="B4" s="6" t="str">
        <x:v>T12 actual</x:v>
      </x:c>
      <x:c r="C4" s="6" t="str">
        <x:v>Note</x:v>
      </x:c>
    </x:row>
    <x:row r="5" ht="22" customHeight="1">
      <x:c r="A5" s="1" t="str">
        <x:v>Gross potential base rent</x:v>
      </x:c>
      <x:c r="B5" s="18" t="n">
        <x:v>852000</x:v>
      </x:c>
    </x:row>
    <x:row r="6" ht="22" customHeight="1">
      <x:c r="A6" s="1" t="str">
        <x:v>Vacancy loss</x:v>
      </x:c>
      <x:c r="B6" s="18" t="n">
        <x:v>-150000</x:v>
      </x:c>
    </x:row>
    <x:row r="7" ht="22" customHeight="1">
      <x:c r="A7" s="1" t="str">
        <x:v>Concessions</x:v>
      </x:c>
      <x:c r="B7" s="18" t="n">
        <x:v>-36000</x:v>
      </x:c>
    </x:row>
    <x:row r="8" ht="22" customHeight="1">
      <x:c r="A8" s="1" t="str">
        <x:v>Bad debt</x:v>
      </x:c>
      <x:c r="B8" s="18" t="n">
        <x:v>-6000</x:v>
      </x:c>
    </x:row>
    <x:row r="9" ht="22" customHeight="1">
      <x:c r="A9" s="1" t="str">
        <x:v>Other income / recoveries</x:v>
      </x:c>
      <x:c r="B9" s="18" t="n">
        <x:v>186000</x:v>
      </x:c>
    </x:row>
    <x:row r="10" ht="22" customHeight="1">
      <x:c r="A10" s="10" t="str">
        <x:v>T12 effective gross income</x:v>
      </x:c>
      <x:c r="B10" s="20" t="n">
        <x:f>SUM(B5:B9)</x:f>
        <x:v>846000</x:v>
      </x:c>
    </x:row>
    <x:row r="12" ht="22" customHeight="1">
      <x:c r="A12" s="1" t="str">
        <x:v>Real estate taxes</x:v>
      </x:c>
      <x:c r="B12" s="18" t="n">
        <x:v>126000</x:v>
      </x:c>
    </x:row>
    <x:row r="13" ht="22" customHeight="1">
      <x:c r="A13" s="1" t="str">
        <x:v>Property insurance</x:v>
      </x:c>
      <x:c r="B13" s="18" t="n">
        <x:v>30000</x:v>
      </x:c>
    </x:row>
    <x:row r="14" ht="22" customHeight="1">
      <x:c r="A14" s="1" t="str">
        <x:v>Utilities</x:v>
      </x:c>
      <x:c r="B14" s="18" t="n">
        <x:v>12000</x:v>
      </x:c>
    </x:row>
    <x:row r="15" ht="36" customHeight="1">
      <x:c r="A15" s="1" t="str">
        <x:v>Repairs and maintenance</x:v>
      </x:c>
      <x:c r="B15" s="18" t="n">
        <x:v>24000</x:v>
      </x:c>
      <x:c r="C15" s="4" t="str">
        <x:v>Includes $6,000 one-time casualty cleanup</x:v>
      </x:c>
    </x:row>
    <x:row r="16" ht="22" customHeight="1">
      <x:c r="A16" s="1" t="str">
        <x:v>Payroll / contract labor</x:v>
      </x:c>
      <x:c r="B16" s="18" t="n">
        <x:v>18000</x:v>
      </x:c>
    </x:row>
    <x:row r="17" ht="22" customHeight="1">
      <x:c r="A17" s="1" t="str">
        <x:v>Administrative / legal</x:v>
      </x:c>
      <x:c r="B17" s="18" t="n">
        <x:v>18000</x:v>
      </x:c>
    </x:row>
    <x:row r="18" ht="22" customHeight="1">
      <x:c r="A18" s="1" t="str">
        <x:v>Management fee</x:v>
      </x:c>
      <x:c r="B18" s="18" t="n">
        <x:v>25200</x:v>
      </x:c>
    </x:row>
    <x:row r="19" ht="22" customHeight="1">
      <x:c r="A19" s="10" t="str">
        <x:v>T12 operating expenses (excl. reserves, capex, debt, depreciation)</x:v>
      </x:c>
      <x:c r="B19" s="20" t="n">
        <x:f>SUM(B12:B18)</x:f>
        <x:v>253200</x:v>
      </x:c>
    </x:row>
    <x:row r="21" ht="22" customHeight="1">
      <x:c r="A21" s="10" t="str">
        <x:v>T12 NOI before replacement reserves</x:v>
      </x:c>
      <x:c r="B21" s="20" t="n">
        <x:f>B10-B19</x:f>
        <x:v>592800</x:v>
      </x:c>
    </x:row>
    <x:row r="22" ht="22" customHeight="1">
      <x:c r="A22" s="1" t="str">
        <x:v>T12 replacement reserves (below NOI)</x:v>
      </x:c>
      <x:c r="B22" s="18" t="n">
        <x:v>17000</x:v>
      </x:c>
    </x:row>
    <x:row r="23" ht="22" customHeight="1">
      <x:c r="A23" s="10" t="str">
        <x:v>T12 NCF after replacement reserves</x:v>
      </x:c>
      <x:c r="B23" s="20" t="n">
        <x:f>B21-B22</x:f>
        <x:v>575800</x:v>
      </x:c>
    </x:row>
    <x:row r="25" ht="22" customHeight="1">
      <x:c r="A25" s="1" t="str">
        <x:v>Memo: capital improvements (below cash flow)</x:v>
      </x:c>
      <x:c r="B25" s="18" t="n">
        <x:v>220000</x:v>
      </x:c>
    </x:row>
    <x:row r="26" ht="22" customHeight="1">
      <x:c r="A26" s="1" t="str">
        <x:v>Memo: loan principal and interest (below cash flow)</x:v>
      </x:c>
      <x:c r="B26" s="18" t="n">
        <x:v>294000</x:v>
      </x:c>
    </x:row>
    <x:row r="27" ht="22" customHeight="1">
      <x:c r="A27" s="1" t="str">
        <x:v>Memo: depreciation (noncash)</x:v>
      </x:c>
      <x:c r="B27" s="18" t="n">
        <x:v>180000</x:v>
      </x:c>
    </x:row>
    <x:row r="29" ht="36" customHeight="1">
      <x:c r="A29" s="4" t="str">
        <x:v>Historical results are actuals, not annualized rent roll and not underwriting.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  <x:col min="7" max="7" width="16" hidden="0" customWidth="1"/>
  </x:cols>
  <x:sheetData>
    <x:row r="1" ht="27" customHeight="1">
      <x:c r="A1" s="2" t="str">
        <x:v>Contractual rent and occupancy as of 2026-08-31</x:v>
      </x:c>
    </x:row>
    <x:row r="2" ht="36" customHeight="1">
      <x:c r="A2" s="4" t="str">
        <x:v>Source: Rent-Roll.xlsx rows 7-10; Lease-File.pdf p1 for premises 101</x:v>
      </x:c>
    </x:row>
    <x:row r="4" ht="25" customHeight="1">
      <x:c r="A4" s="6" t="str">
        <x:v>Unit</x:v>
      </x:c>
      <x:c r="B4" s="6" t="str">
        <x:v>Tenant</x:v>
      </x:c>
      <x:c r="C4" s="6" t="str">
        <x:v>Area SF</x:v>
      </x:c>
      <x:c r="D4" s="6" t="str">
        <x:v>Status</x:v>
      </x:c>
      <x:c r="E4" s="6" t="str">
        <x:v>Monthly base rent</x:v>
      </x:c>
      <x:c r="F4" s="6" t="str">
        <x:v>Market monthly rent</x:v>
      </x:c>
      <x:c r="G4" s="6" t="str">
        <x:v>Lease expiry</x:v>
      </x:c>
    </x:row>
    <x:row r="5" ht="22" customHeight="1">
      <x:c r="A5" s="1" t="str">
        <x:v>101</x:v>
      </x:c>
      <x:c r="B5" s="1" t="str">
        <x:v>Tenant A LLC</x:v>
      </x:c>
      <x:c r="C5" s="18" t="n">
        <x:v>18000</x:v>
      </x:c>
      <x:c r="D5" s="1" t="str">
        <x:v>Occupied</x:v>
      </x:c>
      <x:c r="E5" s="18" t="n">
        <x:v>15000</x:v>
      </x:c>
      <x:c r="F5" s="18" t="n">
        <x:v>15000</x:v>
      </x:c>
      <x:c r="G5" s="1" t="str">
        <x:v>2030-08-31</x:v>
      </x:c>
    </x:row>
    <x:row r="6" ht="22" customHeight="1">
      <x:c r="A6" s="1" t="str">
        <x:v>102</x:v>
      </x:c>
      <x:c r="B6" s="1" t="str">
        <x:v>Tenant B LLC</x:v>
      </x:c>
      <x:c r="C6" s="18" t="n">
        <x:v>22000</x:v>
      </x:c>
      <x:c r="D6" s="1" t="str">
        <x:v>Occupied</x:v>
      </x:c>
      <x:c r="E6" s="18" t="n">
        <x:v>18700</x:v>
      </x:c>
      <x:c r="F6" s="18" t="n">
        <x:v>18700</x:v>
      </x:c>
      <x:c r="G6" s="1" t="str">
        <x:v>2028-08-31</x:v>
      </x:c>
    </x:row>
    <x:row r="7" ht="22" customHeight="1">
      <x:c r="A7" s="1" t="str">
        <x:v>103</x:v>
      </x:c>
      <x:c r="B7" s="1" t="str">
        <x:v>Tenant C LLC</x:v>
      </x:c>
      <x:c r="C7" s="18" t="n">
        <x:v>30000</x:v>
      </x:c>
      <x:c r="D7" s="1" t="str">
        <x:v>Occupied</x:v>
      </x:c>
      <x:c r="E7" s="18" t="n">
        <x:v>27000</x:v>
      </x:c>
      <x:c r="F7" s="18" t="n">
        <x:v>27000</x:v>
      </x:c>
      <x:c r="G7" s="1" t="str">
        <x:v>2029-08-31</x:v>
      </x:c>
    </x:row>
    <x:row r="8" ht="22" customHeight="1">
      <x:c r="A8" s="1" t="str">
        <x:v>104</x:v>
      </x:c>
      <x:c r="B8" s="1" t="str">
        <x:v>Vacant</x:v>
      </x:c>
      <x:c r="C8" s="18" t="n">
        <x:v>15000</x:v>
      </x:c>
      <x:c r="D8" s="1" t="str">
        <x:v>Vacant</x:v>
      </x:c>
      <x:c r="E8" s="18" t="n">
        <x:v>0</x:v>
      </x:c>
      <x:c r="F8" s="18" t="n">
        <x:v>12500</x:v>
      </x:c>
      <x:c r="G8" s="1" t="str">
        <x:v>n/a</x:v>
      </x:c>
    </x:row>
    <x:row r="10" ht="22" customHeight="1">
      <x:c r="A10" s="10" t="str">
        <x:v>Totals</x:v>
      </x:c>
      <x:c r="C10" s="20" t="n">
        <x:f>SUM(C5:C8)</x:f>
        <x:v>85000</x:v>
      </x:c>
      <x:c r="E10" s="20" t="n">
        <x:f>SUM(E5:E8)</x:f>
        <x:v>60700</x:v>
      </x:c>
    </x:row>
    <x:row r="12" ht="22" customHeight="1">
      <x:c r="A12" s="1" t="str">
        <x:v>Space count</x:v>
      </x:c>
      <x:c r="C12" s="23" t="n">
        <x:f>COUNTA(A5:A8)</x:f>
        <x:v>4</x:v>
      </x:c>
    </x:row>
    <x:row r="13" ht="22" customHeight="1">
      <x:c r="A13" s="1" t="str">
        <x:v>Occupied count</x:v>
      </x:c>
      <x:c r="C13" s="23" t="n">
        <x:f>COUNTIF(D5:D8,"Occupied")</x:f>
        <x:v>3</x:v>
      </x:c>
    </x:row>
    <x:row r="14" ht="22" customHeight="1">
      <x:c r="A14" s="1" t="str">
        <x:v>Occupied SF</x:v>
      </x:c>
      <x:c r="C14" s="20" t="n">
        <x:f>SUMIF(D5:D8,"Occupied",C5:C8)</x:f>
        <x:v>70000</x:v>
      </x:c>
    </x:row>
    <x:row r="15" ht="22" customHeight="1">
      <x:c r="A15" s="1" t="str">
        <x:v>Occupancy by count (percent)</x:v>
      </x:c>
      <x:c r="C15" s="26" t="n">
        <x:f>100*C13/C12</x:f>
        <x:v>75</x:v>
      </x:c>
    </x:row>
    <x:row r="16" ht="22" customHeight="1">
      <x:c r="A16" s="1" t="str">
        <x:v>Occupancy by area (percent)</x:v>
      </x:c>
      <x:c r="C16" s="26" t="n">
        <x:f>100*C14/C10</x:f>
        <x:v>82.3529411764706</x:v>
      </x:c>
    </x:row>
    <x:row r="17" ht="22" customHeight="1">
      <x:c r="A17" s="1" t="str">
        <x:v>Annualized contractual base rent (context only)</x:v>
      </x:c>
      <x:c r="C17" s="20" t="n">
        <x:f>E10*12</x:f>
        <x:v>728400</x:v>
      </x:c>
    </x:row>
    <x:row r="19" ht="36" customHeight="1">
      <x:c r="A19" s="4" t="str">
        <x:v>Executed lease for premises 101 confirms $15,000 per month, expiry 2030-08-31, $30,000 security deposit; no amendment or renewal exercise notice is in the packet.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18" hidden="0" customWidth="1"/>
    <x:col min="3" max="3" width="46" hidden="0" customWidth="1"/>
  </x:cols>
  <x:sheetData>
    <x:row r="1" ht="27" customHeight="1">
      <x:c r="A1" s="2" t="str">
        <x:v>Underwritten cash flow - supplied scenario, September 2026 forward</x:v>
      </x:c>
    </x:row>
    <x:row r="2" ht="36" customHeight="1">
      <x:c r="A2" s="4" t="str">
        <x:v>Source: Property-and-Plan.pdf p2; live links to Assumptions</x:v>
      </x:c>
    </x:row>
    <x:row r="4" ht="25" customHeight="1">
      <x:c r="A4" s="6" t="str">
        <x:v>Line</x:v>
      </x:c>
      <x:c r="B4" s="6" t="str">
        <x:v>Underwritten</x:v>
      </x:c>
      <x:c r="C4" s="6" t="str">
        <x:v>Basis</x:v>
      </x:c>
    </x:row>
    <x:row r="5" ht="36" customHeight="1">
      <x:c r="A5" s="1" t="str">
        <x:v>Gross potential base rent</x:v>
      </x:c>
      <x:c r="B5" s="28" t="n">
        <x:f>Assumptions!B15*Assumptions!B18</x:f>
        <x:v>900000</x:v>
      </x:c>
      <x:c r="C5" s="4" t="str">
        <x:v>GPR input times EGI multiplier</x:v>
      </x:c>
    </x:row>
    <x:row r="6" ht="36" customHeight="1">
      <x:c r="A6" s="1" t="str">
        <x:v>Combined revenue loss (vacancy, concessions, bad debt)</x:v>
      </x:c>
      <x:c r="B6" s="28" t="n">
        <x:f>-B5*Assumptions!B16</x:f>
        <x:v>-72000</x:v>
      </x:c>
      <x:c r="C6" s="4" t="str">
        <x:v>8.00% of underwritten GPR</x:v>
      </x:c>
    </x:row>
    <x:row r="7" ht="36" customHeight="1">
      <x:c r="A7" s="1" t="str">
        <x:v>Other income / recoveries</x:v>
      </x:c>
      <x:c r="B7" s="28" t="n">
        <x:f>Assumptions!B17*Assumptions!B18</x:f>
        <x:v>195000</x:v>
      </x:c>
      <x:c r="C7" s="4" t="str">
        <x:v>Added after revenue loss</x:v>
      </x:c>
    </x:row>
    <x:row r="8" ht="22" customHeight="1">
      <x:c r="A8" s="10" t="str">
        <x:v>Underwritten effective gross income (EGI)</x:v>
      </x:c>
      <x:c r="B8" s="20" t="n">
        <x:f>B5+B6+B7</x:f>
        <x:v>1023000</x:v>
      </x:c>
    </x:row>
    <x:row r="10" ht="22" customHeight="1">
      <x:c r="A10" s="1" t="str">
        <x:v>Real estate taxes</x:v>
      </x:c>
      <x:c r="B10" s="28" t="n">
        <x:f>Assumptions!B31</x:f>
        <x:v>132000</x:v>
      </x:c>
    </x:row>
    <x:row r="11" ht="22" customHeight="1">
      <x:c r="A11" s="1" t="str">
        <x:v>Property insurance</x:v>
      </x:c>
      <x:c r="B11" s="28" t="n">
        <x:f>Assumptions!B32</x:f>
        <x:v>33600</x:v>
      </x:c>
    </x:row>
    <x:row r="12" ht="22" customHeight="1">
      <x:c r="A12" s="1" t="str">
        <x:v>Utilities</x:v>
      </x:c>
      <x:c r="B12" s="28" t="n">
        <x:f>Assumptions!B33</x:f>
        <x:v>12000</x:v>
      </x:c>
    </x:row>
    <x:row r="13" ht="22" customHeight="1">
      <x:c r="A13" s="1" t="str">
        <x:v>Repairs and maintenance</x:v>
      </x:c>
      <x:c r="B13" s="28" t="n">
        <x:f>Assumptions!B34</x:f>
        <x:v>18000</x:v>
      </x:c>
    </x:row>
    <x:row r="14" ht="22" customHeight="1">
      <x:c r="A14" s="1" t="str">
        <x:v>Payroll / contract labor</x:v>
      </x:c>
      <x:c r="B14" s="28" t="n">
        <x:f>Assumptions!B35</x:f>
        <x:v>18000</x:v>
      </x:c>
    </x:row>
    <x:row r="15" ht="22" customHeight="1">
      <x:c r="A15" s="1" t="str">
        <x:v>Administrative / legal</x:v>
      </x:c>
      <x:c r="B15" s="28" t="n">
        <x:f>Assumptions!B36</x:f>
        <x:v>18000</x:v>
      </x:c>
    </x:row>
    <x:row r="16" ht="22" customHeight="1">
      <x:c r="A16" s="1" t="str">
        <x:v>Management fee (greater of T12 actual and 3.00% of EGI)</x:v>
      </x:c>
      <x:c r="B16" s="28" t="n">
        <x:f>MAX(Assumptions!B22,Assumptions!B21*B8)</x:f>
        <x:v>30690</x:v>
      </x:c>
    </x:row>
    <x:row r="17" ht="22" customHeight="1">
      <x:c r="A17" s="10" t="str">
        <x:v>Underwritten operating expenses before reserves</x:v>
      </x:c>
      <x:c r="B17" s="20" t="n">
        <x:f>SUM(B10:B16)</x:f>
        <x:v>262290</x:v>
      </x:c>
    </x:row>
    <x:row r="19" ht="22" customHeight="1">
      <x:c r="A19" s="10" t="str">
        <x:v>Underwritten NOI before replacement reserves</x:v>
      </x:c>
      <x:c r="B19" s="20" t="n">
        <x:f>B8-B17</x:f>
        <x:v>760710</x:v>
      </x:c>
    </x:row>
    <x:row r="20" ht="22" customHeight="1">
      <x:c r="A20" s="1" t="str">
        <x:v>Replacement reserves (per SF times SF)</x:v>
      </x:c>
      <x:c r="B20" s="28" t="n">
        <x:f>Assumptions!B19*Assumptions!B20</x:f>
        <x:v>17000</x:v>
      </x:c>
    </x:row>
    <x:row r="21" ht="22" customHeight="1">
      <x:c r="A21" s="10" t="str">
        <x:v>Underwritten NCF after replacement reserves</x:v>
      </x:c>
      <x:c r="B21" s="20" t="n">
        <x:f>B19-B20</x:f>
        <x:v>743710</x:v>
      </x:c>
    </x:row>
    <x:row r="23" ht="22" customHeight="1">
      <x:c r="A23" s="10" t="str">
        <x:v>Indicative capitalized value (NOI before reserves / cap rate)</x:v>
      </x:c>
      <x:c r="B23" s="20" t="n">
        <x:f>B19/Assumptions!B5</x:f>
        <x:v>11269777.777777776</x:v>
      </x:c>
    </x:row>
    <x:row r="24" ht="22" customHeight="1">
      <x:c r="A24" s="1" t="str">
        <x:v>Expense ratio (opex / EGI)</x:v>
      </x:c>
      <x:c r="B24" s="29" t="n">
        <x:f>B17/B8</x:f>
        <x:v>0.25639296187683286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0" hidden="0" customWidth="1"/>
    <x:col min="2" max="2" width="18" hidden="0" customWidth="1"/>
    <x:col min="3" max="3" width="46" hidden="0" customWidth="1"/>
  </x:cols>
  <x:sheetData>
    <x:row r="1" ht="27" customHeight="1">
      <x:c r="A1" s="2" t="str">
        <x:v>Loan sizing - three constraints</x:v>
      </x:c>
    </x:row>
    <x:row r="2" ht="36" customHeight="1">
      <x:c r="A2" s="4" t="str">
        <x:v>Source: Lender-Terms.pdf p1; unrounded intermediates</x:v>
      </x:c>
    </x:row>
    <x:row r="4" ht="25" customHeight="1">
      <x:c r="A4" s="6" t="str">
        <x:v>Item</x:v>
      </x:c>
      <x:c r="B4" s="6" t="str">
        <x:v>Value</x:v>
      </x:c>
      <x:c r="C4" s="6" t="str">
        <x:v>Definition</x:v>
      </x:c>
    </x:row>
    <x:row r="5" ht="36" customHeight="1">
      <x:c r="A5" s="1" t="str">
        <x:v>Contract rate (current; first-year debt service)</x:v>
      </x:c>
      <x:c r="B5" s="30" t="n">
        <x:f>Assumptions!B9</x:f>
        <x:v>0.0675</x:v>
      </x:c>
      <x:c r="C5" s="4" t="str">
        <x:v>MAX(3.25% index, 4.00% floor) plus 2.75% spread</x:v>
      </x:c>
    </x:row>
    <x:row r="6" ht="36" customHeight="1">
      <x:c r="A6" s="1" t="str">
        <x:v>Sizing rate (underwriting)</x:v>
      </x:c>
      <x:c r="B6" s="30" t="n">
        <x:f>Assumptions!B12</x:f>
        <x:v>0.0725</x:v>
      </x:c>
      <x:c r="C6" s="4" t="str">
        <x:v>Greater of contract rate and 7.25% floor plus increment</x:v>
      </x:c>
    </x:row>
    <x:row r="7" ht="36" customHeight="1">
      <x:c r="A7" s="10" t="str">
        <x:v>Annual debt constant per $1 at sizing rate</x:v>
      </x:c>
      <x:c r="B7" s="33" t="n">
        <x:f>-PMT(B6/12,Assumptions!B13,1)*12</x:f>
        <x:v>0.08673682369165987</x:v>
      </x:c>
      <x:c r="C7" s="4" t="str">
        <x:v>12 monthly payments, 300-month amortization</x:v>
      </x:c>
    </x:row>
    <x:row r="9" ht="36" customHeight="1">
      <x:c r="A9" s="1" t="str">
        <x:v>LTV limit</x:v>
      </x:c>
      <x:c r="B9" s="28" t="n">
        <x:f>Assumptions!B23*Underwriting!B23</x:f>
        <x:v>6761866.666666665</x:v>
      </x:c>
      <x:c r="C9" s="4" t="str">
        <x:v>60.00% times capitalized value</x:v>
      </x:c>
    </x:row>
    <x:row r="10" ht="36" customHeight="1">
      <x:c r="A10" s="1" t="str">
        <x:v>DSCR limit</x:v>
      </x:c>
      <x:c r="B10" s="28" t="n">
        <x:f>Underwriting!B21/(Assumptions!B24*B7)</x:f>
        <x:v>6595637.1358295875</x:v>
      </x:c>
      <x:c r="C10" s="4" t="str">
        <x:v>UW NCF divided by (1.30 times annual constant)</x:v>
      </x:c>
    </x:row>
    <x:row r="11" ht="36" customHeight="1">
      <x:c r="A11" s="1" t="str">
        <x:v>Debt yield limit</x:v>
      </x:c>
      <x:c r="B11" s="28" t="n">
        <x:f>Underwriting!B21/Assumptions!B25</x:f>
        <x:v>7437100</x:v>
      </x:c>
      <x:c r="C11" s="4" t="str">
        <x:v>UW NCF divided by 10.00%</x:v>
      </x:c>
    </x:row>
    <x:row r="12" ht="22" customHeight="1">
      <x:c r="A12" s="10" t="str">
        <x:v>Maximum loan (lowest constraint)</x:v>
      </x:c>
      <x:c r="B12" s="20" t="n">
        <x:f>MIN(B9:B11)</x:f>
        <x:v>6595637.1358295875</x:v>
      </x:c>
    </x:row>
    <x:row r="13" ht="22" customHeight="1">
      <x:c r="A13" s="10" t="str">
        <x:v>Binding constraint</x:v>
      </x:c>
      <x:c r="B13" s="10" t="str">
        <x:f>IF(B12=B9,"LTV",IF(B12=B10,"DSCR","Debt yield"))</x:f>
        <x:v>DSCR</x:v>
      </x:c>
    </x:row>
    <x:row r="15" ht="22" customHeight="1">
      <x:c r="A15" s="10" t="str">
        <x:v>Sizing annual debt service (amortizing, sizing rate)</x:v>
      </x:c>
      <x:c r="B15" s="20" t="n">
        <x:f>B12*B7</x:f>
        <x:v>572084.6153846154</x:v>
      </x:c>
    </x:row>
    <x:row r="16" ht="22" customHeight="1">
      <x:c r="A16" s="10" t="str">
        <x:v>Sizing DSCR (UW NCF / sizing debt service)</x:v>
      </x:c>
      <x:c r="B16" s="36" t="n">
        <x:f>Underwriting!B21/B15</x:f>
        <x:v>1.3</x:v>
      </x:c>
    </x:row>
    <x:row r="17" ht="22" customHeight="1">
      <x:c r="A17" s="10" t="str">
        <x:v>Sizing debt yield (UW NCF / maximum loan)</x:v>
      </x:c>
      <x:c r="B17" s="13" t="n">
        <x:f>Underwriting!B21/B12</x:f>
        <x:v>0.11275787079915782</x:v>
      </x:c>
    </x:row>
    <x:row r="18" ht="22" customHeight="1">
      <x:c r="A18" s="10" t="str">
        <x:v>First-year contractual debt service (12-month IO at contract rate)</x:v>
      </x:c>
      <x:c r="B18" s="20" t="n">
        <x:f>IF(Assumptions!B14&gt;=12,B12*B5,-PMT(B5/12,Assumptions!B13,B12)*12)</x:f>
        <x:v>445205.50666849717</x:v>
      </x:c>
    </x:row>
    <x:row r="19" ht="22" customHeight="1">
      <x:c r="A19" s="1" t="str">
        <x:v>Memo: amortizing annual debt service at contract rate</x:v>
      </x:c>
      <x:c r="B19" s="28" t="n">
        <x:f>-PMT(B5/12,Assumptions!B13,B12)*12</x:f>
        <x:v>546840.2055918231</x:v>
      </x:c>
    </x:row>
    <x:row r="20" ht="22" customHeight="1">
      <x:c r="A20" s="1" t="str">
        <x:v>Memo: DSCR on first-year contractual (IO) debt service</x:v>
      </x:c>
      <x:c r="B20" s="34" t="n">
        <x:f>Underwriting!B21/B18</x:f>
        <x:v>1.670486974802338</x:v>
      </x:c>
    </x:row>
    <x:row r="21" ht="22" customHeight="1">
      <x:c r="A21" s="1" t="str">
        <x:v>Memo: loan per rentable SF</x:v>
      </x:c>
      <x:c r="B21" s="37" t="n">
        <x:f>B12/Assumptions!B19</x:f>
        <x:v>77.59573100975986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40" hidden="0" customWidth="1"/>
  </x:cols>
  <x:sheetData>
    <x:row r="1" ht="27" customHeight="1">
      <x:c r="A1" s="2" t="str">
        <x:v>Sources and uses at the maximum loan</x:v>
      </x:c>
    </x:row>
    <x:row r="2" ht="36" customHeight="1">
      <x:c r="A2" s="4" t="str">
        <x:v>Source: Property-and-Plan.pdf p1; Lender-Terms.pdf p1</x:v>
      </x:c>
    </x:row>
    <x:row r="4" ht="25" customHeight="1">
      <x:c r="A4" s="6" t="str">
        <x:v>Sources</x:v>
      </x:c>
      <x:c r="B4" s="6" t="str">
        <x:v>Amount</x:v>
      </x:c>
      <x:c r="C4" s="6" t="str">
        <x:v>Reference</x:v>
      </x:c>
    </x:row>
    <x:row r="5" ht="36" customHeight="1">
      <x:c r="A5" s="1" t="str">
        <x:v>New first-mortgage loan proceeds</x:v>
      </x:c>
      <x:c r="B5" s="28" t="n">
        <x:f>'Loan Sizing'!B12</x:f>
        <x:v>6595637.1358295875</x:v>
      </x:c>
      <x:c r="C5" s="4" t="str">
        <x:v>Loan Sizing!B12</x:v>
      </x:c>
    </x:row>
    <x:row r="6" ht="36" customHeight="1">
      <x:c r="A6" s="1" t="str">
        <x:v>Borrower cash contribution (if required)</x:v>
      </x:c>
      <x:c r="B6" s="18" t="n">
        <x:f>MAX(0,-B14)</x:f>
        <x:v>0</x:v>
      </x:c>
      <x:c r="C6" s="4" t="str">
        <x:v>Cash-in only if proceeds are insufficient</x:v>
      </x:c>
    </x:row>
    <x:row r="7" ht="22" customHeight="1">
      <x:c r="A7" s="10" t="str">
        <x:v>Total sources</x:v>
      </x:c>
      <x:c r="B7" s="20" t="n">
        <x:f>B5+B6</x:f>
        <x:v>6595637.1358295875</x:v>
      </x:c>
    </x:row>
    <x:row r="9" ht="25" customHeight="1">
      <x:c r="A9" s="6" t="str">
        <x:v>Uses</x:v>
      </x:c>
    </x:row>
    <x:row r="10" ht="36" customHeight="1">
      <x:c r="A10" s="1" t="str">
        <x:v>Existing debt payoff</x:v>
      </x:c>
      <x:c r="B10" s="28" t="n">
        <x:f>Assumptions!B27</x:f>
        <x:v>4200000</x:v>
      </x:c>
      <x:c r="C10" s="4" t="str">
        <x:v>Property-and-Plan.pdf p1</x:v>
      </x:c>
    </x:row>
    <x:row r="11" ht="36" customHeight="1">
      <x:c r="A11" s="1" t="str">
        <x:v>Origination fee (1.25% of principal)</x:v>
      </x:c>
      <x:c r="B11" s="28" t="n">
        <x:f>Assumptions!B26*B5</x:f>
        <x:v>82445.46419786985</x:v>
      </x:c>
      <x:c r="C11" s="4" t="str">
        <x:v>Lender-Terms.pdf p1</x:v>
      </x:c>
    </x:row>
    <x:row r="12" ht="36" customHeight="1">
      <x:c r="A12" s="1" t="str">
        <x:v>Fixed closing costs</x:v>
      </x:c>
      <x:c r="B12" s="28" t="n">
        <x:f>Assumptions!B28</x:f>
        <x:v>70000</x:v>
      </x:c>
      <x:c r="C12" s="4" t="str">
        <x:v>Property-and-Plan.pdf p1</x:v>
      </x:c>
    </x:row>
    <x:row r="13" ht="22" customHeight="1">
      <x:c r="A13" s="10" t="str">
        <x:v>Total uses before distribution</x:v>
      </x:c>
      <x:c r="B13" s="20" t="n">
        <x:f>SUM(B10:B12)</x:f>
        <x:v>4352445.464197869</x:v>
      </x:c>
    </x:row>
    <x:row r="14" ht="22" customHeight="1">
      <x:c r="A14" s="10" t="str">
        <x:v>Net cash to borrower (negative equals cash in)</x:v>
      </x:c>
      <x:c r="B14" s="20" t="n">
        <x:f>B5-B13</x:f>
        <x:v>2243191.671631718</x:v>
      </x:c>
    </x:row>
    <x:row r="16" ht="36" customHeight="1">
      <x:c r="A16" s="4" t="str">
        <x:v>No fee capitalization, interest reserve, holdback or earn-out is assumed (Lender-Terms.pdf p1).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</x:cols>
  <x:sheetData>
    <x:row r="1" ht="27" customHeight="1">
      <x:c r="A1" s="2" t="str">
        <x:v>Sensitivity scenarios</x:v>
      </x:c>
    </x:row>
    <x:row r="2" ht="36" customHeight="1">
      <x:c r="A2" s="4" t="str">
        <x:v>EGI -5% recomputes the management minimum; other operating expenses and reserves held constant (Property-and-Plan.pdf p2)</x:v>
      </x:c>
    </x:row>
    <x:row r="4" ht="25" customHeight="1">
      <x:c r="A4" s="6" t="str">
        <x:v>Metric</x:v>
      </x:c>
      <x:c r="B4" s="6" t="str">
        <x:v>Base case</x:v>
      </x:c>
      <x:c r="C4" s="6" t="str">
        <x:v>EGI -5%</x:v>
      </x:c>
      <x:c r="D4" s="6" t="str">
        <x:v>EGI -5% and rate +100bps</x:v>
      </x:c>
      <x:c r="E4" s="6" t="str">
        <x:v>Cap rate +50bps</x:v>
      </x:c>
    </x:row>
    <x:row r="5" ht="22" customHeight="1">
      <x:c r="A5" s="1" t="str">
        <x:v>EGI</x:v>
      </x:c>
      <x:c r="B5" s="28" t="n">
        <x:f>Underwriting!B8</x:f>
        <x:v>1023000</x:v>
      </x:c>
      <x:c r="C5" s="28" t="n">
        <x:f>Underwriting!B8*0.95</x:f>
        <x:v>971850</x:v>
      </x:c>
      <x:c r="D5" s="18" t="n">
        <x:f>C5</x:f>
        <x:v>971850</x:v>
      </x:c>
      <x:c r="E5" s="18" t="n">
        <x:f>B5</x:f>
        <x:v>1023000</x:v>
      </x:c>
    </x:row>
    <x:row r="6" ht="22" customHeight="1">
      <x:c r="A6" s="1" t="str">
        <x:v>Management fee</x:v>
      </x:c>
      <x:c r="B6" s="28" t="n">
        <x:f>Underwriting!B16</x:f>
        <x:v>30690</x:v>
      </x:c>
      <x:c r="C6" s="28" t="n">
        <x:f>MAX(Assumptions!B22,Assumptions!B21*C5)</x:f>
        <x:v>29155.5</x:v>
      </x:c>
      <x:c r="D6" s="18" t="n">
        <x:f>C6</x:f>
        <x:v>29155.5</x:v>
      </x:c>
      <x:c r="E6" s="18" t="n">
        <x:f>B6</x:f>
        <x:v>30690</x:v>
      </x:c>
    </x:row>
    <x:row r="7" ht="22" customHeight="1">
      <x:c r="A7" s="1" t="str">
        <x:v>Other operating expenses (unchanged)</x:v>
      </x:c>
      <x:c r="B7" s="28" t="n">
        <x:f>Underwriting!B17-Underwriting!B16</x:f>
        <x:v>231600</x:v>
      </x:c>
      <x:c r="C7" s="18" t="n">
        <x:f>B7</x:f>
        <x:v>231600</x:v>
      </x:c>
      <x:c r="D7" s="18" t="n">
        <x:f>B7</x:f>
        <x:v>231600</x:v>
      </x:c>
      <x:c r="E7" s="18" t="n">
        <x:f>B7</x:f>
        <x:v>231600</x:v>
      </x:c>
    </x:row>
    <x:row r="8" ht="22" customHeight="1">
      <x:c r="A8" s="10" t="str">
        <x:v>NOI before reserves</x:v>
      </x:c>
      <x:c r="B8" s="20" t="n">
        <x:f>B5-B6-B7</x:f>
        <x:v>760710</x:v>
      </x:c>
      <x:c r="C8" s="20" t="n">
        <x:f>C5-C6-C7</x:f>
        <x:v>711094.5</x:v>
      </x:c>
      <x:c r="D8" s="20" t="n">
        <x:f>D5-D6-D7</x:f>
        <x:v>711094.5</x:v>
      </x:c>
      <x:c r="E8" s="20" t="n">
        <x:f>E5-E6-E7</x:f>
        <x:v>760710</x:v>
      </x:c>
    </x:row>
    <x:row r="9" ht="22" customHeight="1">
      <x:c r="A9" s="1" t="str">
        <x:v>Replacement reserves</x:v>
      </x:c>
      <x:c r="B9" s="28" t="n">
        <x:f>Underwriting!B20</x:f>
        <x:v>17000</x:v>
      </x:c>
      <x:c r="C9" s="18" t="n">
        <x:f>B9</x:f>
        <x:v>17000</x:v>
      </x:c>
      <x:c r="D9" s="18" t="n">
        <x:f>B9</x:f>
        <x:v>17000</x:v>
      </x:c>
      <x:c r="E9" s="18" t="n">
        <x:f>B9</x:f>
        <x:v>17000</x:v>
      </x:c>
    </x:row>
    <x:row r="10" ht="22" customHeight="1">
      <x:c r="A10" s="10" t="str">
        <x:v>NCF after reserves</x:v>
      </x:c>
      <x:c r="B10" s="20" t="n">
        <x:f>B8-B9</x:f>
        <x:v>743710</x:v>
      </x:c>
      <x:c r="C10" s="20" t="n">
        <x:f>C8-C9</x:f>
        <x:v>694094.5</x:v>
      </x:c>
      <x:c r="D10" s="20" t="n">
        <x:f>D8-D9</x:f>
        <x:v>694094.5</x:v>
      </x:c>
      <x:c r="E10" s="20" t="n">
        <x:f>E8-E9</x:f>
        <x:v>743710</x:v>
      </x:c>
    </x:row>
    <x:row r="11" ht="22" customHeight="1">
      <x:c r="A11" s="1" t="str">
        <x:v>Cap rate used</x:v>
      </x:c>
      <x:c r="B11" s="30" t="n">
        <x:f>Assumptions!B5</x:f>
        <x:v>0.0675</x:v>
      </x:c>
      <x:c r="C11" s="30" t="n">
        <x:f>Assumptions!B5</x:f>
        <x:v>0.0675</x:v>
      </x:c>
      <x:c r="D11" s="30" t="n">
        <x:f>Assumptions!B5</x:f>
        <x:v>0.0675</x:v>
      </x:c>
      <x:c r="E11" s="30" t="n">
        <x:f>Assumptions!B5+0.005</x:f>
        <x:v>0.07250000000000001</x:v>
      </x:c>
    </x:row>
    <x:row r="12" ht="22" customHeight="1">
      <x:c r="A12" s="1" t="str">
        <x:v>Indicative value</x:v>
      </x:c>
      <x:c r="B12" s="18" t="n">
        <x:f>B8/B11</x:f>
        <x:v>11269777.777777776</x:v>
      </x:c>
      <x:c r="C12" s="18" t="n">
        <x:f>C8/C11</x:f>
        <x:v>10534733.333333332</x:v>
      </x:c>
      <x:c r="D12" s="18" t="n">
        <x:f>D8/D11</x:f>
        <x:v>10534733.333333332</x:v>
      </x:c>
      <x:c r="E12" s="18" t="n">
        <x:f>E8/E11</x:f>
        <x:v>10492551.72413793</x:v>
      </x:c>
    </x:row>
    <x:row r="13" ht="22" customHeight="1">
      <x:c r="A13" s="1" t="str">
        <x:v>Sizing rate used</x:v>
      </x:c>
      <x:c r="B13" s="30" t="n">
        <x:f>Assumptions!B12</x:f>
        <x:v>0.0725</x:v>
      </x:c>
      <x:c r="C13" s="30" t="n">
        <x:f>Assumptions!B12</x:f>
        <x:v>0.0725</x:v>
      </x:c>
      <x:c r="D13" s="30" t="n">
        <x:f>Assumptions!B12+0.01</x:f>
        <x:v>0.08249999999999999</x:v>
      </x:c>
      <x:c r="E13" s="30" t="n">
        <x:f>Assumptions!B12</x:f>
        <x:v>0.0725</x:v>
      </x:c>
    </x:row>
    <x:row r="14" ht="22" customHeight="1">
      <x:c r="A14" s="1" t="str">
        <x:v>Annual debt constant</x:v>
      </x:c>
      <x:c r="B14" s="31" t="n">
        <x:f>-PMT(B13/12,Assumptions!B13,1)*12</x:f>
        <x:v>0.08673682369165987</x:v>
      </x:c>
      <x:c r="C14" s="31" t="n">
        <x:f>-PMT(C13/12,Assumptions!B13,1)*12</x:f>
        <x:v>0.08673682369165987</x:v>
      </x:c>
      <x:c r="D14" s="31" t="n">
        <x:f>-PMT(D13/12,Assumptions!B13,1)*12</x:f>
        <x:v>0.09461401616234252</x:v>
      </x:c>
      <x:c r="E14" s="31" t="n">
        <x:f>-PMT(E13/12,Assumptions!B13,1)*12</x:f>
        <x:v>0.08673682369165987</x:v>
      </x:c>
    </x:row>
    <x:row r="15" ht="22" customHeight="1">
      <x:c r="A15" s="1" t="str">
        <x:v>LTV limit</x:v>
      </x:c>
      <x:c r="B15" s="28" t="n">
        <x:f>Assumptions!B23*B12</x:f>
        <x:v>6761866.666666665</x:v>
      </x:c>
      <x:c r="C15" s="28" t="n">
        <x:f>Assumptions!B23*C12</x:f>
        <x:v>6320839.999999999</x:v>
      </x:c>
      <x:c r="D15" s="28" t="n">
        <x:f>Assumptions!B23*D12</x:f>
        <x:v>6320839.999999999</x:v>
      </x:c>
      <x:c r="E15" s="28" t="n">
        <x:f>Assumptions!B23*E12</x:f>
        <x:v>6295531.034482758</x:v>
      </x:c>
    </x:row>
    <x:row r="16" ht="22" customHeight="1">
      <x:c r="A16" s="1" t="str">
        <x:v>DSCR limit</x:v>
      </x:c>
      <x:c r="B16" s="28" t="n">
        <x:f>B10/(Assumptions!B24*B14)</x:f>
        <x:v>6595637.1358295875</x:v>
      </x:c>
      <x:c r="C16" s="28" t="n">
        <x:f>C10/(Assumptions!B24*C14)</x:f>
        <x:v>6155619.071916566</x:v>
      </x:c>
      <x:c r="D16" s="28" t="n">
        <x:f>D10/(Assumptions!B24*D14)</x:f>
        <x:v>5643126.333816406</x:v>
      </x:c>
      <x:c r="E16" s="28" t="n">
        <x:f>E10/(Assumptions!B24*E14)</x:f>
        <x:v>6595637.1358295875</x:v>
      </x:c>
    </x:row>
    <x:row r="17" ht="22" customHeight="1">
      <x:c r="A17" s="1" t="str">
        <x:v>Debt yield limit</x:v>
      </x:c>
      <x:c r="B17" s="28" t="n">
        <x:f>B10/Assumptions!B25</x:f>
        <x:v>7437100</x:v>
      </x:c>
      <x:c r="C17" s="28" t="n">
        <x:f>C10/Assumptions!B25</x:f>
        <x:v>6940945</x:v>
      </x:c>
      <x:c r="D17" s="28" t="n">
        <x:f>D10/Assumptions!B25</x:f>
        <x:v>6940945</x:v>
      </x:c>
      <x:c r="E17" s="28" t="n">
        <x:f>E10/Assumptions!B25</x:f>
        <x:v>7437100</x:v>
      </x:c>
    </x:row>
    <x:row r="18" ht="22" customHeight="1">
      <x:c r="A18" s="10" t="str">
        <x:v>Maximum loan</x:v>
      </x:c>
      <x:c r="B18" s="20" t="n">
        <x:f>MIN(B15:B17)</x:f>
        <x:v>6595637.1358295875</x:v>
      </x:c>
      <x:c r="C18" s="20" t="n">
        <x:f>MIN(C15:C17)</x:f>
        <x:v>6155619.071916566</x:v>
      </x:c>
      <x:c r="D18" s="20" t="n">
        <x:f>MIN(D15:D17)</x:f>
        <x:v>5643126.333816406</x:v>
      </x:c>
      <x:c r="E18" s="20" t="n">
        <x:f>MIN(E15:E17)</x:f>
        <x:v>6295531.034482758</x:v>
      </x:c>
    </x:row>
    <x:row r="19" ht="22" customHeight="1">
      <x:c r="A19" s="10" t="str">
        <x:v>Binding constraint</x:v>
      </x:c>
      <x:c r="B19" s="10" t="str">
        <x:f>IF(B18=B15,"LTV",IF(B18=B16,"DSCR","Debt yield"))</x:f>
        <x:v>DSCR</x:v>
      </x:c>
      <x:c r="C19" s="10" t="str">
        <x:f>IF(C18=C15,"LTV",IF(C18=C16,"DSCR","Debt yield"))</x:f>
        <x:v>DSCR</x:v>
      </x:c>
      <x:c r="D19" s="10" t="str">
        <x:f>IF(D18=D15,"LTV",IF(D18=D16,"DSCR","Debt yield"))</x:f>
        <x:v>DSCR</x:v>
      </x:c>
      <x:c r="E19" s="10" t="str">
        <x:f>IF(E18=E15,"LTV",IF(E18=E16,"DSCR","Debt yield"))</x:f>
        <x:v>LTV</x:v>
      </x:c>
    </x:row>
    <x:row r="20" ht="22" customHeight="1">
      <x:c r="A20" s="1" t="str">
        <x:v>Net cash to borrower (negative equals cash in)</x:v>
      </x:c>
      <x:c r="B20" s="28" t="n">
        <x:f>B18-Assumptions!B27-Assumptions!B26*B18-Assumptions!B28</x:f>
        <x:v>2243191.6716317176</x:v>
      </x:c>
      <x:c r="C20" s="28" t="n">
        <x:f>C18-Assumptions!B27-Assumptions!B26*C18-Assumptions!B28</x:f>
        <x:v>1808673.8335176092</x:v>
      </x:c>
      <x:c r="D20" s="28" t="n">
        <x:f>D18-Assumptions!B27-Assumptions!B26*D18-Assumptions!B28</x:f>
        <x:v>1302587.2546437012</x:v>
      </x:c>
      <x:c r="E20" s="28" t="n">
        <x:f>E18-Assumptions!B27-Assumptions!B26*E18-Assumptions!B28</x:f>
        <x:v>1946836.8965517231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6" hidden="0" customWidth="1"/>
    <x:col min="3" max="3" width="50" hidden="0" customWidth="1"/>
  </x:cols>
  <x:sheetData>
    <x:row r="1" ht="27" customHeight="1">
      <x:c r="A1" s="2" t="str">
        <x:v>Reviewer map - editable inputs and key outputs</x:v>
      </x:c>
    </x:row>
    <x:row r="3" ht="25" customHeight="1">
      <x:c r="A3" s="6" t="str">
        <x:v>Editable input</x:v>
      </x:c>
      <x:c r="B3" s="6" t="str">
        <x:v>Location</x:v>
      </x:c>
      <x:c r="C3" s="6" t="str">
        <x:v>Note</x:v>
      </x:c>
    </x:row>
    <x:row r="4" ht="36" customHeight="1">
      <x:c r="A4" s="1" t="str">
        <x:v>Cap rate</x:v>
      </x:c>
      <x:c r="B4" s="1" t="str">
        <x:v>Assumptions!B5</x:v>
      </x:c>
      <x:c r="C4" s="4" t="str">
        <x:v>Valuation cap rate; +50bps case in Sensitivity column E</x:v>
      </x:c>
    </x:row>
    <x:row r="5" ht="36" customHeight="1">
      <x:c r="A5" s="1" t="str">
        <x:v>Sizing rate increment</x:v>
      </x:c>
      <x:c r="B5" s="1" t="str">
        <x:v>Assumptions!B11</x:v>
      </x:c>
      <x:c r="C5" s="4" t="str">
        <x:v>Enter 0.01 for +100bps; sizing rate computes at Assumptions!B12</x:v>
      </x:c>
    </x:row>
    <x:row r="6" ht="36" customHeight="1">
      <x:c r="A6" s="1" t="str">
        <x:v>Gross potential base rent</x:v>
      </x:c>
      <x:c r="B6" s="1" t="str">
        <x:v>Assumptions!B15</x:v>
      </x:c>
      <x:c r="C6" s="4" t="str">
        <x:v>Drives underwritten EGI</x:v>
      </x:c>
    </x:row>
    <x:row r="7" ht="36" customHeight="1">
      <x:c r="A7" s="1" t="str">
        <x:v>Other income / recoveries</x:v>
      </x:c>
      <x:c r="B7" s="1" t="str">
        <x:v>Assumptions!B17</x:v>
      </x:c>
      <x:c r="C7" s="4" t="str">
        <x:v>Added after revenue loss</x:v>
      </x:c>
    </x:row>
    <x:row r="8" ht="36" customHeight="1">
      <x:c r="A8" s="1" t="str">
        <x:v>EGI multiplier</x:v>
      </x:c>
      <x:c r="B8" s="1" t="str">
        <x:v>Assumptions!B18</x:v>
      </x:c>
      <x:c r="C8" s="4" t="str">
        <x:v>Set 0.95 to scale EGI down 5%, loss % constant</x:v>
      </x:c>
    </x:row>
    <x:row r="9" ht="22" customHeight="1">
      <x:c r="A9" s="1" t="str">
        <x:v>Revenue loss percentage</x:v>
      </x:c>
      <x:c r="B9" s="1" t="str">
        <x:v>Assumptions!B16</x:v>
      </x:c>
    </x:row>
    <x:row r="10" ht="22" customHeight="1">
      <x:c r="A10" s="1" t="str">
        <x:v>Expense, reserve and loan term inputs</x:v>
      </x:c>
      <x:c r="B10" s="1" t="str">
        <x:v>Assumptions!B10:B36</x:v>
      </x:c>
    </x:row>
    <x:row r="12" ht="25" customHeight="1">
      <x:c r="A12" s="6" t="str">
        <x:v>Key output</x:v>
      </x:c>
      <x:c r="B12" s="6" t="str">
        <x:v>Location</x:v>
      </x:c>
      <x:c r="C12" s="6" t="str">
        <x:v>Live value</x:v>
      </x:c>
    </x:row>
    <x:row r="13" ht="22" customHeight="1">
      <x:c r="A13" s="1" t="str">
        <x:v>Underwritten NOI before reserves</x:v>
      </x:c>
      <x:c r="B13" s="1" t="str">
        <x:v>Underwriting!B19</x:v>
      </x:c>
      <x:c r="C13" s="20" t="n">
        <x:f>Underwriting!B19</x:f>
        <x:v>760710</x:v>
      </x:c>
    </x:row>
    <x:row r="14" ht="22" customHeight="1">
      <x:c r="A14" s="1" t="str">
        <x:v>Underwritten NCF after reserves</x:v>
      </x:c>
      <x:c r="B14" s="1" t="str">
        <x:v>Underwriting!B21</x:v>
      </x:c>
      <x:c r="C14" s="20" t="n">
        <x:f>Underwriting!B21</x:f>
        <x:v>743710</x:v>
      </x:c>
    </x:row>
    <x:row r="15" ht="22" customHeight="1">
      <x:c r="A15" s="1" t="str">
        <x:v>Capitalized value</x:v>
      </x:c>
      <x:c r="B15" s="1" t="str">
        <x:v>Underwriting!B23</x:v>
      </x:c>
      <x:c r="C15" s="20" t="n">
        <x:f>Underwriting!B23</x:f>
        <x:v>11269777.777777776</x:v>
      </x:c>
    </x:row>
    <x:row r="16" ht="22" customHeight="1">
      <x:c r="A16" s="1" t="str">
        <x:v>LTV limit</x:v>
      </x:c>
      <x:c r="B16" s="1" t="str">
        <x:v>Loan Sizing!B9</x:v>
      </x:c>
      <x:c r="C16" s="20" t="n">
        <x:f>'Loan Sizing'!B9</x:f>
        <x:v>6761866.666666665</x:v>
      </x:c>
    </x:row>
    <x:row r="17" ht="22" customHeight="1">
      <x:c r="A17" s="1" t="str">
        <x:v>DSCR limit</x:v>
      </x:c>
      <x:c r="B17" s="1" t="str">
        <x:v>Loan Sizing!B10</x:v>
      </x:c>
      <x:c r="C17" s="20" t="n">
        <x:f>'Loan Sizing'!B10</x:f>
        <x:v>6595637.1358295875</x:v>
      </x:c>
    </x:row>
    <x:row r="18" ht="22" customHeight="1">
      <x:c r="A18" s="1" t="str">
        <x:v>Debt yield limit</x:v>
      </x:c>
      <x:c r="B18" s="1" t="str">
        <x:v>Loan Sizing!B11</x:v>
      </x:c>
      <x:c r="C18" s="20" t="n">
        <x:f>'Loan Sizing'!B11</x:f>
        <x:v>7437100</x:v>
      </x:c>
    </x:row>
    <x:row r="19" ht="22" customHeight="1">
      <x:c r="A19" s="1" t="str">
        <x:v>Maximum loan</x:v>
      </x:c>
      <x:c r="B19" s="1" t="str">
        <x:v>Loan Sizing!B12</x:v>
      </x:c>
      <x:c r="C19" s="20" t="n">
        <x:f>'Loan Sizing'!B12</x:f>
        <x:v>6595637.1358295875</x:v>
      </x:c>
    </x:row>
    <x:row r="20" ht="22" customHeight="1">
      <x:c r="A20" s="1" t="str">
        <x:v>Binding constraint</x:v>
      </x:c>
      <x:c r="B20" s="1" t="str">
        <x:v>Loan Sizing!B13</x:v>
      </x:c>
      <x:c r="C20" s="10" t="str">
        <x:f>'Loan Sizing'!B13</x:f>
        <x:v>DSCR</x:v>
      </x:c>
    </x:row>
    <x:row r="21" ht="22" customHeight="1">
      <x:c r="A21" s="1" t="str">
        <x:v>First-year contractual debt service</x:v>
      </x:c>
      <x:c r="B21" s="1" t="str">
        <x:v>Loan Sizing!B18</x:v>
      </x:c>
      <x:c r="C21" s="20" t="n">
        <x:f>'Loan Sizing'!B18</x:f>
        <x:v>445205.50666849717</x:v>
      </x:c>
    </x:row>
    <x:row r="22" ht="22" customHeight="1">
      <x:c r="A22" s="1" t="str">
        <x:v>Net cash to borrower</x:v>
      </x:c>
      <x:c r="B22" s="1" t="str">
        <x:v>Sources Uses!B14</x:v>
      </x:c>
      <x:c r="C22" s="20" t="n">
        <x:f>'Sources Uses'!B14</x:f>
        <x:v>2243191.671631718</x:v>
      </x:c>
    </x:row>
    <x:row r="23" ht="22" customHeight="1">
      <x:c r="A23" s="1" t="str">
        <x:v>Stress NOI (EGI -5%)</x:v>
      </x:c>
      <x:c r="B23" s="1" t="str">
        <x:v>Sensitivity!C8</x:v>
      </x:c>
      <x:c r="C23" s="20" t="n">
        <x:f>Sensitivity!C8</x:f>
        <x:v>711094.5</x:v>
      </x:c>
    </x:row>
    <x:row r="24" ht="22" customHeight="1">
      <x:c r="A24" s="1" t="str">
        <x:v>Stress maximum loan (EGI -5%, rate +100bps)</x:v>
      </x:c>
      <x:c r="B24" s="1" t="str">
        <x:v>Sensitivity!D18</x:v>
      </x:c>
      <x:c r="C24" s="20" t="n">
        <x:f>Sensitivity!D18</x:f>
        <x:v>5643126.333816406</x:v>
      </x:c>
    </x:row>
    <x:row r="25" ht="22" customHeight="1">
      <x:c r="A25" s="1" t="str">
        <x:v>T12 NOI before reserves</x:v>
      </x:c>
      <x:c r="B25" s="1" t="str">
        <x:v>Historical T12!B21</x:v>
      </x:c>
      <x:c r="C25" s="20" t="n">
        <x:f>'Historical T12'!B21</x:f>
        <x:v>592800</x:v>
      </x:c>
    </x:row>
    <x:row r="26" ht="22" customHeight="1">
      <x:c r="A26" s="1" t="str">
        <x:v>T12 NCF after reserves</x:v>
      </x:c>
      <x:c r="B26" s="1" t="str">
        <x:v>Historical T12!B23</x:v>
      </x:c>
      <x:c r="C26" s="20" t="n">
        <x:f>'Historical T12'!B23</x:f>
        <x:v>575800</x:v>
      </x:c>
    </x:row>
  </x:sheetData>
  <x:pageMargins left="0.7" right="0.7" top="0.75" bottom="0.75" header="0.3" footer="0.3"/>
</x:worksheet>
</file>