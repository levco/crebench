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 Roll" sheetId="2" state="visible" r:id="rId4"/>
    <sheet name="Historical T12" sheetId="3" state="visible" r:id="rId5"/>
    <sheet name="Underwriting" sheetId="4" state="visible" r:id="rId6"/>
    <sheet name="Loan Sizing" sheetId="5" state="visible" r:id="rId7"/>
    <sheet name="Sources and Uses" sheetId="6" state="visible" r:id="rId8"/>
    <sheet name="Sensitivity" sheetId="7" state="visible" r:id="rId9"/>
    <sheet name="Input-Output 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<sst xmlns="http://schemas.openxmlformats.org/spreadsheetml/2006/main" count="272" uniqueCount="231">
  <si>
    <t xml:space="preserve">Hawthorn Center | Editable underwriting assumptions</t>
  </si>
  <si>
    <t xml:space="preserve">As of 2026-08-31 | fictional packet | USD</t>
  </si>
  <si>
    <t xml:space="preserve">Item</t>
  </si>
  <si>
    <t xml:space="preserve">Value</t>
  </si>
  <si>
    <t xml:space="preserve">Source</t>
  </si>
  <si>
    <t xml:space="preserve">Capitalization rate (EDITABLE)</t>
  </si>
  <si>
    <t xml:space="preserve">Lender-Terms.pdf p.1 Valuation</t>
  </si>
  <si>
    <t xml:space="preserve">Maximum LTV</t>
  </si>
  <si>
    <t xml:space="preserve">Lender-Terms.pdf p.1 LTV</t>
  </si>
  <si>
    <t xml:space="preserve">Minimum DSCR (NCF after reserves)</t>
  </si>
  <si>
    <t xml:space="preserve">Lender-Terms.pdf p.1 DSCR</t>
  </si>
  <si>
    <t xml:space="preserve">Minimum debt yield (NOI before reserves)</t>
  </si>
  <si>
    <t xml:space="preserve">Lender-Terms.pdf p.1 Debt yield</t>
  </si>
  <si>
    <t xml:space="preserve">Contract rate (fixed)</t>
  </si>
  <si>
    <t xml:space="preserve">Lender-Terms.pdf p.1 Contract rate</t>
  </si>
  <si>
    <t xml:space="preserve">Sizing rate input / floor (EDITABLE)</t>
  </si>
  <si>
    <t xml:space="preserve">Sizing = MAX(contract, floor)</t>
  </si>
  <si>
    <t xml:space="preserve">Amortization (years)</t>
  </si>
  <si>
    <t xml:space="preserve">Interest-only period (months)</t>
  </si>
  <si>
    <t xml:space="preserve">Origination fee (% of principal)</t>
  </si>
  <si>
    <t xml:space="preserve">Fixed closing costs</t>
  </si>
  <si>
    <t xml:space="preserve">Existing debt payoff</t>
  </si>
  <si>
    <t xml:space="preserve">Property-and-Plan.pdf p.1</t>
  </si>
  <si>
    <t xml:space="preserve">Gross potential base rent (EDITABLE)</t>
  </si>
  <si>
    <t xml:space="preserve">Property-and-Plan.pdf p.2</t>
  </si>
  <si>
    <t xml:space="preserve">Combined revenue loss %</t>
  </si>
  <si>
    <t xml:space="preserve">Other income / recoveries (EDITABLE)</t>
  </si>
  <si>
    <t xml:space="preserve">Management fee % of EGI</t>
  </si>
  <si>
    <t xml:space="preserve">T12 actual management fee (floor)</t>
  </si>
  <si>
    <t xml:space="preserve">Replacement reserves per SF</t>
  </si>
  <si>
    <t xml:space="preserve">Total rentable SF (rent roll)</t>
  </si>
  <si>
    <t xml:space="preserve">EGI stress factor</t>
  </si>
  <si>
    <t xml:space="preserve">Sizing rate shock (downside)</t>
  </si>
  <si>
    <t xml:space="preserve">Cap rate shock (separate case)</t>
  </si>
  <si>
    <t xml:space="preserve">Contractual rent roll as of 2026-08-31</t>
  </si>
  <si>
    <t xml:space="preserve">Source: Rent-Roll.xlsx rows 7-16; premises 101 reconciled to Lease-File.pdf p.1</t>
  </si>
  <si>
    <t xml:space="preserve">Unit</t>
  </si>
  <si>
    <t xml:space="preserve">Tenant</t>
  </si>
  <si>
    <t xml:space="preserve">Area SF</t>
  </si>
  <si>
    <t xml:space="preserve">Status</t>
  </si>
  <si>
    <t xml:space="preserve">Monthly rent</t>
  </si>
  <si>
    <t xml:space="preserve">Market rent</t>
  </si>
  <si>
    <t xml:space="preserve">Expiry</t>
  </si>
  <si>
    <t xml:space="preserve">101</t>
  </si>
  <si>
    <t xml:space="preserve">Tenant A LLC</t>
  </si>
  <si>
    <t xml:space="preserve">Occupied</t>
  </si>
  <si>
    <t xml:space="preserve">2029-08-31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</si>
  <si>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</si>
  <si>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</si>
  <si>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</si>
  <si>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</si>
  <si>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</si>
  <si>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</si>
  <si>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</si>
  <si>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</si>
  <si>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</si>
  <si>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</si>
  <si>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</si>
  <si>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</si>
  <si>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</si>
  <si>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</si>
  <si>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</si>
  <si>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</si>
  <si>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</si>
  <si>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</si>
  <si>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</si>
  <si>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</si>
  <si>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</si>
  <si>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</si>
  <si>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n/a</t>
  </si>
  <si>
    <t xml:space="preserve">Metric</t>
  </si>
  <si>
    <t xml:space="preserve">total_area_sf</t>
  </si>
  <si>
    <t xml:space="preserve">rent_roll_monthly_base</t>
  </si>
  <si>
    <t xml:space="preserve">space_count</t>
  </si>
  <si>
    <t xml:space="preserve">occupied_count</t>
  </si>
  <si>
    <t xml:space="preserve">occupied_area_sf</t>
  </si>
  <si>
    <t xml:space="preserve">occupancy_count_pct</t>
  </si>
  <si>
    <t xml:space="preserve">occupancy_area_pct</t>
  </si>
  <si>
    <t xml:space="preserve">effective_monthly_base</t>
  </si>
  <si>
    <t xml:space="preserve">Annualized contractual rent (point in time)</t>
  </si>
  <si>
    <t xml:space="preserve">Premises 101 executed lease: $3,000/month, expiry 2029-08-31, deposit $6,000; no amendment or renewal exercise notice supplied, so effective base equals printed base.</t>
  </si>
  <si>
    <t xml:space="preserve">Historical T12 | September 2025 - August 2026 (actual)</t>
  </si>
  <si>
    <t xml:space="preserve">Source: T12-Statement.pdf p.2 Annual column. Historical only.</t>
  </si>
  <si>
    <t xml:space="preserve">Line</t>
  </si>
  <si>
    <t xml:space="preserve">Annual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</si>
  <si>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</si>
  <si>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</si>
  <si>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</si>
  <si>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</si>
  <si>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</si>
  <si>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t12_egi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</si>
  <si>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</si>
  <si>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</si>
  <si>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</si>
  <si>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</si>
  <si>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</si>
  <si>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</si>
  <si>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</si>
  <si>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t12_operating_expenses</t>
  </si>
  <si>
    <t xml:space="preserve">t12_noi_before_reserves</t>
  </si>
  <si>
    <t xml:space="preserve">t12_reserves</t>
  </si>
  <si>
    <t xml:space="preserve">t12_ncf (after reserves)</t>
  </si>
  <si>
    <t xml:space="preserve">Below cash flow (not operating expense)</t>
  </si>
  <si>
    <t xml:space="preserve">Capital improvements</t>
  </si>
  <si>
    <t xml:space="preserve">Existing loan principal and interest</t>
  </si>
  <si>
    <t xml:space="preserve">Depreciation (noncash)</t>
  </si>
  <si>
    <t xml:space="preserve">The accounting package may call cash flow after reserves 'property NOI'; NOI before reserves and NCF after reserves are shown separately (Property-and-Plan.pdf p.1).</t>
  </si>
  <si>
    <t xml:space="preserve">Underwritten scenario | September 2026 forward (annual)</t>
  </si>
  <si>
    <t xml:space="preserve">Source: Property-and-Plan.pdf p.2. Supplied scenario, not a lender-approved forecast.</t>
  </si>
  <si>
    <t xml:space="preserve">Basis</t>
  </si>
  <si>
    <t xml:space="preserve">Assumptions!C17</t>
  </si>
  <si>
    <t xml:space="preserve">Combined revenue loss</t>
  </si>
  <si>
    <t xml:space="preserve">5.00% of gross potential rent</t>
  </si>
  <si>
    <t xml:space="preserve">Net rental income</t>
  </si>
  <si>
    <t xml:space="preserve">Added after loss</t>
  </si>
  <si>
    <t xml:space="preserve">uw_egi</t>
  </si>
  <si>
    <t xml:space="preserve">Plan underwriting treatment</t>
  </si>
  <si>
    <t xml:space="preserve">Scenario renewal allowance</t>
  </si>
  <si>
    <t xml:space="preserve">T12 actual</t>
  </si>
  <si>
    <t xml:space="preserve">T12 actual; $0 one-time removed</t>
  </si>
  <si>
    <t xml:space="preserve">uw_management_fee</t>
  </si>
  <si>
    <t xml:space="preserve">Greater of T12 actual and 4.00% of EGI</t>
  </si>
  <si>
    <t xml:space="preserve">uw_operating_expenses (before reserves)</t>
  </si>
  <si>
    <t xml:space="preserve">uw_noi_before_reserves</t>
  </si>
  <si>
    <t xml:space="preserve">uw_reserves</t>
  </si>
  <si>
    <t xml:space="preserve">$0.15/SF x rentable SF</t>
  </si>
  <si>
    <t xml:space="preserve">uw_ncf (after reserves)</t>
  </si>
  <si>
    <t xml:space="preserve">capitalization_value</t>
  </si>
  <si>
    <t xml:space="preserve">NOI before reserves / cap rate</t>
  </si>
  <si>
    <t xml:space="preserve">Expense ratio (opex / EGI)</t>
  </si>
  <si>
    <t xml:space="preserve">Loan sizing | LTV, DSCR and debt yield</t>
  </si>
  <si>
    <t xml:space="preserve">Source: Lender-Terms.pdf p.1; unrounded intermediates.</t>
  </si>
  <si>
    <t xml:space="preserve">sizing_rate</t>
  </si>
  <si>
    <t xml:space="preserve">Greater of contract rate and floor</t>
  </si>
  <si>
    <t xml:space="preserve">annual_debt_constant</t>
  </si>
  <si>
    <t xml:space="preserve">12 monthly payments per $1</t>
  </si>
  <si>
    <t xml:space="preserve">UW NOI before reserves</t>
  </si>
  <si>
    <t xml:space="preserve">UW NCF after reserves</t>
  </si>
  <si>
    <t xml:space="preserve">ltv_limit</t>
  </si>
  <si>
    <t xml:space="preserve">62.50% x indicative value</t>
  </si>
  <si>
    <t xml:space="preserve">dscr_limit</t>
  </si>
  <si>
    <t xml:space="preserve">(NCF / 1.25) / debt constant</t>
  </si>
  <si>
    <t xml:space="preserve">debt_yield_limit</t>
  </si>
  <si>
    <t xml:space="preserve">NOI before reserves / 9.00%</t>
  </si>
  <si>
    <t xml:space="preserve">maximum_loan</t>
  </si>
  <si>
    <t xml:space="preserve">binding_constraint</t>
  </si>
  <si>
    <t xml:space="preserve">sizing_annual_debt_service</t>
  </si>
  <si>
    <t xml:space="preserve">sizing_dscr</t>
  </si>
  <si>
    <t xml:space="preserve">sizing_debt_yield</t>
  </si>
  <si>
    <t xml:space="preserve">Implied LTV at maximum loan</t>
  </si>
  <si>
    <t xml:space="preserve">Contract-rate annual debt constant</t>
  </si>
  <si>
    <t xml:space="preserve">first_year_debt_service</t>
  </si>
  <si>
    <t xml:space="preserve">IO months at contract rate, balance amortizing</t>
  </si>
  <si>
    <t xml:space="preserve">First-year DSCR on UW NCF</t>
  </si>
  <si>
    <t xml:space="preserve">IO period is 0 months, so year one is 12 amortizing payments at the 6.35% contract rate, which equals the sizing rate.</t>
  </si>
  <si>
    <t xml:space="preserve">Sources and uses at maximum loan</t>
  </si>
  <si>
    <t xml:space="preserve">Fee: Lender-Terms.pdf p.1; payoff and closing costs: Property-and-Plan.pdf p.1</t>
  </si>
  <si>
    <t xml:space="preserve">Amount</t>
  </si>
  <si>
    <t xml:space="preserve">SOURCES</t>
  </si>
  <si>
    <t xml:space="preserve">New first-mortgage loan</t>
  </si>
  <si>
    <t xml:space="preserve">Total sources</t>
  </si>
  <si>
    <t xml:space="preserve">USES</t>
  </si>
  <si>
    <t xml:space="preserve">Origination fee (0.80% of principal)</t>
  </si>
  <si>
    <t xml:space="preserve">cash_to_borrower (negative = cash in)</t>
  </si>
  <si>
    <t xml:space="preserve">Total uses including distribution</t>
  </si>
  <si>
    <t xml:space="preserve">No fee capitalization, interest reserve, holdback or earn-out assumed.</t>
  </si>
  <si>
    <t xml:space="preserve">Sensitivity analysis</t>
  </si>
  <si>
    <t xml:space="preserve">Downside: EGI -5% with management recalculated, other expenses and reserves constant; combined case adds +100 bps to sizing rate with cap rate unchanged. Separate case: cap rate +50 bps.</t>
  </si>
  <si>
    <t xml:space="preserve">Base case</t>
  </si>
  <si>
    <t xml:space="preserve">EGI -5%, rate +100bps</t>
  </si>
  <si>
    <t xml:space="preserve">Cap +50 bps</t>
  </si>
  <si>
    <t xml:space="preserve">EGI</t>
  </si>
  <si>
    <t xml:space="preserve">Management fee (recalculated)</t>
  </si>
  <si>
    <t xml:space="preserve">Other operating expenses (constant)</t>
  </si>
  <si>
    <t xml:space="preserve">Total operating expenses</t>
  </si>
  <si>
    <t xml:space="preserve">NOI before reserves</t>
  </si>
  <si>
    <t xml:space="preserve">Replacement reserves</t>
  </si>
  <si>
    <t xml:space="preserve">NCF after reserves</t>
  </si>
  <si>
    <t xml:space="preserve">Cap rate applied</t>
  </si>
  <si>
    <t xml:space="preserve">Indicative value</t>
  </si>
  <si>
    <t xml:space="preserve">Sizing rate applied</t>
  </si>
  <si>
    <t xml:space="preserve">Annual debt constant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</si>
  <si>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</si>
  <si>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</si>
  <si>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</si>
  <si>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</si>
  <si>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Binding constraint</t>
  </si>
  <si>
    <t xml:space="preserve">Change vs. base maximum loan</t>
  </si>
  <si>
    <t xml:space="preserve">Reviewer guide | editable inputs and key outputs</t>
  </si>
  <si>
    <t xml:space="preserve">Editable input</t>
  </si>
  <si>
    <t xml:space="preserve">Location</t>
  </si>
  <si>
    <t xml:space="preserve">Effect</t>
  </si>
  <si>
    <t xml:space="preserve">Capitalization rate</t>
  </si>
  <si>
    <t xml:space="preserve">Assumptions!C6</t>
  </si>
  <si>
    <t xml:space="preserve">Value, LTV limit, cap sensitivity</t>
  </si>
  <si>
    <t xml:space="preserve">Sizing interest rate</t>
  </si>
  <si>
    <t xml:space="preserve">Assumptions!C11</t>
  </si>
  <si>
    <t xml:space="preserve">Debt constant, DSCR limit</t>
  </si>
  <si>
    <t xml:space="preserve">EGI: gross potential base rent</t>
  </si>
  <si>
    <t xml:space="preserve">EGI, management fee, NOI, all limits</t>
  </si>
  <si>
    <t xml:space="preserve">EGI: other income</t>
  </si>
  <si>
    <t xml:space="preserve">Assumptions!C19</t>
  </si>
  <si>
    <t xml:space="preserve">EGI and downstream outputs</t>
  </si>
  <si>
    <t xml:space="preserve">Other assumptions</t>
  </si>
  <si>
    <t xml:space="preserve">Assumptions!C7:C26; Underwriting!C9:C14</t>
  </si>
  <si>
    <t xml:space="preserve">Tests, fees, reserves, expenses</t>
  </si>
  <si>
    <t xml:space="preserve">Key output</t>
  </si>
  <si>
    <t xml:space="preserve">Underwriting!C8</t>
  </si>
  <si>
    <t xml:space="preserve">Underwriting!C15</t>
  </si>
  <si>
    <t xml:space="preserve">uw_operating_expenses</t>
  </si>
  <si>
    <t xml:space="preserve">Underwriting!C16</t>
  </si>
  <si>
    <t xml:space="preserve">Underwriting!C17</t>
  </si>
  <si>
    <t xml:space="preserve">uw_reserves / uw_ncf</t>
  </si>
  <si>
    <t xml:space="preserve">Underwriting!C18 / C19</t>
  </si>
  <si>
    <t xml:space="preserve">Underwriting!C20</t>
  </si>
  <si>
    <t xml:space="preserve">Loan Sizing!C5</t>
  </si>
  <si>
    <t xml:space="preserve">ltv_limit / dscr_limit / debt_yield_limit</t>
  </si>
  <si>
    <t xml:space="preserve">Loan Sizing!C8 / C9 / C10</t>
  </si>
  <si>
    <t xml:space="preserve">maximum_loan / binding_constraint</t>
  </si>
  <si>
    <t xml:space="preserve">Loan Sizing!C12 / C13</t>
  </si>
  <si>
    <t xml:space="preserve">sizing DS / DSCR / debt yield</t>
  </si>
  <si>
    <t xml:space="preserve">Loan Sizing!C14 / C15 / C16</t>
  </si>
  <si>
    <t xml:space="preserve">Loan Sizing!C19</t>
  </si>
  <si>
    <t xml:space="preserve">cash_to_borrower</t>
  </si>
  <si>
    <t xml:space="preserve">Sources and Uses!C12</t>
  </si>
  <si>
    <t xml:space="preserve">stress_uw_noi / stress_maximum_loan</t>
  </si>
  <si>
    <t xml:space="preserve">Sensitivity!D8 / D18</t>
  </si>
  <si>
    <t xml:space="preserve">Historical T12 (separate)</t>
  </si>
  <si>
    <t xml:space="preserve">'Historical T12'!C9:C20</t>
  </si>
  <si>
    <t xml:space="preserve">Rent roll metrics</t>
  </si>
  <si>
    <t xml:space="preserve">'Rent Roll'!C16:C24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</si>
</sst>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%"/>
    <numFmt numFmtId="166" formatCode="0.00%"/>
    <numFmt numFmtId="167" formatCode="0.00"/>
    <numFmt numFmtId="168" formatCode="0"/>
    <numFmt numFmtId="169" formatCode="#,##0"/>
    <numFmt numFmtId="170" formatCode="0.0%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27" hidden="false" customHeight="true" outlineLevel="0" collapsed="false">
      <c r="B1" s="1" t="s">
        <v>0</v>
      </c>
    </row>
    <row r="2" customFormat="false" ht="36" hidden="false" customHeight="true" outlineLevel="0" collapsed="false">
      <c r="B2" s="2" t="s">
        <v>1</v>
      </c>
    </row>
    <row r="4" customFormat="false" ht="25" hidden="false" customHeight="true" outlineLevel="0" collapsed="false">
      <c r="B4" s="3" t="s">
        <v>2</v>
      </c>
      <c r="C4" s="3" t="s">
        <v>3</v>
      </c>
      <c r="D4" s="3" t="s">
        <v>4</v>
      </c>
    </row>
    <row r="6" customFormat="false" ht="36" hidden="false" customHeight="true" outlineLevel="0" collapsed="false">
      <c r="B6" s="4" t="s">
        <v>5</v>
      </c>
      <c r="C6" s="5" t="n">
        <v>0.0625</v>
      </c>
      <c r="D6" s="2" t="s">
        <v>6</v>
      </c>
    </row>
    <row r="7" customFormat="false" ht="36" hidden="false" customHeight="true" outlineLevel="0" collapsed="false">
      <c r="B7" s="4" t="s">
        <v>7</v>
      </c>
      <c r="C7" s="6" t="n">
        <v>0.625</v>
      </c>
      <c r="D7" s="2" t="s">
        <v>8</v>
      </c>
    </row>
    <row r="8" customFormat="false" ht="36" hidden="false" customHeight="true" outlineLevel="0" collapsed="false">
      <c r="B8" s="4" t="s">
        <v>9</v>
      </c>
      <c r="C8" s="7" t="n">
        <v>1.25</v>
      </c>
      <c r="D8" s="2" t="s">
        <v>10</v>
      </c>
    </row>
    <row r="9" customFormat="false" ht="36" hidden="false" customHeight="true" outlineLevel="0" collapsed="false">
      <c r="B9" s="4" t="s">
        <v>11</v>
      </c>
      <c r="C9" s="5" t="n">
        <v>0.09</v>
      </c>
      <c r="D9" s="2" t="s">
        <v>12</v>
      </c>
    </row>
    <row r="10" customFormat="false" ht="36" hidden="false" customHeight="true" outlineLevel="0" collapsed="false">
      <c r="B10" s="4" t="s">
        <v>13</v>
      </c>
      <c r="C10" s="5" t="n">
        <v>0.0635</v>
      </c>
      <c r="D10" s="2" t="s">
        <v>14</v>
      </c>
    </row>
    <row r="11" customFormat="false" ht="36" hidden="false" customHeight="true" outlineLevel="0" collapsed="false">
      <c r="B11" s="4" t="s">
        <v>15</v>
      </c>
      <c r="C11" s="5" t="n">
        <v>0.0635</v>
      </c>
      <c r="D11" s="2" t="s">
        <v>16</v>
      </c>
    </row>
    <row r="12" customFormat="false" ht="22" hidden="false" customHeight="true" outlineLevel="0" collapsed="false">
      <c r="B12" s="4" t="s">
        <v>17</v>
      </c>
      <c r="C12" s="8" t="n">
        <v>25</v>
      </c>
    </row>
    <row r="13" customFormat="false" ht="22" hidden="false" customHeight="true" outlineLevel="0" collapsed="false">
      <c r="B13" s="4" t="s">
        <v>18</v>
      </c>
      <c r="C13" s="8" t="n">
        <v>0</v>
      </c>
    </row>
    <row r="14" customFormat="false" ht="22" hidden="false" customHeight="true" outlineLevel="0" collapsed="false">
      <c r="B14" s="4" t="s">
        <v>19</v>
      </c>
      <c r="C14" s="6" t="n">
        <v>0.008</v>
      </c>
    </row>
    <row r="15" customFormat="false" ht="22" hidden="false" customHeight="true" outlineLevel="0" collapsed="false">
      <c r="B15" s="4" t="s">
        <v>20</v>
      </c>
      <c r="C15" s="9" t="n">
        <v>52000</v>
      </c>
    </row>
    <row r="16" customFormat="false" ht="36" hidden="false" customHeight="true" outlineLevel="0" collapsed="false">
      <c r="B16" s="4" t="s">
        <v>21</v>
      </c>
      <c r="C16" s="9" t="n">
        <v>4200000</v>
      </c>
      <c r="D16" s="2" t="s">
        <v>22</v>
      </c>
    </row>
    <row r="17" customFormat="false" ht="36" hidden="false" customHeight="true" outlineLevel="0" collapsed="false">
      <c r="B17" s="4" t="s">
        <v>23</v>
      </c>
      <c r="C17" s="9" t="n">
        <v>780000</v>
      </c>
      <c r="D17" s="2" t="s">
        <v>24</v>
      </c>
    </row>
    <row r="18" customFormat="false" ht="22" hidden="false" customHeight="true" outlineLevel="0" collapsed="false">
      <c r="B18" s="4" t="s">
        <v>25</v>
      </c>
      <c r="C18" s="6" t="n">
        <v>0.05</v>
      </c>
    </row>
    <row r="19" customFormat="false" ht="22" hidden="false" customHeight="true" outlineLevel="0" collapsed="false">
      <c r="B19" s="4" t="s">
        <v>26</v>
      </c>
      <c r="C19" s="9" t="n">
        <v>180000</v>
      </c>
    </row>
    <row r="20" customFormat="false" ht="22" hidden="false" customHeight="true" outlineLevel="0" collapsed="false">
      <c r="B20" s="4" t="s">
        <v>27</v>
      </c>
      <c r="C20" s="6" t="n">
        <v>0.04</v>
      </c>
    </row>
    <row r="21" customFormat="false" ht="22" hidden="false" customHeight="true" outlineLevel="0" collapsed="false">
      <c r="B21" s="4" t="s">
        <v>28</v>
      </c>
      <c r="C21" s="9" t="n">
        <v>18000</v>
      </c>
    </row>
    <row r="22" customFormat="false" ht="22" hidden="false" customHeight="true" outlineLevel="0" collapsed="false">
      <c r="B22" s="4" t="s">
        <v>29</v>
      </c>
      <c r="C22" s="7" t="n">
        <v>0.15</v>
      </c>
    </row>
    <row r="23" customFormat="false" ht="22" hidden="false" customHeight="true" outlineLevel="0" collapsed="false">
      <c r="B23" s="4" t="s">
        <v>30</v>
      </c>
      <c r="C23" s="10" t="n">
        <f aca="false">'Rent Roll'!C16</f>
        <v>28800</v>
      </c>
    </row>
    <row r="24" customFormat="false" ht="22" hidden="false" customHeight="true" outlineLevel="0" collapsed="false">
      <c r="B24" s="4" t="s">
        <v>31</v>
      </c>
      <c r="C24" s="6" t="n">
        <v>0.95</v>
      </c>
    </row>
    <row r="25" customFormat="false" ht="22" hidden="false" customHeight="true" outlineLevel="0" collapsed="false">
      <c r="B25" s="4" t="s">
        <v>32</v>
      </c>
      <c r="C25" s="5" t="n">
        <v>0.01</v>
      </c>
    </row>
    <row r="26" customFormat="false" ht="22" hidden="false" customHeight="true" outlineLevel="0" collapsed="false">
      <c r="B26" s="4" t="s">
        <v>33</v>
      </c>
      <c r="C26" s="5" t="n">
        <v>0.005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27" hidden="false" customHeight="true" outlineLevel="0" collapsed="false">
      <c r="A1" s="1" t="s">
        <v>34</v>
      </c>
    </row>
    <row r="2" customFormat="false" ht="36" hidden="false" customHeight="true" outlineLevel="0" collapsed="false">
      <c r="A2" s="2" t="s">
        <v>35</v>
      </c>
    </row>
    <row r="3" customFormat="false" ht="2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</row>
    <row r="4" customFormat="false" ht="22" hidden="false" customHeight="true" outlineLevel="0" collapsed="false">
      <c r="A4" s="4" t="s">
        <v>43</v>
      </c>
      <c r="B4" s="4" t="s">
        <v>44</v>
      </c>
      <c r="C4" s="11" t="n">
        <v>1400</v>
      </c>
      <c r="D4" s="4" t="s">
        <v>45</v>
      </c>
      <c r="E4" s="11" t="n">
        <v>3000</v>
      </c>
      <c r="F4" s="11" t="n">
        <v>3000</v>
      </c>
      <c r="G4" s="4" t="s">
        <v>46</v>
      </c>
    </row>
    <row r="5" customFormat="false" ht="22" hidden="false" customHeight="true" outlineLevel="0" collapsed="false">
      <c r="A5" s="4" t="s">
        <v>47</v>
      </c>
      <c r="B5" s="4" t="s">
        <v>48</v>
      </c>
      <c r="C5" s="11" t="n">
        <v>1800</v>
      </c>
      <c r="D5" s="4" t="s">
        <v>45</v>
      </c>
      <c r="E5" s="11" t="n">
        <v>4000</v>
      </c>
      <c r="F5" s="11" t="n">
        <v>4000</v>
      </c>
      <c r="G5" s="4" t="s">
        <v>49</v>
      </c>
    </row>
    <row r="6" customFormat="false" ht="22" hidden="false" customHeight="true" outlineLevel="0" collapsed="false">
      <c r="A6" s="4" t="s">
        <v>50</v>
      </c>
      <c r="B6" s="4" t="s">
        <v>51</v>
      </c>
      <c r="C6" s="11" t="n">
        <v>2200</v>
      </c>
      <c r="D6" s="4" t="s">
        <v>45</v>
      </c>
      <c r="E6" s="11" t="n">
        <v>4900</v>
      </c>
      <c r="F6" s="11" t="n">
        <v>4900</v>
      </c>
      <c r="G6" s="4" t="s">
        <v>46</v>
      </c>
    </row>
    <row r="7" customFormat="false" ht="22" hidden="false" customHeight="true" outlineLevel="0" collapsed="false">
      <c r="A7" s="4" t="s">
        <v>52</v>
      </c>
      <c r="B7" s="4" t="s">
        <v>53</v>
      </c>
      <c r="C7" s="11" t="n">
        <v>2500</v>
      </c>
      <c r="D7" s="4" t="s">
        <v>45</v>
      </c>
      <c r="E7" s="11" t="n">
        <v>5600</v>
      </c>
      <c r="F7" s="11" t="n">
        <v>5600</v>
      </c>
      <c r="G7" s="4" t="s">
        <v>54</v>
      </c>
    </row>
    <row r="8" customFormat="false" ht="22" hidden="false" customHeight="true" outlineLevel="0" collapsed="false">
      <c r="A8" s="4" t="s">
        <v>55</v>
      </c>
      <c r="B8" s="4" t="s">
        <v>56</v>
      </c>
      <c r="C8" s="11" t="n">
        <v>3000</v>
      </c>
      <c r="D8" s="4" t="s">
        <v>45</v>
      </c>
      <c r="E8" s="11" t="n">
        <v>6500</v>
      </c>
      <c r="F8" s="11" t="n">
        <v>6500</v>
      </c>
      <c r="G8" s="4" t="s">
        <v>57</v>
      </c>
    </row>
    <row r="9" customFormat="false" ht="22" hidden="false" customHeight="true" outlineLevel="0" collapsed="false">
      <c r="A9" s="4" t="s">
        <v>58</v>
      </c>
      <c r="B9" s="4" t="s">
        <v>59</v>
      </c>
      <c r="C9" s="11" t="n">
        <v>3300</v>
      </c>
      <c r="D9" s="4" t="s">
        <v>45</v>
      </c>
      <c r="E9" s="11" t="n">
        <v>7400</v>
      </c>
      <c r="F9" s="11" t="n">
        <v>7400</v>
      </c>
      <c r="G9" s="4" t="s">
        <v>60</v>
      </c>
    </row>
    <row r="10" customFormat="false" ht="22" hidden="false" customHeight="true" outlineLevel="0" collapsed="false">
      <c r="A10" s="4" t="s">
        <v>61</v>
      </c>
      <c r="B10" s="4" t="s">
        <v>62</v>
      </c>
      <c r="C10" s="11" t="n">
        <v>3800</v>
      </c>
      <c r="D10" s="4" t="s">
        <v>45</v>
      </c>
      <c r="E10" s="11" t="n">
        <v>8600</v>
      </c>
      <c r="F10" s="11" t="n">
        <v>8600</v>
      </c>
      <c r="G10" s="4" t="s">
        <v>49</v>
      </c>
    </row>
    <row r="11" customFormat="false" ht="22" hidden="false" customHeight="true" outlineLevel="0" collapsed="false">
      <c r="A11" s="4" t="s">
        <v>63</v>
      </c>
      <c r="B11" s="4" t="s">
        <v>64</v>
      </c>
      <c r="C11" s="11" t="n">
        <v>4200</v>
      </c>
      <c r="D11" s="4" t="s">
        <v>45</v>
      </c>
      <c r="E11" s="11" t="n">
        <v>9200</v>
      </c>
      <c r="F11" s="11" t="n">
        <v>9200</v>
      </c>
      <c r="G11" s="4" t="s">
        <v>46</v>
      </c>
    </row>
    <row r="12" customFormat="false" ht="22" hidden="false" customHeight="true" outlineLevel="0" collapsed="false">
      <c r="A12" s="4" t="s">
        <v>65</v>
      </c>
      <c r="B12" s="4" t="s">
        <v>66</v>
      </c>
      <c r="C12" s="11" t="n">
        <v>5000</v>
      </c>
      <c r="D12" s="4" t="s">
        <v>45</v>
      </c>
      <c r="E12" s="11" t="n">
        <v>10800</v>
      </c>
      <c r="F12" s="11" t="n">
        <v>10800</v>
      </c>
      <c r="G12" s="4" t="s">
        <v>54</v>
      </c>
    </row>
    <row r="13" customFormat="false" ht="22" hidden="false" customHeight="true" outlineLevel="0" collapsed="false">
      <c r="A13" s="4" t="s">
        <v>67</v>
      </c>
      <c r="B13" s="4" t="s">
        <v>68</v>
      </c>
      <c r="C13" s="11" t="n">
        <v>1600</v>
      </c>
      <c r="D13" s="4" t="s">
        <v>68</v>
      </c>
      <c r="E13" s="11" t="n">
        <v>0</v>
      </c>
      <c r="F13" s="11" t="n">
        <v>3400</v>
      </c>
      <c r="G13" s="4" t="s">
        <v>69</v>
      </c>
    </row>
    <row r="15" customFormat="false" ht="25" hidden="false" customHeight="true" outlineLevel="0" collapsed="false">
      <c r="A15" s="3" t="s">
        <v>70</v>
      </c>
      <c r="C15" s="3" t="s">
        <v>3</v>
      </c>
    </row>
    <row r="16" customFormat="false" ht="22" hidden="false" customHeight="true" outlineLevel="0" collapsed="false">
      <c r="A16" s="4" t="s">
        <v>71</v>
      </c>
      <c r="C16" s="10" t="n">
        <f aca="false">SUM(C4:C13)</f>
        <v>28800</v>
      </c>
    </row>
    <row r="17" customFormat="false" ht="22" hidden="false" customHeight="true" outlineLevel="0" collapsed="false">
      <c r="A17" s="4" t="s">
        <v>72</v>
      </c>
      <c r="C17" s="10" t="n">
        <f aca="false">SUM(E4:E13)</f>
        <v>60000</v>
      </c>
    </row>
    <row r="18" customFormat="false" ht="22" hidden="false" customHeight="true" outlineLevel="0" collapsed="false">
      <c r="A18" s="4" t="s">
        <v>73</v>
      </c>
      <c r="C18" s="12" t="n">
        <f aca="false">COUNTA(A4:A13)</f>
        <v>10</v>
      </c>
    </row>
    <row r="19" customFormat="false" ht="22" hidden="false" customHeight="true" outlineLevel="0" collapsed="false">
      <c r="A19" s="4" t="s">
        <v>74</v>
      </c>
      <c r="C19" s="12" t="n">
        <f aca="false">COUNTIF(D4:D13,"Occupied")</f>
        <v>9</v>
      </c>
    </row>
    <row r="20" customFormat="false" ht="22" hidden="false" customHeight="true" outlineLevel="0" collapsed="false">
      <c r="A20" s="4" t="s">
        <v>75</v>
      </c>
      <c r="C20" s="10" t="n">
        <f aca="false">SUMIF(D4:D13,"Occupied",C4:C13)</f>
        <v>27200</v>
      </c>
    </row>
    <row r="21" customFormat="false" ht="22" hidden="false" customHeight="true" outlineLevel="0" collapsed="false">
      <c r="A21" s="4" t="s">
        <v>76</v>
      </c>
      <c r="C21" s="13" t="n">
        <f aca="false">C19/C18*100</f>
        <v>90</v>
      </c>
    </row>
    <row r="22" customFormat="false" ht="22" hidden="false" customHeight="true" outlineLevel="0" collapsed="false">
      <c r="A22" s="4" t="s">
        <v>77</v>
      </c>
      <c r="C22" s="13" t="n">
        <f aca="false">C20/C16*100</f>
        <v>94.4444444444444</v>
      </c>
    </row>
    <row r="23" customFormat="false" ht="22" hidden="false" customHeight="true" outlineLevel="0" collapsed="false">
      <c r="A23" s="4" t="s">
        <v>78</v>
      </c>
      <c r="C23" s="10" t="n">
        <f aca="false">C17</f>
        <v>60000</v>
      </c>
    </row>
    <row r="24" customFormat="false" ht="22" hidden="false" customHeight="true" outlineLevel="0" collapsed="false">
      <c r="A24" s="4" t="s">
        <v>79</v>
      </c>
      <c r="C24" s="10" t="n">
        <f aca="false">C23*12</f>
        <v>720000</v>
      </c>
    </row>
    <row r="26" customFormat="false" ht="34" hidden="false" customHeight="true" outlineLevel="0" collapsed="false">
      <c r="A26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30"/>
  </cols>
  <sheetData>
    <row r="1" customFormat="false" ht="27" hidden="false" customHeight="true" outlineLevel="0" collapsed="false">
      <c r="B1" s="1" t="s">
        <v>81</v>
      </c>
    </row>
    <row r="2" customFormat="false" ht="36" hidden="false" customHeight="true" outlineLevel="0" collapsed="false">
      <c r="B2" s="2" t="s">
        <v>82</v>
      </c>
    </row>
    <row r="3" customFormat="false" ht="25" hidden="false" customHeight="true" outlineLevel="0" collapsed="false">
      <c r="B3" s="3" t="s">
        <v>83</v>
      </c>
      <c r="C3" s="3" t="s">
        <v>84</v>
      </c>
    </row>
    <row r="4" customFormat="false" ht="22" hidden="false" customHeight="true" outlineLevel="0" collapsed="false">
      <c r="B4" s="4" t="s">
        <v>85</v>
      </c>
      <c r="C4" s="9" t="n">
        <v>759600</v>
      </c>
    </row>
    <row r="5" customFormat="false" ht="22" hidden="false" customHeight="true" outlineLevel="0" collapsed="false">
      <c r="B5" s="4" t="s">
        <v>86</v>
      </c>
      <c r="C5" s="9" t="n">
        <v>-40800</v>
      </c>
    </row>
    <row r="6" customFormat="false" ht="22" hidden="false" customHeight="true" outlineLevel="0" collapsed="false">
      <c r="B6" s="4" t="s">
        <v>87</v>
      </c>
      <c r="C6" s="9" t="n">
        <v>-22800</v>
      </c>
    </row>
    <row r="7" customFormat="false" ht="22" hidden="false" customHeight="true" outlineLevel="0" collapsed="false">
      <c r="B7" s="4" t="s">
        <v>88</v>
      </c>
      <c r="C7" s="9" t="n">
        <v>-6000</v>
      </c>
    </row>
    <row r="8" customFormat="false" ht="22" hidden="false" customHeight="true" outlineLevel="0" collapsed="false">
      <c r="B8" s="4" t="s">
        <v>89</v>
      </c>
      <c r="C8" s="9" t="n">
        <v>176400</v>
      </c>
    </row>
    <row r="9" customFormat="false" ht="22" hidden="false" customHeight="true" outlineLevel="0" collapsed="false">
      <c r="B9" s="14" t="s">
        <v>90</v>
      </c>
      <c r="C9" s="10" t="n">
        <f aca="false">SUM(C4:C8)</f>
        <v>866400</v>
      </c>
    </row>
    <row r="10" customFormat="false" ht="22" hidden="false" customHeight="true" outlineLevel="0" collapsed="false">
      <c r="B10" s="4" t="s">
        <v>91</v>
      </c>
      <c r="C10" s="9" t="n">
        <v>114000</v>
      </c>
    </row>
    <row r="11" customFormat="false" ht="22" hidden="false" customHeight="true" outlineLevel="0" collapsed="false">
      <c r="B11" s="4" t="s">
        <v>92</v>
      </c>
      <c r="C11" s="9" t="n">
        <v>32400</v>
      </c>
    </row>
    <row r="12" customFormat="false" ht="22" hidden="false" customHeight="true" outlineLevel="0" collapsed="false">
      <c r="B12" s="4" t="s">
        <v>93</v>
      </c>
      <c r="C12" s="9" t="n">
        <v>21600</v>
      </c>
    </row>
    <row r="13" customFormat="false" ht="22" hidden="false" customHeight="true" outlineLevel="0" collapsed="false">
      <c r="B13" s="4" t="s">
        <v>94</v>
      </c>
      <c r="C13" s="9" t="n">
        <v>36000</v>
      </c>
    </row>
    <row r="14" customFormat="false" ht="22" hidden="false" customHeight="true" outlineLevel="0" collapsed="false">
      <c r="B14" s="4" t="s">
        <v>95</v>
      </c>
      <c r="C14" s="9" t="n">
        <v>24000</v>
      </c>
    </row>
    <row r="15" customFormat="false" ht="22" hidden="false" customHeight="true" outlineLevel="0" collapsed="false">
      <c r="B15" s="4" t="s">
        <v>96</v>
      </c>
      <c r="C15" s="9" t="n">
        <v>18000</v>
      </c>
    </row>
    <row r="16" customFormat="false" ht="22" hidden="false" customHeight="true" outlineLevel="0" collapsed="false">
      <c r="B16" s="4" t="s">
        <v>97</v>
      </c>
      <c r="C16" s="9" t="n">
        <v>18000</v>
      </c>
    </row>
    <row r="17" customFormat="false" ht="22" hidden="false" customHeight="true" outlineLevel="0" collapsed="false">
      <c r="B17" s="14" t="s">
        <v>98</v>
      </c>
      <c r="C17" s="10" t="n">
        <f aca="false">SUM(C10:C16)</f>
        <v>264000</v>
      </c>
    </row>
    <row r="18" customFormat="false" ht="22" hidden="false" customHeight="true" outlineLevel="0" collapsed="false">
      <c r="B18" s="14" t="s">
        <v>99</v>
      </c>
      <c r="C18" s="10" t="n">
        <f aca="false">C9-C17</f>
        <v>602400</v>
      </c>
    </row>
    <row r="19" customFormat="false" ht="22" hidden="false" customHeight="true" outlineLevel="0" collapsed="false">
      <c r="B19" s="4" t="s">
        <v>100</v>
      </c>
      <c r="C19" s="9" t="n">
        <v>11520</v>
      </c>
    </row>
    <row r="20" customFormat="false" ht="22" hidden="false" customHeight="true" outlineLevel="0" collapsed="false">
      <c r="B20" s="14" t="s">
        <v>101</v>
      </c>
      <c r="C20" s="10" t="n">
        <f aca="false">C18-C19</f>
        <v>590880</v>
      </c>
    </row>
    <row r="22" customFormat="false" ht="25" hidden="false" customHeight="true" outlineLevel="0" collapsed="false">
      <c r="B22" s="3" t="s">
        <v>102</v>
      </c>
    </row>
    <row r="23" customFormat="false" ht="22" hidden="false" customHeight="true" outlineLevel="0" collapsed="false">
      <c r="B23" s="4" t="s">
        <v>103</v>
      </c>
      <c r="C23" s="9" t="n">
        <v>74000</v>
      </c>
    </row>
    <row r="24" customFormat="false" ht="22" hidden="false" customHeight="true" outlineLevel="0" collapsed="false">
      <c r="B24" s="4" t="s">
        <v>104</v>
      </c>
      <c r="C24" s="9" t="n">
        <v>294000</v>
      </c>
    </row>
    <row r="25" customFormat="false" ht="22" hidden="false" customHeight="true" outlineLevel="0" collapsed="false">
      <c r="B25" s="4" t="s">
        <v>105</v>
      </c>
      <c r="C25" s="9" t="n">
        <v>180000</v>
      </c>
    </row>
    <row r="27" customFormat="false" ht="30" hidden="false" customHeight="true" outlineLevel="0" collapsed="false">
      <c r="B27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107</v>
      </c>
    </row>
    <row r="2" customFormat="false" ht="36" hidden="false" customHeight="true" outlineLevel="0" collapsed="false">
      <c r="B2" s="2" t="s">
        <v>108</v>
      </c>
    </row>
    <row r="3" customFormat="false" ht="25" hidden="false" customHeight="true" outlineLevel="0" collapsed="false">
      <c r="B3" s="3" t="s">
        <v>83</v>
      </c>
      <c r="C3" s="3" t="s">
        <v>84</v>
      </c>
      <c r="D3" s="3" t="s">
        <v>109</v>
      </c>
    </row>
    <row r="4" customFormat="false" ht="36" hidden="false" customHeight="true" outlineLevel="0" collapsed="false">
      <c r="B4" s="4" t="s">
        <v>85</v>
      </c>
      <c r="C4" s="15" t="n">
        <f aca="false">Assumptions!C17</f>
        <v>780000</v>
      </c>
      <c r="D4" s="2" t="s">
        <v>110</v>
      </c>
    </row>
    <row r="5" customFormat="false" ht="36" hidden="false" customHeight="true" outlineLevel="0" collapsed="false">
      <c r="B5" s="4" t="s">
        <v>111</v>
      </c>
      <c r="C5" s="15" t="n">
        <f aca="false">-C4*Assumptions!C18</f>
        <v>-39000</v>
      </c>
      <c r="D5" s="2" t="s">
        <v>112</v>
      </c>
    </row>
    <row r="6" customFormat="false" ht="22" hidden="false" customHeight="true" outlineLevel="0" collapsed="false">
      <c r="B6" s="14" t="s">
        <v>113</v>
      </c>
      <c r="C6" s="10" t="n">
        <f aca="false">C4+C5</f>
        <v>741000</v>
      </c>
    </row>
    <row r="7" customFormat="false" ht="36" hidden="false" customHeight="true" outlineLevel="0" collapsed="false">
      <c r="B7" s="4" t="s">
        <v>89</v>
      </c>
      <c r="C7" s="15" t="n">
        <f aca="false">Assumptions!C19</f>
        <v>180000</v>
      </c>
      <c r="D7" s="2" t="s">
        <v>114</v>
      </c>
    </row>
    <row r="8" customFormat="false" ht="22" hidden="false" customHeight="true" outlineLevel="0" collapsed="false">
      <c r="B8" s="14" t="s">
        <v>115</v>
      </c>
      <c r="C8" s="10" t="n">
        <f aca="false">C6+C7</f>
        <v>921000</v>
      </c>
    </row>
    <row r="9" customFormat="false" ht="36" hidden="false" customHeight="true" outlineLevel="0" collapsed="false">
      <c r="B9" s="4" t="s">
        <v>91</v>
      </c>
      <c r="C9" s="9" t="n">
        <v>120000</v>
      </c>
      <c r="D9" s="2" t="s">
        <v>116</v>
      </c>
    </row>
    <row r="10" customFormat="false" ht="36" hidden="false" customHeight="true" outlineLevel="0" collapsed="false">
      <c r="B10" s="4" t="s">
        <v>92</v>
      </c>
      <c r="C10" s="9" t="n">
        <v>34800</v>
      </c>
      <c r="D10" s="2" t="s">
        <v>117</v>
      </c>
    </row>
    <row r="11" customFormat="false" ht="36" hidden="false" customHeight="true" outlineLevel="0" collapsed="false">
      <c r="B11" s="4" t="s">
        <v>93</v>
      </c>
      <c r="C11" s="9" t="n">
        <v>21600</v>
      </c>
      <c r="D11" s="2" t="s">
        <v>118</v>
      </c>
    </row>
    <row r="12" customFormat="false" ht="36" hidden="false" customHeight="true" outlineLevel="0" collapsed="false">
      <c r="B12" s="4" t="s">
        <v>94</v>
      </c>
      <c r="C12" s="9" t="n">
        <v>36000</v>
      </c>
      <c r="D12" s="2" t="s">
        <v>119</v>
      </c>
    </row>
    <row r="13" customFormat="false" ht="36" hidden="false" customHeight="true" outlineLevel="0" collapsed="false">
      <c r="B13" s="4" t="s">
        <v>95</v>
      </c>
      <c r="C13" s="9" t="n">
        <v>24000</v>
      </c>
      <c r="D13" s="2" t="s">
        <v>118</v>
      </c>
    </row>
    <row r="14" customFormat="false" ht="36" hidden="false" customHeight="true" outlineLevel="0" collapsed="false">
      <c r="B14" s="4" t="s">
        <v>96</v>
      </c>
      <c r="C14" s="9" t="n">
        <v>18000</v>
      </c>
      <c r="D14" s="2" t="s">
        <v>118</v>
      </c>
    </row>
    <row r="15" customFormat="false" ht="36" hidden="false" customHeight="true" outlineLevel="0" collapsed="false">
      <c r="B15" s="14" t="s">
        <v>120</v>
      </c>
      <c r="C15" s="10" t="n">
        <f aca="false">MAX(Assumptions!C21,Assumptions!C20*C8)</f>
        <v>36840</v>
      </c>
      <c r="D15" s="2" t="s">
        <v>121</v>
      </c>
    </row>
    <row r="16" customFormat="false" ht="22" hidden="false" customHeight="true" outlineLevel="0" collapsed="false">
      <c r="B16" s="14" t="s">
        <v>122</v>
      </c>
      <c r="C16" s="10" t="n">
        <f aca="false">SUM(C9:C15)</f>
        <v>291240</v>
      </c>
    </row>
    <row r="17" customFormat="false" ht="22" hidden="false" customHeight="true" outlineLevel="0" collapsed="false">
      <c r="B17" s="14" t="s">
        <v>123</v>
      </c>
      <c r="C17" s="10" t="n">
        <f aca="false">C8-C16</f>
        <v>629760</v>
      </c>
    </row>
    <row r="18" customFormat="false" ht="36" hidden="false" customHeight="true" outlineLevel="0" collapsed="false">
      <c r="B18" s="4" t="s">
        <v>124</v>
      </c>
      <c r="C18" s="15" t="n">
        <f aca="false">Assumptions!C22*Assumptions!C23</f>
        <v>4320</v>
      </c>
      <c r="D18" s="2" t="s">
        <v>125</v>
      </c>
    </row>
    <row r="19" customFormat="false" ht="22" hidden="false" customHeight="true" outlineLevel="0" collapsed="false">
      <c r="B19" s="14" t="s">
        <v>126</v>
      </c>
      <c r="C19" s="10" t="n">
        <f aca="false">C17-C18</f>
        <v>625440</v>
      </c>
    </row>
    <row r="20" customFormat="false" ht="36" hidden="false" customHeight="true" outlineLevel="0" collapsed="false">
      <c r="B20" s="14" t="s">
        <v>127</v>
      </c>
      <c r="C20" s="10" t="n">
        <f aca="false">C17/Assumptions!C6</f>
        <v>10076160</v>
      </c>
      <c r="D20" s="2" t="s">
        <v>128</v>
      </c>
    </row>
    <row r="21" customFormat="false" ht="22" hidden="false" customHeight="true" outlineLevel="0" collapsed="false">
      <c r="B21" s="4" t="s">
        <v>129</v>
      </c>
      <c r="C21" s="16" t="n">
        <f aca="false">C16/C8</f>
        <v>0.316221498371336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130</v>
      </c>
    </row>
    <row r="2" customFormat="false" ht="36" hidden="false" customHeight="true" outlineLevel="0" collapsed="false">
      <c r="B2" s="2" t="s">
        <v>131</v>
      </c>
    </row>
    <row r="3" customFormat="false" ht="25" hidden="false" customHeight="true" outlineLevel="0" collapsed="false">
      <c r="B3" s="3" t="s">
        <v>2</v>
      </c>
      <c r="C3" s="3" t="s">
        <v>3</v>
      </c>
      <c r="D3" s="3" t="s">
        <v>109</v>
      </c>
    </row>
    <row r="4" customFormat="false" ht="36" hidden="false" customHeight="true" outlineLevel="0" collapsed="false">
      <c r="B4" s="14" t="s">
        <v>132</v>
      </c>
      <c r="C4" s="17" t="n">
        <f aca="false">MAX(Assumptions!C10,Assumptions!C11)</f>
        <v>0.0635</v>
      </c>
      <c r="D4" s="2" t="s">
        <v>133</v>
      </c>
    </row>
    <row r="5" customFormat="false" ht="36" hidden="false" customHeight="true" outlineLevel="0" collapsed="false">
      <c r="B5" s="14" t="s">
        <v>134</v>
      </c>
      <c r="C5" s="18" t="n">
        <f aca="false">-PMT(C4/12,Assumptions!C12*12,1)*12</f>
        <v>0.079903715312384</v>
      </c>
      <c r="D5" s="2" t="s">
        <v>135</v>
      </c>
    </row>
    <row r="6" customFormat="false" ht="22" hidden="false" customHeight="true" outlineLevel="0" collapsed="false">
      <c r="B6" s="4" t="s">
        <v>136</v>
      </c>
      <c r="C6" s="15" t="n">
        <f aca="false">Underwriting!C17</f>
        <v>629760</v>
      </c>
    </row>
    <row r="7" customFormat="false" ht="22" hidden="false" customHeight="true" outlineLevel="0" collapsed="false">
      <c r="B7" s="4" t="s">
        <v>137</v>
      </c>
      <c r="C7" s="15" t="n">
        <f aca="false">Underwriting!C19</f>
        <v>625440</v>
      </c>
    </row>
    <row r="8" customFormat="false" ht="36" hidden="false" customHeight="true" outlineLevel="0" collapsed="false">
      <c r="B8" s="14" t="s">
        <v>138</v>
      </c>
      <c r="C8" s="10" t="n">
        <f aca="false">Assumptions!C7*Underwriting!C20</f>
        <v>6297600</v>
      </c>
      <c r="D8" s="2" t="s">
        <v>139</v>
      </c>
    </row>
    <row r="9" customFormat="false" ht="36" hidden="false" customHeight="true" outlineLevel="0" collapsed="false">
      <c r="B9" s="14" t="s">
        <v>140</v>
      </c>
      <c r="C9" s="10" t="n">
        <f aca="false">(C7/Assumptions!C8)/C5</f>
        <v>6261936.6076267</v>
      </c>
      <c r="D9" s="2" t="s">
        <v>141</v>
      </c>
    </row>
    <row r="10" customFormat="false" ht="36" hidden="false" customHeight="true" outlineLevel="0" collapsed="false">
      <c r="B10" s="14" t="s">
        <v>142</v>
      </c>
      <c r="C10" s="10" t="n">
        <f aca="false">C6/Assumptions!C9</f>
        <v>6997333.33333333</v>
      </c>
      <c r="D10" s="2" t="s">
        <v>143</v>
      </c>
    </row>
    <row r="12" customFormat="false" ht="22" hidden="false" customHeight="true" outlineLevel="0" collapsed="false">
      <c r="B12" s="14" t="s">
        <v>144</v>
      </c>
      <c r="C12" s="10" t="n">
        <f aca="false">MIN(C8,C9,C10)</f>
        <v>6261936.6076267</v>
      </c>
    </row>
    <row r="13" customFormat="false" ht="22" hidden="false" customHeight="true" outlineLevel="0" collapsed="false">
      <c r="B13" s="14" t="s">
        <v>145</v>
      </c>
      <c r="C13" s="14" t="str">
        <f aca="false">IF(C12=C9,"DSCR",IF(C12=C8,"LTV","Debt yield"))</f>
        <v>DSCR</v>
      </c>
    </row>
    <row r="14" customFormat="false" ht="22" hidden="false" customHeight="true" outlineLevel="0" collapsed="false">
      <c r="B14" s="14" t="s">
        <v>146</v>
      </c>
      <c r="C14" s="10" t="n">
        <f aca="false">C12*C5</f>
        <v>500352</v>
      </c>
    </row>
    <row r="15" customFormat="false" ht="22" hidden="false" customHeight="true" outlineLevel="0" collapsed="false">
      <c r="B15" s="14" t="s">
        <v>147</v>
      </c>
      <c r="C15" s="19" t="n">
        <f aca="false">C7/C14</f>
        <v>1.25</v>
      </c>
    </row>
    <row r="16" customFormat="false" ht="22" hidden="false" customHeight="true" outlineLevel="0" collapsed="false">
      <c r="B16" s="14" t="s">
        <v>148</v>
      </c>
      <c r="C16" s="20" t="n">
        <f aca="false">C6/C12</f>
        <v>0.100569526563553</v>
      </c>
    </row>
    <row r="17" customFormat="false" ht="22" hidden="false" customHeight="true" outlineLevel="0" collapsed="false">
      <c r="B17" s="4" t="s">
        <v>149</v>
      </c>
      <c r="C17" s="21" t="n">
        <f aca="false">C12/Underwriting!C20</f>
        <v>0.621460616705839</v>
      </c>
    </row>
    <row r="18" customFormat="false" ht="22" hidden="false" customHeight="true" outlineLevel="0" collapsed="false">
      <c r="B18" s="4" t="s">
        <v>150</v>
      </c>
      <c r="C18" s="22" t="n">
        <f aca="false">-PMT(Assumptions!C10/12,Assumptions!C12*12,1)*12</f>
        <v>0.079903715312384</v>
      </c>
    </row>
    <row r="19" customFormat="false" ht="36" hidden="false" customHeight="true" outlineLevel="0" collapsed="false">
      <c r="B19" s="14" t="s">
        <v>151</v>
      </c>
      <c r="C19" s="10" t="n">
        <f aca="false">C12*Assumptions!C10*(MIN(Assumptions!C13,12)/12)+C12*C18*((12-MIN(Assumptions!C13,12))/12)</f>
        <v>500352</v>
      </c>
      <c r="D19" s="2" t="s">
        <v>152</v>
      </c>
    </row>
    <row r="20" customFormat="false" ht="22" hidden="false" customHeight="true" outlineLevel="0" collapsed="false">
      <c r="B20" s="4" t="s">
        <v>153</v>
      </c>
      <c r="C20" s="23" t="n">
        <f aca="false">C7/C19</f>
        <v>1.25</v>
      </c>
    </row>
    <row r="22" customFormat="false" ht="28" hidden="false" customHeight="true" outlineLevel="0" collapsed="false">
      <c r="B22" s="2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</cols>
  <sheetData>
    <row r="1" customFormat="false" ht="27" hidden="false" customHeight="true" outlineLevel="0" collapsed="false">
      <c r="B1" s="1" t="s">
        <v>155</v>
      </c>
    </row>
    <row r="2" customFormat="false" ht="36" hidden="false" customHeight="true" outlineLevel="0" collapsed="false">
      <c r="B2" s="2" t="s">
        <v>156</v>
      </c>
    </row>
    <row r="3" customFormat="false" ht="25" hidden="false" customHeight="true" outlineLevel="0" collapsed="false">
      <c r="B3" s="3" t="s">
        <v>2</v>
      </c>
      <c r="C3" s="3" t="s">
        <v>157</v>
      </c>
    </row>
    <row r="4" customFormat="false" ht="25" hidden="false" customHeight="true" outlineLevel="0" collapsed="false">
      <c r="B4" s="3" t="s">
        <v>158</v>
      </c>
    </row>
    <row r="5" customFormat="false" ht="22" hidden="false" customHeight="true" outlineLevel="0" collapsed="false">
      <c r="B5" s="4" t="s">
        <v>159</v>
      </c>
      <c r="C5" s="15" t="n">
        <f aca="false">'Loan Sizing'!C12</f>
        <v>6261936.6076267</v>
      </c>
    </row>
    <row r="6" customFormat="false" ht="22" hidden="false" customHeight="true" outlineLevel="0" collapsed="false">
      <c r="B6" s="14" t="s">
        <v>160</v>
      </c>
      <c r="C6" s="10" t="n">
        <f aca="false">C5</f>
        <v>6261936.6076267</v>
      </c>
    </row>
    <row r="8" customFormat="false" ht="25" hidden="false" customHeight="true" outlineLevel="0" collapsed="false">
      <c r="B8" s="3" t="s">
        <v>161</v>
      </c>
    </row>
    <row r="9" customFormat="false" ht="22" hidden="false" customHeight="true" outlineLevel="0" collapsed="false">
      <c r="B9" s="4" t="s">
        <v>21</v>
      </c>
      <c r="C9" s="15" t="n">
        <f aca="false">Assumptions!C16</f>
        <v>4200000</v>
      </c>
    </row>
    <row r="10" customFormat="false" ht="22" hidden="false" customHeight="true" outlineLevel="0" collapsed="false">
      <c r="B10" s="4" t="s">
        <v>162</v>
      </c>
      <c r="C10" s="15" t="n">
        <f aca="false">Assumptions!C14*C5</f>
        <v>50095.4928610136</v>
      </c>
    </row>
    <row r="11" customFormat="false" ht="22" hidden="false" customHeight="true" outlineLevel="0" collapsed="false">
      <c r="B11" s="4" t="s">
        <v>20</v>
      </c>
      <c r="C11" s="15" t="n">
        <f aca="false">Assumptions!C15</f>
        <v>52000</v>
      </c>
    </row>
    <row r="12" customFormat="false" ht="22" hidden="false" customHeight="true" outlineLevel="0" collapsed="false">
      <c r="B12" s="14" t="s">
        <v>163</v>
      </c>
      <c r="C12" s="10" t="n">
        <f aca="false">C6-SUM(C9:C11)</f>
        <v>1959841.11476569</v>
      </c>
    </row>
    <row r="13" customFormat="false" ht="22" hidden="false" customHeight="true" outlineLevel="0" collapsed="false">
      <c r="B13" s="14" t="s">
        <v>164</v>
      </c>
      <c r="C13" s="10" t="n">
        <f aca="false">SUM(C9:C12)</f>
        <v>6261936.6076267</v>
      </c>
    </row>
    <row r="15" customFormat="false" ht="36" hidden="false" customHeight="true" outlineLevel="0" collapsed="false">
      <c r="B15" s="2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27" hidden="false" customHeight="true" outlineLevel="0" collapsed="false">
      <c r="B1" s="1" t="s">
        <v>166</v>
      </c>
    </row>
    <row r="2" customFormat="false" ht="30" hidden="false" customHeight="true" outlineLevel="0" collapsed="false">
      <c r="B2" s="2" t="s">
        <v>167</v>
      </c>
    </row>
    <row r="3" customFormat="false" ht="25" hidden="false" customHeight="true" outlineLevel="0" collapsed="false">
      <c r="B3" s="3" t="s">
        <v>83</v>
      </c>
      <c r="C3" s="3" t="s">
        <v>168</v>
      </c>
      <c r="D3" s="3" t="s">
        <v>169</v>
      </c>
      <c r="E3" s="3" t="s">
        <v>170</v>
      </c>
    </row>
    <row r="4" customFormat="false" ht="22" hidden="false" customHeight="true" outlineLevel="0" collapsed="false">
      <c r="B4" s="4" t="s">
        <v>171</v>
      </c>
      <c r="C4" s="15" t="n">
        <f aca="false">Underwriting!C8</f>
        <v>921000</v>
      </c>
      <c r="D4" s="15" t="n">
        <f aca="false">Underwriting!C8*Assumptions!C24</f>
        <v>874950</v>
      </c>
      <c r="E4" s="11" t="n">
        <f aca="false">C4</f>
        <v>921000</v>
      </c>
    </row>
    <row r="5" customFormat="false" ht="22" hidden="false" customHeight="true" outlineLevel="0" collapsed="false">
      <c r="B5" s="4" t="s">
        <v>172</v>
      </c>
      <c r="C5" s="15" t="n">
        <f aca="false">Underwriting!C15</f>
        <v>36840</v>
      </c>
      <c r="D5" s="15" t="n">
        <f aca="false">MAX(Assumptions!C21,Assumptions!C20*D4)</f>
        <v>34998</v>
      </c>
      <c r="E5" s="11" t="n">
        <f aca="false">C5</f>
        <v>36840</v>
      </c>
    </row>
    <row r="6" customFormat="false" ht="22" hidden="false" customHeight="true" outlineLevel="0" collapsed="false">
      <c r="B6" s="4" t="s">
        <v>173</v>
      </c>
      <c r="C6" s="15" t="n">
        <f aca="false">Underwriting!C16-Underwriting!C15</f>
        <v>254400</v>
      </c>
      <c r="D6" s="11" t="n">
        <f aca="false">C6</f>
        <v>254400</v>
      </c>
      <c r="E6" s="11" t="n">
        <f aca="false">C6</f>
        <v>254400</v>
      </c>
    </row>
    <row r="7" customFormat="false" ht="22" hidden="false" customHeight="true" outlineLevel="0" collapsed="false">
      <c r="B7" s="14" t="s">
        <v>174</v>
      </c>
      <c r="C7" s="10" t="n">
        <f aca="false">C5+C6</f>
        <v>291240</v>
      </c>
      <c r="D7" s="10" t="n">
        <f aca="false">D5+D6</f>
        <v>289398</v>
      </c>
      <c r="E7" s="10" t="n">
        <f aca="false">E5+E6</f>
        <v>291240</v>
      </c>
    </row>
    <row r="8" customFormat="false" ht="22" hidden="false" customHeight="true" outlineLevel="0" collapsed="false">
      <c r="B8" s="14" t="s">
        <v>175</v>
      </c>
      <c r="C8" s="10" t="n">
        <f aca="false">C4-C7</f>
        <v>629760</v>
      </c>
      <c r="D8" s="10" t="n">
        <f aca="false">D4-D7</f>
        <v>585552</v>
      </c>
      <c r="E8" s="10" t="n">
        <f aca="false">E4-E7</f>
        <v>629760</v>
      </c>
    </row>
    <row r="9" customFormat="false" ht="22" hidden="false" customHeight="true" outlineLevel="0" collapsed="false">
      <c r="B9" s="4" t="s">
        <v>176</v>
      </c>
      <c r="C9" s="15" t="n">
        <f aca="false">Underwriting!C18</f>
        <v>4320</v>
      </c>
      <c r="D9" s="11" t="n">
        <f aca="false">C9</f>
        <v>4320</v>
      </c>
      <c r="E9" s="11" t="n">
        <f aca="false">C9</f>
        <v>4320</v>
      </c>
    </row>
    <row r="10" customFormat="false" ht="22" hidden="false" customHeight="true" outlineLevel="0" collapsed="false">
      <c r="B10" s="14" t="s">
        <v>177</v>
      </c>
      <c r="C10" s="10" t="n">
        <f aca="false">C8-C9</f>
        <v>625440</v>
      </c>
      <c r="D10" s="10" t="n">
        <f aca="false">D8-D9</f>
        <v>581232</v>
      </c>
      <c r="E10" s="10" t="n">
        <f aca="false">E8-E9</f>
        <v>625440</v>
      </c>
    </row>
    <row r="11" customFormat="false" ht="22" hidden="false" customHeight="true" outlineLevel="0" collapsed="false">
      <c r="B11" s="4" t="s">
        <v>178</v>
      </c>
      <c r="C11" s="24" t="n">
        <f aca="false">Assumptions!C6</f>
        <v>0.0625</v>
      </c>
      <c r="D11" s="24" t="n">
        <f aca="false">Assumptions!C6</f>
        <v>0.0625</v>
      </c>
      <c r="E11" s="24" t="n">
        <f aca="false">Assumptions!C6+Assumptions!C26</f>
        <v>0.0675</v>
      </c>
    </row>
    <row r="12" customFormat="false" ht="22" hidden="false" customHeight="true" outlineLevel="0" collapsed="false">
      <c r="B12" s="14" t="s">
        <v>179</v>
      </c>
      <c r="C12" s="10" t="n">
        <f aca="false">C8/C11</f>
        <v>10076160</v>
      </c>
      <c r="D12" s="10" t="n">
        <f aca="false">D8/D11</f>
        <v>9368832</v>
      </c>
      <c r="E12" s="10" t="n">
        <f aca="false">E8/E11</f>
        <v>9329777.77777778</v>
      </c>
    </row>
    <row r="13" customFormat="false" ht="22" hidden="false" customHeight="true" outlineLevel="0" collapsed="false">
      <c r="B13" s="4" t="s">
        <v>180</v>
      </c>
      <c r="C13" s="24" t="n">
        <f aca="false">'Loan Sizing'!C4</f>
        <v>0.0635</v>
      </c>
      <c r="D13" s="24" t="n">
        <f aca="false">'Loan Sizing'!C4+Assumptions!C25</f>
        <v>0.0735</v>
      </c>
      <c r="E13" s="24" t="n">
        <f aca="false">'Loan Sizing'!C4</f>
        <v>0.0635</v>
      </c>
    </row>
    <row r="14" customFormat="false" ht="22" hidden="false" customHeight="true" outlineLevel="0" collapsed="false">
      <c r="B14" s="4" t="s">
        <v>181</v>
      </c>
      <c r="C14" s="22" t="n">
        <f aca="false">-PMT(C13/12,Assumptions!C12*12,1)*12</f>
        <v>0.079903715312384</v>
      </c>
      <c r="D14" s="22" t="n">
        <f aca="false">-PMT(D13/12,Assumptions!C12*12,1)*12</f>
        <v>0.0875114376536683</v>
      </c>
      <c r="E14" s="22" t="n">
        <f aca="false">-PMT(E13/12,Assumptions!C12*12,1)*12</f>
        <v>0.079903715312384</v>
      </c>
    </row>
    <row r="15" customFormat="false" ht="22" hidden="false" customHeight="true" outlineLevel="0" collapsed="false">
      <c r="B15" s="4" t="s">
        <v>182</v>
      </c>
      <c r="C15" s="15" t="n">
        <f aca="false">Assumptions!C7*C12</f>
        <v>6297600</v>
      </c>
      <c r="D15" s="15" t="n">
        <f aca="false">Assumptions!C7*D12</f>
        <v>5855520</v>
      </c>
      <c r="E15" s="15" t="n">
        <f aca="false">Assumptions!C7*E12</f>
        <v>5831111.11111111</v>
      </c>
    </row>
    <row r="16" customFormat="false" ht="22" hidden="false" customHeight="true" outlineLevel="0" collapsed="false">
      <c r="B16" s="4" t="s">
        <v>183</v>
      </c>
      <c r="C16" s="15" t="n">
        <f aca="false">(C10/Assumptions!C8)/C14</f>
        <v>6261936.6076267</v>
      </c>
      <c r="D16" s="15" t="n">
        <f aca="false">(D10/Assumptions!C8)/D14</f>
        <v>5313426.59276389</v>
      </c>
      <c r="E16" s="15" t="n">
        <f aca="false">(E10/Assumptions!C8)/E14</f>
        <v>6261936.6076267</v>
      </c>
    </row>
    <row r="17" customFormat="false" ht="22" hidden="false" customHeight="true" outlineLevel="0" collapsed="false">
      <c r="B17" s="4" t="s">
        <v>184</v>
      </c>
      <c r="C17" s="15" t="n">
        <f aca="false">C8/Assumptions!C9</f>
        <v>6997333.33333333</v>
      </c>
      <c r="D17" s="15" t="n">
        <f aca="false">D8/Assumptions!C9</f>
        <v>6506133.33333333</v>
      </c>
      <c r="E17" s="15" t="n">
        <f aca="false">E8/Assumptions!C9</f>
        <v>6997333.33333333</v>
      </c>
    </row>
    <row r="18" customFormat="false" ht="22" hidden="false" customHeight="true" outlineLevel="0" collapsed="false">
      <c r="B18" s="14" t="s">
        <v>185</v>
      </c>
      <c r="C18" s="10" t="n">
        <f aca="false">MIN(C15,C16,C17)</f>
        <v>6261936.6076267</v>
      </c>
      <c r="D18" s="10" t="n">
        <f aca="false">MIN(D15,D16,D17)</f>
        <v>5313426.59276389</v>
      </c>
      <c r="E18" s="10" t="n">
        <f aca="false">MIN(E15,E16,E17)</f>
        <v>5831111.11111111</v>
      </c>
    </row>
    <row r="19" customFormat="false" ht="22" hidden="false" customHeight="true" outlineLevel="0" collapsed="false">
      <c r="B19" s="14" t="s">
        <v>186</v>
      </c>
      <c r="C19" s="14" t="str">
        <f aca="false">IF(C18=C16,"DSCR",IF(C18=C15,"LTV","Debt yield"))</f>
        <v>DSCR</v>
      </c>
      <c r="D19" s="14" t="str">
        <f aca="false">IF(D18=D16,"DSCR",IF(D18=D15,"LTV","Debt yield"))</f>
        <v>DSCR</v>
      </c>
      <c r="E19" s="14" t="str">
        <f aca="false">IF(E18=E16,"DSCR",IF(E18=E15,"LTV","Debt yield"))</f>
        <v>LTV</v>
      </c>
    </row>
    <row r="20" customFormat="false" ht="22" hidden="false" customHeight="true" outlineLevel="0" collapsed="false">
      <c r="B20" s="14" t="s">
        <v>187</v>
      </c>
      <c r="D20" s="10" t="n">
        <f aca="false">D18-C18</f>
        <v>-948510.014862816</v>
      </c>
      <c r="E20" s="10" t="n">
        <f aca="false">E18-C18</f>
        <v>-430825.496515594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188</v>
      </c>
    </row>
    <row r="3" customFormat="false" ht="25" hidden="false" customHeight="true" outlineLevel="0" collapsed="false">
      <c r="B3" s="3" t="s">
        <v>189</v>
      </c>
      <c r="C3" s="3" t="s">
        <v>190</v>
      </c>
      <c r="D3" s="3" t="s">
        <v>191</v>
      </c>
    </row>
    <row r="4" customFormat="false" ht="36" hidden="false" customHeight="true" outlineLevel="0" collapsed="false">
      <c r="B4" s="4" t="s">
        <v>192</v>
      </c>
      <c r="C4" s="4" t="s">
        <v>193</v>
      </c>
      <c r="D4" s="2" t="s">
        <v>194</v>
      </c>
    </row>
    <row r="5" customFormat="false" ht="36" hidden="false" customHeight="true" outlineLevel="0" collapsed="false">
      <c r="B5" s="4" t="s">
        <v>195</v>
      </c>
      <c r="C5" s="4" t="s">
        <v>196</v>
      </c>
      <c r="D5" s="2" t="s">
        <v>197</v>
      </c>
    </row>
    <row r="6" customFormat="false" ht="36" hidden="false" customHeight="true" outlineLevel="0" collapsed="false">
      <c r="B6" s="4" t="s">
        <v>198</v>
      </c>
      <c r="C6" s="4" t="s">
        <v>110</v>
      </c>
      <c r="D6" s="2" t="s">
        <v>199</v>
      </c>
    </row>
    <row r="7" customFormat="false" ht="36" hidden="false" customHeight="true" outlineLevel="0" collapsed="false">
      <c r="B7" s="4" t="s">
        <v>200</v>
      </c>
      <c r="C7" s="4" t="s">
        <v>201</v>
      </c>
      <c r="D7" s="2" t="s">
        <v>202</v>
      </c>
    </row>
    <row r="8" customFormat="false" ht="36" hidden="false" customHeight="true" outlineLevel="0" collapsed="false">
      <c r="B8" s="4" t="s">
        <v>203</v>
      </c>
      <c r="C8" s="4" t="s">
        <v>204</v>
      </c>
      <c r="D8" s="2" t="s">
        <v>205</v>
      </c>
    </row>
    <row r="10" customFormat="false" ht="25" hidden="false" customHeight="true" outlineLevel="0" collapsed="false">
      <c r="B10" s="3" t="s">
        <v>206</v>
      </c>
      <c r="C10" s="3" t="s">
        <v>190</v>
      </c>
    </row>
    <row r="11" customFormat="false" ht="22" hidden="false" customHeight="true" outlineLevel="0" collapsed="false">
      <c r="B11" s="4" t="s">
        <v>115</v>
      </c>
      <c r="C11" s="4" t="s">
        <v>207</v>
      </c>
    </row>
    <row r="12" customFormat="false" ht="22" hidden="false" customHeight="true" outlineLevel="0" collapsed="false">
      <c r="B12" s="4" t="s">
        <v>120</v>
      </c>
      <c r="C12" s="4" t="s">
        <v>208</v>
      </c>
    </row>
    <row r="13" customFormat="false" ht="22" hidden="false" customHeight="true" outlineLevel="0" collapsed="false">
      <c r="B13" s="4" t="s">
        <v>209</v>
      </c>
      <c r="C13" s="4" t="s">
        <v>210</v>
      </c>
    </row>
    <row r="14" customFormat="false" ht="22" hidden="false" customHeight="true" outlineLevel="0" collapsed="false">
      <c r="B14" s="4" t="s">
        <v>123</v>
      </c>
      <c r="C14" s="4" t="s">
        <v>211</v>
      </c>
    </row>
    <row r="15" customFormat="false" ht="22" hidden="false" customHeight="true" outlineLevel="0" collapsed="false">
      <c r="B15" s="4" t="s">
        <v>212</v>
      </c>
      <c r="C15" s="4" t="s">
        <v>213</v>
      </c>
    </row>
    <row r="16" customFormat="false" ht="22" hidden="false" customHeight="true" outlineLevel="0" collapsed="false">
      <c r="B16" s="4" t="s">
        <v>127</v>
      </c>
      <c r="C16" s="4" t="s">
        <v>214</v>
      </c>
    </row>
    <row r="17" customFormat="false" ht="22" hidden="false" customHeight="true" outlineLevel="0" collapsed="false">
      <c r="B17" s="4" t="s">
        <v>134</v>
      </c>
      <c r="C17" s="4" t="s">
        <v>215</v>
      </c>
    </row>
    <row r="18" customFormat="false" ht="22" hidden="false" customHeight="true" outlineLevel="0" collapsed="false">
      <c r="B18" s="4" t="s">
        <v>216</v>
      </c>
      <c r="C18" s="4" t="s">
        <v>217</v>
      </c>
    </row>
    <row r="19" customFormat="false" ht="22" hidden="false" customHeight="true" outlineLevel="0" collapsed="false">
      <c r="B19" s="4" t="s">
        <v>218</v>
      </c>
      <c r="C19" s="4" t="s">
        <v>219</v>
      </c>
    </row>
    <row r="20" customFormat="false" ht="22" hidden="false" customHeight="true" outlineLevel="0" collapsed="false">
      <c r="B20" s="4" t="s">
        <v>220</v>
      </c>
      <c r="C20" s="4" t="s">
        <v>221</v>
      </c>
    </row>
    <row r="21" customFormat="false" ht="22" hidden="false" customHeight="true" outlineLevel="0" collapsed="false">
      <c r="B21" s="4" t="s">
        <v>151</v>
      </c>
      <c r="C21" s="4" t="s">
        <v>222</v>
      </c>
    </row>
    <row r="22" customFormat="false" ht="22" hidden="false" customHeight="true" outlineLevel="0" collapsed="false">
      <c r="B22" s="4" t="s">
        <v>223</v>
      </c>
      <c r="C22" s="4" t="s">
        <v>224</v>
      </c>
    </row>
    <row r="23" customFormat="false" ht="22" hidden="false" customHeight="true" outlineLevel="0" collapsed="false">
      <c r="B23" s="4" t="s">
        <v>225</v>
      </c>
      <c r="C23" s="4" t="s">
        <v>226</v>
      </c>
    </row>
    <row r="24" customFormat="false" ht="22" hidden="false" customHeight="true" outlineLevel="0" collapsed="false">
      <c r="B24" s="4" t="s">
        <v>227</v>
      </c>
      <c r="C24" s="4" t="s">
        <v>228</v>
      </c>
    </row>
    <row r="25" customFormat="false" ht="22" hidden="false" customHeight="true" outlineLevel="0" collapsed="false">
      <c r="B25" s="4" t="s">
        <v>229</v>
      </c>
      <c r="C25" s="4" t="s">
        <v>230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