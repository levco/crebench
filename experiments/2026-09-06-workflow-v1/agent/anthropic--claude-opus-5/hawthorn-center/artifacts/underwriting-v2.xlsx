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7c36551f7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57ac8c30c8f04281"/>
    <x:sheet xmlns:r="http://schemas.openxmlformats.org/officeDocument/2006/relationships" name="Rent Roll" sheetId="2" r:id="R9ffa93ac5cb54288"/>
    <x:sheet xmlns:r="http://schemas.openxmlformats.org/officeDocument/2006/relationships" name="Historical T12" sheetId="3" r:id="R65f3283ff832400a"/>
    <x:sheet xmlns:r="http://schemas.openxmlformats.org/officeDocument/2006/relationships" name="Underwriting" sheetId="4" r:id="R7b3cbb21c1c648a3"/>
    <x:sheet xmlns:r="http://schemas.openxmlformats.org/officeDocument/2006/relationships" name="Loan Sizing" sheetId="5" r:id="R53377b12ec91477c"/>
    <x:sheet xmlns:r="http://schemas.openxmlformats.org/officeDocument/2006/relationships" name="Sources and Uses" sheetId="6" r:id="R628a289fd1954c43"/>
    <x:sheet xmlns:r="http://schemas.openxmlformats.org/officeDocument/2006/relationships" name="Sensitivity" sheetId="7" r:id="R9f7780c1b0124a87"/>
    <x:sheet xmlns:r="http://schemas.openxmlformats.org/officeDocument/2006/relationships" name="Input-Output Map" sheetId="8" r:id="R9a8b5af4c52d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%"/>
    <x:numFmt numFmtId="201" formatCode="0.00%"/>
    <x:numFmt numFmtId="202" formatCode="0.00"/>
    <x:numFmt numFmtId="203" formatCode="0"/>
    <x:numFmt numFmtId="204" formatCode="#,##0"/>
    <x:numFmt numFmtId="205" formatCode="0.0%"/>
    <x:numFmt numFmtId="206" formatCode="0.00000000"/>
    <x:numFmt numFmtId="207" formatCode="0.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6" fillId="0" borderId="0" xfId="0" applyNumberFormat="1" applyFont="1" applyFill="1" applyBorder="1"/>
    <x:xf numFmtId="204" fontId="6" fillId="0" borderId="0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4" fontId="1" fillId="0" borderId="0" xfId="0" applyNumberFormat="1" applyFont="1" applyFill="1" applyBorder="1"/>
    <x:xf numFmtId="203" fontId="1" fillId="0" borderId="0" xfId="0" applyNumberFormat="1" applyFont="1" applyFill="1" applyBorder="1"/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202" fontId="1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5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6" fontId="6" fillId="0" borderId="0" xfId="0" applyNumberFormat="1" applyFont="1" applyFill="1" applyBorder="1"/>
    <x:xf numFmtId="206" fontId="7" fillId="0" borderId="0" xfId="0" applyNumberFormat="1" applyFont="1" applyFill="1" applyBorder="1"/>
    <x:xf numFmtId="206" fontId="7" fillId="0" borderId="1" xfId="0" applyNumberFormat="1" applyFont="1" applyFill="1" applyBorder="1"/>
    <x:xf numFmtId="207" fontId="1" fillId="0" borderId="0" xfId="0" applyNumberFormat="1" applyFont="1" applyFill="1" applyBorder="1"/>
    <x:xf numFmtId="207" fontId="7" fillId="0" borderId="0" xfId="0" applyNumberFormat="1" applyFont="1" applyFill="1" applyBorder="1"/>
    <x:xf numFmtId="207" fontId="7" fillId="0" borderId="1" xfId="0" applyNumberFormat="1" applyFont="1" applyFill="1" applyBorder="1"/>
    <x:xf numFmtId="201" fontId="1" fillId="0" borderId="0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f26d2690843a1" /><Relationship Type="http://schemas.openxmlformats.org/officeDocument/2006/relationships/theme" Target="/xl/theme/theme1.xml" Id="R8d15393c1fc644ff" /><Relationship Type="http://schemas.openxmlformats.org/officeDocument/2006/relationships/sharedStrings" Target="/xl/sharedStrings.xml" Id="R54654b9ec72c4131" /><Relationship Type="http://schemas.openxmlformats.org/officeDocument/2006/relationships/worksheet" Target="/xl/worksheets/sheet1.xml" Id="R57ac8c30c8f04281" /><Relationship Type="http://schemas.openxmlformats.org/officeDocument/2006/relationships/worksheet" Target="/xl/worksheets/sheet2.xml" Id="R9ffa93ac5cb54288" /><Relationship Type="http://schemas.openxmlformats.org/officeDocument/2006/relationships/worksheet" Target="/xl/worksheets/sheet3.xml" Id="R65f3283ff832400a" /><Relationship Type="http://schemas.openxmlformats.org/officeDocument/2006/relationships/worksheet" Target="/xl/worksheets/sheet4.xml" Id="R7b3cbb21c1c648a3" /><Relationship Type="http://schemas.openxmlformats.org/officeDocument/2006/relationships/worksheet" Target="/xl/worksheets/sheet5.xml" Id="R53377b12ec91477c" /><Relationship Type="http://schemas.openxmlformats.org/officeDocument/2006/relationships/worksheet" Target="/xl/worksheets/sheet6.xml" Id="R628a289fd1954c43" /><Relationship Type="http://schemas.openxmlformats.org/officeDocument/2006/relationships/worksheet" Target="/xl/worksheets/sheet7.xml" Id="R9f7780c1b0124a87" /><Relationship Type="http://schemas.openxmlformats.org/officeDocument/2006/relationships/worksheet" Target="/xl/worksheets/sheet8.xml" Id="R9a8b5af4c52d43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6" hidden="0" customWidth="1"/>
    <x:col min="3" max="3" width="16" hidden="0" customWidth="1"/>
    <x:col min="4" max="4" width="46" hidden="0" customWidth="1"/>
  </x:cols>
  <x:sheetData>
    <x:row r="1" ht="27" customHeight="1">
      <x:c r="B1" s="2" t="str">
        <x:v>Hawthorn Center | Editable underwriting assumptions</x:v>
      </x:c>
    </x:row>
    <x:row r="2" ht="36" customHeight="1">
      <x:c r="B2" s="4" t="str">
        <x:v>As of 2026-08-31 | fictional packet | USD</x:v>
      </x:c>
    </x:row>
    <x:row r="4" ht="25" customHeight="1">
      <x:c r="B4" s="6" t="str">
        <x:v>Item</x:v>
      </x:c>
      <x:c r="C4" s="6" t="str">
        <x:v>Value</x:v>
      </x:c>
      <x:c r="D4" s="6" t="str">
        <x:v>Source</x:v>
      </x:c>
    </x:row>
    <x:row r="6" ht="36" customHeight="1">
      <x:c r="B6" s="1" t="str">
        <x:v>Capitalization rate (EDITABLE)</x:v>
      </x:c>
      <x:c r="C6" s="8" t="n">
        <x:v>0.0625</x:v>
      </x:c>
      <x:c r="D6" s="4" t="str">
        <x:v>Lender-Terms.pdf p.1 Valuation</x:v>
      </x:c>
    </x:row>
    <x:row r="7" ht="36" customHeight="1">
      <x:c r="B7" s="1" t="str">
        <x:v>Maximum LTV</x:v>
      </x:c>
      <x:c r="C7" s="9" t="n">
        <x:v>0.625</x:v>
      </x:c>
      <x:c r="D7" s="4" t="str">
        <x:v>Lender-Terms.pdf p.1 LTV</x:v>
      </x:c>
    </x:row>
    <x:row r="8" ht="36" customHeight="1">
      <x:c r="B8" s="1" t="str">
        <x:v>Minimum DSCR (NCF after reserves)</x:v>
      </x:c>
      <x:c r="C8" s="10" t="n">
        <x:v>1.25</x:v>
      </x:c>
      <x:c r="D8" s="4" t="str">
        <x:v>Lender-Terms.pdf p.1 DSCR</x:v>
      </x:c>
    </x:row>
    <x:row r="9" ht="36" customHeight="1">
      <x:c r="B9" s="1" t="str">
        <x:v>Minimum debt yield (NOI before reserves)</x:v>
      </x:c>
      <x:c r="C9" s="8" t="n">
        <x:v>0.09</x:v>
      </x:c>
      <x:c r="D9" s="4" t="str">
        <x:v>Lender-Terms.pdf p.1 Debt yield</x:v>
      </x:c>
    </x:row>
    <x:row r="10" ht="36" customHeight="1">
      <x:c r="B10" s="1" t="str">
        <x:v>Contract rate (fixed)</x:v>
      </x:c>
      <x:c r="C10" s="8" t="n">
        <x:v>0.0635</x:v>
      </x:c>
      <x:c r="D10" s="4" t="str">
        <x:v>Lender-Terms.pdf p.1 Contract rate</x:v>
      </x:c>
    </x:row>
    <x:row r="11" ht="36" customHeight="1">
      <x:c r="B11" s="1" t="str">
        <x:v>Sizing rate input / floor (EDITABLE)</x:v>
      </x:c>
      <x:c r="C11" s="8" t="n">
        <x:v>0.0635</x:v>
      </x:c>
      <x:c r="D11" s="4" t="str">
        <x:v>Sizing = MAX(contract, floor)</x:v>
      </x:c>
    </x:row>
    <x:row r="12" ht="22" customHeight="1">
      <x:c r="B12" s="1" t="str">
        <x:v>Amortization (years)</x:v>
      </x:c>
      <x:c r="C12" s="11" t="n">
        <x:v>25</x:v>
      </x:c>
    </x:row>
    <x:row r="13" ht="22" customHeight="1">
      <x:c r="B13" s="1" t="str">
        <x:v>Interest-only period (months)</x:v>
      </x:c>
      <x:c r="C13" s="11" t="n">
        <x:v>0</x:v>
      </x:c>
    </x:row>
    <x:row r="14" ht="22" customHeight="1">
      <x:c r="B14" s="1" t="str">
        <x:v>Origination fee (% of principal)</x:v>
      </x:c>
      <x:c r="C14" s="9" t="n">
        <x:v>0.008</x:v>
      </x:c>
    </x:row>
    <x:row r="15" ht="22" customHeight="1">
      <x:c r="B15" s="1" t="str">
        <x:v>Fixed closing costs</x:v>
      </x:c>
      <x:c r="C15" s="12" t="n">
        <x:v>52000</x:v>
      </x:c>
    </x:row>
    <x:row r="16" ht="36" customHeight="1">
      <x:c r="B16" s="1" t="str">
        <x:v>Existing debt payoff</x:v>
      </x:c>
      <x:c r="C16" s="12" t="n">
        <x:v>4200000</x:v>
      </x:c>
      <x:c r="D16" s="4" t="str">
        <x:v>Property-and-Plan.pdf p.1</x:v>
      </x:c>
    </x:row>
    <x:row r="17" ht="36" customHeight="1">
      <x:c r="B17" s="1" t="str">
        <x:v>Gross potential base rent (EDITABLE)</x:v>
      </x:c>
      <x:c r="C17" s="12" t="n">
        <x:v>780000</x:v>
      </x:c>
      <x:c r="D17" s="4" t="str">
        <x:v>Property-and-Plan.pdf p.2</x:v>
      </x:c>
    </x:row>
    <x:row r="18" ht="22" customHeight="1">
      <x:c r="B18" s="1" t="str">
        <x:v>Combined revenue loss %</x:v>
      </x:c>
      <x:c r="C18" s="9" t="n">
        <x:v>0.05</x:v>
      </x:c>
    </x:row>
    <x:row r="19" ht="22" customHeight="1">
      <x:c r="B19" s="1" t="str">
        <x:v>Other income / recoveries (EDITABLE)</x:v>
      </x:c>
      <x:c r="C19" s="12" t="n">
        <x:v>180000</x:v>
      </x:c>
    </x:row>
    <x:row r="20" ht="22" customHeight="1">
      <x:c r="B20" s="1" t="str">
        <x:v>Management fee % of EGI</x:v>
      </x:c>
      <x:c r="C20" s="9" t="n">
        <x:v>0.04</x:v>
      </x:c>
    </x:row>
    <x:row r="21" ht="22" customHeight="1">
      <x:c r="B21" s="1" t="str">
        <x:v>T12 actual management fee (floor)</x:v>
      </x:c>
      <x:c r="C21" s="12" t="n">
        <x:v>18000</x:v>
      </x:c>
    </x:row>
    <x:row r="22" ht="22" customHeight="1">
      <x:c r="B22" s="1" t="str">
        <x:v>Replacement reserves per SF</x:v>
      </x:c>
      <x:c r="C22" s="10" t="n">
        <x:v>0.15</x:v>
      </x:c>
    </x:row>
    <x:row r="23" ht="22" customHeight="1">
      <x:c r="B23" s="1" t="str">
        <x:v>Total rentable SF (rent roll)</x:v>
      </x:c>
      <x:c r="C23" s="16" t="n">
        <x:f>'Rent Roll'!C16</x:f>
        <x:v>28800</x:v>
      </x:c>
    </x:row>
    <x:row r="24" ht="22" customHeight="1">
      <x:c r="B24" s="1" t="str">
        <x:v>EGI stress factor</x:v>
      </x:c>
      <x:c r="C24" s="9" t="n">
        <x:v>0.95</x:v>
      </x:c>
    </x:row>
    <x:row r="25" ht="22" customHeight="1">
      <x:c r="B25" s="1" t="str">
        <x:v>Sizing rate shock (downside)</x:v>
      </x:c>
      <x:c r="C25" s="8" t="n">
        <x:v>0.01</x:v>
      </x:c>
    </x:row>
    <x:row r="26" ht="22" customHeight="1">
      <x:c r="B26" s="1" t="str">
        <x:v>Cap rate shock (separate case)</x:v>
      </x:c>
      <x:c r="C26" s="8" t="n">
        <x:v>0.005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11" hidden="0" customWidth="1"/>
    <x:col min="4" max="4" width="11" hidden="0" customWidth="1"/>
    <x:col min="5" max="5" width="15" hidden="0" customWidth="1"/>
    <x:col min="6" max="6" width="14" hidden="0" customWidth="1"/>
    <x:col min="7" max="7" width="13" hidden="0" customWidth="1"/>
  </x:cols>
  <x:sheetData>
    <x:row r="1" ht="27" customHeight="1">
      <x:c r="A1" s="2" t="str">
        <x:v>Contractual rent roll as of 2026-08-31</x:v>
      </x:c>
    </x:row>
    <x:row r="2" ht="36" customHeight="1">
      <x:c r="A2" s="4" t="str">
        <x:v>Source: Rent-Roll.xlsx rows 7-16; premises 101 reconciled to Lease-File.pdf p.1</x:v>
      </x:c>
    </x:row>
    <x:row r="3" ht="25" customHeight="1">
      <x:c r="A3" s="6" t="str">
        <x:v>Unit</x:v>
      </x:c>
      <x:c r="B3" s="6" t="str">
        <x:v>Tenant</x:v>
      </x:c>
      <x:c r="C3" s="6" t="str">
        <x:v>Area SF</x:v>
      </x:c>
      <x:c r="D3" s="6" t="str">
        <x:v>Status</x:v>
      </x:c>
      <x:c r="E3" s="6" t="str">
        <x:v>Monthly rent</x:v>
      </x:c>
      <x:c r="F3" s="6" t="str">
        <x:v>Market rent</x:v>
      </x:c>
      <x:c r="G3" s="6" t="str">
        <x:v>Expiry</x:v>
      </x:c>
    </x:row>
    <x:row r="4" ht="22" customHeight="1">
      <x:c r="A4" s="1" t="str">
        <x:v>101</x:v>
      </x:c>
      <x:c r="B4" s="1" t="str">
        <x:v>Tenant A LLC</x:v>
      </x:c>
      <x:c r="C4" s="17" t="n">
        <x:v>1400</x:v>
      </x:c>
      <x:c r="D4" s="1" t="str">
        <x:v>Occupied</x:v>
      </x:c>
      <x:c r="E4" s="17" t="n">
        <x:v>3000</x:v>
      </x:c>
      <x:c r="F4" s="17" t="n">
        <x:v>3000</x:v>
      </x:c>
      <x:c r="G4" s="1" t="str">
        <x:v>2029-08-31</x:v>
      </x:c>
    </x:row>
    <x:row r="5" ht="22" customHeight="1">
      <x:c r="A5" s="1" t="str">
        <x:v>102</x:v>
      </x:c>
      <x:c r="B5" s="1" t="str">
        <x:v>Tenant B LLC</x:v>
      </x:c>
      <x:c r="C5" s="17" t="n">
        <x:v>1800</x:v>
      </x:c>
      <x:c r="D5" s="1" t="str">
        <x:v>Occupied</x:v>
      </x:c>
      <x:c r="E5" s="17" t="n">
        <x:v>4000</x:v>
      </x:c>
      <x:c r="F5" s="17" t="n">
        <x:v>4000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7" t="n">
        <x:v>2200</x:v>
      </x:c>
      <x:c r="D6" s="1" t="str">
        <x:v>Occupied</x:v>
      </x:c>
      <x:c r="E6" s="17" t="n">
        <x:v>4900</x:v>
      </x:c>
      <x:c r="F6" s="17" t="n">
        <x:v>4900</x:v>
      </x:c>
      <x:c r="G6" s="1" t="str">
        <x:v>2029-08-31</x:v>
      </x:c>
    </x:row>
    <x:row r="7" ht="22" customHeight="1">
      <x:c r="A7" s="1" t="str">
        <x:v>104</x:v>
      </x:c>
      <x:c r="B7" s="1" t="str">
        <x:v>Tenant D LLC</x:v>
      </x:c>
      <x:c r="C7" s="17" t="n">
        <x:v>2500</x:v>
      </x:c>
      <x:c r="D7" s="1" t="str">
        <x:v>Occupied</x:v>
      </x:c>
      <x:c r="E7" s="17" t="n">
        <x:v>5600</x:v>
      </x:c>
      <x:c r="F7" s="17" t="n">
        <x:v>5600</x:v>
      </x:c>
      <x:c r="G7" s="1" t="str">
        <x:v>2030-08-31</x:v>
      </x:c>
    </x:row>
    <x:row r="8" ht="22" customHeight="1">
      <x:c r="A8" s="1" t="str">
        <x:v>105</x:v>
      </x:c>
      <x:c r="B8" s="1" t="str">
        <x:v>Tenant E LLC</x:v>
      </x:c>
      <x:c r="C8" s="17" t="n">
        <x:v>3000</x:v>
      </x:c>
      <x:c r="D8" s="1" t="str">
        <x:v>Occupied</x:v>
      </x:c>
      <x:c r="E8" s="17" t="n">
        <x:v>6500</x:v>
      </x:c>
      <x:c r="F8" s="17" t="n">
        <x:v>6500</x:v>
      </x:c>
      <x:c r="G8" s="1" t="str">
        <x:v>2031-08-31</x:v>
      </x:c>
    </x:row>
    <x:row r="9" ht="22" customHeight="1">
      <x:c r="A9" s="1" t="str">
        <x:v>106</x:v>
      </x:c>
      <x:c r="B9" s="1" t="str">
        <x:v>Tenant F LLC</x:v>
      </x:c>
      <x:c r="C9" s="17" t="n">
        <x:v>3300</x:v>
      </x:c>
      <x:c r="D9" s="1" t="str">
        <x:v>Occupied</x:v>
      </x:c>
      <x:c r="E9" s="17" t="n">
        <x:v>7400</x:v>
      </x:c>
      <x:c r="F9" s="17" t="n">
        <x:v>7400</x:v>
      </x:c>
      <x:c r="G9" s="1" t="str">
        <x:v>2027-08-31</x:v>
      </x:c>
    </x:row>
    <x:row r="10" ht="22" customHeight="1">
      <x:c r="A10" s="1" t="str">
        <x:v>107</x:v>
      </x:c>
      <x:c r="B10" s="1" t="str">
        <x:v>Tenant G LLC</x:v>
      </x:c>
      <x:c r="C10" s="17" t="n">
        <x:v>3800</x:v>
      </x:c>
      <x:c r="D10" s="1" t="str">
        <x:v>Occupied</x:v>
      </x:c>
      <x:c r="E10" s="17" t="n">
        <x:v>8600</x:v>
      </x:c>
      <x:c r="F10" s="17" t="n">
        <x:v>8600</x:v>
      </x:c>
      <x:c r="G10" s="1" t="str">
        <x:v>2028-08-31</x:v>
      </x:c>
    </x:row>
    <x:row r="11" ht="22" customHeight="1">
      <x:c r="A11" s="1" t="str">
        <x:v>108</x:v>
      </x:c>
      <x:c r="B11" s="1" t="str">
        <x:v>Tenant H LLC</x:v>
      </x:c>
      <x:c r="C11" s="17" t="n">
        <x:v>4200</x:v>
      </x:c>
      <x:c r="D11" s="1" t="str">
        <x:v>Occupied</x:v>
      </x:c>
      <x:c r="E11" s="17" t="n">
        <x:v>9200</x:v>
      </x:c>
      <x:c r="F11" s="17" t="n">
        <x:v>9200</x:v>
      </x:c>
      <x:c r="G11" s="1" t="str">
        <x:v>2029-08-31</x:v>
      </x:c>
    </x:row>
    <x:row r="12" ht="22" customHeight="1">
      <x:c r="A12" s="1" t="str">
        <x:v>109</x:v>
      </x:c>
      <x:c r="B12" s="1" t="str">
        <x:v>Tenant I LLC</x:v>
      </x:c>
      <x:c r="C12" s="17" t="n">
        <x:v>5000</x:v>
      </x:c>
      <x:c r="D12" s="1" t="str">
        <x:v>Occupied</x:v>
      </x:c>
      <x:c r="E12" s="17" t="n">
        <x:v>10800</x:v>
      </x:c>
      <x:c r="F12" s="17" t="n">
        <x:v>10800</x:v>
      </x:c>
      <x:c r="G12" s="1" t="str">
        <x:v>2030-08-31</x:v>
      </x:c>
    </x:row>
    <x:row r="13" ht="22" customHeight="1">
      <x:c r="A13" s="1" t="str">
        <x:v>110</x:v>
      </x:c>
      <x:c r="B13" s="1" t="str">
        <x:v>Vacant</x:v>
      </x:c>
      <x:c r="C13" s="17" t="n">
        <x:v>1600</x:v>
      </x:c>
      <x:c r="D13" s="1" t="str">
        <x:v>Vacant</x:v>
      </x:c>
      <x:c r="E13" s="17" t="n">
        <x:v>0</x:v>
      </x:c>
      <x:c r="F13" s="17" t="n">
        <x:v>3400</x:v>
      </x:c>
      <x:c r="G13" s="1" t="str">
        <x:v>n/a</x:v>
      </x:c>
    </x:row>
    <x:row r="15" ht="25" customHeight="1">
      <x:c r="A15" s="6" t="str">
        <x:v>Metric</x:v>
      </x:c>
      <x:c r="C15" s="6" t="str">
        <x:v>Value</x:v>
      </x:c>
    </x:row>
    <x:row r="16" ht="22" customHeight="1">
      <x:c r="A16" s="1" t="str">
        <x:v>total_area_sf</x:v>
      </x:c>
      <x:c r="C16" s="16" t="n">
        <x:f>SUM(C4:C13)</x:f>
        <x:v>28800</x:v>
      </x:c>
    </x:row>
    <x:row r="17" ht="22" customHeight="1">
      <x:c r="A17" s="1" t="str">
        <x:v>rent_roll_monthly_base</x:v>
      </x:c>
      <x:c r="C17" s="16" t="n">
        <x:f>SUM(E4:E13)</x:f>
        <x:v>60000</x:v>
      </x:c>
    </x:row>
    <x:row r="18" ht="22" customHeight="1">
      <x:c r="A18" s="1" t="str">
        <x:v>space_count</x:v>
      </x:c>
      <x:c r="C18" s="20" t="n">
        <x:f>COUNTA(A4:A13)</x:f>
        <x:v>10</x:v>
      </x:c>
    </x:row>
    <x:row r="19" ht="22" customHeight="1">
      <x:c r="A19" s="1" t="str">
        <x:v>occupied_count</x:v>
      </x:c>
      <x:c r="C19" s="20" t="n">
        <x:f>COUNTIF(D4:D13,"Occupied")</x:f>
        <x:v>9</x:v>
      </x:c>
    </x:row>
    <x:row r="20" ht="22" customHeight="1">
      <x:c r="A20" s="1" t="str">
        <x:v>occupied_area_sf</x:v>
      </x:c>
      <x:c r="C20" s="16" t="n">
        <x:f>SUMIF(D4:D13,"Occupied",C4:C13)</x:f>
        <x:v>27200</x:v>
      </x:c>
    </x:row>
    <x:row r="21" ht="22" customHeight="1">
      <x:c r="A21" s="1" t="str">
        <x:v>occupancy_count_pct</x:v>
      </x:c>
      <x:c r="C21" s="23" t="n">
        <x:f>C19/C18*100</x:f>
        <x:v>90</x:v>
      </x:c>
    </x:row>
    <x:row r="22" ht="22" customHeight="1">
      <x:c r="A22" s="1" t="str">
        <x:v>occupancy_area_pct</x:v>
      </x:c>
      <x:c r="C22" s="23" t="n">
        <x:f>C20/C16*100</x:f>
        <x:v>94.44444444444444</x:v>
      </x:c>
    </x:row>
    <x:row r="23" ht="22" customHeight="1">
      <x:c r="A23" s="1" t="str">
        <x:v>effective_monthly_base</x:v>
      </x:c>
      <x:c r="C23" s="16" t="n">
        <x:f>C17</x:f>
        <x:v>60000</x:v>
      </x:c>
    </x:row>
    <x:row r="24" ht="22" customHeight="1">
      <x:c r="A24" s="1" t="str">
        <x:v>Annualized contractual rent (point in time)</x:v>
      </x:c>
      <x:c r="C24" s="16" t="n">
        <x:f>C23*12</x:f>
        <x:v>720000</x:v>
      </x:c>
    </x:row>
    <x:row r="26" ht="34" customHeight="1">
      <x:c r="A26" s="4" t="str">
        <x:v>Premises 101 executed lease: $3,000/month, expiry 2029-08-31, deposit $6,000; no amendment or renewal exercise notice supplied, so effective base equals printed base.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5" hidden="0" customWidth="1"/>
    <x:col min="4" max="4" width="30" hidden="0" customWidth="1"/>
  </x:cols>
  <x:sheetData>
    <x:row r="1" ht="27" customHeight="1">
      <x:c r="B1" s="2" t="str">
        <x:v>Historical T12 | September 2025 - August 2026 (actual)</x:v>
      </x:c>
    </x:row>
    <x:row r="2" ht="36" customHeight="1">
      <x:c r="B2" s="4" t="str">
        <x:v>Source: T12-Statement.pdf p.2 Annual column. Historical only.</x:v>
      </x:c>
    </x:row>
    <x:row r="3" ht="25" customHeight="1">
      <x:c r="B3" s="6" t="str">
        <x:v>Line</x:v>
      </x:c>
      <x:c r="C3" s="6" t="str">
        <x:v>Annual</x:v>
      </x:c>
    </x:row>
    <x:row r="4" ht="22" customHeight="1">
      <x:c r="B4" s="1" t="str">
        <x:v>Gross potential base rent</x:v>
      </x:c>
      <x:c r="C4" s="12" t="n">
        <x:v>759600</x:v>
      </x:c>
    </x:row>
    <x:row r="5" ht="22" customHeight="1">
      <x:c r="B5" s="1" t="str">
        <x:v>Vacancy loss</x:v>
      </x:c>
      <x:c r="C5" s="12" t="n">
        <x:v>-40800</x:v>
      </x:c>
    </x:row>
    <x:row r="6" ht="22" customHeight="1">
      <x:c r="B6" s="1" t="str">
        <x:v>Concessions</x:v>
      </x:c>
      <x:c r="C6" s="12" t="n">
        <x:v>-22800</x:v>
      </x:c>
    </x:row>
    <x:row r="7" ht="22" customHeight="1">
      <x:c r="B7" s="1" t="str">
        <x:v>Bad debt</x:v>
      </x:c>
      <x:c r="C7" s="12" t="n">
        <x:v>-6000</x:v>
      </x:c>
    </x:row>
    <x:row r="8" ht="22" customHeight="1">
      <x:c r="B8" s="1" t="str">
        <x:v>Other income / recoveries</x:v>
      </x:c>
      <x:c r="C8" s="12" t="n">
        <x:v>176400</x:v>
      </x:c>
    </x:row>
    <x:row r="9" ht="22" customHeight="1">
      <x:c r="B9" s="25" t="str">
        <x:v>t12_egi</x:v>
      </x:c>
      <x:c r="C9" s="16" t="n">
        <x:f>SUM(C4:C8)</x:f>
        <x:v>866400</x:v>
      </x:c>
    </x:row>
    <x:row r="10" ht="22" customHeight="1">
      <x:c r="B10" s="1" t="str">
        <x:v>Real estate taxes</x:v>
      </x:c>
      <x:c r="C10" s="12" t="n">
        <x:v>114000</x:v>
      </x:c>
    </x:row>
    <x:row r="11" ht="22" customHeight="1">
      <x:c r="B11" s="1" t="str">
        <x:v>Property insurance</x:v>
      </x:c>
      <x:c r="C11" s="12" t="n">
        <x:v>32400</x:v>
      </x:c>
    </x:row>
    <x:row r="12" ht="22" customHeight="1">
      <x:c r="B12" s="1" t="str">
        <x:v>Utilities</x:v>
      </x:c>
      <x:c r="C12" s="12" t="n">
        <x:v>21600</x:v>
      </x:c>
    </x:row>
    <x:row r="13" ht="22" customHeight="1">
      <x:c r="B13" s="1" t="str">
        <x:v>Repairs and maintenance</x:v>
      </x:c>
      <x:c r="C13" s="12" t="n">
        <x:v>36000</x:v>
      </x:c>
    </x:row>
    <x:row r="14" ht="22" customHeight="1">
      <x:c r="B14" s="1" t="str">
        <x:v>Payroll / contract labor</x:v>
      </x:c>
      <x:c r="C14" s="12" t="n">
        <x:v>24000</x:v>
      </x:c>
    </x:row>
    <x:row r="15" ht="22" customHeight="1">
      <x:c r="B15" s="1" t="str">
        <x:v>Administrative / legal</x:v>
      </x:c>
      <x:c r="C15" s="12" t="n">
        <x:v>18000</x:v>
      </x:c>
    </x:row>
    <x:row r="16" ht="22" customHeight="1">
      <x:c r="B16" s="1" t="str">
        <x:v>Management fee</x:v>
      </x:c>
      <x:c r="C16" s="12" t="n">
        <x:v>18000</x:v>
      </x:c>
    </x:row>
    <x:row r="17" ht="22" customHeight="1">
      <x:c r="B17" s="25" t="str">
        <x:v>t12_operating_expenses</x:v>
      </x:c>
      <x:c r="C17" s="16" t="n">
        <x:f>SUM(C10:C16)</x:f>
        <x:v>264000</x:v>
      </x:c>
    </x:row>
    <x:row r="18" ht="22" customHeight="1">
      <x:c r="B18" s="25" t="str">
        <x:v>t12_noi_before_reserves</x:v>
      </x:c>
      <x:c r="C18" s="16" t="n">
        <x:f>C9-C17</x:f>
        <x:v>602400</x:v>
      </x:c>
    </x:row>
    <x:row r="19" ht="22" customHeight="1">
      <x:c r="B19" s="1" t="str">
        <x:v>t12_reserves</x:v>
      </x:c>
      <x:c r="C19" s="12" t="n">
        <x:v>11520</x:v>
      </x:c>
    </x:row>
    <x:row r="20" ht="22" customHeight="1">
      <x:c r="B20" s="25" t="str">
        <x:v>t12_ncf (after reserves)</x:v>
      </x:c>
      <x:c r="C20" s="16" t="n">
        <x:f>C18-C19</x:f>
        <x:v>590880</x:v>
      </x:c>
    </x:row>
    <x:row r="22" ht="25" customHeight="1">
      <x:c r="B22" s="6" t="str">
        <x:v>Below cash flow (not operating expense)</x:v>
      </x:c>
    </x:row>
    <x:row r="23" ht="22" customHeight="1">
      <x:c r="B23" s="1" t="str">
        <x:v>Capital improvements</x:v>
      </x:c>
      <x:c r="C23" s="12" t="n">
        <x:v>74000</x:v>
      </x:c>
    </x:row>
    <x:row r="24" ht="22" customHeight="1">
      <x:c r="B24" s="1" t="str">
        <x:v>Existing loan principal and interest</x:v>
      </x:c>
      <x:c r="C24" s="12" t="n">
        <x:v>294000</x:v>
      </x:c>
    </x:row>
    <x:row r="25" ht="22" customHeight="1">
      <x:c r="B25" s="1" t="str">
        <x:v>Depreciation (noncash)</x:v>
      </x:c>
      <x:c r="C25" s="12" t="n">
        <x:v>180000</x:v>
      </x:c>
    </x:row>
    <x:row r="27" ht="30" customHeight="1">
      <x:c r="B27" s="4" t="str">
        <x:v>The accounting package may call cash flow after reserves 'property NOI'; NOI before reserves and NCF after reserves are shown separately (Property-and-Plan.pdf p.1).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5" hidden="0" customWidth="1"/>
    <x:col min="4" max="4" width="40" hidden="0" customWidth="1"/>
  </x:cols>
  <x:sheetData>
    <x:row r="1" ht="27" customHeight="1">
      <x:c r="B1" s="2" t="str">
        <x:v>Underwritten scenario | September 2026 forward (annual)</x:v>
      </x:c>
    </x:row>
    <x:row r="2" ht="36" customHeight="1">
      <x:c r="B2" s="4" t="str">
        <x:v>Source: Property-and-Plan.pdf p.2. Supplied scenario, not a lender-approved forecast.</x:v>
      </x:c>
    </x:row>
    <x:row r="3" ht="25" customHeight="1">
      <x:c r="B3" s="6" t="str">
        <x:v>Line</x:v>
      </x:c>
      <x:c r="C3" s="6" t="str">
        <x:v>Annual</x:v>
      </x:c>
      <x:c r="D3" s="6" t="str">
        <x:v>Basis</x:v>
      </x:c>
    </x:row>
    <x:row r="4" ht="36" customHeight="1">
      <x:c r="B4" s="1" t="str">
        <x:v>Gross potential base rent</x:v>
      </x:c>
      <x:c r="C4" s="14" t="n">
        <x:f>Assumptions!C17</x:f>
        <x:v>780000</x:v>
      </x:c>
      <x:c r="D4" s="4" t="str">
        <x:v>Assumptions!C17</x:v>
      </x:c>
    </x:row>
    <x:row r="5" ht="36" customHeight="1">
      <x:c r="B5" s="1" t="str">
        <x:v>Combined revenue loss</x:v>
      </x:c>
      <x:c r="C5" s="14" t="n">
        <x:f>-C4*Assumptions!C18</x:f>
        <x:v>-39000</x:v>
      </x:c>
      <x:c r="D5" s="4" t="str">
        <x:v>5.00% of gross potential rent</x:v>
      </x:c>
    </x:row>
    <x:row r="6" ht="22" customHeight="1">
      <x:c r="B6" s="25" t="str">
        <x:v>Net rental income</x:v>
      </x:c>
      <x:c r="C6" s="16" t="n">
        <x:f>C4+C5</x:f>
        <x:v>741000</x:v>
      </x:c>
    </x:row>
    <x:row r="7" ht="36" customHeight="1">
      <x:c r="B7" s="1" t="str">
        <x:v>Other income / recoveries</x:v>
      </x:c>
      <x:c r="C7" s="14" t="n">
        <x:f>Assumptions!C19</x:f>
        <x:v>180000</x:v>
      </x:c>
      <x:c r="D7" s="4" t="str">
        <x:v>Added after loss</x:v>
      </x:c>
    </x:row>
    <x:row r="8" ht="22" customHeight="1">
      <x:c r="B8" s="25" t="str">
        <x:v>uw_egi</x:v>
      </x:c>
      <x:c r="C8" s="16" t="n">
        <x:f>C6+C7</x:f>
        <x:v>921000</x:v>
      </x:c>
    </x:row>
    <x:row r="9" ht="36" customHeight="1">
      <x:c r="B9" s="1" t="str">
        <x:v>Real estate taxes</x:v>
      </x:c>
      <x:c r="C9" s="12" t="n">
        <x:v>120000</x:v>
      </x:c>
      <x:c r="D9" s="4" t="str">
        <x:v>Plan underwriting treatment</x:v>
      </x:c>
    </x:row>
    <x:row r="10" ht="36" customHeight="1">
      <x:c r="B10" s="1" t="str">
        <x:v>Property insurance</x:v>
      </x:c>
      <x:c r="C10" s="12" t="n">
        <x:v>34800</x:v>
      </x:c>
      <x:c r="D10" s="4" t="str">
        <x:v>Scenario renewal allowance</x:v>
      </x:c>
    </x:row>
    <x:row r="11" ht="36" customHeight="1">
      <x:c r="B11" s="1" t="str">
        <x:v>Utilities</x:v>
      </x:c>
      <x:c r="C11" s="12" t="n">
        <x:v>21600</x:v>
      </x:c>
      <x:c r="D11" s="4" t="str">
        <x:v>T12 actual</x:v>
      </x:c>
    </x:row>
    <x:row r="12" ht="36" customHeight="1">
      <x:c r="B12" s="1" t="str">
        <x:v>Repairs and maintenance</x:v>
      </x:c>
      <x:c r="C12" s="12" t="n">
        <x:v>36000</x:v>
      </x:c>
      <x:c r="D12" s="4" t="str">
        <x:v>T12 actual; $0 one-time removed</x:v>
      </x:c>
    </x:row>
    <x:row r="13" ht="36" customHeight="1">
      <x:c r="B13" s="1" t="str">
        <x:v>Payroll / contract labor</x:v>
      </x:c>
      <x:c r="C13" s="12" t="n">
        <x:v>24000</x:v>
      </x:c>
      <x:c r="D13" s="4" t="str">
        <x:v>T12 actual</x:v>
      </x:c>
    </x:row>
    <x:row r="14" ht="36" customHeight="1">
      <x:c r="B14" s="1" t="str">
        <x:v>Administrative / legal</x:v>
      </x:c>
      <x:c r="C14" s="12" t="n">
        <x:v>18000</x:v>
      </x:c>
      <x:c r="D14" s="4" t="str">
        <x:v>T12 actual</x:v>
      </x:c>
    </x:row>
    <x:row r="15" ht="36" customHeight="1">
      <x:c r="B15" s="25" t="str">
        <x:v>uw_management_fee</x:v>
      </x:c>
      <x:c r="C15" s="16" t="n">
        <x:f>MAX(Assumptions!C21,Assumptions!C20*C8)</x:f>
        <x:v>36840</x:v>
      </x:c>
      <x:c r="D15" s="4" t="str">
        <x:v>Greater of T12 actual and 4.00% of EGI</x:v>
      </x:c>
    </x:row>
    <x:row r="16" ht="22" customHeight="1">
      <x:c r="B16" s="25" t="str">
        <x:v>uw_operating_expenses (before reserves)</x:v>
      </x:c>
      <x:c r="C16" s="16" t="n">
        <x:f>SUM(C9:C15)</x:f>
        <x:v>291240</x:v>
      </x:c>
    </x:row>
    <x:row r="17" ht="22" customHeight="1">
      <x:c r="B17" s="25" t="str">
        <x:v>uw_noi_before_reserves</x:v>
      </x:c>
      <x:c r="C17" s="16" t="n">
        <x:f>C8-C16</x:f>
        <x:v>629760</x:v>
      </x:c>
    </x:row>
    <x:row r="18" ht="36" customHeight="1">
      <x:c r="B18" s="1" t="str">
        <x:v>uw_reserves</x:v>
      </x:c>
      <x:c r="C18" s="14" t="n">
        <x:f>Assumptions!C22*Assumptions!C23</x:f>
        <x:v>4320</x:v>
      </x:c>
      <x:c r="D18" s="4" t="str">
        <x:v>$0.15/SF x rentable SF</x:v>
      </x:c>
    </x:row>
    <x:row r="19" ht="22" customHeight="1">
      <x:c r="B19" s="25" t="str">
        <x:v>uw_ncf (after reserves)</x:v>
      </x:c>
      <x:c r="C19" s="16" t="n">
        <x:f>C17-C18</x:f>
        <x:v>625440</x:v>
      </x:c>
    </x:row>
    <x:row r="20" ht="36" customHeight="1">
      <x:c r="B20" s="25" t="str">
        <x:v>capitalization_value</x:v>
      </x:c>
      <x:c r="C20" s="16" t="n">
        <x:f>C17/Assumptions!C6</x:f>
        <x:v>10076160</x:v>
      </x:c>
      <x:c r="D20" s="4" t="str">
        <x:v>NOI before reserves / cap rate</x:v>
      </x:c>
    </x:row>
    <x:row r="21" ht="22" customHeight="1">
      <x:c r="B21" s="1" t="str">
        <x:v>Expense ratio (opex / EGI)</x:v>
      </x:c>
      <x:c r="C21" s="26" t="n">
        <x:f>C16/C8</x:f>
        <x:v>0.3162214983713355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52" hidden="0" customWidth="1"/>
    <x:col min="3" max="3" width="16" hidden="0" customWidth="1"/>
    <x:col min="4" max="4" width="40" hidden="0" customWidth="1"/>
  </x:cols>
  <x:sheetData>
    <x:row r="1" ht="27" customHeight="1">
      <x:c r="B1" s="2" t="str">
        <x:v>Loan sizing | LTV, DSCR and debt yield</x:v>
      </x:c>
    </x:row>
    <x:row r="2" ht="36" customHeight="1">
      <x:c r="B2" s="4" t="str">
        <x:v>Source: Lender-Terms.pdf p.1; unrounded intermediates.</x:v>
      </x:c>
    </x:row>
    <x:row r="3" ht="25" customHeight="1">
      <x:c r="B3" s="6" t="str">
        <x:v>Item</x:v>
      </x:c>
      <x:c r="C3" s="6" t="str">
        <x:v>Value</x:v>
      </x:c>
      <x:c r="D3" s="6" t="str">
        <x:v>Basis</x:v>
      </x:c>
    </x:row>
    <x:row r="4" ht="36" customHeight="1">
      <x:c r="B4" s="25" t="str">
        <x:v>sizing_rate</x:v>
      </x:c>
      <x:c r="C4" s="29" t="n">
        <x:f>MAX(Assumptions!C10,Assumptions!C11)</x:f>
        <x:v>0.0635</x:v>
      </x:c>
      <x:c r="D4" s="4" t="str">
        <x:v>Greater of contract rate and floor</x:v>
      </x:c>
    </x:row>
    <x:row r="5" ht="36" customHeight="1">
      <x:c r="B5" s="25" t="str">
        <x:v>annual_debt_constant</x:v>
      </x:c>
      <x:c r="C5" s="32" t="n">
        <x:f>-PMT(C4/12,Assumptions!C12*12,1)*12</x:f>
        <x:v>0.07990371531238402</x:v>
      </x:c>
      <x:c r="D5" s="4" t="str">
        <x:v>12 monthly payments per $1</x:v>
      </x:c>
    </x:row>
    <x:row r="6" ht="22" customHeight="1">
      <x:c r="B6" s="1" t="str">
        <x:v>UW NOI before reserves</x:v>
      </x:c>
      <x:c r="C6" s="14" t="n">
        <x:f>Underwriting!C17</x:f>
        <x:v>629760</x:v>
      </x:c>
    </x:row>
    <x:row r="7" ht="22" customHeight="1">
      <x:c r="B7" s="1" t="str">
        <x:v>UW NCF after reserves</x:v>
      </x:c>
      <x:c r="C7" s="14" t="n">
        <x:f>Underwriting!C19</x:f>
        <x:v>625440</x:v>
      </x:c>
    </x:row>
    <x:row r="8" ht="36" customHeight="1">
      <x:c r="B8" s="25" t="str">
        <x:v>ltv_limit</x:v>
      </x:c>
      <x:c r="C8" s="16" t="n">
        <x:f>Assumptions!C7*Underwriting!C20</x:f>
        <x:v>6297600</x:v>
      </x:c>
      <x:c r="D8" s="4" t="str">
        <x:v>62.50% x indicative value</x:v>
      </x:c>
    </x:row>
    <x:row r="9" ht="36" customHeight="1">
      <x:c r="B9" s="25" t="str">
        <x:v>dscr_limit</x:v>
      </x:c>
      <x:c r="C9" s="16" t="n">
        <x:f>(C7/Assumptions!C8)/C5</x:f>
        <x:v>6261936.6076267045</x:v>
      </x:c>
      <x:c r="D9" s="4" t="str">
        <x:v>(NCF / 1.25) / debt constant</x:v>
      </x:c>
    </x:row>
    <x:row r="10" ht="36" customHeight="1">
      <x:c r="B10" s="25" t="str">
        <x:v>debt_yield_limit</x:v>
      </x:c>
      <x:c r="C10" s="16" t="n">
        <x:f>C6/Assumptions!C9</x:f>
        <x:v>6997333.333333334</x:v>
      </x:c>
      <x:c r="D10" s="4" t="str">
        <x:v>NOI before reserves / 9.00%</x:v>
      </x:c>
    </x:row>
    <x:row r="12" ht="22" customHeight="1">
      <x:c r="B12" s="25" t="str">
        <x:v>maximum_loan</x:v>
      </x:c>
      <x:c r="C12" s="16" t="n">
        <x:f>MIN(C8,C9,C10)</x:f>
        <x:v>6261936.6076267045</x:v>
      </x:c>
    </x:row>
    <x:row r="13" ht="22" customHeight="1">
      <x:c r="B13" s="25" t="str">
        <x:v>binding_constraint</x:v>
      </x:c>
      <x:c r="C13" s="25" t="str">
        <x:f>IF(C12=C9,"DSCR",IF(C12=C8,"LTV","Debt yield"))</x:f>
        <x:v>DSCR</x:v>
      </x:c>
    </x:row>
    <x:row r="14" ht="22" customHeight="1">
      <x:c r="B14" s="25" t="str">
        <x:v>sizing_annual_debt_service</x:v>
      </x:c>
      <x:c r="C14" s="16" t="n">
        <x:f>C12*C5</x:f>
        <x:v>500351.99999999994</x:v>
      </x:c>
    </x:row>
    <x:row r="15" ht="22" customHeight="1">
      <x:c r="B15" s="25" t="str">
        <x:v>sizing_dscr</x:v>
      </x:c>
      <x:c r="C15" s="35" t="n">
        <x:f>C7/C14</x:f>
        <x:v>1.2500000000000002</x:v>
      </x:c>
    </x:row>
    <x:row r="16" ht="22" customHeight="1">
      <x:c r="B16" s="25" t="str">
        <x:v>sizing_debt_yield</x:v>
      </x:c>
      <x:c r="C16" s="38" t="n">
        <x:f>C6/C12</x:f>
        <x:v>0.10056952656355318</x:v>
      </x:c>
    </x:row>
    <x:row r="17" ht="22" customHeight="1">
      <x:c r="B17" s="1" t="str">
        <x:v>Implied LTV at maximum loan</x:v>
      </x:c>
      <x:c r="C17" s="39" t="n">
        <x:f>C12/Underwriting!C20</x:f>
        <x:v>0.6214606167058387</x:v>
      </x:c>
    </x:row>
    <x:row r="18" ht="22" customHeight="1">
      <x:c r="B18" s="1" t="str">
        <x:v>Contract-rate annual debt constant</x:v>
      </x:c>
      <x:c r="C18" s="30" t="n">
        <x:f>-PMT(Assumptions!C10/12,Assumptions!C12*12,1)*12</x:f>
        <x:v>0.07990371531238402</x:v>
      </x:c>
    </x:row>
    <x:row r="19" ht="36" customHeight="1">
      <x:c r="B19" s="25" t="str">
        <x:v>first_year_debt_service</x:v>
      </x:c>
      <x:c r="C19" s="16" t="n">
        <x:f>C12*Assumptions!C10*(MIN(Assumptions!C13,12)/12)+C12*C18*((12-MIN(Assumptions!C13,12))/12)</x:f>
        <x:v>500351.99999999994</x:v>
      </x:c>
      <x:c r="D19" s="4" t="str">
        <x:v>IO months at contract rate, balance amortizing</x:v>
      </x:c>
    </x:row>
    <x:row r="20" ht="22" customHeight="1">
      <x:c r="B20" s="1" t="str">
        <x:v>First-year DSCR on UW NCF</x:v>
      </x:c>
      <x:c r="C20" s="33" t="n">
        <x:f>C7/C19</x:f>
        <x:v>1.2500000000000002</x:v>
      </x:c>
    </x:row>
    <x:row r="22" ht="28" customHeight="1">
      <x:c r="B22" s="4" t="str">
        <x:v>IO period is 0 months, so year one is 12 amortizing payments at the 6.35% contract rate, which equals the sizing rate.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6" hidden="0" customWidth="1"/>
    <x:col min="3" max="3" width="16" hidden="0" customWidth="1"/>
  </x:cols>
  <x:sheetData>
    <x:row r="1" ht="27" customHeight="1">
      <x:c r="B1" s="2" t="str">
        <x:v>Sources and uses at maximum loan</x:v>
      </x:c>
    </x:row>
    <x:row r="2" ht="36" customHeight="1">
      <x:c r="B2" s="4" t="str">
        <x:v>Fee: Lender-Terms.pdf p.1; payoff and closing costs: Property-and-Plan.pdf p.1</x:v>
      </x:c>
    </x:row>
    <x:row r="3" ht="25" customHeight="1">
      <x:c r="B3" s="6" t="str">
        <x:v>Item</x:v>
      </x:c>
      <x:c r="C3" s="6" t="str">
        <x:v>Amount</x:v>
      </x:c>
    </x:row>
    <x:row r="4" ht="25" customHeight="1">
      <x:c r="B4" s="6" t="str">
        <x:v>SOURCES</x:v>
      </x:c>
    </x:row>
    <x:row r="5" ht="22" customHeight="1">
      <x:c r="B5" s="1" t="str">
        <x:v>New first-mortgage loan</x:v>
      </x:c>
      <x:c r="C5" s="14" t="n">
        <x:f>'Loan Sizing'!C12</x:f>
        <x:v>6261936.6076267045</x:v>
      </x:c>
    </x:row>
    <x:row r="6" ht="22" customHeight="1">
      <x:c r="B6" s="25" t="str">
        <x:v>Total sources</x:v>
      </x:c>
      <x:c r="C6" s="16" t="n">
        <x:f>C5</x:f>
        <x:v>6261936.6076267045</x:v>
      </x:c>
    </x:row>
    <x:row r="8" ht="25" customHeight="1">
      <x:c r="B8" s="6" t="str">
        <x:v>USES</x:v>
      </x:c>
    </x:row>
    <x:row r="9" ht="22" customHeight="1">
      <x:c r="B9" s="1" t="str">
        <x:v>Existing debt payoff</x:v>
      </x:c>
      <x:c r="C9" s="14" t="n">
        <x:f>Assumptions!C16</x:f>
        <x:v>4200000</x:v>
      </x:c>
    </x:row>
    <x:row r="10" ht="22" customHeight="1">
      <x:c r="B10" s="1" t="str">
        <x:v>Origination fee (0.80% of principal)</x:v>
      </x:c>
      <x:c r="C10" s="14" t="n">
        <x:f>Assumptions!C14*C5</x:f>
        <x:v>50095.492861013634</x:v>
      </x:c>
    </x:row>
    <x:row r="11" ht="22" customHeight="1">
      <x:c r="B11" s="1" t="str">
        <x:v>Fixed closing costs</x:v>
      </x:c>
      <x:c r="C11" s="14" t="n">
        <x:f>Assumptions!C15</x:f>
        <x:v>52000</x:v>
      </x:c>
    </x:row>
    <x:row r="12" ht="22" customHeight="1">
      <x:c r="B12" s="25" t="str">
        <x:v>cash_to_borrower (negative = cash in)</x:v>
      </x:c>
      <x:c r="C12" s="16" t="n">
        <x:f>C6-SUM(C9:C11)</x:f>
        <x:v>1959841.1147656906</x:v>
      </x:c>
    </x:row>
    <x:row r="13" ht="22" customHeight="1">
      <x:c r="B13" s="25" t="str">
        <x:v>Total uses including distribution</x:v>
      </x:c>
      <x:c r="C13" s="16" t="n">
        <x:f>SUM(C9:C12)</x:f>
        <x:v>6261936.6076267045</x:v>
      </x:c>
    </x:row>
    <x:row r="15" ht="36" customHeight="1">
      <x:c r="B15" s="4" t="str">
        <x:v>No fee capitalization, interest reserve, holdback or earn-out assumed.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5" hidden="0" customWidth="1"/>
    <x:col min="4" max="4" width="17" hidden="0" customWidth="1"/>
    <x:col min="5" max="5" width="15" hidden="0" customWidth="1"/>
  </x:cols>
  <x:sheetData>
    <x:row r="1" ht="27" customHeight="1">
      <x:c r="B1" s="2" t="str">
        <x:v>Sensitivity analysis</x:v>
      </x:c>
    </x:row>
    <x:row r="2" ht="30" customHeight="1">
      <x:c r="B2" s="4" t="str">
        <x:v>Downside: EGI -5% with management recalculated, other expenses and reserves constant; combined case adds +100 bps to sizing rate with cap rate unchanged. Separate case: cap rate +50 bps.</x:v>
      </x:c>
    </x:row>
    <x:row r="3" ht="25" customHeight="1">
      <x:c r="B3" s="6" t="str">
        <x:v>Line</x:v>
      </x:c>
      <x:c r="C3" s="6" t="str">
        <x:v>Base case</x:v>
      </x:c>
      <x:c r="D3" s="6" t="str">
        <x:v>EGI -5%, rate +100bps</x:v>
      </x:c>
      <x:c r="E3" s="6" t="str">
        <x:v>Cap +50 bps</x:v>
      </x:c>
    </x:row>
    <x:row r="4" ht="22" customHeight="1">
      <x:c r="B4" s="1" t="str">
        <x:v>EGI</x:v>
      </x:c>
      <x:c r="C4" s="14" t="n">
        <x:f>Underwriting!C8</x:f>
        <x:v>921000</x:v>
      </x:c>
      <x:c r="D4" s="14" t="n">
        <x:f>Underwriting!C8*Assumptions!C24</x:f>
        <x:v>874950</x:v>
      </x:c>
      <x:c r="E4" s="17" t="n">
        <x:f>C4</x:f>
        <x:v>921000</x:v>
      </x:c>
    </x:row>
    <x:row r="5" ht="22" customHeight="1">
      <x:c r="B5" s="1" t="str">
        <x:v>Management fee (recalculated)</x:v>
      </x:c>
      <x:c r="C5" s="14" t="n">
        <x:f>Underwriting!C15</x:f>
        <x:v>36840</x:v>
      </x:c>
      <x:c r="D5" s="14" t="n">
        <x:f>MAX(Assumptions!C21,Assumptions!C20*D4)</x:f>
        <x:v>34998</x:v>
      </x:c>
      <x:c r="E5" s="17" t="n">
        <x:f>C5</x:f>
        <x:v>36840</x:v>
      </x:c>
    </x:row>
    <x:row r="6" ht="22" customHeight="1">
      <x:c r="B6" s="1" t="str">
        <x:v>Other operating expenses (constant)</x:v>
      </x:c>
      <x:c r="C6" s="14" t="n">
        <x:f>Underwriting!C16-Underwriting!C15</x:f>
        <x:v>254400</x:v>
      </x:c>
      <x:c r="D6" s="17" t="n">
        <x:f>C6</x:f>
        <x:v>254400</x:v>
      </x:c>
      <x:c r="E6" s="17" t="n">
        <x:f>C6</x:f>
        <x:v>254400</x:v>
      </x:c>
    </x:row>
    <x:row r="7" ht="22" customHeight="1">
      <x:c r="B7" s="25" t="str">
        <x:v>Total operating expenses</x:v>
      </x:c>
      <x:c r="C7" s="16" t="n">
        <x:f>C5+C6</x:f>
        <x:v>291240</x:v>
      </x:c>
      <x:c r="D7" s="16" t="n">
        <x:f>D5+D6</x:f>
        <x:v>289398</x:v>
      </x:c>
      <x:c r="E7" s="16" t="n">
        <x:f>E5+E6</x:f>
        <x:v>291240</x:v>
      </x:c>
    </x:row>
    <x:row r="8" ht="22" customHeight="1">
      <x:c r="B8" s="25" t="str">
        <x:v>NOI before reserves</x:v>
      </x:c>
      <x:c r="C8" s="16" t="n">
        <x:f>C4-C7</x:f>
        <x:v>629760</x:v>
      </x:c>
      <x:c r="D8" s="16" t="n">
        <x:f>D4-D7</x:f>
        <x:v>585552</x:v>
      </x:c>
      <x:c r="E8" s="16" t="n">
        <x:f>E4-E7</x:f>
        <x:v>629760</x:v>
      </x:c>
    </x:row>
    <x:row r="9" ht="22" customHeight="1">
      <x:c r="B9" s="1" t="str">
        <x:v>Replacement reserves</x:v>
      </x:c>
      <x:c r="C9" s="14" t="n">
        <x:f>Underwriting!C18</x:f>
        <x:v>4320</x:v>
      </x:c>
      <x:c r="D9" s="17" t="n">
        <x:f>C9</x:f>
        <x:v>4320</x:v>
      </x:c>
      <x:c r="E9" s="17" t="n">
        <x:f>C9</x:f>
        <x:v>4320</x:v>
      </x:c>
    </x:row>
    <x:row r="10" ht="22" customHeight="1">
      <x:c r="B10" s="25" t="str">
        <x:v>NCF after reserves</x:v>
      </x:c>
      <x:c r="C10" s="16" t="n">
        <x:f>C8-C9</x:f>
        <x:v>625440</x:v>
      </x:c>
      <x:c r="D10" s="16" t="n">
        <x:f>D8-D9</x:f>
        <x:v>581232</x:v>
      </x:c>
      <x:c r="E10" s="16" t="n">
        <x:f>E8-E9</x:f>
        <x:v>625440</x:v>
      </x:c>
    </x:row>
    <x:row r="11" ht="22" customHeight="1">
      <x:c r="B11" s="1" t="str">
        <x:v>Cap rate applied</x:v>
      </x:c>
      <x:c r="C11" s="27" t="n">
        <x:f>Assumptions!C6</x:f>
        <x:v>0.0625</x:v>
      </x:c>
      <x:c r="D11" s="27" t="n">
        <x:f>Assumptions!C6</x:f>
        <x:v>0.0625</x:v>
      </x:c>
      <x:c r="E11" s="27" t="n">
        <x:f>Assumptions!C6+Assumptions!C26</x:f>
        <x:v>0.0675</x:v>
      </x:c>
    </x:row>
    <x:row r="12" ht="22" customHeight="1">
      <x:c r="B12" s="25" t="str">
        <x:v>Indicative value</x:v>
      </x:c>
      <x:c r="C12" s="16" t="n">
        <x:f>C8/C11</x:f>
        <x:v>10076160</x:v>
      </x:c>
      <x:c r="D12" s="16" t="n">
        <x:f>D8/D11</x:f>
        <x:v>9368832</x:v>
      </x:c>
      <x:c r="E12" s="16" t="n">
        <x:f>E8/E11</x:f>
        <x:v>9329777.777777778</x:v>
      </x:c>
    </x:row>
    <x:row r="13" ht="22" customHeight="1">
      <x:c r="B13" s="1" t="str">
        <x:v>Sizing rate applied</x:v>
      </x:c>
      <x:c r="C13" s="27" t="n">
        <x:f>'Loan Sizing'!C4</x:f>
        <x:v>0.0635</x:v>
      </x:c>
      <x:c r="D13" s="27" t="n">
        <x:f>'Loan Sizing'!C4+Assumptions!C25</x:f>
        <x:v>0.0735</x:v>
      </x:c>
      <x:c r="E13" s="27" t="n">
        <x:f>'Loan Sizing'!C4</x:f>
        <x:v>0.0635</x:v>
      </x:c>
    </x:row>
    <x:row r="14" ht="22" customHeight="1">
      <x:c r="B14" s="1" t="str">
        <x:v>Annual debt constant</x:v>
      </x:c>
      <x:c r="C14" s="30" t="n">
        <x:f>-PMT(C13/12,Assumptions!C12*12,1)*12</x:f>
        <x:v>0.07990371531238402</x:v>
      </x:c>
      <x:c r="D14" s="30" t="n">
        <x:f>-PMT(D13/12,Assumptions!C12*12,1)*12</x:f>
        <x:v>0.08751143765366826</x:v>
      </x:c>
      <x:c r="E14" s="30" t="n">
        <x:f>-PMT(E13/12,Assumptions!C12*12,1)*12</x:f>
        <x:v>0.07990371531238402</x:v>
      </x:c>
    </x:row>
    <x:row r="15" ht="22" customHeight="1">
      <x:c r="B15" s="1" t="str">
        <x:v>LTV limit</x:v>
      </x:c>
      <x:c r="C15" s="14" t="n">
        <x:f>Assumptions!C7*C12</x:f>
        <x:v>6297600</x:v>
      </x:c>
      <x:c r="D15" s="14" t="n">
        <x:f>Assumptions!C7*D12</x:f>
        <x:v>5855520</x:v>
      </x:c>
      <x:c r="E15" s="14" t="n">
        <x:f>Assumptions!C7*E12</x:f>
        <x:v>5831111.111111111</x:v>
      </x:c>
    </x:row>
    <x:row r="16" ht="22" customHeight="1">
      <x:c r="B16" s="1" t="str">
        <x:v>DSCR limit</x:v>
      </x:c>
      <x:c r="C16" s="14" t="n">
        <x:f>(C10/Assumptions!C8)/C14</x:f>
        <x:v>6261936.6076267045</x:v>
      </x:c>
      <x:c r="D16" s="14" t="n">
        <x:f>(D10/Assumptions!C8)/D14</x:f>
        <x:v>5313426.592763889</x:v>
      </x:c>
      <x:c r="E16" s="14" t="n">
        <x:f>(E10/Assumptions!C8)/E14</x:f>
        <x:v>6261936.6076267045</x:v>
      </x:c>
    </x:row>
    <x:row r="17" ht="22" customHeight="1">
      <x:c r="B17" s="1" t="str">
        <x:v>Debt yield limit</x:v>
      </x:c>
      <x:c r="C17" s="14" t="n">
        <x:f>C8/Assumptions!C9</x:f>
        <x:v>6997333.333333334</x:v>
      </x:c>
      <x:c r="D17" s="14" t="n">
        <x:f>D8/Assumptions!C9</x:f>
        <x:v>6506133.333333334</x:v>
      </x:c>
      <x:c r="E17" s="14" t="n">
        <x:f>E8/Assumptions!C9</x:f>
        <x:v>6997333.333333334</x:v>
      </x:c>
    </x:row>
    <x:row r="18" ht="22" customHeight="1">
      <x:c r="B18" s="25" t="str">
        <x:v>Maximum loan</x:v>
      </x:c>
      <x:c r="C18" s="16" t="n">
        <x:f>MIN(C15,C16,C17)</x:f>
        <x:v>6261936.6076267045</x:v>
      </x:c>
      <x:c r="D18" s="16" t="n">
        <x:f>MIN(D15,D16,D17)</x:f>
        <x:v>5313426.592763889</x:v>
      </x:c>
      <x:c r="E18" s="16" t="n">
        <x:f>MIN(E15,E16,E17)</x:f>
        <x:v>5831111.111111111</x:v>
      </x:c>
    </x:row>
    <x:row r="19" ht="22" customHeight="1">
      <x:c r="B19" s="25" t="str">
        <x:v>Binding constraint</x:v>
      </x:c>
      <x:c r="C19" s="25" t="str">
        <x:f>IF(C18=C16,"DSCR",IF(C18=C15,"LTV","Debt yield"))</x:f>
        <x:v>DSCR</x:v>
      </x:c>
      <x:c r="D19" s="25" t="str">
        <x:f>IF(D18=D16,"DSCR",IF(D18=D15,"LTV","Debt yield"))</x:f>
        <x:v>DSCR</x:v>
      </x:c>
      <x:c r="E19" s="25" t="str">
        <x:f>IF(E18=E16,"DSCR",IF(E18=E15,"LTV","Debt yield"))</x:f>
        <x:v>LTV</x:v>
      </x:c>
    </x:row>
    <x:row r="20" ht="22" customHeight="1">
      <x:c r="B20" s="25" t="str">
        <x:v>Change vs. base maximum loan</x:v>
      </x:c>
      <x:c r="D20" s="16" t="n">
        <x:f>D18-C18</x:f>
        <x:v>-948510.0148628158</x:v>
      </x:c>
      <x:c r="E20" s="16" t="n">
        <x:f>E18-C18</x:f>
        <x:v>-430825.4965155935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2" hidden="0" customWidth="1"/>
    <x:col min="3" max="3" width="28" hidden="0" customWidth="1"/>
    <x:col min="4" max="4" width="40" hidden="0" customWidth="1"/>
  </x:cols>
  <x:sheetData>
    <x:row r="1" ht="27" customHeight="1">
      <x:c r="B1" s="2" t="str">
        <x:v>Reviewer guide | editable inputs and key outputs</x:v>
      </x:c>
    </x:row>
    <x:row r="3" ht="25" customHeight="1">
      <x:c r="B3" s="6" t="str">
        <x:v>Editable input</x:v>
      </x:c>
      <x:c r="C3" s="6" t="str">
        <x:v>Location</x:v>
      </x:c>
      <x:c r="D3" s="6" t="str">
        <x:v>Effect</x:v>
      </x:c>
    </x:row>
    <x:row r="4" ht="36" customHeight="1">
      <x:c r="B4" s="1" t="str">
        <x:v>Capitalization rate</x:v>
      </x:c>
      <x:c r="C4" s="1" t="str">
        <x:v>Assumptions!C6</x:v>
      </x:c>
      <x:c r="D4" s="4" t="str">
        <x:v>Value, LTV limit, cap sensitivity</x:v>
      </x:c>
    </x:row>
    <x:row r="5" ht="36" customHeight="1">
      <x:c r="B5" s="1" t="str">
        <x:v>Sizing interest rate</x:v>
      </x:c>
      <x:c r="C5" s="1" t="str">
        <x:v>Assumptions!C11</x:v>
      </x:c>
      <x:c r="D5" s="4" t="str">
        <x:v>Debt constant, DSCR limit</x:v>
      </x:c>
    </x:row>
    <x:row r="6" ht="36" customHeight="1">
      <x:c r="B6" s="1" t="str">
        <x:v>EGI: gross potential base rent</x:v>
      </x:c>
      <x:c r="C6" s="1" t="str">
        <x:v>Assumptions!C17</x:v>
      </x:c>
      <x:c r="D6" s="4" t="str">
        <x:v>EGI, management fee, NOI, all limits</x:v>
      </x:c>
    </x:row>
    <x:row r="7" ht="36" customHeight="1">
      <x:c r="B7" s="1" t="str">
        <x:v>EGI: other income</x:v>
      </x:c>
      <x:c r="C7" s="1" t="str">
        <x:v>Assumptions!C19</x:v>
      </x:c>
      <x:c r="D7" s="4" t="str">
        <x:v>EGI and downstream outputs</x:v>
      </x:c>
    </x:row>
    <x:row r="8" ht="36" customHeight="1">
      <x:c r="B8" s="1" t="str">
        <x:v>Other assumptions</x:v>
      </x:c>
      <x:c r="C8" s="1" t="str">
        <x:v>Assumptions!C7:C26; Underwriting!C9:C14</x:v>
      </x:c>
      <x:c r="D8" s="4" t="str">
        <x:v>Tests, fees, reserves, expenses</x:v>
      </x:c>
    </x:row>
    <x:row r="10" ht="25" customHeight="1">
      <x:c r="B10" s="6" t="str">
        <x:v>Key output</x:v>
      </x:c>
      <x:c r="C10" s="6" t="str">
        <x:v>Location</x:v>
      </x:c>
    </x:row>
    <x:row r="11" ht="22" customHeight="1">
      <x:c r="B11" s="1" t="str">
        <x:v>uw_egi</x:v>
      </x:c>
      <x:c r="C11" s="1" t="str">
        <x:v>Underwriting!C8</x:v>
      </x:c>
    </x:row>
    <x:row r="12" ht="22" customHeight="1">
      <x:c r="B12" s="1" t="str">
        <x:v>uw_management_fee</x:v>
      </x:c>
      <x:c r="C12" s="1" t="str">
        <x:v>Underwriting!C15</x:v>
      </x:c>
    </x:row>
    <x:row r="13" ht="22" customHeight="1">
      <x:c r="B13" s="1" t="str">
        <x:v>uw_operating_expenses</x:v>
      </x:c>
      <x:c r="C13" s="1" t="str">
        <x:v>Underwriting!C16</x:v>
      </x:c>
    </x:row>
    <x:row r="14" ht="22" customHeight="1">
      <x:c r="B14" s="1" t="str">
        <x:v>uw_noi_before_reserves</x:v>
      </x:c>
      <x:c r="C14" s="1" t="str">
        <x:v>Underwriting!C17</x:v>
      </x:c>
    </x:row>
    <x:row r="15" ht="22" customHeight="1">
      <x:c r="B15" s="1" t="str">
        <x:v>uw_reserves / uw_ncf</x:v>
      </x:c>
      <x:c r="C15" s="1" t="str">
        <x:v>Underwriting!C18 / C19</x:v>
      </x:c>
    </x:row>
    <x:row r="16" ht="22" customHeight="1">
      <x:c r="B16" s="1" t="str">
        <x:v>capitalization_value</x:v>
      </x:c>
      <x:c r="C16" s="1" t="str">
        <x:v>Underwriting!C20</x:v>
      </x:c>
    </x:row>
    <x:row r="17" ht="22" customHeight="1">
      <x:c r="B17" s="1" t="str">
        <x:v>annual_debt_constant</x:v>
      </x:c>
      <x:c r="C17" s="1" t="str">
        <x:v>Loan Sizing!C5</x:v>
      </x:c>
    </x:row>
    <x:row r="18" ht="22" customHeight="1">
      <x:c r="B18" s="1" t="str">
        <x:v>ltv_limit / dscr_limit / debt_yield_limit</x:v>
      </x:c>
      <x:c r="C18" s="1" t="str">
        <x:v>Loan Sizing!C8 / C9 / C10</x:v>
      </x:c>
    </x:row>
    <x:row r="19" ht="22" customHeight="1">
      <x:c r="B19" s="1" t="str">
        <x:v>maximum_loan / binding_constraint</x:v>
      </x:c>
      <x:c r="C19" s="1" t="str">
        <x:v>Loan Sizing!C12 / C13</x:v>
      </x:c>
    </x:row>
    <x:row r="20" ht="22" customHeight="1">
      <x:c r="B20" s="1" t="str">
        <x:v>sizing DS / DSCR / debt yield</x:v>
      </x:c>
      <x:c r="C20" s="1" t="str">
        <x:v>Loan Sizing!C14 / C15 / C16</x:v>
      </x:c>
    </x:row>
    <x:row r="21" ht="22" customHeight="1">
      <x:c r="B21" s="1" t="str">
        <x:v>first_year_debt_service</x:v>
      </x:c>
      <x:c r="C21" s="1" t="str">
        <x:v>Loan Sizing!C19</x:v>
      </x:c>
    </x:row>
    <x:row r="22" ht="22" customHeight="1">
      <x:c r="B22" s="1" t="str">
        <x:v>cash_to_borrower</x:v>
      </x:c>
      <x:c r="C22" s="1" t="str">
        <x:v>Sources and Uses!C12</x:v>
      </x:c>
    </x:row>
    <x:row r="23" ht="22" customHeight="1">
      <x:c r="B23" s="1" t="str">
        <x:v>stress_uw_noi / stress_maximum_loan</x:v>
      </x:c>
      <x:c r="C23" s="1" t="str">
        <x:v>Sensitivity!D8 / D18</x:v>
      </x:c>
    </x:row>
    <x:row r="24" ht="22" customHeight="1">
      <x:c r="B24" s="1" t="str">
        <x:v>Historical T12 (separate)</x:v>
      </x:c>
      <x:c r="C24" s="1" t="str">
        <x:v>'Historical T12'!C9:C20</x:v>
      </x:c>
    </x:row>
    <x:row r="25" ht="22" customHeight="1">
      <x:c r="B25" s="1" t="str">
        <x:v>Rent roll metrics</x:v>
      </x:c>
      <x:c r="C25" s="1" t="str">
        <x:v>'Rent Roll'!C16:C24</x:v>
      </x:c>
    </x:row>
  </x:sheetData>
  <x:pageMargins left="0.7" right="0.7" top="0.75" bottom="0.75" header="0.3" footer="0.3"/>
</x:worksheet>
</file>