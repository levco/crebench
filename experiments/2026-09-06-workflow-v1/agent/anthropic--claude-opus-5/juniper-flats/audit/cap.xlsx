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bd9bfc73a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2981cb4f6a5c4e7d"/>
    <x:sheet xmlns:r="http://schemas.openxmlformats.org/officeDocument/2006/relationships" name="T12" sheetId="2" r:id="Rbc4cd64556874b13"/>
    <x:sheet xmlns:r="http://schemas.openxmlformats.org/officeDocument/2006/relationships" name="RentRoll" sheetId="3" r:id="R5a735bbd25f045e3"/>
    <x:sheet xmlns:r="http://schemas.openxmlformats.org/officeDocument/2006/relationships" name="Underwriting" sheetId="4" r:id="R7b623d9e3dd64974"/>
    <x:sheet xmlns:r="http://schemas.openxmlformats.org/officeDocument/2006/relationships" name="Sizing" sheetId="5" r:id="R8ad6811ecc40478e"/>
    <x:sheet xmlns:r="http://schemas.openxmlformats.org/officeDocument/2006/relationships" name="SourcesUses" sheetId="6" r:id="R7eca501aec284362"/>
    <x:sheet xmlns:r="http://schemas.openxmlformats.org/officeDocument/2006/relationships" name="Sensitivity" sheetId="7" r:id="R82d816cf9d3443db"/>
    <x:sheet xmlns:r="http://schemas.openxmlformats.org/officeDocument/2006/relationships" name="Map" sheetId="8" r:id="R65397e27bdb948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0%"/>
    <x:numFmt numFmtId="202" formatCode="0.000%"/>
    <x:numFmt numFmtId="203" formatCode="0.00"/>
    <x:numFmt numFmtId="204" formatCode="0.0%"/>
    <x:numFmt numFmtId="205" formatCode="0.00000000"/>
    <x:numFmt numFmtId="206" formatCode="0.000"/>
    <x:numFmt numFmtId="207" formatCode="0.00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2" fontId="5" fillId="0" borderId="0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3" fontId="5" fillId="0" borderId="0" xfId="0" applyNumberFormat="1" applyFont="1" applyFill="1" applyBorder="1"/>
    <x:xf numFmtId="203" fontId="1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4" fontId="1" fillId="0" borderId="0" xfId="0" applyNumberFormat="1" applyFont="1" applyFill="1" applyBorder="1"/>
    <x:xf numFmtId="202" fontId="7" fillId="0" borderId="0" xfId="0" applyNumberFormat="1" applyFont="1" applyFill="1" applyBorder="1"/>
    <x:xf numFmtId="205" fontId="7" fillId="0" borderId="0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206" fontId="1" fillId="0" borderId="0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7" fontId="1" fillId="0" borderId="0" xfId="0" applyNumberFormat="1" applyFont="1" applyFill="1" applyBorder="1"/>
    <x:xf numFmtId="207" fontId="6" fillId="0" borderId="0" xfId="0" applyNumberFormat="1" applyFont="1" applyFill="1" applyBorder="1"/>
    <x:xf numFmtId="207" fontId="6" fillId="0" borderId="1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0f7909fa8a42cb" /><Relationship Type="http://schemas.openxmlformats.org/officeDocument/2006/relationships/theme" Target="/xl/theme/theme1.xml" Id="R7bc78168345b4b9d" /><Relationship Type="http://schemas.openxmlformats.org/officeDocument/2006/relationships/sharedStrings" Target="/xl/sharedStrings.xml" Id="R4850a146e7dd4733" /><Relationship Type="http://schemas.openxmlformats.org/officeDocument/2006/relationships/worksheet" Target="/xl/worksheets/sheet1.xml" Id="R2981cb4f6a5c4e7d" /><Relationship Type="http://schemas.openxmlformats.org/officeDocument/2006/relationships/worksheet" Target="/xl/worksheets/sheet2.xml" Id="Rbc4cd64556874b13" /><Relationship Type="http://schemas.openxmlformats.org/officeDocument/2006/relationships/worksheet" Target="/xl/worksheets/sheet3.xml" Id="R5a735bbd25f045e3" /><Relationship Type="http://schemas.openxmlformats.org/officeDocument/2006/relationships/worksheet" Target="/xl/worksheets/sheet4.xml" Id="R7b623d9e3dd64974" /><Relationship Type="http://schemas.openxmlformats.org/officeDocument/2006/relationships/worksheet" Target="/xl/worksheets/sheet5.xml" Id="R8ad6811ecc40478e" /><Relationship Type="http://schemas.openxmlformats.org/officeDocument/2006/relationships/worksheet" Target="/xl/worksheets/sheet6.xml" Id="R7eca501aec284362" /><Relationship Type="http://schemas.openxmlformats.org/officeDocument/2006/relationships/worksheet" Target="/xl/worksheets/sheet7.xml" Id="R82d816cf9d3443db" /><Relationship Type="http://schemas.openxmlformats.org/officeDocument/2006/relationships/worksheet" Target="/xl/worksheets/sheet8.xml" Id="R65397e27bdb948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2" hidden="0" customWidth="1"/>
    <x:col min="2" max="2" width="18" hidden="0" customWidth="1"/>
    <x:col min="3" max="3" width="60" hidden="0" customWidth="1"/>
  </x:cols>
  <x:sheetData>
    <x:row r="1" ht="27" customHeight="1">
      <x:c r="A1" s="2" t="str">
        <x:v>Juniper Flats | Editable underwriting assumptions</x:v>
      </x:c>
    </x:row>
    <x:row r="2" ht="36" customHeight="1">
      <x:c r="A2" s="4" t="str">
        <x:v>As of 2026-08-31. [INPUT] cells may be changed; all downstream sheets recalculate.</x:v>
      </x:c>
    </x:row>
    <x:row r="4" ht="25" customHeight="1">
      <x:c r="A4" s="6" t="str">
        <x:v>Revenue inputs (underwriting scenario, Sep-2026 forward)</x:v>
      </x:c>
    </x:row>
    <x:row r="5" ht="36" customHeight="1">
      <x:c r="A5" s="1" t="str">
        <x:v>Gross potential base rent (annual) [INPUT]</x:v>
      </x:c>
      <x:c r="B5" s="8" t="n">
        <x:v>864000</x:v>
      </x:c>
      <x:c r="C5" s="4" t="str">
        <x:v>Property-and-Plan.pdf p.2, scenario amount</x:v>
      </x:c>
    </x:row>
    <x:row r="6" ht="36" customHeight="1">
      <x:c r="A6" s="1" t="str">
        <x:v>Combined revenue loss % of GPR [INPUT]</x:v>
      </x:c>
      <x:c r="B6" s="9" t="n">
        <x:v>0.06</x:v>
      </x:c>
      <x:c r="C6" s="4" t="str">
        <x:v>Vacancy, concessions, bad debt</x:v>
      </x:c>
    </x:row>
    <x:row r="7" ht="36" customHeight="1">
      <x:c r="A7" s="1" t="str">
        <x:v>Other income / recoveries (annual) [INPUT]</x:v>
      </x:c>
      <x:c r="B7" s="8" t="n">
        <x:v>42000</x:v>
      </x:c>
      <x:c r="C7" s="4" t="str">
        <x:v>Added after revenue loss</x:v>
      </x:c>
    </x:row>
    <x:row r="8" ht="22" customHeight="1">
      <x:c r="A8" s="11" t="str">
        <x:v>Underwritten EGI (calculated)</x:v>
      </x:c>
      <x:c r="B8" s="14" t="n">
        <x:f>B5*(1-B6)+B7</x:f>
        <x:v>854160</x:v>
      </x:c>
    </x:row>
    <x:row r="10" ht="25" customHeight="1">
      <x:c r="A10" s="6" t="str">
        <x:v>Underwritten operating expense inputs (before reserves)</x:v>
      </x:c>
    </x:row>
    <x:row r="11" ht="22" customHeight="1">
      <x:c r="A11" s="1" t="str">
        <x:v>Real estate taxes [INPUT]</x:v>
      </x:c>
      <x:c r="B11" s="8" t="n">
        <x:v>112000</x:v>
      </x:c>
    </x:row>
    <x:row r="12" ht="22" customHeight="1">
      <x:c r="A12" s="1" t="str">
        <x:v>Property insurance (renewal quote in plan) [INPUT]</x:v>
      </x:c>
      <x:c r="B12" s="8" t="n">
        <x:v>33600</x:v>
      </x:c>
    </x:row>
    <x:row r="13" ht="22" customHeight="1">
      <x:c r="A13" s="1" t="str">
        <x:v>Utilities (T12 actual) [INPUT]</x:v>
      </x:c>
      <x:c r="B13" s="8" t="n">
        <x:v>28800</x:v>
      </x:c>
    </x:row>
    <x:row r="14" ht="22" customHeight="1">
      <x:c r="A14" s="1" t="str">
        <x:v>Repairs and maintenance (T12 46,200 less 6,000 casualty) [INPUT]</x:v>
      </x:c>
      <x:c r="B14" s="8" t="n">
        <x:v>40200</x:v>
      </x:c>
    </x:row>
    <x:row r="15" ht="22" customHeight="1">
      <x:c r="A15" s="1" t="str">
        <x:v>Payroll / contract labor (T12 actual) [INPUT]</x:v>
      </x:c>
      <x:c r="B15" s="8" t="n">
        <x:v>42000</x:v>
      </x:c>
    </x:row>
    <x:row r="16" ht="22" customHeight="1">
      <x:c r="A16" s="1" t="str">
        <x:v>Administrative / legal (T12 actual) [INPUT]</x:v>
      </x:c>
      <x:c r="B16" s="8" t="n">
        <x:v>21600</x:v>
      </x:c>
    </x:row>
    <x:row r="17" ht="22" customHeight="1">
      <x:c r="A17" s="1" t="str">
        <x:v>Management fee - T12 actual floor [INPUT]</x:v>
      </x:c>
      <x:c r="B17" s="8" t="n">
        <x:v>30000</x:v>
      </x:c>
    </x:row>
    <x:row r="18" ht="22" customHeight="1">
      <x:c r="A18" s="1" t="str">
        <x:v>Management fee - % of underwritten EGI [INPUT]</x:v>
      </x:c>
      <x:c r="B18" s="9" t="n">
        <x:v>0.03</x:v>
      </x:c>
    </x:row>
    <x:row r="19" ht="22" customHeight="1">
      <x:c r="A19" s="11" t="str">
        <x:v>Normalized management fee (greater of)</x:v>
      </x:c>
      <x:c r="B19" s="14" t="n">
        <x:f>MAX(B17,B18*B8)</x:f>
        <x:v>30000</x:v>
      </x:c>
    </x:row>
    <x:row r="21" ht="25" customHeight="1">
      <x:c r="A21" s="6" t="str">
        <x:v>Reserves</x:v>
      </x:c>
    </x:row>
    <x:row r="22" ht="22" customHeight="1">
      <x:c r="A22" s="1" t="str">
        <x:v>Units (rent roll count) [INPUT]</x:v>
      </x:c>
      <x:c r="B22" s="8" t="n">
        <x:v>36</x:v>
      </x:c>
    </x:row>
    <x:row r="23" ht="22" customHeight="1">
      <x:c r="A23" s="1" t="str">
        <x:v>Replacement reserves per unit per year [INPUT]</x:v>
      </x:c>
      <x:c r="B23" s="8" t="n">
        <x:v>300</x:v>
      </x:c>
    </x:row>
    <x:row r="24" ht="22" customHeight="1">
      <x:c r="A24" s="11" t="str">
        <x:v>Underwritten replacement reserves</x:v>
      </x:c>
      <x:c r="B24" s="14" t="n">
        <x:f>B22*B23</x:f>
        <x:v>10800</x:v>
      </x:c>
    </x:row>
    <x:row r="26" ht="25" customHeight="1">
      <x:c r="A26" s="6" t="str">
        <x:v>Valuation and loan terms</x:v>
      </x:c>
    </x:row>
    <x:row r="27" ht="22" customHeight="1">
      <x:c r="A27" s="1" t="str">
        <x:v>Capitalization rate [INPUT]</x:v>
      </x:c>
      <x:c r="B27" s="9" t="n">
        <x:v>0.0625</x:v>
      </x:c>
    </x:row>
    <x:row r="28" ht="22" customHeight="1">
      <x:c r="A28" s="1" t="str">
        <x:v>Cap rate sensitivity increment (separate test) [INPUT]</x:v>
      </x:c>
      <x:c r="B28" s="9" t="n">
        <x:v>0.005</x:v>
      </x:c>
    </x:row>
    <x:row r="29" ht="22" customHeight="1">
      <x:c r="A29" s="1" t="str">
        <x:v>Contract rate (fixed, actual debt service) [INPUT]</x:v>
      </x:c>
      <x:c r="B29" s="15" t="n">
        <x:v>0.059</x:v>
      </x:c>
    </x:row>
    <x:row r="30" ht="22" customHeight="1">
      <x:c r="A30" s="1" t="str">
        <x:v>Underwriting rate floor [INPUT]</x:v>
      </x:c>
      <x:c r="B30" s="15" t="n">
        <x:v>0.0625</x:v>
      </x:c>
    </x:row>
    <x:row r="31" ht="22" customHeight="1">
      <x:c r="A31" s="1" t="str">
        <x:v>Sizing rate base = greater of contract and floor</x:v>
      </x:c>
      <x:c r="B31" s="16" t="n">
        <x:f>MAX(B29,B30)</x:f>
        <x:v>0.0625</x:v>
      </x:c>
    </x:row>
    <x:row r="32" ht="22" customHeight="1">
      <x:c r="A32" s="1" t="str">
        <x:v>Sizing rate increment [INPUT]</x:v>
      </x:c>
      <x:c r="B32" s="15" t="n">
        <x:v>0</x:v>
      </x:c>
    </x:row>
    <x:row r="33" ht="22" customHeight="1">
      <x:c r="A33" s="11" t="str">
        <x:v>Sizing rate used</x:v>
      </x:c>
      <x:c r="B33" s="18" t="n">
        <x:f>B31+B32</x:f>
        <x:v>0.0625</x:v>
      </x:c>
    </x:row>
    <x:row r="34" ht="22" customHeight="1">
      <x:c r="A34" s="1" t="str">
        <x:v>Amortization (years) [INPUT]</x:v>
      </x:c>
      <x:c r="B34" s="8" t="n">
        <x:v>30</x:v>
      </x:c>
    </x:row>
    <x:row r="35" ht="22" customHeight="1">
      <x:c r="A35" s="1" t="str">
        <x:v>Payments per year [INPUT]</x:v>
      </x:c>
      <x:c r="B35" s="8" t="n">
        <x:v>12</x:v>
      </x:c>
    </x:row>
    <x:row r="36" ht="22" customHeight="1">
      <x:c r="A36" s="1" t="str">
        <x:v>Interest-only period (months) [INPUT]</x:v>
      </x:c>
      <x:c r="B36" s="8" t="n">
        <x:v>24</x:v>
      </x:c>
    </x:row>
    <x:row r="37" ht="22" customHeight="1">
      <x:c r="A37" s="1" t="str">
        <x:v>Maximum LTV [INPUT]</x:v>
      </x:c>
      <x:c r="B37" s="9" t="n">
        <x:v>0.65</x:v>
      </x:c>
    </x:row>
    <x:row r="38" ht="22" customHeight="1">
      <x:c r="A38" s="1" t="str">
        <x:v>Minimum DSCR (NCF after reserves) [INPUT]</x:v>
      </x:c>
      <x:c r="B38" s="19" t="n">
        <x:v>1.25</x:v>
      </x:c>
    </x:row>
    <x:row r="39" ht="22" customHeight="1">
      <x:c r="A39" s="1" t="str">
        <x:v>Minimum debt yield (NCF after reserves) [INPUT]</x:v>
      </x:c>
      <x:c r="B39" s="9" t="n">
        <x:v>0.085</x:v>
      </x:c>
    </x:row>
    <x:row r="40" ht="22" customHeight="1">
      <x:c r="A40" s="1" t="str">
        <x:v>Origination fee % of initial principal [INPUT]</x:v>
      </x:c>
      <x:c r="B40" s="9" t="n">
        <x:v>0.0075</x:v>
      </x:c>
    </x:row>
    <x:row r="41" ht="22" customHeight="1">
      <x:c r="A41" s="1" t="str">
        <x:v>Existing debt payoff [INPUT]</x:v>
      </x:c>
      <x:c r="B41" s="8" t="n">
        <x:v>3300000</x:v>
      </x:c>
    </x:row>
    <x:row r="42" ht="22" customHeight="1">
      <x:c r="A42" s="1" t="str">
        <x:v>Fixed closing costs [INPUT]</x:v>
      </x:c>
      <x:c r="B42" s="8" t="n">
        <x:v>45000</x:v>
      </x:c>
    </x:row>
    <x:row r="44" ht="25" customHeight="1">
      <x:c r="A44" s="6" t="str">
        <x:v>Downside test parameters</x:v>
      </x:c>
    </x:row>
    <x:row r="45" ht="22" customHeight="1">
      <x:c r="A45" s="1" t="str">
        <x:v>EGI stress factor [INPUT]</x:v>
      </x:c>
      <x:c r="B45" s="9" t="n">
        <x:v>0.95</x:v>
      </x:c>
    </x:row>
    <x:row r="46" ht="22" customHeight="1">
      <x:c r="A46" s="1" t="str">
        <x:v>Sizing rate stress (bps as decimal) [INPUT]</x:v>
      </x:c>
      <x:c r="B46" s="15" t="n">
        <x:v>0.01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6" hidden="0" customWidth="1"/>
    <x:col min="2" max="2" width="18" hidden="0" customWidth="1"/>
  </x:cols>
  <x:sheetData>
    <x:row r="1" ht="27" customHeight="1">
      <x:c r="A1" s="2" t="str">
        <x:v>Historical T12 | September 2025 - August 2026 (actual)</x:v>
      </x:c>
    </x:row>
    <x:row r="2" ht="36" customHeight="1">
      <x:c r="A2" s="4" t="str">
        <x:v>Source: T12-Statement.pdf pp.1-2, Annual column. Historical only - not underwriting.</x:v>
      </x:c>
    </x:row>
    <x:row r="4" ht="22" customHeight="1">
      <x:c r="A4" s="1" t="str">
        <x:v>Gross potential base rent</x:v>
      </x:c>
      <x:c r="B4" s="12" t="n">
        <x:v>840000</x:v>
      </x:c>
    </x:row>
    <x:row r="5" ht="22" customHeight="1">
      <x:c r="A5" s="1" t="str">
        <x:v>Vacancy loss</x:v>
      </x:c>
      <x:c r="B5" s="12" t="n">
        <x:v>-42000</x:v>
      </x:c>
    </x:row>
    <x:row r="6" ht="22" customHeight="1">
      <x:c r="A6" s="1" t="str">
        <x:v>Concessions</x:v>
      </x:c>
      <x:c r="B6" s="12" t="n">
        <x:v>-12000</x:v>
      </x:c>
    </x:row>
    <x:row r="7" ht="22" customHeight="1">
      <x:c r="A7" s="1" t="str">
        <x:v>Bad debt</x:v>
      </x:c>
      <x:c r="B7" s="12" t="n">
        <x:v>-4500</x:v>
      </x:c>
    </x:row>
    <x:row r="8" ht="22" customHeight="1">
      <x:c r="A8" s="1" t="str">
        <x:v>Net rental income</x:v>
      </x:c>
      <x:c r="B8" s="12" t="n">
        <x:f>SUM(B4:B7)</x:f>
        <x:v>781500</x:v>
      </x:c>
    </x:row>
    <x:row r="9" ht="22" customHeight="1">
      <x:c r="A9" s="1" t="str">
        <x:v>Other income / recoveries</x:v>
      </x:c>
      <x:c r="B9" s="12" t="n">
        <x:v>39600</x:v>
      </x:c>
    </x:row>
    <x:row r="10" ht="22" customHeight="1">
      <x:c r="A10" s="11" t="str">
        <x:v>T12 effective gross income (EGI)</x:v>
      </x:c>
      <x:c r="B10" s="14" t="n">
        <x:f>B8+B9</x:f>
        <x:v>821100</x:v>
      </x:c>
    </x:row>
    <x:row r="12" ht="22" customHeight="1">
      <x:c r="A12" s="1" t="str">
        <x:v>Real estate taxes</x:v>
      </x:c>
      <x:c r="B12" s="12" t="n">
        <x:v>108000</x:v>
      </x:c>
    </x:row>
    <x:row r="13" ht="22" customHeight="1">
      <x:c r="A13" s="1" t="str">
        <x:v>Property insurance</x:v>
      </x:c>
      <x:c r="B13" s="12" t="n">
        <x:v>31200</x:v>
      </x:c>
    </x:row>
    <x:row r="14" ht="22" customHeight="1">
      <x:c r="A14" s="1" t="str">
        <x:v>Utilities</x:v>
      </x:c>
      <x:c r="B14" s="12" t="n">
        <x:v>28800</x:v>
      </x:c>
    </x:row>
    <x:row r="15" ht="22" customHeight="1">
      <x:c r="A15" s="1" t="str">
        <x:v>Repairs and maintenance (incl. 6,000 one-time casualty)</x:v>
      </x:c>
      <x:c r="B15" s="12" t="n">
        <x:v>46200</x:v>
      </x:c>
    </x:row>
    <x:row r="16" ht="22" customHeight="1">
      <x:c r="A16" s="1" t="str">
        <x:v>Payroll / contract labor</x:v>
      </x:c>
      <x:c r="B16" s="12" t="n">
        <x:v>42000</x:v>
      </x:c>
    </x:row>
    <x:row r="17" ht="22" customHeight="1">
      <x:c r="A17" s="1" t="str">
        <x:v>Administrative / legal</x:v>
      </x:c>
      <x:c r="B17" s="12" t="n">
        <x:v>21600</x:v>
      </x:c>
    </x:row>
    <x:row r="18" ht="22" customHeight="1">
      <x:c r="A18" s="1" t="str">
        <x:v>Management fee</x:v>
      </x:c>
      <x:c r="B18" s="12" t="n">
        <x:v>30000</x:v>
      </x:c>
    </x:row>
    <x:row r="19" ht="22" customHeight="1">
      <x:c r="A19" s="11" t="str">
        <x:v>T12 operating expenses (excl. reserves/capex/debt/depreciation)</x:v>
      </x:c>
      <x:c r="B19" s="14" t="n">
        <x:f>SUM(B12:B18)</x:f>
        <x:v>307800</x:v>
      </x:c>
    </x:row>
    <x:row r="20" ht="22" customHeight="1">
      <x:c r="A20" s="11" t="str">
        <x:v>T12 NOI before replacement reserves</x:v>
      </x:c>
      <x:c r="B20" s="14" t="n">
        <x:f>B10-B19</x:f>
        <x:v>513300</x:v>
      </x:c>
    </x:row>
    <x:row r="21" ht="22" customHeight="1">
      <x:c r="A21" s="1" t="str">
        <x:v>Replacement reserves (below NOI)</x:v>
      </x:c>
      <x:c r="B21" s="12" t="n">
        <x:v>10800</x:v>
      </x:c>
    </x:row>
    <x:row r="22" ht="22" customHeight="1">
      <x:c r="A22" s="11" t="str">
        <x:v>T12 NCF after replacement reserves</x:v>
      </x:c>
      <x:c r="B22" s="14" t="n">
        <x:f>B20-B21</x:f>
        <x:v>502500</x:v>
      </x:c>
    </x:row>
    <x:row r="24" ht="25" customHeight="1">
      <x:c r="A24" s="6" t="str">
        <x:v>Below-the-line items shown for reconciliation only</x:v>
      </x:c>
    </x:row>
    <x:row r="25" ht="22" customHeight="1">
      <x:c r="A25" s="1" t="str">
        <x:v>Capital improvements</x:v>
      </x:c>
      <x:c r="B25" s="12" t="n">
        <x:v>62000</x:v>
      </x:c>
    </x:row>
    <x:row r="26" ht="22" customHeight="1">
      <x:c r="A26" s="1" t="str">
        <x:v>Loan principal and interest (existing debt)</x:v>
      </x:c>
      <x:c r="B26" s="12" t="n">
        <x:v>294000</x:v>
      </x:c>
    </x:row>
    <x:row r="27" ht="22" customHeight="1">
      <x:c r="A27" s="1" t="str">
        <x:v>Depreciation (noncash)</x:v>
      </x:c>
      <x:c r="B27" s="12" t="n">
        <x:v>180000</x:v>
      </x:c>
    </x:row>
    <x:row r="29" ht="36" customHeight="1">
      <x:c r="A29" s="4" t="str">
        <x:v>Note: the accounting package may label cash flow after reserves as 'property NOI'; both measures are shown separately above.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</x:cols>
  <x:sheetData>
    <x:row r="1" ht="27" customHeight="1">
      <x:c r="A1" s="2" t="str">
        <x:v>Rent roll summary | as of 2026-08-31</x:v>
      </x:c>
    </x:row>
    <x:row r="2" ht="36" customHeight="1">
      <x:c r="A2" s="4" t="str">
        <x:v>Source: Rent-Roll.xlsx 'Rent Roll' rows 7-42. Vacant units 109, 125, 136 carry market rent only.</x:v>
      </x:c>
    </x:row>
    <x:row r="4" ht="25" customHeight="1">
      <x:c r="A4" s="6" t="str">
        <x:v>Unit type</x:v>
      </x:c>
      <x:c r="B4" s="6" t="str">
        <x:v>Units</x:v>
      </x:c>
      <x:c r="C4" s="6" t="str">
        <x:v>Occupied</x:v>
      </x:c>
      <x:c r="D4" s="6" t="str">
        <x:v>Area SF/unit</x:v>
      </x:c>
      <x:c r="E4" s="6" t="str">
        <x:v>Monthly rent/unit</x:v>
      </x:c>
      <x:c r="F4" s="6" t="str">
        <x:v>Total SF</x:v>
      </x:c>
      <x:c r="G4" s="6" t="str">
        <x:v>Occupied SF</x:v>
      </x:c>
    </x:row>
    <x:row r="5" ht="22" customHeight="1">
      <x:c r="A5" s="1" t="str">
        <x:v>One-bedroom (units 101-120)</x:v>
      </x:c>
      <x:c r="B5" s="8" t="n">
        <x:v>20</x:v>
      </x:c>
      <x:c r="C5" s="8" t="n">
        <x:v>19</x:v>
      </x:c>
      <x:c r="D5" s="8" t="n">
        <x:v>750</x:v>
      </x:c>
      <x:c r="E5" s="8" t="n">
        <x:v>1675</x:v>
      </x:c>
      <x:c r="F5" s="12" t="n">
        <x:f>B5*D5</x:f>
        <x:v>15000</x:v>
      </x:c>
      <x:c r="G5" s="12" t="n">
        <x:f>C5*D5</x:f>
        <x:v>14250</x:v>
      </x:c>
    </x:row>
    <x:row r="6" ht="22" customHeight="1">
      <x:c r="A6" s="1" t="str">
        <x:v>Two-bedroom (units 121-136)</x:v>
      </x:c>
      <x:c r="B6" s="8" t="n">
        <x:v>16</x:v>
      </x:c>
      <x:c r="C6" s="8" t="n">
        <x:v>14</x:v>
      </x:c>
      <x:c r="D6" s="8" t="n">
        <x:v>1050</x:v>
      </x:c>
      <x:c r="E6" s="8" t="n">
        <x:v>2175</x:v>
      </x:c>
      <x:c r="F6" s="12" t="n">
        <x:f>B6*D6</x:f>
        <x:v>16800</x:v>
      </x:c>
      <x:c r="G6" s="12" t="n">
        <x:f>C6*D6</x:f>
        <x:v>14700</x:v>
      </x:c>
    </x:row>
    <x:row r="7" ht="22" customHeight="1">
      <x:c r="A7" s="11" t="str">
        <x:v>Total / weighted</x:v>
      </x:c>
      <x:c r="B7" s="14" t="n">
        <x:f>SUM(B5:B6)</x:f>
        <x:v>36</x:v>
      </x:c>
      <x:c r="C7" s="14" t="n">
        <x:f>SUM(C5:C6)</x:f>
        <x:v>33</x:v>
      </x:c>
      <x:c r="F7" s="14" t="n">
        <x:f>SUM(F5:F6)</x:f>
        <x:v>31800</x:v>
      </x:c>
      <x:c r="G7" s="14" t="n">
        <x:f>SUM(G5:G6)</x:f>
        <x:v>28950</x:v>
      </x:c>
    </x:row>
    <x:row r="9" ht="22" customHeight="1">
      <x:c r="A9" s="1" t="str">
        <x:v>space_count (units)</x:v>
      </x:c>
      <x:c r="B9" s="12" t="n">
        <x:f>B7</x:f>
        <x:v>36</x:v>
      </x:c>
    </x:row>
    <x:row r="10" ht="22" customHeight="1">
      <x:c r="A10" s="1" t="str">
        <x:v>occupied_count</x:v>
      </x:c>
      <x:c r="B10" s="12" t="n">
        <x:f>C7</x:f>
        <x:v>33</x:v>
      </x:c>
    </x:row>
    <x:row r="11" ht="22" customHeight="1">
      <x:c r="A11" s="1" t="str">
        <x:v>total_area_sf</x:v>
      </x:c>
      <x:c r="B11" s="12" t="n">
        <x:f>F7</x:f>
        <x:v>31800</x:v>
      </x:c>
    </x:row>
    <x:row r="12" ht="22" customHeight="1">
      <x:c r="A12" s="1" t="str">
        <x:v>occupied_area_sf</x:v>
      </x:c>
      <x:c r="B12" s="12" t="n">
        <x:f>G7</x:f>
        <x:v>28950</x:v>
      </x:c>
    </x:row>
    <x:row r="13" ht="22" customHeight="1">
      <x:c r="A13" s="1" t="str">
        <x:v>occupancy_count_pct</x:v>
      </x:c>
      <x:c r="B13" s="20" t="n">
        <x:f>100*B10/B9</x:f>
        <x:v>91.66666666666667</x:v>
      </x:c>
    </x:row>
    <x:row r="14" ht="22" customHeight="1">
      <x:c r="A14" s="1" t="str">
        <x:v>occupancy_area_pct</x:v>
      </x:c>
      <x:c r="B14" s="20" t="n">
        <x:f>100*B12/B11</x:f>
        <x:v>91.0377358490566</x:v>
      </x:c>
    </x:row>
    <x:row r="15" ht="22" customHeight="1">
      <x:c r="A15" s="11" t="str">
        <x:v>rent_roll_monthly_base (as printed)</x:v>
      </x:c>
      <x:c r="B15" s="14" t="n">
        <x:f>C5*E5+C6*E6</x:f>
        <x:v>62275</x:v>
      </x:c>
    </x:row>
    <x:row r="16" ht="22" customHeight="1">
      <x:c r="A16" s="11" t="str">
        <x:v>effective_monthly_base (after authoritative lease review)</x:v>
      </x:c>
      <x:c r="B16" s="14" t="n">
        <x:f>B15</x:f>
        <x:v>62275</x:v>
      </x:c>
    </x:row>
    <x:row r="17" ht="22" customHeight="1">
      <x:c r="A17" s="1" t="str">
        <x:v>Annualized contractual base rent (context only)</x:v>
      </x:c>
      <x:c r="B17" s="12" t="n">
        <x:f>B16*12</x:f>
        <x:v>747300</x:v>
      </x:c>
    </x:row>
    <x:row r="19" ht="36" customHeight="1">
      <x:c r="A19" s="4" t="str">
        <x:v>No executed amendment changes unit 101 rent (Lease-File.pdf p.1 s.3); rent roll and lease agree at $1,675/month. Annualized contractual rent is not used as underwritten EGI.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6" hidden="0" customWidth="1"/>
    <x:col min="2" max="2" width="18" hidden="0" customWidth="1"/>
  </x:cols>
  <x:sheetData>
    <x:row r="1" ht="27" customHeight="1">
      <x:c r="A1" s="2" t="str">
        <x:v>Underwritten cash flow | scenario, September 2026 forward</x:v>
      </x:c>
    </x:row>
    <x:row r="2" ht="36" customHeight="1">
      <x:c r="A2" s="4" t="str">
        <x:v>Driven by editable inputs on Assumptions. Separate from historical T12.</x:v>
      </x:c>
    </x:row>
    <x:row r="4" ht="22" customHeight="1">
      <x:c r="A4" s="1" t="str">
        <x:v>Gross potential base rent</x:v>
      </x:c>
      <x:c r="B4" s="22" t="n">
        <x:f>Assumptions!B5</x:f>
        <x:v>864000</x:v>
      </x:c>
    </x:row>
    <x:row r="5" ht="22" customHeight="1">
      <x:c r="A5" s="1" t="str">
        <x:v>Combined revenue loss (vacancy/concessions/bad debt)</x:v>
      </x:c>
      <x:c r="B5" s="22" t="n">
        <x:f>-Assumptions!B5*Assumptions!B6</x:f>
        <x:v>-51840</x:v>
      </x:c>
    </x:row>
    <x:row r="6" ht="22" customHeight="1">
      <x:c r="A6" s="1" t="str">
        <x:v>Other income / recoveries</x:v>
      </x:c>
      <x:c r="B6" s="22" t="n">
        <x:f>Assumptions!B7</x:f>
        <x:v>42000</x:v>
      </x:c>
    </x:row>
    <x:row r="7" ht="22" customHeight="1">
      <x:c r="A7" s="11" t="str">
        <x:v>Underwritten EGI (uw_egi)</x:v>
      </x:c>
      <x:c r="B7" s="14" t="n">
        <x:f>B4+B5+B6</x:f>
        <x:v>854160</x:v>
      </x:c>
    </x:row>
    <x:row r="9" ht="22" customHeight="1">
      <x:c r="A9" s="1" t="str">
        <x:v>Real estate taxes</x:v>
      </x:c>
      <x:c r="B9" s="22" t="n">
        <x:f>Assumptions!B11</x:f>
        <x:v>112000</x:v>
      </x:c>
    </x:row>
    <x:row r="10" ht="22" customHeight="1">
      <x:c r="A10" s="1" t="str">
        <x:v>Property insurance</x:v>
      </x:c>
      <x:c r="B10" s="22" t="n">
        <x:f>Assumptions!B12</x:f>
        <x:v>33600</x:v>
      </x:c>
    </x:row>
    <x:row r="11" ht="22" customHeight="1">
      <x:c r="A11" s="1" t="str">
        <x:v>Utilities</x:v>
      </x:c>
      <x:c r="B11" s="22" t="n">
        <x:f>Assumptions!B13</x:f>
        <x:v>28800</x:v>
      </x:c>
    </x:row>
    <x:row r="12" ht="22" customHeight="1">
      <x:c r="A12" s="1" t="str">
        <x:v>Repairs and maintenance (normalized)</x:v>
      </x:c>
      <x:c r="B12" s="22" t="n">
        <x:f>Assumptions!B14</x:f>
        <x:v>40200</x:v>
      </x:c>
    </x:row>
    <x:row r="13" ht="22" customHeight="1">
      <x:c r="A13" s="1" t="str">
        <x:v>Payroll / contract labor</x:v>
      </x:c>
      <x:c r="B13" s="22" t="n">
        <x:f>Assumptions!B15</x:f>
        <x:v>42000</x:v>
      </x:c>
    </x:row>
    <x:row r="14" ht="22" customHeight="1">
      <x:c r="A14" s="1" t="str">
        <x:v>Administrative / legal</x:v>
      </x:c>
      <x:c r="B14" s="22" t="n">
        <x:f>Assumptions!B16</x:f>
        <x:v>21600</x:v>
      </x:c>
    </x:row>
    <x:row r="15" ht="22" customHeight="1">
      <x:c r="A15" s="1" t="str">
        <x:v>Management fee (lender-normalized, greater-of test)</x:v>
      </x:c>
      <x:c r="B15" s="22" t="n">
        <x:f>MAX(Assumptions!B17,Assumptions!B18*B7)</x:f>
        <x:v>30000</x:v>
      </x:c>
    </x:row>
    <x:row r="16" ht="22" customHeight="1">
      <x:c r="A16" s="11" t="str">
        <x:v>Total underwritten operating expenses before reserves</x:v>
      </x:c>
      <x:c r="B16" s="14" t="n">
        <x:f>SUM(B9:B15)</x:f>
        <x:v>308200</x:v>
      </x:c>
    </x:row>
    <x:row r="17" ht="22" customHeight="1">
      <x:c r="A17" s="11" t="str">
        <x:v>Underwritten NOI before reserves</x:v>
      </x:c>
      <x:c r="B17" s="14" t="n">
        <x:f>B7-B16</x:f>
        <x:v>545960</x:v>
      </x:c>
    </x:row>
    <x:row r="18" ht="22" customHeight="1">
      <x:c r="A18" s="1" t="str">
        <x:v>Replacement reserves ($/unit/yr x units)</x:v>
      </x:c>
      <x:c r="B18" s="22" t="n">
        <x:f>Assumptions!B24</x:f>
        <x:v>10800</x:v>
      </x:c>
    </x:row>
    <x:row r="19" ht="22" customHeight="1">
      <x:c r="A19" s="11" t="str">
        <x:v>Underwritten NCF after reserves</x:v>
      </x:c>
      <x:c r="B19" s="14" t="n">
        <x:f>B17-B18</x:f>
        <x:v>535160</x:v>
      </x:c>
    </x:row>
    <x:row r="21" ht="22" customHeight="1">
      <x:c r="A21" s="1" t="str">
        <x:v>Capitalization rate</x:v>
      </x:c>
      <x:c r="B21" s="23" t="n">
        <x:f>Assumptions!B27</x:f>
        <x:v>0.0625</x:v>
      </x:c>
    </x:row>
    <x:row r="22" ht="22" customHeight="1">
      <x:c r="A22" s="11" t="str">
        <x:v>Indicative capitalization value (NOI before reserves / cap rate)</x:v>
      </x:c>
      <x:c r="B22" s="14" t="n">
        <x:f>B17/B21</x:f>
        <x:v>8735360</x:v>
      </x:c>
    </x:row>
    <x:row r="24" ht="22" customHeight="1">
      <x:c r="A24" s="1" t="str">
        <x:v>Expense ratio (opex before reserves / EGI)</x:v>
      </x:c>
      <x:c r="B24" s="24" t="n">
        <x:f>B16/B7</x:f>
        <x:v>0.36082232836939215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8" hidden="0" customWidth="1"/>
    <x:col min="2" max="2" width="18" hidden="0" customWidth="1"/>
  </x:cols>
  <x:sheetData>
    <x:row r="1" ht="27" customHeight="1">
      <x:c r="A1" s="2" t="str">
        <x:v>Loan sizing | three constraints</x:v>
      </x:c>
    </x:row>
    <x:row r="2" ht="36" customHeight="1">
      <x:c r="A2" s="4" t="str">
        <x:v>Lender definitions per Lender-Terms.pdf p.1. Sizing uses unrounded values.</x:v>
      </x:c>
    </x:row>
    <x:row r="4" ht="22" customHeight="1">
      <x:c r="A4" s="1" t="str">
        <x:v>Underwritten NOI before reserves</x:v>
      </x:c>
      <x:c r="B4" s="22" t="n">
        <x:f>Underwriting!B17</x:f>
        <x:v>545960</x:v>
      </x:c>
    </x:row>
    <x:row r="5" ht="22" customHeight="1">
      <x:c r="A5" s="1" t="str">
        <x:v>Underwritten NCF after reserves</x:v>
      </x:c>
      <x:c r="B5" s="22" t="n">
        <x:f>Underwriting!B19</x:f>
        <x:v>535160</x:v>
      </x:c>
    </x:row>
    <x:row r="6" ht="22" customHeight="1">
      <x:c r="A6" s="1" t="str">
        <x:v>Sizing rate (greater of contract and floor, plus increment)</x:v>
      </x:c>
      <x:c r="B6" s="25" t="n">
        <x:f>Assumptions!B33</x:f>
        <x:v>0.0625</x:v>
      </x:c>
    </x:row>
    <x:row r="7" ht="22" customHeight="1">
      <x:c r="A7" s="11" t="str">
        <x:v>Annual debt constant per $1 (12 monthly payments, 30-yr amort)</x:v>
      </x:c>
      <x:c r="B7" s="28" t="n">
        <x:f>-Assumptions!B35*PMT(B6/Assumptions!B35,Assumptions!B34*Assumptions!B35,1)</x:f>
        <x:v>0.07388606405116699</x:v>
      </x:c>
    </x:row>
    <x:row r="9" ht="22" customHeight="1">
      <x:c r="A9" s="1" t="str">
        <x:v>Indicative value (NOI before reserves / cap rate)</x:v>
      </x:c>
      <x:c r="B9" s="22" t="n">
        <x:f>Underwriting!B22</x:f>
        <x:v>8735360</x:v>
      </x:c>
    </x:row>
    <x:row r="10" ht="22" customHeight="1">
      <x:c r="A10" s="11" t="str">
        <x:v>LTV constraint (65% of value)</x:v>
      </x:c>
      <x:c r="B10" s="14" t="n">
        <x:f>Assumptions!B37*B9</x:f>
        <x:v>5677984</x:v>
      </x:c>
    </x:row>
    <x:row r="11" ht="22" customHeight="1">
      <x:c r="A11" s="11" t="str">
        <x:v>DSCR constraint ((NCF / 1.25x) / annual constant)</x:v>
      </x:c>
      <x:c r="B11" s="14" t="n">
        <x:f>(B5/Assumptions!B38)/B7</x:f>
        <x:v>5794435.060223484</x:v>
      </x:c>
    </x:row>
    <x:row r="12" ht="22" customHeight="1">
      <x:c r="A12" s="11" t="str">
        <x:v>Debt-yield constraint (NCF after reserves / 8.50%)</x:v>
      </x:c>
      <x:c r="B12" s="14" t="n">
        <x:f>B5/Assumptions!B39</x:f>
        <x:v>6296000</x:v>
      </x:c>
    </x:row>
    <x:row r="14" ht="22" customHeight="1">
      <x:c r="A14" s="11" t="str">
        <x:v>Maximum loan (lowest constraint)</x:v>
      </x:c>
      <x:c r="B14" s="14" t="n">
        <x:f>MIN(B10,B11,B12)</x:f>
        <x:v>5677984</x:v>
      </x:c>
    </x:row>
    <x:row r="15" ht="22" customHeight="1">
      <x:c r="A15" s="11" t="str">
        <x:v>Binding constraint</x:v>
      </x:c>
      <x:c r="B15" s="11" t="str">
        <x:f>IF(B14=B10,"LTV",IF(B14=B11,"DSCR","Debt yield"))</x:f>
        <x:v>LTV</x:v>
      </x:c>
    </x:row>
    <x:row r="17" ht="22" customHeight="1">
      <x:c r="A17" s="11" t="str">
        <x:v>Sizing annual debt service (max loan x annual constant)</x:v>
      </x:c>
      <x:c r="B17" s="14" t="n">
        <x:f>B14*B7</x:f>
        <x:v>419523.88950550137</x:v>
      </x:c>
    </x:row>
    <x:row r="18" ht="22" customHeight="1">
      <x:c r="A18" s="11" t="str">
        <x:v>Sizing DSCR (NCF / sizing debt service)</x:v>
      </x:c>
      <x:c r="B18" s="31" t="n">
        <x:f>B5/B17</x:f>
        <x:v>1.2756365331919488</x:v>
      </x:c>
    </x:row>
    <x:row r="19" ht="22" customHeight="1">
      <x:c r="A19" s="11" t="str">
        <x:v>Sizing debt yield (NCF / max loan)</x:v>
      </x:c>
      <x:c r="B19" s="34" t="n">
        <x:f>B5/B14</x:f>
        <x:v>0.09425176259742894</x:v>
      </x:c>
    </x:row>
    <x:row r="20" ht="22" customHeight="1">
      <x:c r="A20" s="1" t="str">
        <x:v>Sizing LTV (max loan / value)</x:v>
      </x:c>
      <x:c r="B20" s="35" t="n">
        <x:f>B14/B9</x:f>
        <x:v>0.65</x:v>
      </x:c>
    </x:row>
    <x:row r="21" ht="22" customHeight="1">
      <x:c r="A21" s="11" t="str">
        <x:v>First-year contractual debt service (24-mo IO at contract rate)</x:v>
      </x:c>
      <x:c r="B21" s="14" t="n">
        <x:f>IF(Assumptions!B36&gt;=12,B14*Assumptions!B29,B14*-Assumptions!B35*PMT(Assumptions!B29/Assumptions!B35,Assumptions!B34*Assumptions!B35,1))</x:f>
        <x:v>335001.056</x:v>
      </x:c>
    </x:row>
    <x:row r="22" ht="22" customHeight="1">
      <x:c r="A22" s="1" t="str">
        <x:v>Post-IO amortizing debt service at contract rate (context)</x:v>
      </x:c>
      <x:c r="B22" s="22" t="n">
        <x:f>B14*-Assumptions!B35*PMT(Assumptions!B29/Assumptions!B35,Assumptions!B34*Assumptions!B35,1)</x:f>
        <x:v>404138.3511712584</x:v>
      </x:c>
    </x:row>
    <x:row r="23" ht="22" customHeight="1">
      <x:c r="A23" s="1" t="str">
        <x:v>Actual first-year DSCR on NCF (IO basis)</x:v>
      </x:c>
      <x:c r="B23" s="29" t="n">
        <x:f>B5/B21</x:f>
        <x:v>1.5974875016513381</x:v>
      </x:c>
    </x:row>
    <x:row r="24" ht="22" customHeight="1">
      <x:c r="A24" s="1" t="str">
        <x:v>Sizing debt service less first-year actual debt service</x:v>
      </x:c>
      <x:c r="B24" s="12" t="n">
        <x:f>B17-B21</x:f>
        <x:v>84522.83350550139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2" hidden="0" customWidth="1"/>
    <x:col min="2" max="2" width="18" hidden="0" customWidth="1"/>
  </x:cols>
  <x:sheetData>
    <x:row r="1" ht="27" customHeight="1">
      <x:c r="A1" s="2" t="str">
        <x:v>Sources and uses at maximum loan</x:v>
      </x:c>
    </x:row>
    <x:row r="2" ht="36" customHeight="1">
      <x:c r="A2" s="4" t="str">
        <x:v>No fee capitalization, interest reserve or holdback assumed (Lender-Terms.pdf p.1).</x:v>
      </x:c>
    </x:row>
    <x:row r="4" ht="25" customHeight="1">
      <x:c r="A4" s="6" t="str">
        <x:v>Sources</x:v>
      </x:c>
    </x:row>
    <x:row r="5" ht="22" customHeight="1">
      <x:c r="A5" s="1" t="str">
        <x:v>New first-mortgage loan</x:v>
      </x:c>
      <x:c r="B5" s="22" t="n">
        <x:f>Sizing!B14</x:f>
        <x:v>5677984</x:v>
      </x:c>
    </x:row>
    <x:row r="6" ht="22" customHeight="1">
      <x:c r="A6" s="11" t="str">
        <x:v>Total sources</x:v>
      </x:c>
      <x:c r="B6" s="14" t="n">
        <x:f>B5</x:f>
        <x:v>5677984</x:v>
      </x:c>
    </x:row>
    <x:row r="8" ht="25" customHeight="1">
      <x:c r="A8" s="6" t="str">
        <x:v>Uses</x:v>
      </x:c>
    </x:row>
    <x:row r="9" ht="22" customHeight="1">
      <x:c r="A9" s="1" t="str">
        <x:v>Existing debt payoff</x:v>
      </x:c>
      <x:c r="B9" s="22" t="n">
        <x:f>Assumptions!B41</x:f>
        <x:v>3300000</x:v>
      </x:c>
    </x:row>
    <x:row r="10" ht="22" customHeight="1">
      <x:c r="A10" s="1" t="str">
        <x:v>Origination fee (0.75% of initial principal)</x:v>
      </x:c>
      <x:c r="B10" s="22" t="n">
        <x:f>Assumptions!B40*B5</x:f>
        <x:v>42584.88</x:v>
      </x:c>
    </x:row>
    <x:row r="11" ht="22" customHeight="1">
      <x:c r="A11" s="1" t="str">
        <x:v>Fixed closing costs</x:v>
      </x:c>
      <x:c r="B11" s="22" t="n">
        <x:f>Assumptions!B42</x:f>
        <x:v>45000</x:v>
      </x:c>
    </x:row>
    <x:row r="12" ht="22" customHeight="1">
      <x:c r="A12" s="11" t="str">
        <x:v>Net cash to borrower (negative = cash in)</x:v>
      </x:c>
      <x:c r="B12" s="14" t="n">
        <x:f>B5-B9-B10-B11</x:f>
        <x:v>2290399.12</x:v>
      </x:c>
    </x:row>
    <x:row r="13" ht="22" customHeight="1">
      <x:c r="A13" s="11" t="str">
        <x:v>Total uses</x:v>
      </x:c>
      <x:c r="B13" s="14" t="n">
        <x:f>B9+B10+B11+B12</x:f>
        <x:v>5677984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</x:cols>
  <x:sheetData>
    <x:row r="1" ht="27" customHeight="1">
      <x:c r="A1" s="2" t="str">
        <x:v>Sensitivity | EGI, sizing rate and cap rate tests</x:v>
      </x:c>
    </x:row>
    <x:row r="2" ht="36" customHeight="1">
      <x:c r="A2" s="4" t="str">
        <x:v>Management fee re-tested in each case; other operating expenses and reserves held constant.</x:v>
      </x:c>
    </x:row>
    <x:row r="4" ht="25" customHeight="1">
      <x:c r="A4" s="6" t="str">
        <x:v>Scenario</x:v>
      </x:c>
      <x:c r="B4" s="6" t="str">
        <x:v>EGI -5% only</x:v>
      </x:c>
      <x:c r="C4" s="6" t="str">
        <x:v>Combined EGI -5% &amp; rate +100bps</x:v>
      </x:c>
      <x:c r="D4" s="6" t="str">
        <x:v>Cap rate +50bps only</x:v>
      </x:c>
      <x:c r="E4" s="6" t="str">
        <x:v>Base case</x:v>
      </x:c>
    </x:row>
    <x:row r="5" ht="22" customHeight="1">
      <x:c r="A5" s="1" t="str">
        <x:v>EGI factor</x:v>
      </x:c>
      <x:c r="B5" s="23" t="n">
        <x:f>Assumptions!B45</x:f>
        <x:v>0.95</x:v>
      </x:c>
      <x:c r="C5" s="23" t="n">
        <x:f>Assumptions!B45</x:f>
        <x:v>0.95</x:v>
      </x:c>
      <x:c r="D5" s="35" t="n">
        <x:v>1</x:v>
      </x:c>
      <x:c r="E5" s="35" t="n">
        <x:v>1</x:v>
      </x:c>
    </x:row>
    <x:row r="6" ht="22" customHeight="1">
      <x:c r="A6" s="1" t="str">
        <x:v>Sizing rate delta</x:v>
      </x:c>
      <x:c r="B6" s="16" t="n">
        <x:v>0</x:v>
      </x:c>
      <x:c r="C6" s="25" t="n">
        <x:f>Assumptions!B46</x:f>
        <x:v>0.01</x:v>
      </x:c>
      <x:c r="D6" s="16" t="n">
        <x:v>0</x:v>
      </x:c>
      <x:c r="E6" s="16" t="n">
        <x:v>0</x:v>
      </x:c>
    </x:row>
    <x:row r="7" ht="22" customHeight="1">
      <x:c r="A7" s="1" t="str">
        <x:v>Cap rate delta</x:v>
      </x:c>
      <x:c r="B7" s="16" t="n">
        <x:v>0</x:v>
      </x:c>
      <x:c r="C7" s="16" t="n">
        <x:v>0</x:v>
      </x:c>
      <x:c r="D7" s="25" t="n">
        <x:f>Assumptions!B28</x:f>
        <x:v>0.005</x:v>
      </x:c>
      <x:c r="E7" s="16" t="n">
        <x:v>0</x:v>
      </x:c>
    </x:row>
    <x:row r="9" ht="22" customHeight="1">
      <x:c r="A9" s="1" t="str">
        <x:v>Stressed EGI</x:v>
      </x:c>
      <x:c r="B9" s="22" t="n">
        <x:f>Underwriting!$B$7*B5</x:f>
        <x:v>811452</x:v>
      </x:c>
      <x:c r="C9" s="22" t="n">
        <x:f>Underwriting!$B$7*C5</x:f>
        <x:v>811452</x:v>
      </x:c>
      <x:c r="D9" s="22" t="n">
        <x:f>Underwriting!$B$7*D5</x:f>
        <x:v>854160</x:v>
      </x:c>
      <x:c r="E9" s="22" t="n">
        <x:f>Underwriting!$B$7*E5</x:f>
        <x:v>854160</x:v>
      </x:c>
    </x:row>
    <x:row r="10" ht="22" customHeight="1">
      <x:c r="A10" s="1" t="str">
        <x:v>Operating expenses (mgmt re-tested)</x:v>
      </x:c>
      <x:c r="B10" s="22" t="n">
        <x:f>Underwriting!$B$16-Underwriting!$B$15+MAX(Assumptions!$B$17,Assumptions!$B$18*B9)</x:f>
        <x:v>308200</x:v>
      </x:c>
      <x:c r="C10" s="22" t="n">
        <x:f>Underwriting!$B$16-Underwriting!$B$15+MAX(Assumptions!$B$17,Assumptions!$B$18*C9)</x:f>
        <x:v>308200</x:v>
      </x:c>
      <x:c r="D10" s="22" t="n">
        <x:f>Underwriting!$B$16-Underwriting!$B$15+MAX(Assumptions!$B$17,Assumptions!$B$18*D9)</x:f>
        <x:v>308200</x:v>
      </x:c>
      <x:c r="E10" s="22" t="n">
        <x:f>Underwriting!$B$16-Underwriting!$B$15+MAX(Assumptions!$B$17,Assumptions!$B$18*E9)</x:f>
        <x:v>308200</x:v>
      </x:c>
    </x:row>
    <x:row r="11" ht="22" customHeight="1">
      <x:c r="A11" s="11" t="str">
        <x:v>NOI before reserves</x:v>
      </x:c>
      <x:c r="B11" s="14" t="n">
        <x:f>B9-B10</x:f>
        <x:v>503252</x:v>
      </x:c>
      <x:c r="C11" s="14" t="n">
        <x:f>C9-C10</x:f>
        <x:v>503252</x:v>
      </x:c>
      <x:c r="D11" s="14" t="n">
        <x:f>D9-D10</x:f>
        <x:v>545960</x:v>
      </x:c>
      <x:c r="E11" s="14" t="n">
        <x:f>E9-E10</x:f>
        <x:v>545960</x:v>
      </x:c>
    </x:row>
    <x:row r="12" ht="22" customHeight="1">
      <x:c r="A12" s="11" t="str">
        <x:v>NCF after reserves</x:v>
      </x:c>
      <x:c r="B12" s="14" t="n">
        <x:f>B11-Assumptions!$B$24</x:f>
        <x:v>492452</x:v>
      </x:c>
      <x:c r="C12" s="14" t="n">
        <x:f>C11-Assumptions!$B$24</x:f>
        <x:v>492452</x:v>
      </x:c>
      <x:c r="D12" s="14" t="n">
        <x:f>D11-Assumptions!$B$24</x:f>
        <x:v>535160</x:v>
      </x:c>
      <x:c r="E12" s="14" t="n">
        <x:f>E11-Assumptions!$B$24</x:f>
        <x:v>535160</x:v>
      </x:c>
    </x:row>
    <x:row r="13" ht="22" customHeight="1">
      <x:c r="A13" s="1" t="str">
        <x:v>Indicative value</x:v>
      </x:c>
      <x:c r="B13" s="22" t="n">
        <x:f>B11/(Assumptions!$B$27+B7)</x:f>
        <x:v>8052032</x:v>
      </x:c>
      <x:c r="C13" s="22" t="n">
        <x:f>C11/(Assumptions!$B$27+C7)</x:f>
        <x:v>8052032</x:v>
      </x:c>
      <x:c r="D13" s="22" t="n">
        <x:f>D11/(Assumptions!$B$27+D7)</x:f>
        <x:v>8088296.296296296</x:v>
      </x:c>
      <x:c r="E13" s="22" t="n">
        <x:f>E11/(Assumptions!$B$27+E7)</x:f>
        <x:v>8735360</x:v>
      </x:c>
    </x:row>
    <x:row r="14" ht="22" customHeight="1">
      <x:c r="A14" s="1" t="str">
        <x:v>Annual debt constant at scenario sizing rate</x:v>
      </x:c>
      <x:c r="B14" s="26" t="n">
        <x:f>-Assumptions!$B$35*PMT((Assumptions!$B$33+B6)/Assumptions!$B$35,Assumptions!$B$34*Assumptions!$B$35,1)</x:f>
        <x:v>0.07388606405116699</x:v>
      </x:c>
      <x:c r="C14" s="26" t="n">
        <x:f>-Assumptions!$B$35*PMT((Assumptions!$B$33+C6)/Assumptions!$B$35,Assumptions!$B$34*Assumptions!$B$35,1)</x:f>
        <x:v>0.08186115360674304</x:v>
      </x:c>
      <x:c r="D14" s="26" t="n">
        <x:f>-Assumptions!$B$35*PMT((Assumptions!$B$33+D6)/Assumptions!$B$35,Assumptions!$B$34*Assumptions!$B$35,1)</x:f>
        <x:v>0.07388606405116699</x:v>
      </x:c>
      <x:c r="E14" s="26" t="n">
        <x:f>-Assumptions!$B$35*PMT((Assumptions!$B$33+E6)/Assumptions!$B$35,Assumptions!$B$34*Assumptions!$B$35,1)</x:f>
        <x:v>0.07388606405116699</x:v>
      </x:c>
    </x:row>
    <x:row r="15" ht="22" customHeight="1">
      <x:c r="A15" s="1" t="str">
        <x:v>LTV constraint</x:v>
      </x:c>
      <x:c r="B15" s="22" t="n">
        <x:f>Assumptions!$B$37*B13</x:f>
        <x:v>5233820.8</x:v>
      </x:c>
      <x:c r="C15" s="22" t="n">
        <x:f>Assumptions!$B$37*C13</x:f>
        <x:v>5233820.8</x:v>
      </x:c>
      <x:c r="D15" s="22" t="n">
        <x:f>Assumptions!$B$37*D13</x:f>
        <x:v>5257392.592592592</x:v>
      </x:c>
      <x:c r="E15" s="22" t="n">
        <x:f>Assumptions!$B$37*E13</x:f>
        <x:v>5677984</x:v>
      </x:c>
    </x:row>
    <x:row r="16" ht="22" customHeight="1">
      <x:c r="A16" s="1" t="str">
        <x:v>DSCR constraint</x:v>
      </x:c>
      <x:c r="B16" s="22" t="n">
        <x:f>(B12/Assumptions!$B$38)/B14</x:f>
        <x:v>5332014.975478689</x:v>
      </x:c>
      <x:c r="C16" s="22" t="n">
        <x:f>(C12/Assumptions!$B$38)/C14</x:f>
        <x:v>4812558.614707192</x:v>
      </x:c>
      <x:c r="D16" s="22" t="n">
        <x:f>(D12/Assumptions!$B$38)/D14</x:f>
        <x:v>5794435.060223484</x:v>
      </x:c>
      <x:c r="E16" s="22" t="n">
        <x:f>(E12/Assumptions!$B$38)/E14</x:f>
        <x:v>5794435.060223484</x:v>
      </x:c>
    </x:row>
    <x:row r="17" ht="22" customHeight="1">
      <x:c r="A17" s="1" t="str">
        <x:v>Debt-yield constraint</x:v>
      </x:c>
      <x:c r="B17" s="22" t="n">
        <x:f>B12/Assumptions!$B$39</x:f>
        <x:v>5793552.94117647</x:v>
      </x:c>
      <x:c r="C17" s="22" t="n">
        <x:f>C12/Assumptions!$B$39</x:f>
        <x:v>5793552.94117647</x:v>
      </x:c>
      <x:c r="D17" s="22" t="n">
        <x:f>D12/Assumptions!$B$39</x:f>
        <x:v>6296000</x:v>
      </x:c>
      <x:c r="E17" s="22" t="n">
        <x:f>E12/Assumptions!$B$39</x:f>
        <x:v>6296000</x:v>
      </x:c>
    </x:row>
    <x:row r="18" ht="22" customHeight="1">
      <x:c r="A18" s="11" t="str">
        <x:v>Maximum loan</x:v>
      </x:c>
      <x:c r="B18" s="14" t="n">
        <x:f>MIN(B15,B16,B17)</x:f>
        <x:v>5233820.8</x:v>
      </x:c>
      <x:c r="C18" s="14" t="n">
        <x:f>MIN(C15,C16,C17)</x:f>
        <x:v>4812558.614707192</x:v>
      </x:c>
      <x:c r="D18" s="14" t="n">
        <x:f>MIN(D15,D16,D17)</x:f>
        <x:v>5257392.592592592</x:v>
      </x:c>
      <x:c r="E18" s="14" t="n">
        <x:f>MIN(E15,E16,E17)</x:f>
        <x:v>5677984</x:v>
      </x:c>
    </x:row>
    <x:row r="19" ht="22" customHeight="1">
      <x:c r="A19" s="11" t="str">
        <x:v>Binding constraint</x:v>
      </x:c>
      <x:c r="B19" s="11" t="str">
        <x:f>IF(B18=B15,"LTV",IF(B18=B16,"DSCR","Debt yield"))</x:f>
        <x:v>LTV</x:v>
      </x:c>
      <x:c r="C19" s="11" t="str">
        <x:f>IF(C18=C15,"LTV",IF(C18=C16,"DSCR","Debt yield"))</x:f>
        <x:v>DSCR</x:v>
      </x:c>
      <x:c r="D19" s="11" t="str">
        <x:f>IF(D18=D15,"LTV",IF(D18=D16,"DSCR","Debt yield"))</x:f>
        <x:v>LTV</x:v>
      </x:c>
      <x:c r="E19" s="11" t="str">
        <x:f>IF(E18=E15,"LTV",IF(E18=E16,"DSCR","Debt yield"))</x:f>
        <x:v>LTV</x:v>
      </x:c>
    </x:row>
    <x:row r="20" ht="22" customHeight="1">
      <x:c r="A20" s="1" t="str">
        <x:v>Change in maximum loan vs base</x:v>
      </x:c>
      <x:c r="B20" s="12" t="n">
        <x:f>B18-$E$18</x:f>
        <x:v>-444163.2000000002</x:v>
      </x:c>
      <x:c r="C20" s="12" t="n">
        <x:f>C18-$E$18</x:f>
        <x:v>-865425.3852928076</x:v>
      </x:c>
      <x:c r="D20" s="12" t="n">
        <x:f>D18-$E$18</x:f>
        <x:v>-420591.40740740765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30" hidden="0" customWidth="1"/>
    <x:col min="3" max="3" width="48" hidden="0" customWidth="1"/>
  </x:cols>
  <x:sheetData>
    <x:row r="1" ht="27" customHeight="1">
      <x:c r="A1" s="2" t="str">
        <x:v>Reviewer map | where to change inputs and read outputs</x:v>
      </x:c>
    </x:row>
    <x:row r="2" ht="36" customHeight="1">
      <x:c r="A2" s="4" t="str">
        <x:v>Change only the [INPUT] cells on Assumptions; every output below is a live formula.</x:v>
      </x:c>
    </x:row>
    <x:row r="4" ht="25" customHeight="1">
      <x:c r="A4" s="6" t="str">
        <x:v>Item</x:v>
      </x:c>
      <x:c r="B4" s="6" t="str">
        <x:v>Location</x:v>
      </x:c>
      <x:c r="C4" s="6" t="str">
        <x:v>Current value / note</x:v>
      </x:c>
    </x:row>
    <x:row r="5" ht="22" customHeight="1">
      <x:c r="A5" s="1" t="str">
        <x:v>Cap rate (input)</x:v>
      </x:c>
      <x:c r="B5" s="1" t="str">
        <x:v>Assumptions!B27</x:v>
      </x:c>
      <x:c r="C5" s="21" t="str">
        <x:f>TEXT(Assumptions!B27,"0.00%")</x:f>
        <x:v>6.25%</x:v>
      </x:c>
    </x:row>
    <x:row r="6" ht="22" customHeight="1">
      <x:c r="A6" s="1" t="str">
        <x:v>Cap rate sensitivity increment (input)</x:v>
      </x:c>
      <x:c r="B6" s="1" t="str">
        <x:v>Assumptions!B28</x:v>
      </x:c>
      <x:c r="C6" s="21" t="str">
        <x:f>TEXT(Assumptions!B28,"0.00%")</x:f>
        <x:v>0.50%</x:v>
      </x:c>
    </x:row>
    <x:row r="7" ht="22" customHeight="1">
      <x:c r="A7" s="1" t="str">
        <x:v>Sizing rate increment (input)</x:v>
      </x:c>
      <x:c r="B7" s="1" t="str">
        <x:v>Assumptions!B32</x:v>
      </x:c>
      <x:c r="C7" s="21" t="str">
        <x:f>TEXT(Assumptions!B33,"0.000%")&amp;" sizing rate used"</x:f>
        <x:v>6.250% sizing rate used</x:v>
      </x:c>
    </x:row>
    <x:row r="8" ht="22" customHeight="1">
      <x:c r="A8" s="1" t="str">
        <x:v>Contract rate (input)</x:v>
      </x:c>
      <x:c r="B8" s="1" t="str">
        <x:v>Assumptions!B29</x:v>
      </x:c>
      <x:c r="C8" s="21" t="str">
        <x:f>TEXT(Assumptions!B29,"0.000%")</x:f>
        <x:v>5.900%</x:v>
      </x:c>
    </x:row>
    <x:row r="9" ht="22" customHeight="1">
      <x:c r="A9" s="1" t="str">
        <x:v>EGI drivers (inputs)</x:v>
      </x:c>
      <x:c r="B9" s="1" t="str">
        <x:v>Assumptions!B5, B6, B7</x:v>
      </x:c>
      <x:c r="C9" s="1" t="str">
        <x:v>Gross potential rent, loss %, other income</x:v>
      </x:c>
    </x:row>
    <x:row r="10" ht="22" customHeight="1">
      <x:c r="A10" s="1" t="str">
        <x:v>Underwritten EGI (output)</x:v>
      </x:c>
      <x:c r="B10" s="1" t="str">
        <x:v>Underwriting!B7</x:v>
      </x:c>
      <x:c r="C10" s="22" t="n">
        <x:f>Underwriting!B7</x:f>
        <x:v>854160</x:v>
      </x:c>
    </x:row>
    <x:row r="11" ht="22" customHeight="1">
      <x:c r="A11" s="1" t="str">
        <x:v>UW NOI before reserves (output)</x:v>
      </x:c>
      <x:c r="B11" s="1" t="str">
        <x:v>Underwriting!B17</x:v>
      </x:c>
      <x:c r="C11" s="22" t="n">
        <x:f>Underwriting!B17</x:f>
        <x:v>545960</x:v>
      </x:c>
    </x:row>
    <x:row r="12" ht="22" customHeight="1">
      <x:c r="A12" s="1" t="str">
        <x:v>UW NCF after reserves (output)</x:v>
      </x:c>
      <x:c r="B12" s="1" t="str">
        <x:v>Underwriting!B19</x:v>
      </x:c>
      <x:c r="C12" s="22" t="n">
        <x:f>Underwriting!B19</x:f>
        <x:v>535160</x:v>
      </x:c>
    </x:row>
    <x:row r="13" ht="22" customHeight="1">
      <x:c r="A13" s="1" t="str">
        <x:v>Capitalization value (output)</x:v>
      </x:c>
      <x:c r="B13" s="1" t="str">
        <x:v>Underwriting!B22</x:v>
      </x:c>
      <x:c r="C13" s="22" t="n">
        <x:f>Underwriting!B22</x:f>
        <x:v>8735360</x:v>
      </x:c>
    </x:row>
    <x:row r="14" ht="22" customHeight="1">
      <x:c r="A14" s="1" t="str">
        <x:v>LTV / DSCR / DY limits (outputs)</x:v>
      </x:c>
      <x:c r="B14" s="1" t="str">
        <x:v>Sizing!B10, B11, B12</x:v>
      </x:c>
      <x:c r="C14" s="21" t="str">
        <x:f>TEXT(Sizing!B10,"#,##0")&amp;" / "&amp;TEXT(Sizing!B11,"#,##0")&amp;" / "&amp;TEXT(Sizing!B12,"#,##0")</x:f>
        <x:v>5,677,984 / 5,794,435 / 6,296,000</x:v>
      </x:c>
    </x:row>
    <x:row r="15" ht="22" customHeight="1">
      <x:c r="A15" s="1" t="str">
        <x:v>Maximum loan (output)</x:v>
      </x:c>
      <x:c r="B15" s="1" t="str">
        <x:v>Sizing!B14</x:v>
      </x:c>
      <x:c r="C15" s="22" t="n">
        <x:f>Sizing!B14</x:f>
        <x:v>5677984</x:v>
      </x:c>
    </x:row>
    <x:row r="16" ht="22" customHeight="1">
      <x:c r="A16" s="1" t="str">
        <x:v>Binding constraint (output)</x:v>
      </x:c>
      <x:c r="B16" s="1" t="str">
        <x:v>Sizing!B15</x:v>
      </x:c>
      <x:c r="C16" s="21" t="str">
        <x:f>Sizing!B15</x:f>
        <x:v>LTV</x:v>
      </x:c>
    </x:row>
    <x:row r="17" ht="22" customHeight="1">
      <x:c r="A17" s="1" t="str">
        <x:v>Sizing DS / DSCR / debt yield (outputs)</x:v>
      </x:c>
      <x:c r="B17" s="1" t="str">
        <x:v>Sizing!B17, B18, B19</x:v>
      </x:c>
      <x:c r="C17" s="21" t="str">
        <x:f>TEXT(Sizing!B17,"#,##0")&amp;" / "&amp;TEXT(Sizing!B18,"0.000")&amp;" / "&amp;TEXT(Sizing!B19,"0.00%")</x:f>
        <x:v>419,524 / 1.276 / 9.43%</x:v>
      </x:c>
    </x:row>
    <x:row r="18" ht="22" customHeight="1">
      <x:c r="A18" s="1" t="str">
        <x:v>First-year contractual debt service (output)</x:v>
      </x:c>
      <x:c r="B18" s="1" t="str">
        <x:v>Sizing!B21</x:v>
      </x:c>
      <x:c r="C18" s="22" t="n">
        <x:f>Sizing!B21</x:f>
        <x:v>335001.056</x:v>
      </x:c>
    </x:row>
    <x:row r="19" ht="22" customHeight="1">
      <x:c r="A19" s="1" t="str">
        <x:v>Net cash to borrower (output)</x:v>
      </x:c>
      <x:c r="B19" s="1" t="str">
        <x:v>SourcesUses!B12</x:v>
      </x:c>
      <x:c r="C19" s="22" t="n">
        <x:f>SourcesUses!B12</x:f>
        <x:v>2290399.12</x:v>
      </x:c>
    </x:row>
    <x:row r="20" ht="22" customHeight="1">
      <x:c r="A20" s="1" t="str">
        <x:v>Downside NOI / downside max loan (outputs)</x:v>
      </x:c>
      <x:c r="B20" s="1" t="str">
        <x:v>Sensitivity!B11, Sensitivity!C18</x:v>
      </x:c>
      <x:c r="C20" s="21" t="str">
        <x:f>TEXT(Sensitivity!B11,"#,##0")&amp;" / "&amp;TEXT(Sensitivity!C18,"#,##0")</x:f>
        <x:v>503,252 / 4,812,559</x:v>
      </x:c>
    </x:row>
    <x:row r="21" ht="22" customHeight="1">
      <x:c r="A21" s="1" t="str">
        <x:v>T12 EGI / NOI / NCF (outputs)</x:v>
      </x:c>
      <x:c r="B21" s="1" t="str">
        <x:v>T12!B10, B20, B22</x:v>
      </x:c>
      <x:c r="C21" s="21" t="str">
        <x:f>TEXT(T12!B10,"#,##0")&amp;" / "&amp;TEXT(T12!B20,"#,##0")&amp;" / "&amp;TEXT(T12!B22,"#,##0")</x:f>
        <x:v>821,100 / 513,300 / 502,500</x:v>
      </x:c>
    </x:row>
    <x:row r="22" ht="22" customHeight="1">
      <x:c r="A22" s="1" t="str">
        <x:v>Rent roll metrics (outputs)</x:v>
      </x:c>
      <x:c r="B22" s="1" t="str">
        <x:v>RentRoll!B9:B16</x:v>
      </x:c>
      <x:c r="C22" s="21" t="str">
        <x:f>TEXT(RentRoll!B15,"#,##0")&amp;" monthly base; "&amp;TEXT(RentRoll!B14,"0.00")&amp;"% occupancy by area"</x:f>
        <x:v>62,275 monthly base; 91.04% occupancy by area</x:v>
      </x:c>
    </x:row>
  </x:sheetData>
  <x:pageMargins left="0.7" right="0.7" top="0.75" bottom="0.75" header="0.3" footer="0.3"/>
</x:worksheet>
</file>