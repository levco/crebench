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ssumptions" sheetId="1" state="visible" r:id="rId3"/>
    <sheet name="T12" sheetId="2" state="visible" r:id="rId4"/>
    <sheet name="RentRoll" sheetId="3" state="visible" r:id="rId5"/>
    <sheet name="Underwriting" sheetId="4" state="visible" r:id="rId6"/>
    <sheet name="Sizing" sheetId="5" state="visible" r:id="rId7"/>
    <sheet name="SourcesUses" sheetId="6" state="visible" r:id="rId8"/>
    <sheet name="Sensitivity" sheetId="7" state="visible" r:id="rId9"/>
    <sheet name="Map" sheetId="8" state="visible" r:id="rId10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<sst xmlns="http://schemas.openxmlformats.org/spreadsheetml/2006/main" count="206" uniqueCount="196">
  <si>
    <t xml:space="preserve">Juniper Flats | Editable underwriting assumptions</t>
  </si>
  <si>
    <t xml:space="preserve">As of 2026-08-31. [INPUT] cells may be changed; all downstream sheets recalculate.</t>
  </si>
  <si>
    <t xml:space="preserve">Revenue inputs (underwriting scenario, Sep-2026 forward)</t>
  </si>
  <si>
    <t xml:space="preserve">Gross potential base rent (annual) [INPUT]</t>
  </si>
  <si>
    <t xml:space="preserve">Property-and-Plan.pdf p.2, scenario amount</t>
  </si>
  <si>
    <t xml:space="preserve">Combined revenue loss % of GPR [INPUT]</t>
  </si>
  <si>
    <t xml:space="preserve">Vacancy, concessions, bad debt</t>
  </si>
  <si>
    <t xml:space="preserve">Other income / recoveries (annual) [INPUT]</t>
  </si>
  <si>
    <t xml:space="preserve">Added after revenue loss</t>
  </si>
  <si>
    <t xml:space="preserve">Underwritten EGI (calculated)</t>
  </si>
  <si>
    <t xml:space="preserve">Underwritten operating expense inputs (before reserves)</t>
  </si>
  <si>
    <t xml:space="preserve">Real estate taxes [INPUT]</t>
  </si>
  <si>
    <t xml:space="preserve">Property insurance (renewal quote in plan) [INPUT]</t>
  </si>
  <si>
    <t xml:space="preserve">Utilities (T12 actual) [INPUT]</t>
  </si>
  <si>
    <t xml:space="preserve">Repairs and maintenance (T12 46,200 less 6,000 casualty) [INPUT]</t>
  </si>
  <si>
    <t xml:space="preserve">Payroll / contract labor (T12 actual) [INPUT]</t>
  </si>
  <si>
    <t xml:space="preserve">Administrative / legal (T12 actual) [INPUT]</t>
  </si>
  <si>
    <t xml:space="preserve">Management fee - T12 actual floor [INPUT]</t>
  </si>
  <si>
    <t xml:space="preserve">Management fee - % of underwritten EGI [INPUT]</t>
  </si>
  <si>
    <t xml:space="preserve">Normalized management fee (greater of)</t>
  </si>
  <si>
    <t xml:space="preserve">Reserves</t>
  </si>
  <si>
    <t xml:space="preserve">Units (rent roll count) [INPUT]</t>
  </si>
  <si>
    <t xml:space="preserve">Replacement reserves per unit per year [INPUT]</t>
  </si>
  <si>
    <t xml:space="preserve">Underwritten replacement reserves</t>
  </si>
  <si>
    <t xml:space="preserve">Valuation and loan terms</t>
  </si>
  <si>
    <t xml:space="preserve">Capitalization rate [INPUT]</t>
  </si>
  <si>
    <t xml:space="preserve">Cap rate sensitivity increment (separate test) [INPUT]</t>
  </si>
  <si>
    <t xml:space="preserve">Contract rate (fixed, actual debt service) [INPUT]</t>
  </si>
  <si>
    <t xml:space="preserve">Underwriting rate floor [INPUT]</t>
  </si>
  <si>
    <t xml:space="preserve">Sizing rate base = greater of contract and floor</t>
  </si>
  <si>
    <t xml:space="preserve">Sizing rate increment [INPUT]</t>
  </si>
  <si>
    <t xml:space="preserve">Sizing rate used</t>
  </si>
  <si>
    <t xml:space="preserve">Amortization (years) [INPUT]</t>
  </si>
  <si>
    <t xml:space="preserve">Payments per year [INPUT]</t>
  </si>
  <si>
    <t xml:space="preserve">Interest-only period (months) [INPUT]</t>
  </si>
  <si>
    <t xml:space="preserve">Maximum LTV [INPUT]</t>
  </si>
  <si>
    <t xml:space="preserve">Minimum DSCR (NCF after reserves) [INPUT]</t>
  </si>
  <si>
    <t xml:space="preserve">Minimum debt yield (NCF after reserves) [INPUT]</t>
  </si>
  <si>
    <t xml:space="preserve">Origination fee % of initial principal [INPUT]</t>
  </si>
  <si>
    <t xml:space="preserve">Existing debt payoff [INPUT]</t>
  </si>
  <si>
    <t xml:space="preserve">Fixed closing costs [INPUT]</t>
  </si>
  <si>
    <t xml:space="preserve">Downside test parameters</t>
  </si>
  <si>
    <t xml:space="preserve">EGI stress factor [INPUT]</t>
  </si>
  <si>
    <t xml:space="preserve">Sizing rate stress (bps as decimal) [INPUT]</t>
  </si>
  <si>
    <t xml:space="preserve">Historical T12 | September 2025 - August 2026 (actual)</t>
  </si>
  <si>
    <t xml:space="preserve">Source: T12-Statement.pdf pp.1-2, Annual column. Historical only - not underwriting.</t>
  </si>
  <si>
    <t xml:space="preserve">Gross potential base rent</t>
  </si>
  <si>
    <t xml:space="preserve">Vacancy loss</t>
  </si>
  <si>
    <t xml:space="preserve">Concessions</t>
  </si>
  <si>
    <t xml:space="preserve">Bad debt</t>
  </si>
  <si>
    <t xml:space="preserve">Net rental income</t>
  </si>
  <si>
    <t xml:space="preserve">Other income / recoveries</t>
  </si>
  <si>
    <t xml:space="preserve">T12 effective gross income (EGI)</t>
  </si>
  <si>
    <t xml:space="preserve">Real estate taxes</t>
  </si>
  <si>
    <t xml:space="preserve">Property insurance</t>
  </si>
  <si>
    <t xml:space="preserve">Utilities</t>
  </si>
  <si>
    <t xml:space="preserve">Repairs and maintenance (incl. 6,000 one-time casualty)</t>
  </si>
  <si>
    <t xml:space="preserve">Payroll / contract labor</t>
  </si>
  <si>
    <t xml:space="preserve">Administrative / legal</t>
  </si>
  <si>
    <t xml:space="preserve">Management fee</t>
  </si>
  <si>
    <t xml:space="preserve">T12 operating expenses (excl. reserves/capex/debt/depreciation)</t>
  </si>
  <si>
    <t xml:space="preserve">T12 NOI before replacement reserves</t>
  </si>
  <si>
    <t xml:space="preserve">Replacement reserves (below NOI)</t>
  </si>
  <si>
    <t xml:space="preserve">T12 NCF after replacement reserves</t>
  </si>
  <si>
    <t xml:space="preserve">Below-the-line items shown for reconciliation only</t>
  </si>
  <si>
    <t xml:space="preserve">Capital improvements</t>
  </si>
  <si>
    <t xml:space="preserve">Loan principal and interest (existing debt)</t>
  </si>
  <si>
    <t xml:space="preserve">Depreciation (noncash)</t>
  </si>
  <si>
    <t xml:space="preserve">Note: the accounting package may label cash flow after reserves as 'property NOI'; both measures are shown separately above.</t>
  </si>
  <si>
    <t xml:space="preserve">Rent roll summary | as of 2026-08-31</t>
  </si>
  <si>
    <t xml:space="preserve">Source: Rent-Roll.xlsx 'Rent Roll' rows 7-42. Vacant units 109, 125, 136 carry market rent only.</t>
  </si>
  <si>
    <t xml:space="preserve">Unit type</t>
  </si>
  <si>
    <t xml:space="preserve">Units</t>
  </si>
  <si>
    <t xml:space="preserve">Occupied</t>
  </si>
  <si>
    <t xml:space="preserve">Area SF/unit</t>
  </si>
  <si>
    <t xml:space="preserve">Monthly rent/unit</t>
  </si>
  <si>
    <t xml:space="preserve">Total SF</t>
  </si>
  <si>
    <t xml:space="preserve">Occupied SF</t>
  </si>
  <si>
    <t xml:space="preserve">One-bedroom (units 101-120)</t>
  </si>
  <si>
    <t xml:space="preserve">Two-bedroom (units 121-136)</t>
  </si>
  <si>
    <t xml:space="preserve">Total / weighted</t>
  </si>
  <si>
    <t xml:space="preserve">space_count (units)</t>
  </si>
  <si>
    <t xml:space="preserve">occupied_count</t>
  </si>
  <si>
    <t xml:space="preserve">total_area_sf</t>
  </si>
  <si>
    <t xml:space="preserve">occupied_area_sf</t>
  </si>
  <si>
    <t xml:space="preserve">occupancy_count_pct</t>
  </si>
  <si>
    <t xml:space="preserve">occupancy_area_pct</t>
  </si>
  <si>
    <t xml:space="preserve">rent_roll_monthly_base (as printed)</t>
  </si>
  <si>
    <t xml:space="preserve">effective_monthly_base (after authoritative lease review)</t>
  </si>
  <si>
    <t xml:space="preserve">Annualized contractual base rent (context only)</t>
  </si>
  <si>
    <t xml:space="preserve">No executed amendment changes unit 101 rent (Lease-File.pdf p.1 s.3); rent roll and lease agree at $1,675/month. Annualized contractual rent is not used as underwritten EGI.</t>
  </si>
  <si>
    <t xml:space="preserve">Underwritten cash flow | scenario, September 2026 forward</t>
  </si>
  <si>
    <t xml:space="preserve">Driven by editable inputs on Assumptions. Separate from historical T12.</t>
  </si>
  <si>
    <t xml:space="preserve">Combined revenue loss (vacancy/concessions/bad debt)</t>
  </si>
  <si>
    <t xml:space="preserve">Underwritten EGI (uw_egi)</t>
  </si>
  <si>
    <t xml:space="preserve">Repairs and maintenance (normalized)</t>
  </si>
  <si>
    <t xml:space="preserve">Management fee (lender-normalized, greater-of test)</t>
  </si>
  <si>
    <t xml:space="preserve">Total underwritten operating expenses before reserves</t>
  </si>
  <si>
    <t xml:space="preserve">Underwritten NOI before reserves</t>
  </si>
  <si>
    <t xml:space="preserve">Replacement reserves ($/unit/yr x units)</t>
  </si>
  <si>
    <t xml:space="preserve">Underwritten NCF after reserves</t>
  </si>
  <si>
    <t xml:space="preserve">Capitalization rate</t>
  </si>
  <si>
    <t xml:space="preserve">Indicative capitalization value (NOI before reserves / cap rate)</t>
  </si>
  <si>
    <t xml:space="preserve">Expense ratio (opex before reserves / EGI)</t>
  </si>
  <si>
    <t xml:space="preserve">Loan sizing | three constraints</t>
  </si>
  <si>
    <t xml:space="preserve">Lender definitions per Lender-Terms.pdf p.1. Sizing uses unrounded values.</t>
  </si>
  <si>
    <t xml:space="preserve">Sizing rate (greater of contract and floor, plus increment)</t>
  </si>
  <si>
    <t xml:space="preserve">Annual debt constant per $1 (12 monthly payments, 30-yr amort)</t>
  </si>
  <si>
    <t xml:space="preserve">Indicative value (NOI before reserves / cap rate)</t>
  </si>
  <si>
    <t xml:space="preserve">LTV constraint (65% of value)</t>
  </si>
  <si>
    <t xml:space="preserve">DSCR constraint ((NCF / 1.25x) / annual constant)</t>
  </si>
  <si>
    <t xml:space="preserve">Debt-yield constraint (NCF after reserves / 8.50%)</t>
  </si>
  <si>
    <t xml:space="preserve">Maximum loan (lowest constraint)</t>
  </si>
  <si>
    <t xml:space="preserve">Binding constraint</t>
  </si>
  <si>
    <t xml:space="preserve">Sizing annual debt service (max loan x annual constant)</t>
  </si>
  <si>
    <t xml:space="preserve">Sizing DSCR (NCF / sizing debt service)</t>
  </si>
  <si>
    <t xml:space="preserve">Sizing debt yield (NCF / max loan)</t>
  </si>
  <si>
    <t xml:space="preserve">Sizing LTV (max loan / value)</t>
  </si>
  <si>
    <t xml:space="preserve">First-year contractual debt service (24-mo IO at contract rate)</t>
  </si>
  <si>
    <t xml:space="preserve">Post-IO amortizing debt service at contract rate (context)</t>
  </si>
  <si>
    <t xml:space="preserve">Actual first-year DSCR on NCF (IO basis)</t>
  </si>
  <si>
    <t xml:space="preserve">Sizing debt service less first-year actual debt service</t>
  </si>
  <si>
    <t xml:space="preserve">Sources and uses at maximum loan</t>
  </si>
  <si>
    <t xml:space="preserve">No fee capitalization, interest reserve or holdback assumed (Lender-Terms.pdf p.1).</t>
  </si>
  <si>
    <t xml:space="preserve">Sources</t>
  </si>
  <si>
    <t xml:space="preserve">New first-mortgage loan</t>
  </si>
  <si>
    <t xml:space="preserve">Total sources</t>
  </si>
  <si>
    <t xml:space="preserve">Uses</t>
  </si>
  <si>
    <t xml:space="preserve">Existing debt payoff</t>
  </si>
  <si>
    <t xml:space="preserve">Origination fee (0.75% of initial principal)</t>
  </si>
  <si>
    <t xml:space="preserve">Fixed closing costs</t>
  </si>
  <si>
    <t xml:space="preserve">Net cash to borrower (negative = cash in)</t>
  </si>
  <si>
    <t xml:space="preserve">Total uses</t>
  </si>
  <si>
    <t xml:space="preserve">Sensitivity | EGI, sizing rate and cap rate tests</t>
  </si>
  <si>
    <t xml:space="preserve">Management fee re-tested in each case; other operating expenses and reserves held constant.</t>
  </si>
  <si>
    <t xml:space="preserve">Scenario</t>
  </si>
  <si>
    <t xml:space="preserve">EGI -5% only</t>
  </si>
  <si>
    <t xml:space="preserve">Combined EGI -5% &amp; rate +100bps</t>
  </si>
  <si>
    <t xml:space="preserve">Cap rate +50bps only</t>
  </si>
  <si>
    <t xml:space="preserve">Base case</t>
  </si>
  <si>
    <t xml:space="preserve">EGI factor</t>
  </si>
  <si>
    <t xml:space="preserve">Sizing rate delta</t>
  </si>
  <si>
    <t xml:space="preserve">Cap rate delta</t>
  </si>
  <si>
    <t xml:space="preserve">Stressed EGI</t>
  </si>
  <si>
    <t xml:space="preserve">Operating expenses (mgmt re-tested)</t>
  </si>
  <si>
    <t xml:space="preserve">NOI before reserves</t>
  </si>
  <si>
    <t xml:space="preserve">NCF after reserves</t>
  </si>
  <si>
    <t xml:space="preserve">Indicative value</t>
  </si>
  <si>
    <t xml:space="preserve">Annual debt constant at scenario sizing rate</t>
  </si>
  <si>
    <t xml:space="preserve">LTV constraint</t>
  </si>
  <si>
    <t xml:space="preserve">DSCR constraint</t>
  </si>
  <si>
    <t xml:space="preserve">Debt-yield constraint</t>
  </si>
  <si>
    <t xml:space="preserve">Maximum loan</t>
  </si>
  <si>
    <t xml:space="preserve">Change in maximum loan vs base</t>
  </si>
  <si>
    <t xml:space="preserve">Reviewer map | where to change inputs and read outputs</t>
  </si>
  <si>
    <t xml:space="preserve">Change only the [INPUT] cells on Assumptions; every output below is a live formula.</t>
  </si>
  <si>
    <t xml:space="preserve">Item</t>
  </si>
  <si>
    <t xml:space="preserve">Location</t>
  </si>
  <si>
    <t xml:space="preserve">Current value / note</t>
  </si>
  <si>
    <t xml:space="preserve">Cap rate (input)</t>
  </si>
  <si>
    <t xml:space="preserve">Assumptions!B27</t>
  </si>
  <si>
    <t xml:space="preserve">Cap rate sensitivity increment (input)</t>
  </si>
  <si>
    <t xml:space="preserve">Assumptions!B28</t>
  </si>
  <si>
    <t xml:space="preserve">Sizing rate increment (input)</t>
  </si>
  <si>
    <t xml:space="preserve">Assumptions!B32</t>
  </si>
  <si>
    <t xml:space="preserve">Contract rate (input)</t>
  </si>
  <si>
    <t xml:space="preserve">Assumptions!B29</t>
  </si>
  <si>
    <t xml:space="preserve">EGI drivers (inputs)</t>
  </si>
  <si>
    <t xml:space="preserve">Assumptions!B5, B6, B7</t>
  </si>
  <si>
    <t xml:space="preserve">Gross potential rent, loss %, other income</t>
  </si>
  <si>
    <t xml:space="preserve">Underwritten EGI (output)</t>
  </si>
  <si>
    <t xml:space="preserve">Underwriting!B7</t>
  </si>
  <si>
    <t xml:space="preserve">UW NOI before reserves (output)</t>
  </si>
  <si>
    <t xml:space="preserve">Underwriting!B17</t>
  </si>
  <si>
    <t xml:space="preserve">UW NCF after reserves (output)</t>
  </si>
  <si>
    <t xml:space="preserve">Underwriting!B19</t>
  </si>
  <si>
    <t xml:space="preserve">Capitalization value (output)</t>
  </si>
  <si>
    <t xml:space="preserve">Underwriting!B22</t>
  </si>
  <si>
    <t xml:space="preserve">LTV / DSCR / DY limits (outputs)</t>
  </si>
  <si>
    <t xml:space="preserve">Sizing!B10, B11, B12</t>
  </si>
  <si>
    <t xml:space="preserve">Maximum loan (output)</t>
  </si>
  <si>
    <t xml:space="preserve">Sizing!B14</t>
  </si>
  <si>
    <t xml:space="preserve">Binding constraint (output)</t>
  </si>
  <si>
    <t xml:space="preserve">Sizing!B15</t>
  </si>
  <si>
    <t xml:space="preserve">Sizing DS / DSCR / debt yield (outputs)</t>
  </si>
  <si>
    <t xml:space="preserve">Sizing!B17, B18, B19</t>
  </si>
  <si>
    <t xml:space="preserve">First-year contractual debt service (output)</t>
  </si>
  <si>
    <t xml:space="preserve">Sizing!B21</t>
  </si>
  <si>
    <t xml:space="preserve">Net cash to borrower (output)</t>
  </si>
  <si>
    <t xml:space="preserve">SourcesUses!B12</t>
  </si>
  <si>
    <t xml:space="preserve">Downside NOI / downside max loan (outputs)</t>
  </si>
  <si>
    <t xml:space="preserve">Sensitivity!B11, Sensitivity!C18</t>
  </si>
  <si>
    <t xml:space="preserve">T12 EGI / NOI / NCF (outputs)</t>
  </si>
  <si>
    <t xml:space="preserve">T12!B10, B20, B22</t>
  </si>
  <si>
    <t xml:space="preserve">Rent roll metrics (outputs)</t>
  </si>
  <si>
    <t xml:space="preserve">RentRoll!B9:B16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</si>
</sst>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0.00%"/>
    <numFmt numFmtId="167" formatCode="0.000%"/>
    <numFmt numFmtId="168" formatCode="0.00"/>
    <numFmt numFmtId="169" formatCode="0.0%"/>
    <numFmt numFmtId="170" formatCode="0.00000000"/>
    <numFmt numFmtId="171" formatCode="0.000"/>
    <numFmt numFmtId="172" formatCode="0.00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171717"/>
      <name val="Arial"/>
      <family val="0"/>
      <charset val="1"/>
    </font>
    <font>
      <sz val="9"/>
      <color rgb="FF52625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71717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71717"/>
      <name val="Arial"/>
      <family val="0"/>
      <charset val="1"/>
    </font>
    <font>
      <sz val="10"/>
      <color rgb="FF008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33F32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AAB8A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AB8A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26258"/>
      <rgbColor rgb="FF969696"/>
      <rgbColor rgb="FF003366"/>
      <rgbColor rgb="FF339966"/>
      <rgbColor rgb="FF171717"/>
      <rgbColor rgb="FF333300"/>
      <rgbColor rgb="FF993300"/>
      <rgbColor rgb="FF993366"/>
      <rgbColor rgb="FF333399"/>
      <rgbColor rgb="FF233F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  <col collapsed="false" customWidth="true" hidden="false" outlineLevel="0" max="3" min="3" style="0" width="60"/>
  </cols>
  <sheetData>
    <row r="1" customFormat="false" ht="27" hidden="false" customHeight="true" outlineLevel="0" collapsed="false">
      <c r="A1" s="1" t="s">
        <v>0</v>
      </c>
    </row>
    <row r="2" customFormat="false" ht="36" hidden="false" customHeight="true" outlineLevel="0" collapsed="false">
      <c r="A2" s="2" t="s">
        <v>1</v>
      </c>
    </row>
    <row r="4" customFormat="false" ht="25" hidden="false" customHeight="true" outlineLevel="0" collapsed="false">
      <c r="A4" s="3" t="s">
        <v>2</v>
      </c>
    </row>
    <row r="5" customFormat="false" ht="36" hidden="false" customHeight="true" outlineLevel="0" collapsed="false">
      <c r="A5" s="4" t="s">
        <v>3</v>
      </c>
      <c r="B5" s="5" t="n">
        <v>864000</v>
      </c>
      <c r="C5" s="2" t="s">
        <v>4</v>
      </c>
    </row>
    <row r="6" customFormat="false" ht="36" hidden="false" customHeight="true" outlineLevel="0" collapsed="false">
      <c r="A6" s="4" t="s">
        <v>5</v>
      </c>
      <c r="B6" s="6" t="n">
        <v>0.06</v>
      </c>
      <c r="C6" s="2" t="s">
        <v>6</v>
      </c>
    </row>
    <row r="7" customFormat="false" ht="36" hidden="false" customHeight="true" outlineLevel="0" collapsed="false">
      <c r="A7" s="4" t="s">
        <v>7</v>
      </c>
      <c r="B7" s="5" t="n">
        <v>42000</v>
      </c>
      <c r="C7" s="2" t="s">
        <v>8</v>
      </c>
    </row>
    <row r="8" customFormat="false" ht="22" hidden="false" customHeight="true" outlineLevel="0" collapsed="false">
      <c r="A8" s="7" t="s">
        <v>9</v>
      </c>
      <c r="B8" s="8" t="n">
        <f aca="false">B5*(1-B6)+B7</f>
        <v>854160</v>
      </c>
    </row>
    <row r="10" customFormat="false" ht="25" hidden="false" customHeight="true" outlineLevel="0" collapsed="false">
      <c r="A10" s="3" t="s">
        <v>10</v>
      </c>
    </row>
    <row r="11" customFormat="false" ht="22" hidden="false" customHeight="true" outlineLevel="0" collapsed="false">
      <c r="A11" s="4" t="s">
        <v>11</v>
      </c>
      <c r="B11" s="5" t="n">
        <v>112000</v>
      </c>
    </row>
    <row r="12" customFormat="false" ht="22" hidden="false" customHeight="true" outlineLevel="0" collapsed="false">
      <c r="A12" s="4" t="s">
        <v>12</v>
      </c>
      <c r="B12" s="5" t="n">
        <v>33600</v>
      </c>
    </row>
    <row r="13" customFormat="false" ht="22" hidden="false" customHeight="true" outlineLevel="0" collapsed="false">
      <c r="A13" s="4" t="s">
        <v>13</v>
      </c>
      <c r="B13" s="5" t="n">
        <v>28800</v>
      </c>
    </row>
    <row r="14" customFormat="false" ht="22" hidden="false" customHeight="true" outlineLevel="0" collapsed="false">
      <c r="A14" s="4" t="s">
        <v>14</v>
      </c>
      <c r="B14" s="5" t="n">
        <v>40200</v>
      </c>
    </row>
    <row r="15" customFormat="false" ht="22" hidden="false" customHeight="true" outlineLevel="0" collapsed="false">
      <c r="A15" s="4" t="s">
        <v>15</v>
      </c>
      <c r="B15" s="5" t="n">
        <v>42000</v>
      </c>
    </row>
    <row r="16" customFormat="false" ht="22" hidden="false" customHeight="true" outlineLevel="0" collapsed="false">
      <c r="A16" s="4" t="s">
        <v>16</v>
      </c>
      <c r="B16" s="5" t="n">
        <v>21600</v>
      </c>
    </row>
    <row r="17" customFormat="false" ht="22" hidden="false" customHeight="true" outlineLevel="0" collapsed="false">
      <c r="A17" s="4" t="s">
        <v>17</v>
      </c>
      <c r="B17" s="5" t="n">
        <v>30000</v>
      </c>
    </row>
    <row r="18" customFormat="false" ht="22" hidden="false" customHeight="true" outlineLevel="0" collapsed="false">
      <c r="A18" s="4" t="s">
        <v>18</v>
      </c>
      <c r="B18" s="6" t="n">
        <v>0.03</v>
      </c>
    </row>
    <row r="19" customFormat="false" ht="22" hidden="false" customHeight="true" outlineLevel="0" collapsed="false">
      <c r="A19" s="7" t="s">
        <v>19</v>
      </c>
      <c r="B19" s="8" t="n">
        <f aca="false">MAX(B17,B18*B8)</f>
        <v>30000</v>
      </c>
    </row>
    <row r="21" customFormat="false" ht="25" hidden="false" customHeight="true" outlineLevel="0" collapsed="false">
      <c r="A21" s="3" t="s">
        <v>20</v>
      </c>
    </row>
    <row r="22" customFormat="false" ht="22" hidden="false" customHeight="true" outlineLevel="0" collapsed="false">
      <c r="A22" s="4" t="s">
        <v>21</v>
      </c>
      <c r="B22" s="5" t="n">
        <v>36</v>
      </c>
    </row>
    <row r="23" customFormat="false" ht="22" hidden="false" customHeight="true" outlineLevel="0" collapsed="false">
      <c r="A23" s="4" t="s">
        <v>22</v>
      </c>
      <c r="B23" s="5" t="n">
        <v>300</v>
      </c>
    </row>
    <row r="24" customFormat="false" ht="22" hidden="false" customHeight="true" outlineLevel="0" collapsed="false">
      <c r="A24" s="7" t="s">
        <v>23</v>
      </c>
      <c r="B24" s="8" t="n">
        <f aca="false">B22*B23</f>
        <v>10800</v>
      </c>
    </row>
    <row r="26" customFormat="false" ht="25" hidden="false" customHeight="true" outlineLevel="0" collapsed="false">
      <c r="A26" s="3" t="s">
        <v>24</v>
      </c>
    </row>
    <row r="27" customFormat="false" ht="22" hidden="false" customHeight="true" outlineLevel="0" collapsed="false">
      <c r="A27" s="4" t="s">
        <v>25</v>
      </c>
      <c r="B27" s="6" t="n">
        <v>0.0575</v>
      </c>
    </row>
    <row r="28" customFormat="false" ht="22" hidden="false" customHeight="true" outlineLevel="0" collapsed="false">
      <c r="A28" s="4" t="s">
        <v>26</v>
      </c>
      <c r="B28" s="6" t="n">
        <v>0.005</v>
      </c>
    </row>
    <row r="29" customFormat="false" ht="22" hidden="false" customHeight="true" outlineLevel="0" collapsed="false">
      <c r="A29" s="4" t="s">
        <v>27</v>
      </c>
      <c r="B29" s="9" t="n">
        <v>0.059</v>
      </c>
    </row>
    <row r="30" customFormat="false" ht="22" hidden="false" customHeight="true" outlineLevel="0" collapsed="false">
      <c r="A30" s="4" t="s">
        <v>28</v>
      </c>
      <c r="B30" s="9" t="n">
        <v>0.0625</v>
      </c>
    </row>
    <row r="31" customFormat="false" ht="22" hidden="false" customHeight="true" outlineLevel="0" collapsed="false">
      <c r="A31" s="4" t="s">
        <v>29</v>
      </c>
      <c r="B31" s="10" t="n">
        <f aca="false">MAX(B29,B30)</f>
        <v>0.0625</v>
      </c>
    </row>
    <row r="32" customFormat="false" ht="22" hidden="false" customHeight="true" outlineLevel="0" collapsed="false">
      <c r="A32" s="4" t="s">
        <v>30</v>
      </c>
      <c r="B32" s="9" t="n">
        <v>0</v>
      </c>
    </row>
    <row r="33" customFormat="false" ht="22" hidden="false" customHeight="true" outlineLevel="0" collapsed="false">
      <c r="A33" s="7" t="s">
        <v>31</v>
      </c>
      <c r="B33" s="11" t="n">
        <f aca="false">B31+B32</f>
        <v>0.0625</v>
      </c>
    </row>
    <row r="34" customFormat="false" ht="22" hidden="false" customHeight="true" outlineLevel="0" collapsed="false">
      <c r="A34" s="4" t="s">
        <v>32</v>
      </c>
      <c r="B34" s="5" t="n">
        <v>30</v>
      </c>
    </row>
    <row r="35" customFormat="false" ht="22" hidden="false" customHeight="true" outlineLevel="0" collapsed="false">
      <c r="A35" s="4" t="s">
        <v>33</v>
      </c>
      <c r="B35" s="5" t="n">
        <v>12</v>
      </c>
    </row>
    <row r="36" customFormat="false" ht="22" hidden="false" customHeight="true" outlineLevel="0" collapsed="false">
      <c r="A36" s="4" t="s">
        <v>34</v>
      </c>
      <c r="B36" s="5" t="n">
        <v>24</v>
      </c>
    </row>
    <row r="37" customFormat="false" ht="22" hidden="false" customHeight="true" outlineLevel="0" collapsed="false">
      <c r="A37" s="4" t="s">
        <v>35</v>
      </c>
      <c r="B37" s="6" t="n">
        <v>0.65</v>
      </c>
    </row>
    <row r="38" customFormat="false" ht="22" hidden="false" customHeight="true" outlineLevel="0" collapsed="false">
      <c r="A38" s="4" t="s">
        <v>36</v>
      </c>
      <c r="B38" s="12" t="n">
        <v>1.25</v>
      </c>
    </row>
    <row r="39" customFormat="false" ht="22" hidden="false" customHeight="true" outlineLevel="0" collapsed="false">
      <c r="A39" s="4" t="s">
        <v>37</v>
      </c>
      <c r="B39" s="6" t="n">
        <v>0.085</v>
      </c>
    </row>
    <row r="40" customFormat="false" ht="22" hidden="false" customHeight="true" outlineLevel="0" collapsed="false">
      <c r="A40" s="4" t="s">
        <v>38</v>
      </c>
      <c r="B40" s="6" t="n">
        <v>0.0075</v>
      </c>
    </row>
    <row r="41" customFormat="false" ht="22" hidden="false" customHeight="true" outlineLevel="0" collapsed="false">
      <c r="A41" s="4" t="s">
        <v>39</v>
      </c>
      <c r="B41" s="5" t="n">
        <v>3300000</v>
      </c>
    </row>
    <row r="42" customFormat="false" ht="22" hidden="false" customHeight="true" outlineLevel="0" collapsed="false">
      <c r="A42" s="4" t="s">
        <v>40</v>
      </c>
      <c r="B42" s="5" t="n">
        <v>45000</v>
      </c>
    </row>
    <row r="44" customFormat="false" ht="25" hidden="false" customHeight="true" outlineLevel="0" collapsed="false">
      <c r="A44" s="3" t="s">
        <v>41</v>
      </c>
    </row>
    <row r="45" customFormat="false" ht="22" hidden="false" customHeight="true" outlineLevel="0" collapsed="false">
      <c r="A45" s="4" t="s">
        <v>42</v>
      </c>
      <c r="B45" s="6" t="n">
        <v>0.95</v>
      </c>
    </row>
    <row r="46" customFormat="false" ht="22" hidden="false" customHeight="true" outlineLevel="0" collapsed="false">
      <c r="A46" s="4" t="s">
        <v>43</v>
      </c>
      <c r="B46" s="9" t="n">
        <v>0.01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8"/>
  </cols>
  <sheetData>
    <row r="1" customFormat="false" ht="27" hidden="false" customHeight="true" outlineLevel="0" collapsed="false">
      <c r="A1" s="1" t="s">
        <v>44</v>
      </c>
    </row>
    <row r="2" customFormat="false" ht="36" hidden="false" customHeight="true" outlineLevel="0" collapsed="false">
      <c r="A2" s="2" t="s">
        <v>45</v>
      </c>
    </row>
    <row r="4" customFormat="false" ht="22" hidden="false" customHeight="true" outlineLevel="0" collapsed="false">
      <c r="A4" s="4" t="s">
        <v>46</v>
      </c>
      <c r="B4" s="13" t="n">
        <v>840000</v>
      </c>
    </row>
    <row r="5" customFormat="false" ht="22" hidden="false" customHeight="true" outlineLevel="0" collapsed="false">
      <c r="A5" s="4" t="s">
        <v>47</v>
      </c>
      <c r="B5" s="13" t="n">
        <v>-42000</v>
      </c>
    </row>
    <row r="6" customFormat="false" ht="22" hidden="false" customHeight="true" outlineLevel="0" collapsed="false">
      <c r="A6" s="4" t="s">
        <v>48</v>
      </c>
      <c r="B6" s="13" t="n">
        <v>-12000</v>
      </c>
    </row>
    <row r="7" customFormat="false" ht="22" hidden="false" customHeight="true" outlineLevel="0" collapsed="false">
      <c r="A7" s="4" t="s">
        <v>49</v>
      </c>
      <c r="B7" s="13" t="n">
        <v>-4500</v>
      </c>
    </row>
    <row r="8" customFormat="false" ht="22" hidden="false" customHeight="true" outlineLevel="0" collapsed="false">
      <c r="A8" s="4" t="s">
        <v>50</v>
      </c>
      <c r="B8" s="13" t="n">
        <f aca="false">SUM(B4:B7)</f>
        <v>781500</v>
      </c>
    </row>
    <row r="9" customFormat="false" ht="22" hidden="false" customHeight="true" outlineLevel="0" collapsed="false">
      <c r="A9" s="4" t="s">
        <v>51</v>
      </c>
      <c r="B9" s="13" t="n">
        <v>39600</v>
      </c>
    </row>
    <row r="10" customFormat="false" ht="22" hidden="false" customHeight="true" outlineLevel="0" collapsed="false">
      <c r="A10" s="7" t="s">
        <v>52</v>
      </c>
      <c r="B10" s="8" t="n">
        <f aca="false">B8+B9</f>
        <v>821100</v>
      </c>
    </row>
    <row r="12" customFormat="false" ht="22" hidden="false" customHeight="true" outlineLevel="0" collapsed="false">
      <c r="A12" s="4" t="s">
        <v>53</v>
      </c>
      <c r="B12" s="13" t="n">
        <v>108000</v>
      </c>
    </row>
    <row r="13" customFormat="false" ht="22" hidden="false" customHeight="true" outlineLevel="0" collapsed="false">
      <c r="A13" s="4" t="s">
        <v>54</v>
      </c>
      <c r="B13" s="13" t="n">
        <v>31200</v>
      </c>
    </row>
    <row r="14" customFormat="false" ht="22" hidden="false" customHeight="true" outlineLevel="0" collapsed="false">
      <c r="A14" s="4" t="s">
        <v>55</v>
      </c>
      <c r="B14" s="13" t="n">
        <v>28800</v>
      </c>
    </row>
    <row r="15" customFormat="false" ht="22" hidden="false" customHeight="true" outlineLevel="0" collapsed="false">
      <c r="A15" s="4" t="s">
        <v>56</v>
      </c>
      <c r="B15" s="13" t="n">
        <v>46200</v>
      </c>
    </row>
    <row r="16" customFormat="false" ht="22" hidden="false" customHeight="true" outlineLevel="0" collapsed="false">
      <c r="A16" s="4" t="s">
        <v>57</v>
      </c>
      <c r="B16" s="13" t="n">
        <v>42000</v>
      </c>
    </row>
    <row r="17" customFormat="false" ht="22" hidden="false" customHeight="true" outlineLevel="0" collapsed="false">
      <c r="A17" s="4" t="s">
        <v>58</v>
      </c>
      <c r="B17" s="13" t="n">
        <v>21600</v>
      </c>
    </row>
    <row r="18" customFormat="false" ht="22" hidden="false" customHeight="true" outlineLevel="0" collapsed="false">
      <c r="A18" s="4" t="s">
        <v>59</v>
      </c>
      <c r="B18" s="13" t="n">
        <v>30000</v>
      </c>
    </row>
    <row r="19" customFormat="false" ht="22" hidden="false" customHeight="true" outlineLevel="0" collapsed="false">
      <c r="A19" s="7" t="s">
        <v>60</v>
      </c>
      <c r="B19" s="8" t="n">
        <f aca="false">SUM(B12:B18)</f>
        <v>307800</v>
      </c>
    </row>
    <row r="20" customFormat="false" ht="22" hidden="false" customHeight="true" outlineLevel="0" collapsed="false">
      <c r="A20" s="7" t="s">
        <v>61</v>
      </c>
      <c r="B20" s="8" t="n">
        <f aca="false">B10-B19</f>
        <v>513300</v>
      </c>
    </row>
    <row r="21" customFormat="false" ht="22" hidden="false" customHeight="true" outlineLevel="0" collapsed="false">
      <c r="A21" s="4" t="s">
        <v>62</v>
      </c>
      <c r="B21" s="13" t="n">
        <v>10800</v>
      </c>
    </row>
    <row r="22" customFormat="false" ht="22" hidden="false" customHeight="true" outlineLevel="0" collapsed="false">
      <c r="A22" s="7" t="s">
        <v>63</v>
      </c>
      <c r="B22" s="8" t="n">
        <f aca="false">B20-B21</f>
        <v>502500</v>
      </c>
    </row>
    <row r="24" customFormat="false" ht="25" hidden="false" customHeight="true" outlineLevel="0" collapsed="false">
      <c r="A24" s="3" t="s">
        <v>64</v>
      </c>
    </row>
    <row r="25" customFormat="false" ht="22" hidden="false" customHeight="true" outlineLevel="0" collapsed="false">
      <c r="A25" s="4" t="s">
        <v>65</v>
      </c>
      <c r="B25" s="13" t="n">
        <v>62000</v>
      </c>
    </row>
    <row r="26" customFormat="false" ht="22" hidden="false" customHeight="true" outlineLevel="0" collapsed="false">
      <c r="A26" s="4" t="s">
        <v>66</v>
      </c>
      <c r="B26" s="13" t="n">
        <v>294000</v>
      </c>
    </row>
    <row r="27" customFormat="false" ht="22" hidden="false" customHeight="true" outlineLevel="0" collapsed="false">
      <c r="A27" s="4" t="s">
        <v>67</v>
      </c>
      <c r="B27" s="13" t="n">
        <v>180000</v>
      </c>
    </row>
    <row r="29" customFormat="false" ht="36" hidden="false" customHeight="true" outlineLevel="0" collapsed="false">
      <c r="A29" s="2" t="s">
        <v>68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  <col collapsed="false" customWidth="true" hidden="false" outlineLevel="0" max="5" min="5" style="0" width="16"/>
    <col collapsed="false" customWidth="true" hidden="false" outlineLevel="0" max="7" min="6" style="0" width="14"/>
  </cols>
  <sheetData>
    <row r="1" customFormat="false" ht="27" hidden="false" customHeight="true" outlineLevel="0" collapsed="false">
      <c r="A1" s="1" t="s">
        <v>69</v>
      </c>
    </row>
    <row r="2" customFormat="false" ht="36" hidden="false" customHeight="true" outlineLevel="0" collapsed="false">
      <c r="A2" s="2" t="s">
        <v>70</v>
      </c>
    </row>
    <row r="4" customFormat="false" ht="25" hidden="false" customHeight="true" outlineLevel="0" collapsed="false">
      <c r="A4" s="3" t="s">
        <v>71</v>
      </c>
      <c r="B4" s="3" t="s">
        <v>72</v>
      </c>
      <c r="C4" s="3" t="s">
        <v>73</v>
      </c>
      <c r="D4" s="3" t="s">
        <v>74</v>
      </c>
      <c r="E4" s="3" t="s">
        <v>75</v>
      </c>
      <c r="F4" s="3" t="s">
        <v>76</v>
      </c>
      <c r="G4" s="3" t="s">
        <v>77</v>
      </c>
    </row>
    <row r="5" customFormat="false" ht="22" hidden="false" customHeight="true" outlineLevel="0" collapsed="false">
      <c r="A5" s="4" t="s">
        <v>78</v>
      </c>
      <c r="B5" s="5" t="n">
        <v>20</v>
      </c>
      <c r="C5" s="5" t="n">
        <v>19</v>
      </c>
      <c r="D5" s="5" t="n">
        <v>750</v>
      </c>
      <c r="E5" s="5" t="n">
        <v>1675</v>
      </c>
      <c r="F5" s="13" t="n">
        <f aca="false">B5*D5</f>
        <v>15000</v>
      </c>
      <c r="G5" s="13" t="n">
        <f aca="false">C5*D5</f>
        <v>14250</v>
      </c>
    </row>
    <row r="6" customFormat="false" ht="22" hidden="false" customHeight="true" outlineLevel="0" collapsed="false">
      <c r="A6" s="4" t="s">
        <v>79</v>
      </c>
      <c r="B6" s="5" t="n">
        <v>16</v>
      </c>
      <c r="C6" s="5" t="n">
        <v>14</v>
      </c>
      <c r="D6" s="5" t="n">
        <v>1050</v>
      </c>
      <c r="E6" s="5" t="n">
        <v>2175</v>
      </c>
      <c r="F6" s="13" t="n">
        <f aca="false">B6*D6</f>
        <v>16800</v>
      </c>
      <c r="G6" s="13" t="n">
        <f aca="false">C6*D6</f>
        <v>14700</v>
      </c>
    </row>
    <row r="7" customFormat="false" ht="22" hidden="false" customHeight="true" outlineLevel="0" collapsed="false">
      <c r="A7" s="7" t="s">
        <v>80</v>
      </c>
      <c r="B7" s="8" t="n">
        <f aca="false">SUM(B5:B6)</f>
        <v>36</v>
      </c>
      <c r="C7" s="8" t="n">
        <f aca="false">SUM(C5:C6)</f>
        <v>33</v>
      </c>
      <c r="F7" s="8" t="n">
        <f aca="false">SUM(F5:F6)</f>
        <v>31800</v>
      </c>
      <c r="G7" s="8" t="n">
        <f aca="false">SUM(G5:G6)</f>
        <v>28950</v>
      </c>
    </row>
    <row r="9" customFormat="false" ht="22" hidden="false" customHeight="true" outlineLevel="0" collapsed="false">
      <c r="A9" s="4" t="s">
        <v>81</v>
      </c>
      <c r="B9" s="13" t="n">
        <f aca="false">B7</f>
        <v>36</v>
      </c>
    </row>
    <row r="10" customFormat="false" ht="22" hidden="false" customHeight="true" outlineLevel="0" collapsed="false">
      <c r="A10" s="4" t="s">
        <v>82</v>
      </c>
      <c r="B10" s="13" t="n">
        <f aca="false">C7</f>
        <v>33</v>
      </c>
    </row>
    <row r="11" customFormat="false" ht="22" hidden="false" customHeight="true" outlineLevel="0" collapsed="false">
      <c r="A11" s="4" t="s">
        <v>83</v>
      </c>
      <c r="B11" s="13" t="n">
        <f aca="false">F7</f>
        <v>31800</v>
      </c>
    </row>
    <row r="12" customFormat="false" ht="22" hidden="false" customHeight="true" outlineLevel="0" collapsed="false">
      <c r="A12" s="4" t="s">
        <v>84</v>
      </c>
      <c r="B12" s="13" t="n">
        <f aca="false">G7</f>
        <v>28950</v>
      </c>
    </row>
    <row r="13" customFormat="false" ht="22" hidden="false" customHeight="true" outlineLevel="0" collapsed="false">
      <c r="A13" s="4" t="s">
        <v>85</v>
      </c>
      <c r="B13" s="14" t="n">
        <f aca="false">100*B10/B9</f>
        <v>91.6666666666667</v>
      </c>
    </row>
    <row r="14" customFormat="false" ht="22" hidden="false" customHeight="true" outlineLevel="0" collapsed="false">
      <c r="A14" s="4" t="s">
        <v>86</v>
      </c>
      <c r="B14" s="14" t="n">
        <f aca="false">100*B12/B11</f>
        <v>91.0377358490566</v>
      </c>
    </row>
    <row r="15" customFormat="false" ht="22" hidden="false" customHeight="true" outlineLevel="0" collapsed="false">
      <c r="A15" s="7" t="s">
        <v>87</v>
      </c>
      <c r="B15" s="8" t="n">
        <f aca="false">C5*E5+C6*E6</f>
        <v>62275</v>
      </c>
    </row>
    <row r="16" customFormat="false" ht="22" hidden="false" customHeight="true" outlineLevel="0" collapsed="false">
      <c r="A16" s="7" t="s">
        <v>88</v>
      </c>
      <c r="B16" s="8" t="n">
        <f aca="false">B15</f>
        <v>62275</v>
      </c>
    </row>
    <row r="17" customFormat="false" ht="22" hidden="false" customHeight="true" outlineLevel="0" collapsed="false">
      <c r="A17" s="4" t="s">
        <v>89</v>
      </c>
      <c r="B17" s="13" t="n">
        <f aca="false">B16*12</f>
        <v>747300</v>
      </c>
    </row>
    <row r="19" customFormat="false" ht="36" hidden="false" customHeight="true" outlineLevel="0" collapsed="false">
      <c r="A19" s="2" t="s">
        <v>90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8"/>
  </cols>
  <sheetData>
    <row r="1" customFormat="false" ht="27" hidden="false" customHeight="true" outlineLevel="0" collapsed="false">
      <c r="A1" s="1" t="s">
        <v>91</v>
      </c>
    </row>
    <row r="2" customFormat="false" ht="36" hidden="false" customHeight="true" outlineLevel="0" collapsed="false">
      <c r="A2" s="2" t="s">
        <v>92</v>
      </c>
    </row>
    <row r="4" customFormat="false" ht="22" hidden="false" customHeight="true" outlineLevel="0" collapsed="false">
      <c r="A4" s="4" t="s">
        <v>46</v>
      </c>
      <c r="B4" s="15" t="n">
        <f aca="false">Assumptions!B5</f>
        <v>864000</v>
      </c>
    </row>
    <row r="5" customFormat="false" ht="22" hidden="false" customHeight="true" outlineLevel="0" collapsed="false">
      <c r="A5" s="4" t="s">
        <v>93</v>
      </c>
      <c r="B5" s="15" t="n">
        <f aca="false">-Assumptions!B5*Assumptions!B6</f>
        <v>-51840</v>
      </c>
    </row>
    <row r="6" customFormat="false" ht="22" hidden="false" customHeight="true" outlineLevel="0" collapsed="false">
      <c r="A6" s="4" t="s">
        <v>51</v>
      </c>
      <c r="B6" s="15" t="n">
        <f aca="false">Assumptions!B7</f>
        <v>42000</v>
      </c>
    </row>
    <row r="7" customFormat="false" ht="22" hidden="false" customHeight="true" outlineLevel="0" collapsed="false">
      <c r="A7" s="7" t="s">
        <v>94</v>
      </c>
      <c r="B7" s="8" t="n">
        <f aca="false">B4+B5+B6</f>
        <v>854160</v>
      </c>
    </row>
    <row r="9" customFormat="false" ht="22" hidden="false" customHeight="true" outlineLevel="0" collapsed="false">
      <c r="A9" s="4" t="s">
        <v>53</v>
      </c>
      <c r="B9" s="15" t="n">
        <f aca="false">Assumptions!B11</f>
        <v>112000</v>
      </c>
    </row>
    <row r="10" customFormat="false" ht="22" hidden="false" customHeight="true" outlineLevel="0" collapsed="false">
      <c r="A10" s="4" t="s">
        <v>54</v>
      </c>
      <c r="B10" s="15" t="n">
        <f aca="false">Assumptions!B12</f>
        <v>33600</v>
      </c>
    </row>
    <row r="11" customFormat="false" ht="22" hidden="false" customHeight="true" outlineLevel="0" collapsed="false">
      <c r="A11" s="4" t="s">
        <v>55</v>
      </c>
      <c r="B11" s="15" t="n">
        <f aca="false">Assumptions!B13</f>
        <v>28800</v>
      </c>
    </row>
    <row r="12" customFormat="false" ht="22" hidden="false" customHeight="true" outlineLevel="0" collapsed="false">
      <c r="A12" s="4" t="s">
        <v>95</v>
      </c>
      <c r="B12" s="15" t="n">
        <f aca="false">Assumptions!B14</f>
        <v>40200</v>
      </c>
    </row>
    <row r="13" customFormat="false" ht="22" hidden="false" customHeight="true" outlineLevel="0" collapsed="false">
      <c r="A13" s="4" t="s">
        <v>57</v>
      </c>
      <c r="B13" s="15" t="n">
        <f aca="false">Assumptions!B15</f>
        <v>42000</v>
      </c>
    </row>
    <row r="14" customFormat="false" ht="22" hidden="false" customHeight="true" outlineLevel="0" collapsed="false">
      <c r="A14" s="4" t="s">
        <v>58</v>
      </c>
      <c r="B14" s="15" t="n">
        <f aca="false">Assumptions!B16</f>
        <v>21600</v>
      </c>
    </row>
    <row r="15" customFormat="false" ht="22" hidden="false" customHeight="true" outlineLevel="0" collapsed="false">
      <c r="A15" s="4" t="s">
        <v>96</v>
      </c>
      <c r="B15" s="15" t="n">
        <f aca="false">MAX(Assumptions!B17,Assumptions!B18*B7)</f>
        <v>30000</v>
      </c>
    </row>
    <row r="16" customFormat="false" ht="22" hidden="false" customHeight="true" outlineLevel="0" collapsed="false">
      <c r="A16" s="7" t="s">
        <v>97</v>
      </c>
      <c r="B16" s="8" t="n">
        <f aca="false">SUM(B9:B15)</f>
        <v>308200</v>
      </c>
    </row>
    <row r="17" customFormat="false" ht="22" hidden="false" customHeight="true" outlineLevel="0" collapsed="false">
      <c r="A17" s="7" t="s">
        <v>98</v>
      </c>
      <c r="B17" s="8" t="n">
        <f aca="false">B7-B16</f>
        <v>545960</v>
      </c>
    </row>
    <row r="18" customFormat="false" ht="22" hidden="false" customHeight="true" outlineLevel="0" collapsed="false">
      <c r="A18" s="4" t="s">
        <v>99</v>
      </c>
      <c r="B18" s="15" t="n">
        <f aca="false">Assumptions!B24</f>
        <v>10800</v>
      </c>
    </row>
    <row r="19" customFormat="false" ht="22" hidden="false" customHeight="true" outlineLevel="0" collapsed="false">
      <c r="A19" s="7" t="s">
        <v>100</v>
      </c>
      <c r="B19" s="8" t="n">
        <f aca="false">B17-B18</f>
        <v>535160</v>
      </c>
    </row>
    <row r="21" customFormat="false" ht="22" hidden="false" customHeight="true" outlineLevel="0" collapsed="false">
      <c r="A21" s="4" t="s">
        <v>101</v>
      </c>
      <c r="B21" s="16" t="n">
        <f aca="false">Assumptions!B27</f>
        <v>0.0575</v>
      </c>
    </row>
    <row r="22" customFormat="false" ht="22" hidden="false" customHeight="true" outlineLevel="0" collapsed="false">
      <c r="A22" s="7" t="s">
        <v>102</v>
      </c>
      <c r="B22" s="8" t="n">
        <f aca="false">B17/B21</f>
        <v>9494956.52173913</v>
      </c>
    </row>
    <row r="24" customFormat="false" ht="22" hidden="false" customHeight="true" outlineLevel="0" collapsed="false">
      <c r="A24" s="4" t="s">
        <v>103</v>
      </c>
      <c r="B24" s="17" t="n">
        <f aca="false">B16/B7</f>
        <v>0.360822328369392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8"/>
  </cols>
  <sheetData>
    <row r="1" customFormat="false" ht="27" hidden="false" customHeight="true" outlineLevel="0" collapsed="false">
      <c r="A1" s="1" t="s">
        <v>104</v>
      </c>
    </row>
    <row r="2" customFormat="false" ht="36" hidden="false" customHeight="true" outlineLevel="0" collapsed="false">
      <c r="A2" s="2" t="s">
        <v>105</v>
      </c>
    </row>
    <row r="4" customFormat="false" ht="22" hidden="false" customHeight="true" outlineLevel="0" collapsed="false">
      <c r="A4" s="4" t="s">
        <v>98</v>
      </c>
      <c r="B4" s="15" t="n">
        <f aca="false">Underwriting!B17</f>
        <v>545960</v>
      </c>
    </row>
    <row r="5" customFormat="false" ht="22" hidden="false" customHeight="true" outlineLevel="0" collapsed="false">
      <c r="A5" s="4" t="s">
        <v>100</v>
      </c>
      <c r="B5" s="15" t="n">
        <f aca="false">Underwriting!B19</f>
        <v>535160</v>
      </c>
    </row>
    <row r="6" customFormat="false" ht="22" hidden="false" customHeight="true" outlineLevel="0" collapsed="false">
      <c r="A6" s="4" t="s">
        <v>106</v>
      </c>
      <c r="B6" s="18" t="n">
        <f aca="false">Assumptions!B33</f>
        <v>0.0625</v>
      </c>
    </row>
    <row r="7" customFormat="false" ht="22" hidden="false" customHeight="true" outlineLevel="0" collapsed="false">
      <c r="A7" s="7" t="s">
        <v>107</v>
      </c>
      <c r="B7" s="19" t="n">
        <f aca="false">-Assumptions!B35*PMT(B6/Assumptions!B35,Assumptions!B34*Assumptions!B35,1)</f>
        <v>0.073886064051167</v>
      </c>
    </row>
    <row r="9" customFormat="false" ht="22" hidden="false" customHeight="true" outlineLevel="0" collapsed="false">
      <c r="A9" s="4" t="s">
        <v>108</v>
      </c>
      <c r="B9" s="15" t="n">
        <f aca="false">Underwriting!B22</f>
        <v>9494956.52173913</v>
      </c>
    </row>
    <row r="10" customFormat="false" ht="22" hidden="false" customHeight="true" outlineLevel="0" collapsed="false">
      <c r="A10" s="7" t="s">
        <v>109</v>
      </c>
      <c r="B10" s="8" t="n">
        <f aca="false">Assumptions!B37*B9</f>
        <v>6171721.73913044</v>
      </c>
    </row>
    <row r="11" customFormat="false" ht="22" hidden="false" customHeight="true" outlineLevel="0" collapsed="false">
      <c r="A11" s="7" t="s">
        <v>110</v>
      </c>
      <c r="B11" s="8" t="n">
        <f aca="false">(B5/Assumptions!B38)/B7</f>
        <v>5794435.06022348</v>
      </c>
    </row>
    <row r="12" customFormat="false" ht="22" hidden="false" customHeight="true" outlineLevel="0" collapsed="false">
      <c r="A12" s="7" t="s">
        <v>111</v>
      </c>
      <c r="B12" s="8" t="n">
        <f aca="false">B5/Assumptions!B39</f>
        <v>6296000</v>
      </c>
    </row>
    <row r="14" customFormat="false" ht="22" hidden="false" customHeight="true" outlineLevel="0" collapsed="false">
      <c r="A14" s="7" t="s">
        <v>112</v>
      </c>
      <c r="B14" s="8" t="n">
        <f aca="false">MIN(B10,B11,B12)</f>
        <v>5794435.06022348</v>
      </c>
    </row>
    <row r="15" customFormat="false" ht="22" hidden="false" customHeight="true" outlineLevel="0" collapsed="false">
      <c r="A15" s="7" t="s">
        <v>113</v>
      </c>
      <c r="B15" s="7" t="str">
        <f aca="false">IF(B14=B10,"LTV",IF(B14=B11,"DSCR","Debt yield"))</f>
        <v>DSCR</v>
      </c>
    </row>
    <row r="17" customFormat="false" ht="22" hidden="false" customHeight="true" outlineLevel="0" collapsed="false">
      <c r="A17" s="7" t="s">
        <v>114</v>
      </c>
      <c r="B17" s="8" t="n">
        <f aca="false">B14*B7</f>
        <v>428128</v>
      </c>
    </row>
    <row r="18" customFormat="false" ht="22" hidden="false" customHeight="true" outlineLevel="0" collapsed="false">
      <c r="A18" s="7" t="s">
        <v>115</v>
      </c>
      <c r="B18" s="20" t="n">
        <f aca="false">B5/B17</f>
        <v>1.25</v>
      </c>
    </row>
    <row r="19" customFormat="false" ht="22" hidden="false" customHeight="true" outlineLevel="0" collapsed="false">
      <c r="A19" s="7" t="s">
        <v>116</v>
      </c>
      <c r="B19" s="21" t="n">
        <f aca="false">B5/B14</f>
        <v>0.0923575800639587</v>
      </c>
    </row>
    <row r="20" customFormat="false" ht="22" hidden="false" customHeight="true" outlineLevel="0" collapsed="false">
      <c r="A20" s="4" t="s">
        <v>117</v>
      </c>
      <c r="B20" s="22" t="n">
        <f aca="false">B14/B9</f>
        <v>0.610264517479028</v>
      </c>
    </row>
    <row r="21" customFormat="false" ht="22" hidden="false" customHeight="true" outlineLevel="0" collapsed="false">
      <c r="A21" s="7" t="s">
        <v>118</v>
      </c>
      <c r="B21" s="8" t="n">
        <f aca="false">IF(Assumptions!B36&gt;=12,B14*Assumptions!B29,B14*-Assumptions!B35*PMT(Assumptions!B29/Assumptions!B35,Assumptions!B34*Assumptions!B35,1))</f>
        <v>341871.668553186</v>
      </c>
    </row>
    <row r="22" customFormat="false" ht="22" hidden="false" customHeight="true" outlineLevel="0" collapsed="false">
      <c r="A22" s="4" t="s">
        <v>119</v>
      </c>
      <c r="B22" s="15" t="n">
        <f aca="false">B14*-Assumptions!B35*PMT(Assumptions!B29/Assumptions!B35,Assumptions!B34*Assumptions!B35,1)</f>
        <v>412426.916174412</v>
      </c>
    </row>
    <row r="23" customFormat="false" ht="22" hidden="false" customHeight="true" outlineLevel="0" collapsed="false">
      <c r="A23" s="4" t="s">
        <v>120</v>
      </c>
      <c r="B23" s="23" t="n">
        <f aca="false">B5/B21</f>
        <v>1.56538271294845</v>
      </c>
    </row>
    <row r="24" customFormat="false" ht="22" hidden="false" customHeight="true" outlineLevel="0" collapsed="false">
      <c r="A24" s="4" t="s">
        <v>121</v>
      </c>
      <c r="B24" s="13" t="n">
        <f aca="false">B17-B21</f>
        <v>86256.3314468144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</cols>
  <sheetData>
    <row r="1" customFormat="false" ht="27" hidden="false" customHeight="true" outlineLevel="0" collapsed="false">
      <c r="A1" s="1" t="s">
        <v>122</v>
      </c>
    </row>
    <row r="2" customFormat="false" ht="36" hidden="false" customHeight="true" outlineLevel="0" collapsed="false">
      <c r="A2" s="2" t="s">
        <v>123</v>
      </c>
    </row>
    <row r="4" customFormat="false" ht="25" hidden="false" customHeight="true" outlineLevel="0" collapsed="false">
      <c r="A4" s="3" t="s">
        <v>124</v>
      </c>
    </row>
    <row r="5" customFormat="false" ht="22" hidden="false" customHeight="true" outlineLevel="0" collapsed="false">
      <c r="A5" s="4" t="s">
        <v>125</v>
      </c>
      <c r="B5" s="15" t="n">
        <f aca="false">Sizing!B14</f>
        <v>5794435.06022348</v>
      </c>
    </row>
    <row r="6" customFormat="false" ht="22" hidden="false" customHeight="true" outlineLevel="0" collapsed="false">
      <c r="A6" s="7" t="s">
        <v>126</v>
      </c>
      <c r="B6" s="8" t="n">
        <f aca="false">B5</f>
        <v>5794435.06022348</v>
      </c>
    </row>
    <row r="8" customFormat="false" ht="25" hidden="false" customHeight="true" outlineLevel="0" collapsed="false">
      <c r="A8" s="3" t="s">
        <v>127</v>
      </c>
    </row>
    <row r="9" customFormat="false" ht="22" hidden="false" customHeight="true" outlineLevel="0" collapsed="false">
      <c r="A9" s="4" t="s">
        <v>128</v>
      </c>
      <c r="B9" s="15" t="n">
        <f aca="false">Assumptions!B41</f>
        <v>3300000</v>
      </c>
    </row>
    <row r="10" customFormat="false" ht="22" hidden="false" customHeight="true" outlineLevel="0" collapsed="false">
      <c r="A10" s="4" t="s">
        <v>129</v>
      </c>
      <c r="B10" s="15" t="n">
        <f aca="false">Assumptions!B40*B5</f>
        <v>43458.2629516761</v>
      </c>
    </row>
    <row r="11" customFormat="false" ht="22" hidden="false" customHeight="true" outlineLevel="0" collapsed="false">
      <c r="A11" s="4" t="s">
        <v>130</v>
      </c>
      <c r="B11" s="15" t="n">
        <f aca="false">Assumptions!B42</f>
        <v>45000</v>
      </c>
    </row>
    <row r="12" customFormat="false" ht="22" hidden="false" customHeight="true" outlineLevel="0" collapsed="false">
      <c r="A12" s="7" t="s">
        <v>131</v>
      </c>
      <c r="B12" s="8" t="n">
        <f aca="false">B5-B9-B10-B11</f>
        <v>2405976.79727181</v>
      </c>
    </row>
    <row r="13" customFormat="false" ht="22" hidden="false" customHeight="true" outlineLevel="0" collapsed="false">
      <c r="A13" s="7" t="s">
        <v>132</v>
      </c>
      <c r="B13" s="8" t="n">
        <f aca="false">B9+B10+B11+B12</f>
        <v>5794435.06022348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5" min="4" style="0" width="18"/>
  </cols>
  <sheetData>
    <row r="1" customFormat="false" ht="27" hidden="false" customHeight="true" outlineLevel="0" collapsed="false">
      <c r="A1" s="1" t="s">
        <v>133</v>
      </c>
    </row>
    <row r="2" customFormat="false" ht="36" hidden="false" customHeight="true" outlineLevel="0" collapsed="false">
      <c r="A2" s="2" t="s">
        <v>134</v>
      </c>
    </row>
    <row r="4" customFormat="false" ht="25" hidden="false" customHeight="true" outlineLevel="0" collapsed="false">
      <c r="A4" s="3" t="s">
        <v>135</v>
      </c>
      <c r="B4" s="3" t="s">
        <v>136</v>
      </c>
      <c r="C4" s="3" t="s">
        <v>137</v>
      </c>
      <c r="D4" s="3" t="s">
        <v>138</v>
      </c>
      <c r="E4" s="3" t="s">
        <v>139</v>
      </c>
    </row>
    <row r="5" customFormat="false" ht="22" hidden="false" customHeight="true" outlineLevel="0" collapsed="false">
      <c r="A5" s="4" t="s">
        <v>140</v>
      </c>
      <c r="B5" s="16" t="n">
        <f aca="false">Assumptions!B45</f>
        <v>0.95</v>
      </c>
      <c r="C5" s="16" t="n">
        <f aca="false">Assumptions!B45</f>
        <v>0.95</v>
      </c>
      <c r="D5" s="22" t="n">
        <v>1</v>
      </c>
      <c r="E5" s="22" t="n">
        <v>1</v>
      </c>
    </row>
    <row r="6" customFormat="false" ht="22" hidden="false" customHeight="true" outlineLevel="0" collapsed="false">
      <c r="A6" s="4" t="s">
        <v>141</v>
      </c>
      <c r="B6" s="10" t="n">
        <v>0</v>
      </c>
      <c r="C6" s="18" t="n">
        <f aca="false">Assumptions!B46</f>
        <v>0.01</v>
      </c>
      <c r="D6" s="10" t="n">
        <v>0</v>
      </c>
      <c r="E6" s="10" t="n">
        <v>0</v>
      </c>
    </row>
    <row r="7" customFormat="false" ht="22" hidden="false" customHeight="true" outlineLevel="0" collapsed="false">
      <c r="A7" s="4" t="s">
        <v>142</v>
      </c>
      <c r="B7" s="10" t="n">
        <v>0</v>
      </c>
      <c r="C7" s="10" t="n">
        <v>0</v>
      </c>
      <c r="D7" s="18" t="n">
        <f aca="false">Assumptions!B28</f>
        <v>0.005</v>
      </c>
      <c r="E7" s="10" t="n">
        <v>0</v>
      </c>
    </row>
    <row r="9" customFormat="false" ht="22" hidden="false" customHeight="true" outlineLevel="0" collapsed="false">
      <c r="A9" s="4" t="s">
        <v>143</v>
      </c>
      <c r="B9" s="15" t="n">
        <f aca="false">Underwriting!$B$7*B5</f>
        <v>811452</v>
      </c>
      <c r="C9" s="15" t="n">
        <f aca="false">Underwriting!$B$7*C5</f>
        <v>811452</v>
      </c>
      <c r="D9" s="15" t="n">
        <f aca="false">Underwriting!$B$7*D5</f>
        <v>854160</v>
      </c>
      <c r="E9" s="15" t="n">
        <f aca="false">Underwriting!$B$7*E5</f>
        <v>854160</v>
      </c>
    </row>
    <row r="10" customFormat="false" ht="22" hidden="false" customHeight="true" outlineLevel="0" collapsed="false">
      <c r="A10" s="4" t="s">
        <v>144</v>
      </c>
      <c r="B10" s="15" t="n">
        <f aca="false">Underwriting!$B$16-Underwriting!$B$15+MAX(Assumptions!$B$17,Assumptions!$B$18*B9)</f>
        <v>308200</v>
      </c>
      <c r="C10" s="15" t="n">
        <f aca="false">Underwriting!$B$16-Underwriting!$B$15+MAX(Assumptions!$B$17,Assumptions!$B$18*C9)</f>
        <v>308200</v>
      </c>
      <c r="D10" s="15" t="n">
        <f aca="false">Underwriting!$B$16-Underwriting!$B$15+MAX(Assumptions!$B$17,Assumptions!$B$18*D9)</f>
        <v>308200</v>
      </c>
      <c r="E10" s="15" t="n">
        <f aca="false">Underwriting!$B$16-Underwriting!$B$15+MAX(Assumptions!$B$17,Assumptions!$B$18*E9)</f>
        <v>308200</v>
      </c>
    </row>
    <row r="11" customFormat="false" ht="22" hidden="false" customHeight="true" outlineLevel="0" collapsed="false">
      <c r="A11" s="7" t="s">
        <v>145</v>
      </c>
      <c r="B11" s="8" t="n">
        <f aca="false">B9-B10</f>
        <v>503252</v>
      </c>
      <c r="C11" s="8" t="n">
        <f aca="false">C9-C10</f>
        <v>503252</v>
      </c>
      <c r="D11" s="8" t="n">
        <f aca="false">D9-D10</f>
        <v>545960</v>
      </c>
      <c r="E11" s="8" t="n">
        <f aca="false">E9-E10</f>
        <v>545960</v>
      </c>
    </row>
    <row r="12" customFormat="false" ht="22" hidden="false" customHeight="true" outlineLevel="0" collapsed="false">
      <c r="A12" s="7" t="s">
        <v>146</v>
      </c>
      <c r="B12" s="8" t="n">
        <f aca="false">B11-Assumptions!$B$24</f>
        <v>492452</v>
      </c>
      <c r="C12" s="8" t="n">
        <f aca="false">C11-Assumptions!$B$24</f>
        <v>492452</v>
      </c>
      <c r="D12" s="8" t="n">
        <f aca="false">D11-Assumptions!$B$24</f>
        <v>535160</v>
      </c>
      <c r="E12" s="8" t="n">
        <f aca="false">E11-Assumptions!$B$24</f>
        <v>535160</v>
      </c>
    </row>
    <row r="13" customFormat="false" ht="22" hidden="false" customHeight="true" outlineLevel="0" collapsed="false">
      <c r="A13" s="4" t="s">
        <v>147</v>
      </c>
      <c r="B13" s="15" t="n">
        <f aca="false">B11/(Assumptions!$B$27+B7)</f>
        <v>8752208.69565217</v>
      </c>
      <c r="C13" s="15" t="n">
        <f aca="false">C11/(Assumptions!$B$27+C7)</f>
        <v>8752208.69565217</v>
      </c>
      <c r="D13" s="15" t="n">
        <f aca="false">D11/(Assumptions!$B$27+D7)</f>
        <v>8735360</v>
      </c>
      <c r="E13" s="15" t="n">
        <f aca="false">E11/(Assumptions!$B$27+E7)</f>
        <v>9494956.52173913</v>
      </c>
    </row>
    <row r="14" customFormat="false" ht="22" hidden="false" customHeight="true" outlineLevel="0" collapsed="false">
      <c r="A14" s="4" t="s">
        <v>148</v>
      </c>
      <c r="B14" s="24" t="n">
        <f aca="false">-Assumptions!$B$35*PMT((Assumptions!$B$33+B6)/Assumptions!$B$35,Assumptions!$B$34*Assumptions!$B$35,1)</f>
        <v>0.073886064051167</v>
      </c>
      <c r="C14" s="24" t="n">
        <f aca="false">-Assumptions!$B$35*PMT((Assumptions!$B$33+C6)/Assumptions!$B$35,Assumptions!$B$34*Assumptions!$B$35,1)</f>
        <v>0.081861153606743</v>
      </c>
      <c r="D14" s="24" t="n">
        <f aca="false">-Assumptions!$B$35*PMT((Assumptions!$B$33+D6)/Assumptions!$B$35,Assumptions!$B$34*Assumptions!$B$35,1)</f>
        <v>0.073886064051167</v>
      </c>
      <c r="E14" s="24" t="n">
        <f aca="false">-Assumptions!$B$35*PMT((Assumptions!$B$33+E6)/Assumptions!$B$35,Assumptions!$B$34*Assumptions!$B$35,1)</f>
        <v>0.073886064051167</v>
      </c>
    </row>
    <row r="15" customFormat="false" ht="22" hidden="false" customHeight="true" outlineLevel="0" collapsed="false">
      <c r="A15" s="4" t="s">
        <v>149</v>
      </c>
      <c r="B15" s="15" t="n">
        <f aca="false">Assumptions!$B$37*B13</f>
        <v>5688935.65217391</v>
      </c>
      <c r="C15" s="15" t="n">
        <f aca="false">Assumptions!$B$37*C13</f>
        <v>5688935.65217391</v>
      </c>
      <c r="D15" s="15" t="n">
        <f aca="false">Assumptions!$B$37*D13</f>
        <v>5677984</v>
      </c>
      <c r="E15" s="15" t="n">
        <f aca="false">Assumptions!$B$37*E13</f>
        <v>6171721.73913044</v>
      </c>
    </row>
    <row r="16" customFormat="false" ht="22" hidden="false" customHeight="true" outlineLevel="0" collapsed="false">
      <c r="A16" s="4" t="s">
        <v>150</v>
      </c>
      <c r="B16" s="15" t="n">
        <f aca="false">(B12/Assumptions!$B$38)/B14</f>
        <v>5332014.97547869</v>
      </c>
      <c r="C16" s="15" t="n">
        <f aca="false">(C12/Assumptions!$B$38)/C14</f>
        <v>4812558.61470719</v>
      </c>
      <c r="D16" s="15" t="n">
        <f aca="false">(D12/Assumptions!$B$38)/D14</f>
        <v>5794435.06022348</v>
      </c>
      <c r="E16" s="15" t="n">
        <f aca="false">(E12/Assumptions!$B$38)/E14</f>
        <v>5794435.06022348</v>
      </c>
    </row>
    <row r="17" customFormat="false" ht="22" hidden="false" customHeight="true" outlineLevel="0" collapsed="false">
      <c r="A17" s="4" t="s">
        <v>151</v>
      </c>
      <c r="B17" s="15" t="n">
        <f aca="false">B12/Assumptions!$B$39</f>
        <v>5793552.94117647</v>
      </c>
      <c r="C17" s="15" t="n">
        <f aca="false">C12/Assumptions!$B$39</f>
        <v>5793552.94117647</v>
      </c>
      <c r="D17" s="15" t="n">
        <f aca="false">D12/Assumptions!$B$39</f>
        <v>6296000</v>
      </c>
      <c r="E17" s="15" t="n">
        <f aca="false">E12/Assumptions!$B$39</f>
        <v>6296000</v>
      </c>
    </row>
    <row r="18" customFormat="false" ht="22" hidden="false" customHeight="true" outlineLevel="0" collapsed="false">
      <c r="A18" s="7" t="s">
        <v>152</v>
      </c>
      <c r="B18" s="8" t="n">
        <f aca="false">MIN(B15,B16,B17)</f>
        <v>5332014.97547869</v>
      </c>
      <c r="C18" s="8" t="n">
        <f aca="false">MIN(C15,C16,C17)</f>
        <v>4812558.61470719</v>
      </c>
      <c r="D18" s="8" t="n">
        <f aca="false">MIN(D15,D16,D17)</f>
        <v>5677984</v>
      </c>
      <c r="E18" s="8" t="n">
        <f aca="false">MIN(E15,E16,E17)</f>
        <v>5794435.06022348</v>
      </c>
    </row>
    <row r="19" customFormat="false" ht="22" hidden="false" customHeight="true" outlineLevel="0" collapsed="false">
      <c r="A19" s="7" t="s">
        <v>113</v>
      </c>
      <c r="B19" s="7" t="str">
        <f aca="false">IF(B18=B15,"LTV",IF(B18=B16,"DSCR","Debt yield"))</f>
        <v>DSCR</v>
      </c>
      <c r="C19" s="7" t="str">
        <f aca="false">IF(C18=C15,"LTV",IF(C18=C16,"DSCR","Debt yield"))</f>
        <v>DSCR</v>
      </c>
      <c r="D19" s="7" t="str">
        <f aca="false">IF(D18=D15,"LTV",IF(D18=D16,"DSCR","Debt yield"))</f>
        <v>LTV</v>
      </c>
      <c r="E19" s="7" t="str">
        <f aca="false">IF(E18=E15,"LTV",IF(E18=E16,"DSCR","Debt yield"))</f>
        <v>DSCR</v>
      </c>
    </row>
    <row r="20" customFormat="false" ht="22" hidden="false" customHeight="true" outlineLevel="0" collapsed="false">
      <c r="A20" s="4" t="s">
        <v>153</v>
      </c>
      <c r="B20" s="13" t="n">
        <f aca="false">B18-$E$18</f>
        <v>-462420.084744795</v>
      </c>
      <c r="C20" s="13" t="n">
        <f aca="false">C18-$E$18</f>
        <v>-981876.445516292</v>
      </c>
      <c r="D20" s="13" t="n">
        <f aca="false">D18-$E$18</f>
        <v>-116451.060223484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30"/>
    <col collapsed="false" customWidth="true" hidden="false" outlineLevel="0" max="3" min="3" style="0" width="48"/>
  </cols>
  <sheetData>
    <row r="1" customFormat="false" ht="27" hidden="false" customHeight="true" outlineLevel="0" collapsed="false">
      <c r="A1" s="1" t="s">
        <v>154</v>
      </c>
    </row>
    <row r="2" customFormat="false" ht="36" hidden="false" customHeight="true" outlineLevel="0" collapsed="false">
      <c r="A2" s="2" t="s">
        <v>155</v>
      </c>
    </row>
    <row r="4" customFormat="false" ht="25" hidden="false" customHeight="true" outlineLevel="0" collapsed="false">
      <c r="A4" s="3" t="s">
        <v>156</v>
      </c>
      <c r="B4" s="3" t="s">
        <v>157</v>
      </c>
      <c r="C4" s="3" t="s">
        <v>158</v>
      </c>
    </row>
    <row r="5" customFormat="false" ht="22" hidden="false" customHeight="true" outlineLevel="0" collapsed="false">
      <c r="A5" s="4" t="s">
        <v>159</v>
      </c>
      <c r="B5" s="4" t="s">
        <v>160</v>
      </c>
      <c r="C5" s="25" t="str">
        <f aca="false">TEXT(Assumptions!B27,"0.00%")</f>
        <v>5.75%</v>
      </c>
    </row>
    <row r="6" customFormat="false" ht="22" hidden="false" customHeight="true" outlineLevel="0" collapsed="false">
      <c r="A6" s="4" t="s">
        <v>161</v>
      </c>
      <c r="B6" s="4" t="s">
        <v>162</v>
      </c>
      <c r="C6" s="25" t="str">
        <f aca="false">TEXT(Assumptions!B28,"0.00%")</f>
        <v>0.50%</v>
      </c>
    </row>
    <row r="7" customFormat="false" ht="22" hidden="false" customHeight="true" outlineLevel="0" collapsed="false">
      <c r="A7" s="4" t="s">
        <v>163</v>
      </c>
      <c r="B7" s="4" t="s">
        <v>164</v>
      </c>
      <c r="C7" s="25" t="str">
        <f aca="false">TEXT(Assumptions!B33,"0.000%")&amp;" sizing rate used"</f>
        <v>6.250% sizing rate used</v>
      </c>
    </row>
    <row r="8" customFormat="false" ht="22" hidden="false" customHeight="true" outlineLevel="0" collapsed="false">
      <c r="A8" s="4" t="s">
        <v>165</v>
      </c>
      <c r="B8" s="4" t="s">
        <v>166</v>
      </c>
      <c r="C8" s="25" t="str">
        <f aca="false">TEXT(Assumptions!B29,"0.000%")</f>
        <v>5.900%</v>
      </c>
    </row>
    <row r="9" customFormat="false" ht="22" hidden="false" customHeight="true" outlineLevel="0" collapsed="false">
      <c r="A9" s="4" t="s">
        <v>167</v>
      </c>
      <c r="B9" s="4" t="s">
        <v>168</v>
      </c>
      <c r="C9" s="4" t="s">
        <v>169</v>
      </c>
    </row>
    <row r="10" customFormat="false" ht="22" hidden="false" customHeight="true" outlineLevel="0" collapsed="false">
      <c r="A10" s="4" t="s">
        <v>170</v>
      </c>
      <c r="B10" s="4" t="s">
        <v>171</v>
      </c>
      <c r="C10" s="15" t="n">
        <f aca="false">Underwriting!B7</f>
        <v>854160</v>
      </c>
    </row>
    <row r="11" customFormat="false" ht="22" hidden="false" customHeight="true" outlineLevel="0" collapsed="false">
      <c r="A11" s="4" t="s">
        <v>172</v>
      </c>
      <c r="B11" s="4" t="s">
        <v>173</v>
      </c>
      <c r="C11" s="15" t="n">
        <f aca="false">Underwriting!B17</f>
        <v>545960</v>
      </c>
    </row>
    <row r="12" customFormat="false" ht="22" hidden="false" customHeight="true" outlineLevel="0" collapsed="false">
      <c r="A12" s="4" t="s">
        <v>174</v>
      </c>
      <c r="B12" s="4" t="s">
        <v>175</v>
      </c>
      <c r="C12" s="15" t="n">
        <f aca="false">Underwriting!B19</f>
        <v>535160</v>
      </c>
    </row>
    <row r="13" customFormat="false" ht="22" hidden="false" customHeight="true" outlineLevel="0" collapsed="false">
      <c r="A13" s="4" t="s">
        <v>176</v>
      </c>
      <c r="B13" s="4" t="s">
        <v>177</v>
      </c>
      <c r="C13" s="15" t="n">
        <f aca="false">Underwriting!B22</f>
        <v>9494956.52173913</v>
      </c>
    </row>
    <row r="14" customFormat="false" ht="22" hidden="false" customHeight="true" outlineLevel="0" collapsed="false">
      <c r="A14" s="4" t="s">
        <v>178</v>
      </c>
      <c r="B14" s="4" t="s">
        <v>179</v>
      </c>
      <c r="C14" s="25" t="str">
        <f aca="false">TEXT(Sizing!B10,"#,##0")&amp;" / "&amp;TEXT(Sizing!B11,"#,##0")&amp;" / "&amp;TEXT(Sizing!B12,"#,##0")</f>
        <v>6,171,722 / 5,794,435 / 6,296,000</v>
      </c>
    </row>
    <row r="15" customFormat="false" ht="22" hidden="false" customHeight="true" outlineLevel="0" collapsed="false">
      <c r="A15" s="4" t="s">
        <v>180</v>
      </c>
      <c r="B15" s="4" t="s">
        <v>181</v>
      </c>
      <c r="C15" s="15" t="n">
        <f aca="false">Sizing!B14</f>
        <v>5794435.06022348</v>
      </c>
    </row>
    <row r="16" customFormat="false" ht="22" hidden="false" customHeight="true" outlineLevel="0" collapsed="false">
      <c r="A16" s="4" t="s">
        <v>182</v>
      </c>
      <c r="B16" s="4" t="s">
        <v>183</v>
      </c>
      <c r="C16" s="25" t="str">
        <f aca="false">Sizing!B15</f>
        <v>DSCR</v>
      </c>
    </row>
    <row r="17" customFormat="false" ht="22" hidden="false" customHeight="true" outlineLevel="0" collapsed="false">
      <c r="A17" s="4" t="s">
        <v>184</v>
      </c>
      <c r="B17" s="4" t="s">
        <v>185</v>
      </c>
      <c r="C17" s="25" t="str">
        <f aca="false">TEXT(Sizing!B17,"#,##0")&amp;" / "&amp;TEXT(Sizing!B18,"0.000")&amp;" / "&amp;TEXT(Sizing!B19,"0.00%")</f>
        <v>428,128 / 1.250 / 9.24%</v>
      </c>
    </row>
    <row r="18" customFormat="false" ht="22" hidden="false" customHeight="true" outlineLevel="0" collapsed="false">
      <c r="A18" s="4" t="s">
        <v>186</v>
      </c>
      <c r="B18" s="4" t="s">
        <v>187</v>
      </c>
      <c r="C18" s="15" t="n">
        <f aca="false">Sizing!B21</f>
        <v>341871.668553186</v>
      </c>
    </row>
    <row r="19" customFormat="false" ht="22" hidden="false" customHeight="true" outlineLevel="0" collapsed="false">
      <c r="A19" s="4" t="s">
        <v>188</v>
      </c>
      <c r="B19" s="4" t="s">
        <v>189</v>
      </c>
      <c r="C19" s="15" t="n">
        <f aca="false">SourcesUses!B12</f>
        <v>2405976.79727181</v>
      </c>
    </row>
    <row r="20" customFormat="false" ht="22" hidden="false" customHeight="true" outlineLevel="0" collapsed="false">
      <c r="A20" s="4" t="s">
        <v>190</v>
      </c>
      <c r="B20" s="4" t="s">
        <v>191</v>
      </c>
      <c r="C20" s="25" t="str">
        <f aca="false">TEXT(Sensitivity!B11,"#,##0")&amp;" / "&amp;TEXT(Sensitivity!C18,"#,##0")</f>
        <v>503,252 / 4,812,559</v>
      </c>
    </row>
    <row r="21" customFormat="false" ht="22" hidden="false" customHeight="true" outlineLevel="0" collapsed="false">
      <c r="A21" s="4" t="s">
        <v>192</v>
      </c>
      <c r="B21" s="4" t="s">
        <v>193</v>
      </c>
      <c r="C21" s="25" t="str">
        <f aca="false">TEXT('T12'!B10,"#,##0")&amp;" / "&amp;TEXT('T12'!B20,"#,##0")&amp;" / "&amp;TEXT('T12'!B22,"#,##0")</f>
        <v>821,100 / 513,300 / 502,500</v>
      </c>
    </row>
    <row r="22" customFormat="false" ht="22" hidden="false" customHeight="true" outlineLevel="0" collapsed="false">
      <c r="A22" s="4" t="s">
        <v>194</v>
      </c>
      <c r="B22" s="4" t="s">
        <v>195</v>
      </c>
      <c r="C22" s="25" t="str">
        <f aca="false">TEXT(RentRoll!B15,"#,##0")&amp;" monthly base; "&amp;TEXT(RentRoll!B14,"0.00")&amp;"% occupancy by area"</f>
        <v>62,275 monthly base; 91.04% occupancy by area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