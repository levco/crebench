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<sst xmlns="http://schemas.openxmlformats.org/spreadsheetml/2006/main" count="461" uniqueCount="321">
  <si>
    <t xml:space="preserve">Cedar Landing | Editable underwriting assumptions (as of 2026-08-31)</t>
  </si>
  <si>
    <t xml:space="preserve">Assumption</t>
  </si>
  <si>
    <t xml:space="preserve">Value</t>
  </si>
  <si>
    <t xml:space="preserve">Source</t>
  </si>
  <si>
    <t xml:space="preserve">UW gross potential base rent (annual)</t>
  </si>
  <si>
    <t xml:space="preserve">Property-and-Plan.pdf p.2</t>
  </si>
  <si>
    <t xml:space="preserve">Combined revenue loss % of GPR</t>
  </si>
  <si>
    <t xml:space="preserve">Property-and-Plan.pdf p.2 (vacancy/concessions/bad debt)</t>
  </si>
  <si>
    <t xml:space="preserve">Other income / recoveries (annual)</t>
  </si>
  <si>
    <t xml:space="preserve">Property-and-Plan.pdf p.2; added after loss</t>
  </si>
  <si>
    <t xml:space="preserve">Capitalization rate</t>
  </si>
  <si>
    <t xml:space="preserve">Lender-Terms.pdf p.1 (NOI before reserves / 5.75%)</t>
  </si>
  <si>
    <t xml:space="preserve">Maximum LTV</t>
  </si>
  <si>
    <t xml:space="preserve">Lender-Terms.pdf p.1</t>
  </si>
  <si>
    <t xml:space="preserve">Minimum DSCR (NCF after reserves)</t>
  </si>
  <si>
    <t xml:space="preserve">Minimum debt yield (NCF after reserves)</t>
  </si>
  <si>
    <t xml:space="preserve">Contract (note) rate</t>
  </si>
  <si>
    <t xml:space="preserve">Underwriting rate floor</t>
  </si>
  <si>
    <t xml:space="preserve">Lender-Terms.pdf p.1 (sizing = greater of contract and floor)</t>
  </si>
  <si>
    <t xml:space="preserve">Sizing rate adjustment (decimal, e.g. 0.01 = +100 bps)</t>
  </si>
  <si>
    <t xml:space="preserve">Reviewer stress lever</t>
  </si>
  <si>
    <t xml:space="preserve">Sizing rate applied</t>
  </si>
  <si>
    <t xml:space="preserve">Amortization (years, monthly pay)</t>
  </si>
  <si>
    <t xml:space="preserve">Interest-only period (months)</t>
  </si>
  <si>
    <t xml:space="preserve">Maturity (months)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</si>
  <si>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</si>
  <si>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</si>
  <si>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</si>
  <si>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</si>
  <si>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unit per year</t>
  </si>
  <si>
    <t xml:space="preserve">Unit count (from rent roll)</t>
  </si>
  <si>
    <t xml:space="preserve">Rent-Roll.xlsx rows 7-54</t>
  </si>
  <si>
    <t xml:space="preserve">Underwritten operating expenses (annual)</t>
  </si>
  <si>
    <t xml:space="preserve">Source / treatment</t>
  </si>
  <si>
    <t xml:space="preserve">Real estate taxes</t>
  </si>
  <si>
    <t xml:space="preserve">Plan p.2 UW (T12 132,000)</t>
  </si>
  <si>
    <t xml:space="preserve">Property insurance</t>
  </si>
  <si>
    <t xml:space="preserve">Plan p.2 renewal allowance dated 2026-08-25 (T12 40,800)</t>
  </si>
  <si>
    <t xml:space="preserve">Utilities</t>
  </si>
  <si>
    <t xml:space="preserve">Plan p.2: T12 actual</t>
  </si>
  <si>
    <t xml:space="preserve">Repairs and maintenance</t>
  </si>
  <si>
    <t xml:space="preserve">T12 54,000 less 12,000 one-time casualty cleanup</t>
  </si>
  <si>
    <t xml:space="preserve">Payroll / contract labor</t>
  </si>
  <si>
    <t xml:space="preserve">Administrative / legal</t>
  </si>
  <si>
    <t xml:space="preserve">Management fee % of underwritten EGI</t>
  </si>
  <si>
    <t xml:space="preserve">Plan p.2: greater of T12 actual and 3.50% of EGI</t>
  </si>
  <si>
    <t xml:space="preserve">Management fee floor (T12 actual)</t>
  </si>
  <si>
    <t xml:space="preserve">T12-Statement.pdf p.2 annual column</t>
  </si>
  <si>
    <t xml:space="preserve">Cedar Landing | Contractual rent roll as of 2026-08-31 (source: Rent-Roll.xlsx)</t>
  </si>
  <si>
    <t xml:space="preserve">Vacant units show market rent in the source file only; no contractual base rent is credited.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</si>
  <si>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</si>
  <si>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</si>
  <si>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</si>
  <si>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</si>
  <si>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</si>
  <si>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</si>
  <si>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</si>
  <si>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</si>
  <si>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</si>
  <si>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2027-06-30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</si>
  <si>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</si>
  <si>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</si>
  <si>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</si>
  <si>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</si>
  <si>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</si>
  <si>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</si>
  <si>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</si>
  <si>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</si>
  <si>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</si>
  <si>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</si>
  <si>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</si>
  <si>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</si>
  <si>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</si>
  <si>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</si>
  <si>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</si>
  <si>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</si>
  <si>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</si>
  <si>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</si>
  <si>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</si>
  <si>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</si>
  <si>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</si>
  <si>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</si>
  <si>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Household 109</t>
  </si>
  <si>
    <t xml:space="preserve">2027-05-31</t>
  </si>
  <si>
    <t xml:space="preserve">110</t>
  </si>
  <si>
    <t xml:space="preserve">Household 110</t>
  </si>
  <si>
    <t xml:space="preserve">111</t>
  </si>
  <si>
    <t xml:space="preserve">Household 111</t>
  </si>
  <si>
    <t xml:space="preserve">2027-07-31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</si>
  <si>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</si>
  <si>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</si>
  <si>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</si>
  <si>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</si>
  <si>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</si>
  <si>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</si>
  <si>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</si>
  <si>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</si>
  <si>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</si>
  <si>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</si>
  <si>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</si>
  <si>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</si>
  <si>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</si>
  <si>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</si>
  <si>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</si>
  <si>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</si>
  <si>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</si>
  <si>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</si>
  <si>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</si>
  <si>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</si>
  <si>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</si>
  <si>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</si>
  <si>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</si>
  <si>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</si>
  <si>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</si>
  <si>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</si>
  <si>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</si>
  <si>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</si>
  <si>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</si>
  <si>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</si>
  <si>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</si>
  <si>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</si>
  <si>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</si>
  <si>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</si>
  <si>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</si>
  <si>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</si>
  <si>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</si>
  <si>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</si>
  <si>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</si>
  <si>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</si>
  <si>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</si>
  <si>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</si>
  <si>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</si>
  <si>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</si>
  <si>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</si>
  <si>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</si>
  <si>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</si>
  <si>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Vacant</t>
  </si>
  <si>
    <t xml:space="preserve">n/a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</si>
  <si>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</si>
  <si>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</si>
  <si>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</si>
  <si>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</si>
  <si>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</si>
  <si>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</si>
  <si>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</si>
  <si>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</si>
  <si>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</si>
  <si>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</si>
  <si>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</si>
  <si>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</si>
  <si>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</si>
  <si>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</si>
  <si>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 units / suites</t>
  </si>
  <si>
    <t xml:space="preserve">Occupied units</t>
  </si>
  <si>
    <t xml:space="preserve">Total rentable SF</t>
  </si>
  <si>
    <t xml:space="preserve">Occupied rentable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</si>
  <si>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</si>
  <si>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</si>
  <si>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</si>
  <si>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after authoritative amendments</t>
  </si>
  <si>
    <t xml:space="preserve">Annualized contractual base rent (point in time)</t>
  </si>
  <si>
    <t xml:space="preserve">No signed amendment or renewal-exercise notice was delivered for any unit, so effective rent equals printed rent. Annualized rent roll is not used as underwritten revenue.</t>
  </si>
  <si>
    <t xml:space="preserve">Historical T12: September 2025 - August 2026 actual (T12-Statement.pdf, annual column)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</si>
  <si>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</si>
  <si>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</si>
  <si>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</si>
  <si>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</si>
  <si>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</si>
  <si>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</si>
  <si>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</si>
  <si>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</si>
  <si>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</si>
  <si>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</si>
  <si>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12,000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</si>
  <si>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</si>
  <si>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</si>
  <si>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</si>
  <si>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</t>
  </si>
  <si>
    <t xml:space="preserve">T12 NCF after reserves (reported by owner as "property NOI")</t>
  </si>
  <si>
    <t xml:space="preserve">Below cash flow - not operating expenses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</si>
  <si>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</si>
  <si>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</si>
  <si>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</si>
  <si>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</si>
  <si>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(supplied scenario, September 2026 forward) - not a lender-approved forecast</t>
  </si>
  <si>
    <t xml:space="preserve">Annual UW</t>
  </si>
  <si>
    <t xml:space="preserve">Basis</t>
  </si>
  <si>
    <t xml:space="preserve">Inputs!B4</t>
  </si>
  <si>
    <t xml:space="preserve">Combined revenue loss (vacancy/concessions/bad debt)</t>
  </si>
  <si>
    <t xml:space="preserve">7.00% of UW GPR</t>
  </si>
  <si>
    <t xml:space="preserve">Net rental revenue</t>
  </si>
  <si>
    <t xml:space="preserve">Added after loss</t>
  </si>
  <si>
    <t xml:space="preserve">Underwritten EGI</t>
  </si>
  <si>
    <t xml:space="preserve">Management fee (lender-normalized)</t>
  </si>
  <si>
    <t xml:space="preserve">Greater of T12 actual and 3.50%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</si>
  <si>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</si>
  <si>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</si>
  <si>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</si>
  <si>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$325 per unit x units</t>
  </si>
  <si>
    <t xml:space="preserve">Underwritten NCF after reserves</t>
  </si>
  <si>
    <t xml:space="preserve">Indicative capitalization value</t>
  </si>
  <si>
    <t xml:space="preserve">UW NOI before reserves / cap rate</t>
  </si>
  <si>
    <t xml:space="preserve">UW expense ratio (opex / EGI)</t>
  </si>
  <si>
    <t xml:space="preserve">Change vs T12 NOI before reserves</t>
  </si>
  <si>
    <t xml:space="preserve">Loan sizing under lender constraints (Lender-Terms.pdf p.1)</t>
  </si>
  <si>
    <t xml:space="preserve">Item</t>
  </si>
  <si>
    <t xml:space="preserve">Definition</t>
  </si>
  <si>
    <t xml:space="preserve">Contract rate</t>
  </si>
  <si>
    <t xml:space="preserve">Sizing rate</t>
  </si>
  <si>
    <t xml:space="preserve">Greater of contract rate and 6.50% floor (+ adjustment)</t>
  </si>
  <si>
    <t xml:space="preserve">Annual debt constant per $1 principal</t>
  </si>
  <si>
    <t xml:space="preserve">12 monthly payments, 30-year amortization</t>
  </si>
  <si>
    <t xml:space="preserve">LTV constraint</t>
  </si>
  <si>
    <t xml:space="preserve">60.00% x indicative value</t>
  </si>
  <si>
    <t xml:space="preserve">DSCR constraint</t>
  </si>
  <si>
    <t xml:space="preserve">(UW NCF / 1.30x) / debt constant</t>
  </si>
  <si>
    <t xml:space="preserve">Debt yield constraint</t>
  </si>
  <si>
    <t xml:space="preserve">UW NCF after reserves / 9.00%</t>
  </si>
  <si>
    <t xml:space="preserve">Maximum loan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</si>
  <si>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</si>
  <si>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</si>
  <si>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</si>
  <si>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</si>
  <si>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(36-month IO at 6.25%)</t>
  </si>
  <si>
    <t xml:space="preserve">Monthly interest-only payment</t>
  </si>
  <si>
    <t xml:space="preserve">Post-IO amortizing monthly payment at contract rate</t>
  </si>
  <si>
    <t xml:space="preserve">Post-IO annual amortizing debt service at contract rate</t>
  </si>
  <si>
    <t xml:space="preserve">First-year DSCR on contractual (IO) debt service</t>
  </si>
  <si>
    <t xml:space="preserve">Sizing debt service less first-year contractual debt service</t>
  </si>
  <si>
    <t xml:space="preserve">Sources and uses at maximum loan</t>
  </si>
  <si>
    <t xml:space="preserve">Sources</t>
  </si>
  <si>
    <t xml:space="preserve">Amount</t>
  </si>
  <si>
    <t xml:space="preserve">New first-mortgage loan</t>
  </si>
  <si>
    <t xml:space="preserve">Borrower cash contribution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</si>
  <si>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</si>
  <si>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</si>
  <si>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</si>
  <si>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(negative = cash in)</t>
  </si>
  <si>
    <t xml:space="preserve">Cash distributed to borrower (if positive)</t>
  </si>
  <si>
    <t xml:space="preserve">Total uses</t>
  </si>
  <si>
    <t xml:space="preserve">Check: total sources less total uses</t>
  </si>
  <si>
    <t xml:space="preserve">No fee capitalization, interest reserve, holdback or earn-out is assumed (Lender-Terms.pdf p.1).</t>
  </si>
  <si>
    <t xml:space="preserve">Sensitivity: EGI, sizing rate and cap rate levers</t>
  </si>
  <si>
    <t xml:space="preserve">EGI stress factor (0.95 = EGI -5%)</t>
  </si>
  <si>
    <t xml:space="preserve">Sizing rate stress (decimal)</t>
  </si>
  <si>
    <t xml:space="preserve">Cap rate stress (decimal)</t>
  </si>
  <si>
    <t xml:space="preserve">Metric</t>
  </si>
  <si>
    <t xml:space="preserve">Base</t>
  </si>
  <si>
    <t xml:space="preserve">EGI -5%</t>
  </si>
  <si>
    <t xml:space="preserve">Sizing rate +100 bps</t>
  </si>
  <si>
    <t xml:space="preserve">Combined EGI -5% &amp; rate +100 bps</t>
  </si>
  <si>
    <t xml:space="preserve">Cap rate +50 bps</t>
  </si>
  <si>
    <t xml:space="preserve">EGI factor applied</t>
  </si>
  <si>
    <t xml:space="preserve">Sizing rate add-on</t>
  </si>
  <si>
    <t xml:space="preserve">Cap rate add-on</t>
  </si>
  <si>
    <t xml:space="preserve">EGI</t>
  </si>
  <si>
    <t xml:space="preserve">Management fee (recomputed)</t>
  </si>
  <si>
    <t xml:space="preserve">Other operating expenses (held constant)</t>
  </si>
  <si>
    <t xml:space="preserve">Total operating expenses</t>
  </si>
  <si>
    <t xml:space="preserve">NOI before reserves</t>
  </si>
  <si>
    <t xml:space="preserve">NCF after reserves</t>
  </si>
  <si>
    <t xml:space="preserve">Cap rate applied</t>
  </si>
  <si>
    <t xml:space="preserve">Indicative value</t>
  </si>
  <si>
    <t xml:space="preserve">Annual debt constant</t>
  </si>
  <si>
    <t xml:space="preserve">Change in maximum loan vs base</t>
  </si>
  <si>
    <t xml:space="preserve">Management fee is recomputed in every case; all other operating expenses and reserves are held constant. Cap rate is unchanged in the combined downside.</t>
  </si>
  <si>
    <t xml:space="preserve">Reviewer map: editable inputs and key outputs</t>
  </si>
  <si>
    <t xml:space="preserve">Location</t>
  </si>
  <si>
    <t xml:space="preserve">Comment</t>
  </si>
  <si>
    <t xml:space="preserve">EDITABLE INPUTS</t>
  </si>
  <si>
    <t xml:space="preserve">Cap rate</t>
  </si>
  <si>
    <t xml:space="preserve">Inputs!B7</t>
  </si>
  <si>
    <t xml:space="preserve">Drives indicative value and LTV constraint</t>
  </si>
  <si>
    <t xml:space="preserve">Sizing rate floor</t>
  </si>
  <si>
    <t xml:space="preserve">Inputs!B12</t>
  </si>
  <si>
    <t xml:space="preserve">Sizing rate = MAX(contract, floor) + adjustment</t>
  </si>
  <si>
    <t xml:space="preserve">Sizing rate adjustment / increment</t>
  </si>
  <si>
    <t xml:space="preserve">Inputs!B13</t>
  </si>
  <si>
    <t xml:space="preserve">Enter 0.01 for +100 bps</t>
  </si>
  <si>
    <t xml:space="preserve">Sizing rate applied (calculated)</t>
  </si>
  <si>
    <t xml:space="preserve">Inputs!B14</t>
  </si>
  <si>
    <t xml:space="preserve">EGI driver: gross potential base rent</t>
  </si>
  <si>
    <t xml:space="preserve">Loss % held constant at Inputs!B5</t>
  </si>
  <si>
    <t xml:space="preserve">EGI driver: other income</t>
  </si>
  <si>
    <t xml:space="preserve">Inputs!B6</t>
  </si>
  <si>
    <t xml:space="preserve">Calculated underwritten EGI</t>
  </si>
  <si>
    <t xml:space="preserve">Underwriting!B8</t>
  </si>
  <si>
    <t xml:space="preserve">Inputs!B11</t>
  </si>
  <si>
    <t xml:space="preserve">LTV / DSCR / debt yield tests</t>
  </si>
  <si>
    <t xml:space="preserve">Inputs!B8, B9, B10</t>
  </si>
  <si>
    <t xml:space="preserve">Reserves per unit / unit count</t>
  </si>
  <si>
    <t xml:space="preserve">Inputs!B21, Inputs!B22</t>
  </si>
  <si>
    <t xml:space="preserve">Underwritten expense lines</t>
  </si>
  <si>
    <t xml:space="preserve">Inputs!B25:B32</t>
  </si>
  <si>
    <t xml:space="preserve">Sensitivity levers (EGI, rate, cap)</t>
  </si>
  <si>
    <t xml:space="preserve">Sensitivity!B4, B5, B6</t>
  </si>
  <si>
    <t xml:space="preserve">KEY OUTPUTS</t>
  </si>
  <si>
    <t xml:space="preserve">UW NOI before reserves</t>
  </si>
  <si>
    <t xml:space="preserve">Underwriting!B18</t>
  </si>
  <si>
    <t xml:space="preserve">UW NCF after reserves</t>
  </si>
  <si>
    <t xml:space="preserve">Underwriting!B20</t>
  </si>
  <si>
    <t xml:space="preserve">Capitalization value</t>
  </si>
  <si>
    <t xml:space="preserve">Underwriting!B22</t>
  </si>
  <si>
    <t xml:space="preserve">Loan Sizing!B8</t>
  </si>
  <si>
    <t xml:space="preserve">Loan Sizing!B9</t>
  </si>
  <si>
    <t xml:space="preserve">Loan Sizing!B10</t>
  </si>
  <si>
    <t xml:space="preserve">Maximum loan / binding constraint</t>
  </si>
  <si>
    <t xml:space="preserve">Loan Sizing!B11 / B12</t>
  </si>
  <si>
    <t xml:space="preserve">Sizing annual debt service</t>
  </si>
  <si>
    <t xml:space="preserve">Loan Sizing!B14</t>
  </si>
  <si>
    <t xml:space="preserve">First-year contractual debt service</t>
  </si>
  <si>
    <t xml:space="preserve">Loan Sizing!B18</t>
  </si>
  <si>
    <t xml:space="preserve">Net cash to borrower</t>
  </si>
  <si>
    <t xml:space="preserve">Sources &amp; Uses!B12</t>
  </si>
  <si>
    <t xml:space="preserve">Stress NOI (EGI -5%)</t>
  </si>
  <si>
    <t xml:space="preserve">Sensitivity!C16</t>
  </si>
  <si>
    <t xml:space="preserve">Stress maximum loan (combined)</t>
  </si>
  <si>
    <t xml:space="preserve">Sensitivity!E26</t>
  </si>
  <si>
    <t xml:space="preserve">Cap rate +50 bps maximum loan</t>
  </si>
  <si>
    <t xml:space="preserve">Sensitivity!F26</t>
  </si>
  <si>
    <t xml:space="preserve">Historical T12 (Sep-2025 to Aug-2026) is on sheet 'T12 Historical'; the underwriting scenario is on 'Underwriting'. They are never blended.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</si>
</sst>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%"/>
    <numFmt numFmtId="167" formatCode="0.00"/>
    <numFmt numFmtId="168" formatCode="0.000%"/>
    <numFmt numFmtId="169" formatCode="0"/>
    <numFmt numFmtId="170" formatCode="#,##0.00"/>
    <numFmt numFmtId="171" formatCode="0.0%"/>
    <numFmt numFmtId="172" formatCode="0.00000000"/>
    <numFmt numFmtId="173" formatCode="0.000"/>
    <numFmt numFmtId="174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1003200</v>
      </c>
      <c r="C4" s="5" t="s">
        <v>5</v>
      </c>
    </row>
    <row r="5" customFormat="false" ht="36" hidden="false" customHeight="true" outlineLevel="0" collapsed="false">
      <c r="A5" s="3" t="s">
        <v>6</v>
      </c>
      <c r="B5" s="6" t="n">
        <v>0.07</v>
      </c>
      <c r="C5" s="5" t="s">
        <v>7</v>
      </c>
    </row>
    <row r="6" customFormat="false" ht="36" hidden="false" customHeight="true" outlineLevel="0" collapsed="false">
      <c r="A6" s="3" t="s">
        <v>8</v>
      </c>
      <c r="B6" s="4" t="n">
        <v>41040</v>
      </c>
      <c r="C6" s="5" t="s">
        <v>9</v>
      </c>
    </row>
    <row r="7" customFormat="false" ht="36" hidden="false" customHeight="true" outlineLevel="0" collapsed="false">
      <c r="A7" s="3" t="s">
        <v>10</v>
      </c>
      <c r="B7" s="6" t="n">
        <v>0.0575</v>
      </c>
      <c r="C7" s="5" t="s">
        <v>11</v>
      </c>
    </row>
    <row r="8" customFormat="false" ht="36" hidden="false" customHeight="true" outlineLevel="0" collapsed="false">
      <c r="A8" s="3" t="s">
        <v>12</v>
      </c>
      <c r="B8" s="6" t="n">
        <v>0.6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1.3</v>
      </c>
      <c r="C9" s="5" t="s">
        <v>13</v>
      </c>
    </row>
    <row r="10" customFormat="false" ht="36" hidden="false" customHeight="true" outlineLevel="0" collapsed="false">
      <c r="A10" s="3" t="s">
        <v>15</v>
      </c>
      <c r="B10" s="6" t="n">
        <v>0.09</v>
      </c>
      <c r="C10" s="5" t="s">
        <v>13</v>
      </c>
    </row>
    <row r="11" customFormat="false" ht="36" hidden="false" customHeight="true" outlineLevel="0" collapsed="false">
      <c r="A11" s="3" t="s">
        <v>16</v>
      </c>
      <c r="B11" s="8" t="n">
        <v>0.0625</v>
      </c>
      <c r="C11" s="5" t="s">
        <v>13</v>
      </c>
    </row>
    <row r="12" customFormat="false" ht="36" hidden="false" customHeight="true" outlineLevel="0" collapsed="false">
      <c r="A12" s="3" t="s">
        <v>17</v>
      </c>
      <c r="B12" s="8" t="n">
        <v>0.065</v>
      </c>
      <c r="C12" s="5" t="s">
        <v>18</v>
      </c>
    </row>
    <row r="13" customFormat="false" ht="36" hidden="false" customHeight="true" outlineLevel="0" collapsed="false">
      <c r="A13" s="9" t="s">
        <v>19</v>
      </c>
      <c r="B13" s="8" t="n">
        <v>0</v>
      </c>
      <c r="C13" s="5" t="s">
        <v>20</v>
      </c>
    </row>
    <row r="14" customFormat="false" ht="22" hidden="false" customHeight="true" outlineLevel="0" collapsed="false">
      <c r="A14" s="10" t="s">
        <v>21</v>
      </c>
      <c r="B14" s="11" t="n">
        <f aca="false">MAX(B11,B12)+B13</f>
        <v>0.065</v>
      </c>
    </row>
    <row r="15" customFormat="false" ht="36" hidden="false" customHeight="true" outlineLevel="0" collapsed="false">
      <c r="A15" s="3" t="s">
        <v>22</v>
      </c>
      <c r="B15" s="12" t="n">
        <v>30</v>
      </c>
      <c r="C15" s="5" t="s">
        <v>13</v>
      </c>
    </row>
    <row r="16" customFormat="false" ht="36" hidden="false" customHeight="true" outlineLevel="0" collapsed="false">
      <c r="A16" s="3" t="s">
        <v>23</v>
      </c>
      <c r="B16" s="12" t="n">
        <v>36</v>
      </c>
      <c r="C16" s="5" t="s">
        <v>13</v>
      </c>
    </row>
    <row r="17" customFormat="false" ht="36" hidden="false" customHeight="true" outlineLevel="0" collapsed="false">
      <c r="A17" s="3" t="s">
        <v>24</v>
      </c>
      <c r="B17" s="12" t="n">
        <v>60</v>
      </c>
      <c r="C17" s="5" t="s">
        <v>13</v>
      </c>
    </row>
    <row r="18" customFormat="false" ht="36" hidden="false" customHeight="true" outlineLevel="0" collapsed="false">
      <c r="A18" s="3" t="s">
        <v>25</v>
      </c>
      <c r="B18" s="6" t="n">
        <v>0.01</v>
      </c>
      <c r="C18" s="5" t="s">
        <v>13</v>
      </c>
    </row>
    <row r="19" customFormat="false" ht="36" hidden="false" customHeight="true" outlineLevel="0" collapsed="false">
      <c r="A19" s="3" t="s">
        <v>26</v>
      </c>
      <c r="B19" s="4" t="n">
        <v>65000</v>
      </c>
      <c r="C19" s="5" t="s">
        <v>27</v>
      </c>
    </row>
    <row r="20" customFormat="false" ht="36" hidden="false" customHeight="true" outlineLevel="0" collapsed="false">
      <c r="A20" s="3" t="s">
        <v>28</v>
      </c>
      <c r="B20" s="4" t="n">
        <v>4500000</v>
      </c>
      <c r="C20" s="5" t="s">
        <v>27</v>
      </c>
    </row>
    <row r="21" customFormat="false" ht="36" hidden="false" customHeight="true" outlineLevel="0" collapsed="false">
      <c r="A21" s="3" t="s">
        <v>29</v>
      </c>
      <c r="B21" s="13" t="n">
        <v>325</v>
      </c>
      <c r="C21" s="5" t="s">
        <v>5</v>
      </c>
    </row>
    <row r="22" customFormat="false" ht="36" hidden="false" customHeight="true" outlineLevel="0" collapsed="false">
      <c r="A22" s="3" t="s">
        <v>30</v>
      </c>
      <c r="B22" s="14" t="n">
        <f aca="false">'Rent Roll'!B56</f>
        <v>48</v>
      </c>
      <c r="C22" s="5" t="s">
        <v>31</v>
      </c>
    </row>
    <row r="24" customFormat="false" ht="25" hidden="false" customHeight="true" outlineLevel="0" collapsed="false">
      <c r="A24" s="2" t="s">
        <v>32</v>
      </c>
      <c r="B24" s="2" t="s">
        <v>2</v>
      </c>
      <c r="C24" s="2" t="s">
        <v>33</v>
      </c>
    </row>
    <row r="25" customFormat="false" ht="36" hidden="false" customHeight="true" outlineLevel="0" collapsed="false">
      <c r="A25" s="3" t="s">
        <v>34</v>
      </c>
      <c r="B25" s="4" t="n">
        <v>138000</v>
      </c>
      <c r="C25" s="5" t="s">
        <v>35</v>
      </c>
    </row>
    <row r="26" customFormat="false" ht="36" hidden="false" customHeight="true" outlineLevel="0" collapsed="false">
      <c r="A26" s="3" t="s">
        <v>36</v>
      </c>
      <c r="B26" s="4" t="n">
        <v>45600</v>
      </c>
      <c r="C26" s="5" t="s">
        <v>37</v>
      </c>
    </row>
    <row r="27" customFormat="false" ht="36" hidden="false" customHeight="true" outlineLevel="0" collapsed="false">
      <c r="A27" s="3" t="s">
        <v>38</v>
      </c>
      <c r="B27" s="4" t="n">
        <v>33600</v>
      </c>
      <c r="C27" s="5" t="s">
        <v>39</v>
      </c>
    </row>
    <row r="28" customFormat="false" ht="36" hidden="false" customHeight="true" outlineLevel="0" collapsed="false">
      <c r="A28" s="3" t="s">
        <v>40</v>
      </c>
      <c r="B28" s="4" t="n">
        <v>42000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55200</v>
      </c>
      <c r="C29" s="5" t="s">
        <v>39</v>
      </c>
    </row>
    <row r="30" customFormat="false" ht="36" hidden="false" customHeight="true" outlineLevel="0" collapsed="false">
      <c r="A30" s="3" t="s">
        <v>43</v>
      </c>
      <c r="B30" s="4" t="n">
        <v>27600</v>
      </c>
      <c r="C30" s="5" t="s">
        <v>39</v>
      </c>
    </row>
    <row r="31" customFormat="false" ht="36" hidden="false" customHeight="true" outlineLevel="0" collapsed="false">
      <c r="A31" s="3" t="s">
        <v>44</v>
      </c>
      <c r="B31" s="6" t="n">
        <v>0.035</v>
      </c>
      <c r="C31" s="5" t="s">
        <v>45</v>
      </c>
    </row>
    <row r="32" customFormat="false" ht="36" hidden="false" customHeight="true" outlineLevel="0" collapsed="false">
      <c r="A32" s="3" t="s">
        <v>46</v>
      </c>
      <c r="B32" s="4" t="n">
        <v>28000</v>
      </c>
      <c r="C32" s="5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" hidden="false" customHeight="true" outlineLevel="0" collapsed="false">
      <c r="A1" s="1" t="s">
        <v>48</v>
      </c>
    </row>
    <row r="3" customFormat="false" ht="36" hidden="false" customHeight="true" outlineLevel="0" collapsed="false">
      <c r="A3" s="5" t="s">
        <v>49</v>
      </c>
    </row>
    <row r="6" customFormat="false" ht="25" hidden="false" customHeight="tru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</row>
    <row r="7" customFormat="false" ht="22" hidden="false" customHeight="true" outlineLevel="0" collapsed="false">
      <c r="A7" s="3" t="s">
        <v>56</v>
      </c>
      <c r="B7" s="3" t="s">
        <v>57</v>
      </c>
      <c r="C7" s="3" t="n">
        <v>700</v>
      </c>
      <c r="D7" s="3" t="s">
        <v>58</v>
      </c>
      <c r="E7" s="3" t="n">
        <v>1575</v>
      </c>
      <c r="F7" s="3" t="s">
        <v>59</v>
      </c>
    </row>
    <row r="8" customFormat="false" ht="22" hidden="false" customHeight="true" outlineLevel="0" collapsed="false">
      <c r="A8" s="3" t="s">
        <v>60</v>
      </c>
      <c r="B8" s="3" t="s">
        <v>61</v>
      </c>
      <c r="C8" s="3" t="n">
        <v>700</v>
      </c>
      <c r="D8" s="3" t="s">
        <v>58</v>
      </c>
      <c r="E8" s="3" t="n">
        <v>1575</v>
      </c>
      <c r="F8" s="3" t="s">
        <v>62</v>
      </c>
    </row>
    <row r="9" customFormat="false" ht="22" hidden="false" customHeight="true" outlineLevel="0" collapsed="false">
      <c r="A9" s="3" t="s">
        <v>63</v>
      </c>
      <c r="B9" s="3" t="s">
        <v>64</v>
      </c>
      <c r="C9" s="3" t="n">
        <v>700</v>
      </c>
      <c r="D9" s="3" t="s">
        <v>58</v>
      </c>
      <c r="E9" s="3" t="n">
        <v>1575</v>
      </c>
      <c r="F9" s="3" t="s">
        <v>65</v>
      </c>
    </row>
    <row r="10" customFormat="false" ht="22" hidden="false" customHeight="true" outlineLevel="0" collapsed="false">
      <c r="A10" s="3" t="s">
        <v>66</v>
      </c>
      <c r="B10" s="3" t="s">
        <v>67</v>
      </c>
      <c r="C10" s="3" t="n">
        <v>700</v>
      </c>
      <c r="D10" s="3" t="s">
        <v>58</v>
      </c>
      <c r="E10" s="3" t="n">
        <v>1575</v>
      </c>
      <c r="F10" s="3" t="s">
        <v>68</v>
      </c>
    </row>
    <row r="11" customFormat="false" ht="22" hidden="false" customHeight="true" outlineLevel="0" collapsed="false">
      <c r="A11" s="3" t="s">
        <v>69</v>
      </c>
      <c r="B11" s="3" t="s">
        <v>70</v>
      </c>
      <c r="C11" s="3" t="n">
        <v>700</v>
      </c>
      <c r="D11" s="3" t="s">
        <v>58</v>
      </c>
      <c r="E11" s="3" t="n">
        <v>1575</v>
      </c>
      <c r="F11" s="3" t="s">
        <v>71</v>
      </c>
    </row>
    <row r="12" customFormat="false" ht="22" hidden="false" customHeight="true" outlineLevel="0" collapsed="false">
      <c r="A12" s="3" t="s">
        <v>72</v>
      </c>
      <c r="B12" s="3" t="s">
        <v>73</v>
      </c>
      <c r="C12" s="3" t="n">
        <v>700</v>
      </c>
      <c r="D12" s="3" t="s">
        <v>58</v>
      </c>
      <c r="E12" s="3" t="n">
        <v>1575</v>
      </c>
      <c r="F12" s="3" t="s">
        <v>74</v>
      </c>
    </row>
    <row r="13" customFormat="false" ht="22" hidden="false" customHeight="true" outlineLevel="0" collapsed="false">
      <c r="A13" s="3" t="s">
        <v>75</v>
      </c>
      <c r="B13" s="3" t="s">
        <v>76</v>
      </c>
      <c r="C13" s="3" t="n">
        <v>700</v>
      </c>
      <c r="D13" s="3" t="s">
        <v>58</v>
      </c>
      <c r="E13" s="3" t="n">
        <v>1575</v>
      </c>
      <c r="F13" s="3" t="s">
        <v>77</v>
      </c>
    </row>
    <row r="14" customFormat="false" ht="22" hidden="false" customHeight="true" outlineLevel="0" collapsed="false">
      <c r="A14" s="3" t="s">
        <v>78</v>
      </c>
      <c r="B14" s="3" t="s">
        <v>79</v>
      </c>
      <c r="C14" s="3" t="n">
        <v>700</v>
      </c>
      <c r="D14" s="3" t="s">
        <v>58</v>
      </c>
      <c r="E14" s="3" t="n">
        <v>1575</v>
      </c>
      <c r="F14" s="3" t="s">
        <v>80</v>
      </c>
    </row>
    <row r="15" customFormat="false" ht="22" hidden="false" customHeight="true" outlineLevel="0" collapsed="false">
      <c r="A15" s="3" t="s">
        <v>81</v>
      </c>
      <c r="B15" s="3" t="s">
        <v>82</v>
      </c>
      <c r="C15" s="3" t="n">
        <v>700</v>
      </c>
      <c r="D15" s="3" t="s">
        <v>58</v>
      </c>
      <c r="E15" s="3" t="n">
        <v>1575</v>
      </c>
      <c r="F15" s="3" t="s">
        <v>83</v>
      </c>
    </row>
    <row r="16" customFormat="false" ht="22" hidden="false" customHeight="true" outlineLevel="0" collapsed="false">
      <c r="A16" s="3" t="s">
        <v>84</v>
      </c>
      <c r="B16" s="3" t="s">
        <v>85</v>
      </c>
      <c r="C16" s="3" t="n">
        <v>700</v>
      </c>
      <c r="D16" s="3" t="s">
        <v>58</v>
      </c>
      <c r="E16" s="3" t="n">
        <v>1575</v>
      </c>
      <c r="F16" s="3" t="s">
        <v>59</v>
      </c>
    </row>
    <row r="17" customFormat="false" ht="22" hidden="false" customHeight="true" outlineLevel="0" collapsed="false">
      <c r="A17" s="3" t="s">
        <v>86</v>
      </c>
      <c r="B17" s="3" t="s">
        <v>87</v>
      </c>
      <c r="C17" s="3" t="n">
        <v>700</v>
      </c>
      <c r="D17" s="3" t="s">
        <v>58</v>
      </c>
      <c r="E17" s="3" t="n">
        <v>1575</v>
      </c>
      <c r="F17" s="3" t="s">
        <v>88</v>
      </c>
    </row>
    <row r="18" customFormat="false" ht="22" hidden="false" customHeight="true" outlineLevel="0" collapsed="false">
      <c r="A18" s="3" t="s">
        <v>89</v>
      </c>
      <c r="B18" s="3" t="s">
        <v>90</v>
      </c>
      <c r="C18" s="3" t="n">
        <v>700</v>
      </c>
      <c r="D18" s="3" t="s">
        <v>58</v>
      </c>
      <c r="E18" s="3" t="n">
        <v>1575</v>
      </c>
      <c r="F18" s="3" t="s">
        <v>91</v>
      </c>
    </row>
    <row r="19" customFormat="false" ht="22" hidden="false" customHeight="true" outlineLevel="0" collapsed="false">
      <c r="A19" s="3" t="s">
        <v>92</v>
      </c>
      <c r="B19" s="3" t="s">
        <v>93</v>
      </c>
      <c r="C19" s="3" t="n">
        <v>700</v>
      </c>
      <c r="D19" s="3" t="s">
        <v>58</v>
      </c>
      <c r="E19" s="3" t="n">
        <v>1575</v>
      </c>
      <c r="F19" s="3" t="s">
        <v>94</v>
      </c>
    </row>
    <row r="20" customFormat="false" ht="22" hidden="false" customHeight="true" outlineLevel="0" collapsed="false">
      <c r="A20" s="3" t="s">
        <v>95</v>
      </c>
      <c r="B20" s="3" t="s">
        <v>96</v>
      </c>
      <c r="C20" s="3" t="n">
        <v>700</v>
      </c>
      <c r="D20" s="3" t="s">
        <v>58</v>
      </c>
      <c r="E20" s="3" t="n">
        <v>1575</v>
      </c>
      <c r="F20" s="3" t="s">
        <v>62</v>
      </c>
    </row>
    <row r="21" customFormat="false" ht="22" hidden="false" customHeight="true" outlineLevel="0" collapsed="false">
      <c r="A21" s="3" t="s">
        <v>97</v>
      </c>
      <c r="B21" s="3" t="s">
        <v>98</v>
      </c>
      <c r="C21" s="3" t="n">
        <v>700</v>
      </c>
      <c r="D21" s="3" t="s">
        <v>58</v>
      </c>
      <c r="E21" s="3" t="n">
        <v>1575</v>
      </c>
      <c r="F21" s="3" t="s">
        <v>65</v>
      </c>
    </row>
    <row r="22" customFormat="false" ht="22" hidden="false" customHeight="true" outlineLevel="0" collapsed="false">
      <c r="A22" s="3" t="s">
        <v>99</v>
      </c>
      <c r="B22" s="3" t="s">
        <v>100</v>
      </c>
      <c r="C22" s="3" t="n">
        <v>700</v>
      </c>
      <c r="D22" s="3" t="s">
        <v>58</v>
      </c>
      <c r="E22" s="3" t="n">
        <v>1575</v>
      </c>
      <c r="F22" s="3" t="s">
        <v>68</v>
      </c>
    </row>
    <row r="23" customFormat="false" ht="22" hidden="false" customHeight="true" outlineLevel="0" collapsed="false">
      <c r="A23" s="3" t="s">
        <v>101</v>
      </c>
      <c r="B23" s="3" t="s">
        <v>102</v>
      </c>
      <c r="C23" s="3" t="n">
        <v>700</v>
      </c>
      <c r="D23" s="3" t="s">
        <v>58</v>
      </c>
      <c r="E23" s="3" t="n">
        <v>1575</v>
      </c>
      <c r="F23" s="3" t="s">
        <v>71</v>
      </c>
    </row>
    <row r="24" customFormat="false" ht="22" hidden="false" customHeight="true" outlineLevel="0" collapsed="false">
      <c r="A24" s="3" t="s">
        <v>103</v>
      </c>
      <c r="B24" s="3" t="s">
        <v>104</v>
      </c>
      <c r="C24" s="3" t="n">
        <v>700</v>
      </c>
      <c r="D24" s="3" t="s">
        <v>58</v>
      </c>
      <c r="E24" s="3" t="n">
        <v>1575</v>
      </c>
      <c r="F24" s="3" t="s">
        <v>74</v>
      </c>
    </row>
    <row r="25" customFormat="false" ht="22" hidden="false" customHeight="true" outlineLevel="0" collapsed="false">
      <c r="A25" s="3" t="s">
        <v>105</v>
      </c>
      <c r="B25" s="3" t="s">
        <v>106</v>
      </c>
      <c r="C25" s="3" t="n">
        <v>700</v>
      </c>
      <c r="D25" s="3" t="s">
        <v>58</v>
      </c>
      <c r="E25" s="3" t="n">
        <v>1575</v>
      </c>
      <c r="F25" s="3" t="s">
        <v>77</v>
      </c>
    </row>
    <row r="26" customFormat="false" ht="22" hidden="false" customHeight="true" outlineLevel="0" collapsed="false">
      <c r="A26" s="3" t="s">
        <v>107</v>
      </c>
      <c r="B26" s="3" t="s">
        <v>108</v>
      </c>
      <c r="C26" s="3" t="n">
        <v>700</v>
      </c>
      <c r="D26" s="3" t="s">
        <v>58</v>
      </c>
      <c r="E26" s="3" t="n">
        <v>1575</v>
      </c>
      <c r="F26" s="3" t="s">
        <v>80</v>
      </c>
    </row>
    <row r="27" customFormat="false" ht="22" hidden="false" customHeight="true" outlineLevel="0" collapsed="false">
      <c r="A27" s="3" t="s">
        <v>109</v>
      </c>
      <c r="B27" s="3" t="s">
        <v>110</v>
      </c>
      <c r="C27" s="3" t="n">
        <v>700</v>
      </c>
      <c r="D27" s="3" t="s">
        <v>58</v>
      </c>
      <c r="E27" s="3" t="n">
        <v>1575</v>
      </c>
      <c r="F27" s="3" t="s">
        <v>83</v>
      </c>
    </row>
    <row r="28" customFormat="false" ht="22" hidden="false" customHeight="true" outlineLevel="0" collapsed="false">
      <c r="A28" s="3" t="s">
        <v>111</v>
      </c>
      <c r="B28" s="3" t="s">
        <v>112</v>
      </c>
      <c r="C28" s="3" t="n">
        <v>700</v>
      </c>
      <c r="D28" s="3" t="s">
        <v>58</v>
      </c>
      <c r="E28" s="3" t="n">
        <v>1575</v>
      </c>
      <c r="F28" s="3" t="s">
        <v>59</v>
      </c>
    </row>
    <row r="29" customFormat="false" ht="22" hidden="false" customHeight="true" outlineLevel="0" collapsed="false">
      <c r="A29" s="3" t="s">
        <v>113</v>
      </c>
      <c r="B29" s="3" t="s">
        <v>114</v>
      </c>
      <c r="C29" s="3" t="n">
        <v>700</v>
      </c>
      <c r="D29" s="3" t="s">
        <v>58</v>
      </c>
      <c r="E29" s="3" t="n">
        <v>1575</v>
      </c>
      <c r="F29" s="3" t="s">
        <v>88</v>
      </c>
    </row>
    <row r="30" customFormat="false" ht="22" hidden="false" customHeight="true" outlineLevel="0" collapsed="false">
      <c r="A30" s="3" t="s">
        <v>115</v>
      </c>
      <c r="B30" s="3" t="s">
        <v>116</v>
      </c>
      <c r="C30" s="3" t="n">
        <v>700</v>
      </c>
      <c r="D30" s="3" t="s">
        <v>58</v>
      </c>
      <c r="E30" s="3" t="n">
        <v>1575</v>
      </c>
      <c r="F30" s="3" t="s">
        <v>91</v>
      </c>
    </row>
    <row r="31" customFormat="false" ht="22" hidden="false" customHeight="true" outlineLevel="0" collapsed="false">
      <c r="A31" s="3" t="s">
        <v>117</v>
      </c>
      <c r="B31" s="3" t="s">
        <v>118</v>
      </c>
      <c r="C31" s="3" t="n">
        <v>1100</v>
      </c>
      <c r="D31" s="3" t="s">
        <v>58</v>
      </c>
      <c r="E31" s="3" t="n">
        <v>2025</v>
      </c>
      <c r="F31" s="3" t="s">
        <v>94</v>
      </c>
    </row>
    <row r="32" customFormat="false" ht="22" hidden="false" customHeight="true" outlineLevel="0" collapsed="false">
      <c r="A32" s="3" t="s">
        <v>119</v>
      </c>
      <c r="B32" s="3" t="s">
        <v>120</v>
      </c>
      <c r="C32" s="3" t="n">
        <v>1100</v>
      </c>
      <c r="D32" s="3" t="s">
        <v>58</v>
      </c>
      <c r="E32" s="3" t="n">
        <v>2025</v>
      </c>
      <c r="F32" s="3" t="s">
        <v>62</v>
      </c>
    </row>
    <row r="33" customFormat="false" ht="22" hidden="false" customHeight="true" outlineLevel="0" collapsed="false">
      <c r="A33" s="3" t="s">
        <v>121</v>
      </c>
      <c r="B33" s="3" t="s">
        <v>122</v>
      </c>
      <c r="C33" s="3" t="n">
        <v>1100</v>
      </c>
      <c r="D33" s="3" t="s">
        <v>58</v>
      </c>
      <c r="E33" s="3" t="n">
        <v>2025</v>
      </c>
      <c r="F33" s="3" t="s">
        <v>65</v>
      </c>
    </row>
    <row r="34" customFormat="false" ht="22" hidden="false" customHeight="true" outlineLevel="0" collapsed="false">
      <c r="A34" s="3" t="s">
        <v>123</v>
      </c>
      <c r="B34" s="3" t="s">
        <v>124</v>
      </c>
      <c r="C34" s="3" t="n">
        <v>1100</v>
      </c>
      <c r="D34" s="3" t="s">
        <v>58</v>
      </c>
      <c r="E34" s="3" t="n">
        <v>2025</v>
      </c>
      <c r="F34" s="3" t="s">
        <v>68</v>
      </c>
    </row>
    <row r="35" customFormat="false" ht="22" hidden="false" customHeight="true" outlineLevel="0" collapsed="false">
      <c r="A35" s="3" t="s">
        <v>125</v>
      </c>
      <c r="B35" s="3" t="s">
        <v>126</v>
      </c>
      <c r="C35" s="3" t="n">
        <v>1100</v>
      </c>
      <c r="D35" s="3" t="s">
        <v>58</v>
      </c>
      <c r="E35" s="3" t="n">
        <v>2025</v>
      </c>
      <c r="F35" s="3" t="s">
        <v>71</v>
      </c>
    </row>
    <row r="36" customFormat="false" ht="22" hidden="false" customHeight="true" outlineLevel="0" collapsed="false">
      <c r="A36" s="3" t="s">
        <v>127</v>
      </c>
      <c r="B36" s="3" t="s">
        <v>128</v>
      </c>
      <c r="C36" s="3" t="n">
        <v>1100</v>
      </c>
      <c r="D36" s="3" t="s">
        <v>58</v>
      </c>
      <c r="E36" s="3" t="n">
        <v>2025</v>
      </c>
      <c r="F36" s="3" t="s">
        <v>74</v>
      </c>
    </row>
    <row r="37" customFormat="false" ht="22" hidden="false" customHeight="true" outlineLevel="0" collapsed="false">
      <c r="A37" s="3" t="s">
        <v>129</v>
      </c>
      <c r="B37" s="3" t="s">
        <v>130</v>
      </c>
      <c r="C37" s="3" t="n">
        <v>1100</v>
      </c>
      <c r="D37" s="3" t="s">
        <v>58</v>
      </c>
      <c r="E37" s="3" t="n">
        <v>2025</v>
      </c>
      <c r="F37" s="3" t="s">
        <v>77</v>
      </c>
    </row>
    <row r="38" customFormat="false" ht="22" hidden="false" customHeight="true" outlineLevel="0" collapsed="false">
      <c r="A38" s="3" t="s">
        <v>131</v>
      </c>
      <c r="B38" s="3" t="s">
        <v>132</v>
      </c>
      <c r="C38" s="3" t="n">
        <v>1100</v>
      </c>
      <c r="D38" s="3" t="s">
        <v>58</v>
      </c>
      <c r="E38" s="3" t="n">
        <v>2025</v>
      </c>
      <c r="F38" s="3" t="s">
        <v>80</v>
      </c>
    </row>
    <row r="39" customFormat="false" ht="22" hidden="false" customHeight="true" outlineLevel="0" collapsed="false">
      <c r="A39" s="3" t="s">
        <v>133</v>
      </c>
      <c r="B39" s="3" t="s">
        <v>134</v>
      </c>
      <c r="C39" s="3" t="n">
        <v>1100</v>
      </c>
      <c r="D39" s="3" t="s">
        <v>58</v>
      </c>
      <c r="E39" s="3" t="n">
        <v>2025</v>
      </c>
      <c r="F39" s="3" t="s">
        <v>83</v>
      </c>
    </row>
    <row r="40" customFormat="false" ht="22" hidden="false" customHeight="true" outlineLevel="0" collapsed="false">
      <c r="A40" s="3" t="s">
        <v>135</v>
      </c>
      <c r="B40" s="3" t="s">
        <v>136</v>
      </c>
      <c r="C40" s="3" t="n">
        <v>1100</v>
      </c>
      <c r="D40" s="3" t="s">
        <v>136</v>
      </c>
      <c r="F40" s="3" t="s">
        <v>137</v>
      </c>
    </row>
    <row r="41" customFormat="false" ht="22" hidden="false" customHeight="true" outlineLevel="0" collapsed="false">
      <c r="A41" s="3" t="s">
        <v>138</v>
      </c>
      <c r="B41" s="3" t="s">
        <v>136</v>
      </c>
      <c r="C41" s="3" t="n">
        <v>1100</v>
      </c>
      <c r="D41" s="3" t="s">
        <v>136</v>
      </c>
      <c r="F41" s="3" t="s">
        <v>137</v>
      </c>
    </row>
    <row r="42" customFormat="false" ht="22" hidden="false" customHeight="true" outlineLevel="0" collapsed="false">
      <c r="A42" s="3" t="s">
        <v>139</v>
      </c>
      <c r="B42" s="3" t="s">
        <v>136</v>
      </c>
      <c r="C42" s="3" t="n">
        <v>1100</v>
      </c>
      <c r="D42" s="3" t="s">
        <v>136</v>
      </c>
      <c r="F42" s="3" t="s">
        <v>137</v>
      </c>
    </row>
    <row r="43" customFormat="false" ht="22" hidden="false" customHeight="true" outlineLevel="0" collapsed="false">
      <c r="A43" s="3" t="s">
        <v>140</v>
      </c>
      <c r="B43" s="3" t="s">
        <v>136</v>
      </c>
      <c r="C43" s="3" t="n">
        <v>1100</v>
      </c>
      <c r="D43" s="3" t="s">
        <v>136</v>
      </c>
      <c r="F43" s="3" t="s">
        <v>137</v>
      </c>
    </row>
    <row r="44" customFormat="false" ht="22" hidden="false" customHeight="true" outlineLevel="0" collapsed="false">
      <c r="A44" s="3" t="s">
        <v>141</v>
      </c>
      <c r="B44" s="3" t="s">
        <v>136</v>
      </c>
      <c r="C44" s="3" t="n">
        <v>1100</v>
      </c>
      <c r="D44" s="3" t="s">
        <v>136</v>
      </c>
      <c r="F44" s="3" t="s">
        <v>137</v>
      </c>
    </row>
    <row r="45" customFormat="false" ht="22" hidden="false" customHeight="true" outlineLevel="0" collapsed="false">
      <c r="A45" s="3" t="s">
        <v>142</v>
      </c>
      <c r="B45" s="3" t="s">
        <v>136</v>
      </c>
      <c r="C45" s="3" t="n">
        <v>1100</v>
      </c>
      <c r="D45" s="3" t="s">
        <v>136</v>
      </c>
      <c r="F45" s="3" t="s">
        <v>137</v>
      </c>
    </row>
    <row r="46" customFormat="false" ht="22" hidden="false" customHeight="true" outlineLevel="0" collapsed="false">
      <c r="A46" s="3" t="s">
        <v>143</v>
      </c>
      <c r="B46" s="3" t="s">
        <v>136</v>
      </c>
      <c r="C46" s="3" t="n">
        <v>1100</v>
      </c>
      <c r="D46" s="3" t="s">
        <v>136</v>
      </c>
      <c r="F46" s="3" t="s">
        <v>137</v>
      </c>
    </row>
    <row r="47" customFormat="false" ht="22" hidden="false" customHeight="true" outlineLevel="0" collapsed="false">
      <c r="A47" s="3" t="s">
        <v>144</v>
      </c>
      <c r="B47" s="3" t="s">
        <v>136</v>
      </c>
      <c r="C47" s="3" t="n">
        <v>1100</v>
      </c>
      <c r="D47" s="3" t="s">
        <v>136</v>
      </c>
      <c r="F47" s="3" t="s">
        <v>137</v>
      </c>
    </row>
    <row r="48" customFormat="false" ht="22" hidden="false" customHeight="true" outlineLevel="0" collapsed="false">
      <c r="A48" s="3" t="s">
        <v>145</v>
      </c>
      <c r="B48" s="3" t="s">
        <v>136</v>
      </c>
      <c r="C48" s="3" t="n">
        <v>1100</v>
      </c>
      <c r="D48" s="3" t="s">
        <v>136</v>
      </c>
      <c r="F48" s="3" t="s">
        <v>137</v>
      </c>
    </row>
    <row r="49" customFormat="false" ht="22" hidden="false" customHeight="true" outlineLevel="0" collapsed="false">
      <c r="A49" s="3" t="s">
        <v>146</v>
      </c>
      <c r="B49" s="3" t="s">
        <v>136</v>
      </c>
      <c r="C49" s="3" t="n">
        <v>1100</v>
      </c>
      <c r="D49" s="3" t="s">
        <v>136</v>
      </c>
      <c r="F49" s="3" t="s">
        <v>137</v>
      </c>
    </row>
    <row r="50" customFormat="false" ht="22" hidden="false" customHeight="true" outlineLevel="0" collapsed="false">
      <c r="A50" s="3" t="s">
        <v>147</v>
      </c>
      <c r="B50" s="3" t="s">
        <v>136</v>
      </c>
      <c r="C50" s="3" t="n">
        <v>1100</v>
      </c>
      <c r="D50" s="3" t="s">
        <v>136</v>
      </c>
      <c r="F50" s="3" t="s">
        <v>137</v>
      </c>
    </row>
    <row r="51" customFormat="false" ht="22" hidden="false" customHeight="true" outlineLevel="0" collapsed="false">
      <c r="A51" s="3" t="s">
        <v>148</v>
      </c>
      <c r="B51" s="3" t="s">
        <v>136</v>
      </c>
      <c r="C51" s="3" t="n">
        <v>1100</v>
      </c>
      <c r="D51" s="3" t="s">
        <v>136</v>
      </c>
      <c r="F51" s="3" t="s">
        <v>137</v>
      </c>
    </row>
    <row r="52" customFormat="false" ht="22" hidden="false" customHeight="true" outlineLevel="0" collapsed="false">
      <c r="A52" s="3" t="s">
        <v>149</v>
      </c>
      <c r="B52" s="3" t="s">
        <v>136</v>
      </c>
      <c r="C52" s="3" t="n">
        <v>1100</v>
      </c>
      <c r="D52" s="3" t="s">
        <v>136</v>
      </c>
      <c r="F52" s="3" t="s">
        <v>137</v>
      </c>
    </row>
    <row r="53" customFormat="false" ht="22" hidden="false" customHeight="true" outlineLevel="0" collapsed="false">
      <c r="A53" s="3" t="s">
        <v>150</v>
      </c>
      <c r="B53" s="3" t="s">
        <v>136</v>
      </c>
      <c r="C53" s="3" t="n">
        <v>1100</v>
      </c>
      <c r="D53" s="3" t="s">
        <v>136</v>
      </c>
      <c r="F53" s="3" t="s">
        <v>137</v>
      </c>
    </row>
    <row r="54" customFormat="false" ht="22" hidden="false" customHeight="true" outlineLevel="0" collapsed="false">
      <c r="A54" s="3" t="s">
        <v>151</v>
      </c>
      <c r="B54" s="3" t="s">
        <v>136</v>
      </c>
      <c r="C54" s="3" t="n">
        <v>1100</v>
      </c>
      <c r="D54" s="3" t="s">
        <v>136</v>
      </c>
      <c r="F54" s="3" t="s">
        <v>137</v>
      </c>
    </row>
    <row r="56" customFormat="false" ht="22" hidden="false" customHeight="true" outlineLevel="0" collapsed="false">
      <c r="A56" s="10" t="s">
        <v>152</v>
      </c>
      <c r="B56" s="15" t="n">
        <f aca="false">COUNTA(A7:A54)</f>
        <v>48</v>
      </c>
    </row>
    <row r="57" customFormat="false" ht="22" hidden="false" customHeight="true" outlineLevel="0" collapsed="false">
      <c r="A57" s="10" t="s">
        <v>153</v>
      </c>
      <c r="B57" s="15" t="n">
        <f aca="false">COUNTIF(D7:D54,"Occupied")</f>
        <v>33</v>
      </c>
    </row>
    <row r="58" customFormat="false" ht="22" hidden="false" customHeight="true" outlineLevel="0" collapsed="false">
      <c r="A58" s="10" t="s">
        <v>154</v>
      </c>
      <c r="B58" s="16" t="n">
        <f aca="false">SUM(C7:C54)</f>
        <v>43200</v>
      </c>
    </row>
    <row r="59" customFormat="false" ht="22" hidden="false" customHeight="true" outlineLevel="0" collapsed="false">
      <c r="A59" s="10" t="s">
        <v>155</v>
      </c>
      <c r="B59" s="16" t="n">
        <f aca="false">SUMIF(D7:D54,"Occupied",C7:C54)</f>
        <v>26700</v>
      </c>
    </row>
    <row r="60" customFormat="false" ht="22" hidden="false" customHeight="true" outlineLevel="0" collapsed="false">
      <c r="A60" s="10" t="s">
        <v>156</v>
      </c>
      <c r="B60" s="17" t="n">
        <f aca="false">100*B57/B56</f>
        <v>68.75</v>
      </c>
    </row>
    <row r="61" customFormat="false" ht="22" hidden="false" customHeight="true" outlineLevel="0" collapsed="false">
      <c r="A61" s="10" t="s">
        <v>157</v>
      </c>
      <c r="B61" s="17" t="n">
        <f aca="false">100*B59/B58</f>
        <v>61.8055555555556</v>
      </c>
    </row>
    <row r="62" customFormat="false" ht="22" hidden="false" customHeight="true" outlineLevel="0" collapsed="false">
      <c r="A62" s="10" t="s">
        <v>158</v>
      </c>
      <c r="B62" s="16" t="n">
        <f aca="false">SUM(E7:E54)</f>
        <v>56025</v>
      </c>
    </row>
    <row r="63" customFormat="false" ht="22" hidden="false" customHeight="true" outlineLevel="0" collapsed="false">
      <c r="A63" s="18" t="s">
        <v>159</v>
      </c>
      <c r="B63" s="16" t="n">
        <f aca="false">B62</f>
        <v>56025</v>
      </c>
    </row>
    <row r="64" customFormat="false" ht="22" hidden="false" customHeight="true" outlineLevel="0" collapsed="false">
      <c r="A64" s="3" t="s">
        <v>160</v>
      </c>
      <c r="B64" s="19" t="n">
        <f aca="false">B63*12</f>
        <v>672300</v>
      </c>
    </row>
    <row r="66" customFormat="false" ht="36" hidden="false" customHeight="true" outlineLevel="0" collapsed="false">
      <c r="A66" s="5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162</v>
      </c>
    </row>
    <row r="3" customFormat="false" ht="25" hidden="false" customHeight="true" outlineLevel="0" collapsed="false">
      <c r="A3" s="2" t="s">
        <v>163</v>
      </c>
      <c r="B3" s="2" t="s">
        <v>164</v>
      </c>
      <c r="C3" s="2" t="s">
        <v>165</v>
      </c>
    </row>
    <row r="4" customFormat="false" ht="36" hidden="false" customHeight="true" outlineLevel="0" collapsed="false">
      <c r="A4" s="3" t="s">
        <v>166</v>
      </c>
      <c r="B4" s="4" t="n">
        <v>1036800</v>
      </c>
      <c r="C4" s="5" t="s">
        <v>167</v>
      </c>
    </row>
    <row r="5" customFormat="false" ht="22" hidden="false" customHeight="true" outlineLevel="0" collapsed="false">
      <c r="A5" s="3" t="s">
        <v>168</v>
      </c>
      <c r="B5" s="4" t="n">
        <v>-302400</v>
      </c>
    </row>
    <row r="6" customFormat="false" ht="22" hidden="false" customHeight="true" outlineLevel="0" collapsed="false">
      <c r="A6" s="3" t="s">
        <v>169</v>
      </c>
      <c r="B6" s="4" t="n">
        <v>-64800</v>
      </c>
    </row>
    <row r="7" customFormat="false" ht="22" hidden="false" customHeight="true" outlineLevel="0" collapsed="false">
      <c r="A7" s="3" t="s">
        <v>170</v>
      </c>
      <c r="B7" s="4" t="n">
        <v>-8400</v>
      </c>
    </row>
    <row r="8" customFormat="false" ht="22" hidden="false" customHeight="true" outlineLevel="0" collapsed="false">
      <c r="A8" s="3" t="s">
        <v>171</v>
      </c>
      <c r="B8" s="4" t="n">
        <v>30000</v>
      </c>
    </row>
    <row r="9" customFormat="false" ht="22" hidden="false" customHeight="true" outlineLevel="0" collapsed="false">
      <c r="A9" s="10" t="s">
        <v>172</v>
      </c>
      <c r="B9" s="16" t="n">
        <f aca="false">SUM(B4:B8)</f>
        <v>691200</v>
      </c>
    </row>
    <row r="11" customFormat="false" ht="22" hidden="false" customHeight="true" outlineLevel="0" collapsed="false">
      <c r="A11" s="3" t="s">
        <v>34</v>
      </c>
      <c r="B11" s="4" t="n">
        <v>132000</v>
      </c>
    </row>
    <row r="12" customFormat="false" ht="22" hidden="false" customHeight="true" outlineLevel="0" collapsed="false">
      <c r="A12" s="3" t="s">
        <v>36</v>
      </c>
      <c r="B12" s="4" t="n">
        <v>40800</v>
      </c>
    </row>
    <row r="13" customFormat="false" ht="22" hidden="false" customHeight="true" outlineLevel="0" collapsed="false">
      <c r="A13" s="3" t="s">
        <v>38</v>
      </c>
      <c r="B13" s="4" t="n">
        <v>33600</v>
      </c>
    </row>
    <row r="14" customFormat="false" ht="36" hidden="false" customHeight="true" outlineLevel="0" collapsed="false">
      <c r="A14" s="3" t="s">
        <v>40</v>
      </c>
      <c r="B14" s="4" t="n">
        <v>54000</v>
      </c>
      <c r="C14" s="5" t="s">
        <v>173</v>
      </c>
    </row>
    <row r="15" customFormat="false" ht="22" hidden="false" customHeight="true" outlineLevel="0" collapsed="false">
      <c r="A15" s="3" t="s">
        <v>42</v>
      </c>
      <c r="B15" s="4" t="n">
        <v>55200</v>
      </c>
    </row>
    <row r="16" customFormat="false" ht="22" hidden="false" customHeight="true" outlineLevel="0" collapsed="false">
      <c r="A16" s="3" t="s">
        <v>43</v>
      </c>
      <c r="B16" s="4" t="n">
        <v>27600</v>
      </c>
    </row>
    <row r="17" customFormat="false" ht="22" hidden="false" customHeight="true" outlineLevel="0" collapsed="false">
      <c r="A17" s="3" t="s">
        <v>174</v>
      </c>
      <c r="B17" s="4" t="n">
        <v>28000</v>
      </c>
    </row>
    <row r="18" customFormat="false" ht="22" hidden="false" customHeight="true" outlineLevel="0" collapsed="false">
      <c r="A18" s="18" t="s">
        <v>175</v>
      </c>
      <c r="B18" s="16" t="n">
        <f aca="false">SUM(B11:B17)</f>
        <v>371200</v>
      </c>
    </row>
    <row r="19" customFormat="false" ht="22" hidden="false" customHeight="true" outlineLevel="0" collapsed="false">
      <c r="A19" s="10" t="s">
        <v>176</v>
      </c>
      <c r="B19" s="16" t="n">
        <f aca="false">B9-B18</f>
        <v>320000</v>
      </c>
    </row>
    <row r="20" customFormat="false" ht="22" hidden="false" customHeight="true" outlineLevel="0" collapsed="false">
      <c r="A20" s="3" t="s">
        <v>177</v>
      </c>
      <c r="B20" s="4" t="n">
        <v>14400</v>
      </c>
    </row>
    <row r="21" customFormat="false" ht="22" hidden="false" customHeight="true" outlineLevel="0" collapsed="false">
      <c r="A21" s="18" t="s">
        <v>178</v>
      </c>
      <c r="B21" s="16" t="n">
        <f aca="false">B19-B20</f>
        <v>305600</v>
      </c>
    </row>
    <row r="23" customFormat="false" ht="25" hidden="false" customHeight="true" outlineLevel="0" collapsed="false">
      <c r="A23" s="2" t="s">
        <v>179</v>
      </c>
    </row>
    <row r="24" customFormat="false" ht="22" hidden="false" customHeight="true" outlineLevel="0" collapsed="false">
      <c r="A24" s="3" t="s">
        <v>180</v>
      </c>
      <c r="B24" s="19" t="n">
        <v>184000</v>
      </c>
    </row>
    <row r="25" customFormat="false" ht="22" hidden="false" customHeight="true" outlineLevel="0" collapsed="false">
      <c r="A25" s="3" t="s">
        <v>181</v>
      </c>
      <c r="B25" s="19" t="n">
        <v>294000</v>
      </c>
    </row>
    <row r="26" customFormat="false" ht="22" hidden="false" customHeight="true" outlineLevel="0" collapsed="false">
      <c r="A26" s="3" t="s">
        <v>182</v>
      </c>
      <c r="B26" s="19" t="n">
        <v>180000</v>
      </c>
    </row>
    <row r="28" customFormat="false" ht="22" hidden="false" customHeight="true" outlineLevel="0" collapsed="false">
      <c r="A28" s="3" t="s">
        <v>183</v>
      </c>
      <c r="B28" s="20" t="n">
        <f aca="false">B18/B9</f>
        <v>0.537037037037037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2" t="s">
        <v>163</v>
      </c>
      <c r="B3" s="2" t="s">
        <v>185</v>
      </c>
      <c r="C3" s="2" t="s">
        <v>186</v>
      </c>
    </row>
    <row r="4" customFormat="false" ht="36" hidden="false" customHeight="true" outlineLevel="0" collapsed="false">
      <c r="A4" s="3" t="s">
        <v>166</v>
      </c>
      <c r="B4" s="21" t="n">
        <f aca="false">Inputs!B4</f>
        <v>1003200</v>
      </c>
      <c r="C4" s="5" t="s">
        <v>187</v>
      </c>
    </row>
    <row r="5" customFormat="false" ht="36" hidden="false" customHeight="true" outlineLevel="0" collapsed="false">
      <c r="A5" s="9" t="s">
        <v>188</v>
      </c>
      <c r="B5" s="21" t="n">
        <f aca="false">-Inputs!B4*Inputs!B5</f>
        <v>-70224</v>
      </c>
      <c r="C5" s="5" t="s">
        <v>189</v>
      </c>
    </row>
    <row r="6" customFormat="false" ht="22" hidden="false" customHeight="true" outlineLevel="0" collapsed="false">
      <c r="A6" s="10" t="s">
        <v>190</v>
      </c>
      <c r="B6" s="16" t="n">
        <f aca="false">B4+B5</f>
        <v>932976</v>
      </c>
    </row>
    <row r="7" customFormat="false" ht="36" hidden="false" customHeight="true" outlineLevel="0" collapsed="false">
      <c r="A7" s="3" t="s">
        <v>171</v>
      </c>
      <c r="B7" s="21" t="n">
        <f aca="false">Inputs!B6</f>
        <v>41040</v>
      </c>
      <c r="C7" s="5" t="s">
        <v>191</v>
      </c>
    </row>
    <row r="8" customFormat="false" ht="22" hidden="false" customHeight="true" outlineLevel="0" collapsed="false">
      <c r="A8" s="10" t="s">
        <v>192</v>
      </c>
      <c r="B8" s="16" t="n">
        <f aca="false">B6+B7</f>
        <v>974016</v>
      </c>
    </row>
    <row r="10" customFormat="false" ht="22" hidden="false" customHeight="true" outlineLevel="0" collapsed="false">
      <c r="A10" s="3" t="s">
        <v>34</v>
      </c>
      <c r="B10" s="21" t="n">
        <f aca="false">Inputs!B25</f>
        <v>138000</v>
      </c>
    </row>
    <row r="11" customFormat="false" ht="22" hidden="false" customHeight="true" outlineLevel="0" collapsed="false">
      <c r="A11" s="3" t="s">
        <v>36</v>
      </c>
      <c r="B11" s="21" t="n">
        <f aca="false">Inputs!B26</f>
        <v>45600</v>
      </c>
    </row>
    <row r="12" customFormat="false" ht="22" hidden="false" customHeight="true" outlineLevel="0" collapsed="false">
      <c r="A12" s="3" t="s">
        <v>38</v>
      </c>
      <c r="B12" s="21" t="n">
        <f aca="false">Inputs!B27</f>
        <v>33600</v>
      </c>
    </row>
    <row r="13" customFormat="false" ht="22" hidden="false" customHeight="true" outlineLevel="0" collapsed="false">
      <c r="A13" s="3" t="s">
        <v>40</v>
      </c>
      <c r="B13" s="21" t="n">
        <f aca="false">Inputs!B28</f>
        <v>42000</v>
      </c>
    </row>
    <row r="14" customFormat="false" ht="22" hidden="false" customHeight="true" outlineLevel="0" collapsed="false">
      <c r="A14" s="3" t="s">
        <v>42</v>
      </c>
      <c r="B14" s="21" t="n">
        <f aca="false">Inputs!B29</f>
        <v>55200</v>
      </c>
    </row>
    <row r="15" customFormat="false" ht="22" hidden="false" customHeight="true" outlineLevel="0" collapsed="false">
      <c r="A15" s="3" t="s">
        <v>43</v>
      </c>
      <c r="B15" s="21" t="n">
        <f aca="false">Inputs!B30</f>
        <v>27600</v>
      </c>
    </row>
    <row r="16" customFormat="false" ht="36" hidden="false" customHeight="true" outlineLevel="0" collapsed="false">
      <c r="A16" s="3" t="s">
        <v>193</v>
      </c>
      <c r="B16" s="22" t="n">
        <f aca="false">MAX(Inputs!B32,Inputs!B31*B8)</f>
        <v>34090.56</v>
      </c>
      <c r="C16" s="5" t="s">
        <v>194</v>
      </c>
    </row>
    <row r="17" customFormat="false" ht="22" hidden="false" customHeight="true" outlineLevel="0" collapsed="false">
      <c r="A17" s="18" t="s">
        <v>195</v>
      </c>
      <c r="B17" s="23" t="n">
        <f aca="false">SUM(B10:B16)</f>
        <v>376090.56</v>
      </c>
    </row>
    <row r="18" customFormat="false" ht="22" hidden="false" customHeight="true" outlineLevel="0" collapsed="false">
      <c r="A18" s="10" t="s">
        <v>196</v>
      </c>
      <c r="B18" s="23" t="n">
        <f aca="false">B8-B17</f>
        <v>597925.44</v>
      </c>
    </row>
    <row r="19" customFormat="false" ht="36" hidden="false" customHeight="true" outlineLevel="0" collapsed="false">
      <c r="A19" s="3" t="s">
        <v>197</v>
      </c>
      <c r="B19" s="21" t="n">
        <f aca="false">Inputs!B21*Inputs!B22</f>
        <v>15600</v>
      </c>
      <c r="C19" s="5" t="s">
        <v>198</v>
      </c>
    </row>
    <row r="20" customFormat="false" ht="22" hidden="false" customHeight="true" outlineLevel="0" collapsed="false">
      <c r="A20" s="10" t="s">
        <v>199</v>
      </c>
      <c r="B20" s="23" t="n">
        <f aca="false">B18-B19</f>
        <v>582325.44</v>
      </c>
    </row>
    <row r="22" customFormat="false" ht="36" hidden="false" customHeight="true" outlineLevel="0" collapsed="false">
      <c r="A22" s="10" t="s">
        <v>200</v>
      </c>
      <c r="B22" s="23" t="n">
        <f aca="false">B18/Inputs!B7</f>
        <v>10398703.3043478</v>
      </c>
      <c r="C22" s="5" t="s">
        <v>201</v>
      </c>
    </row>
    <row r="23" customFormat="false" ht="22" hidden="false" customHeight="true" outlineLevel="0" collapsed="false">
      <c r="A23" s="3" t="s">
        <v>202</v>
      </c>
      <c r="B23" s="20" t="n">
        <f aca="false">B17/B8</f>
        <v>0.386123595505618</v>
      </c>
    </row>
    <row r="24" customFormat="false" ht="22" hidden="false" customHeight="true" outlineLevel="0" collapsed="false">
      <c r="A24" s="3" t="s">
        <v>203</v>
      </c>
      <c r="B24" s="22" t="n">
        <f aca="false">B18-'T12 Historical'!B19</f>
        <v>277925.44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204</v>
      </c>
    </row>
    <row r="3" customFormat="false" ht="25" hidden="false" customHeight="true" outlineLevel="0" collapsed="false">
      <c r="A3" s="2" t="s">
        <v>205</v>
      </c>
      <c r="B3" s="2" t="s">
        <v>2</v>
      </c>
      <c r="C3" s="2" t="s">
        <v>206</v>
      </c>
    </row>
    <row r="4" customFormat="false" ht="22" hidden="false" customHeight="true" outlineLevel="0" collapsed="false">
      <c r="A4" s="3" t="s">
        <v>207</v>
      </c>
      <c r="B4" s="24" t="n">
        <f aca="false">Inputs!B11</f>
        <v>0.0625</v>
      </c>
    </row>
    <row r="5" customFormat="false" ht="36" hidden="false" customHeight="true" outlineLevel="0" collapsed="false">
      <c r="A5" s="3" t="s">
        <v>208</v>
      </c>
      <c r="B5" s="24" t="n">
        <f aca="false">Inputs!B14</f>
        <v>0.065</v>
      </c>
      <c r="C5" s="5" t="s">
        <v>209</v>
      </c>
    </row>
    <row r="6" customFormat="false" ht="36" hidden="false" customHeight="true" outlineLevel="0" collapsed="false">
      <c r="A6" s="3" t="s">
        <v>210</v>
      </c>
      <c r="B6" s="25" t="n">
        <f aca="false">12*(-PMT(B5/12,Inputs!B15*12,1))</f>
        <v>0.0758481628191557</v>
      </c>
      <c r="C6" s="5" t="s">
        <v>211</v>
      </c>
    </row>
    <row r="8" customFormat="false" ht="36" hidden="false" customHeight="true" outlineLevel="0" collapsed="false">
      <c r="A8" s="10" t="s">
        <v>212</v>
      </c>
      <c r="B8" s="23" t="n">
        <f aca="false">Inputs!B8*Underwriting!B22</f>
        <v>6239221.9826087</v>
      </c>
      <c r="C8" s="5" t="s">
        <v>213</v>
      </c>
    </row>
    <row r="9" customFormat="false" ht="36" hidden="false" customHeight="true" outlineLevel="0" collapsed="false">
      <c r="A9" s="10" t="s">
        <v>214</v>
      </c>
      <c r="B9" s="23" t="n">
        <f aca="false">(Underwriting!B20/Inputs!B9)/B6</f>
        <v>5905781.09613378</v>
      </c>
      <c r="C9" s="5" t="s">
        <v>215</v>
      </c>
    </row>
    <row r="10" customFormat="false" ht="36" hidden="false" customHeight="true" outlineLevel="0" collapsed="false">
      <c r="A10" s="10" t="s">
        <v>216</v>
      </c>
      <c r="B10" s="23" t="n">
        <f aca="false">Underwriting!B20/Inputs!B10</f>
        <v>6470282.66666667</v>
      </c>
      <c r="C10" s="5" t="s">
        <v>217</v>
      </c>
    </row>
    <row r="11" customFormat="false" ht="22" hidden="false" customHeight="true" outlineLevel="0" collapsed="false">
      <c r="A11" s="10" t="s">
        <v>218</v>
      </c>
      <c r="B11" s="23" t="n">
        <f aca="false">MIN(B8:B10)</f>
        <v>5905781.09613378</v>
      </c>
    </row>
    <row r="12" customFormat="false" ht="22" hidden="false" customHeight="true" outlineLevel="0" collapsed="false">
      <c r="A12" s="10" t="s">
        <v>219</v>
      </c>
      <c r="B12" s="10" t="str">
        <f aca="false">IF(AND(B8&lt;=B9,B8&lt;=B10),"LTV",IF(AND(B9&lt;=B8,B9&lt;=B10),"DSCR","Debt yield"))</f>
        <v>DSCR</v>
      </c>
    </row>
    <row r="14" customFormat="false" ht="22" hidden="false" customHeight="true" outlineLevel="0" collapsed="false">
      <c r="A14" s="18" t="s">
        <v>220</v>
      </c>
      <c r="B14" s="23" t="n">
        <f aca="false">B11*B6</f>
        <v>447942.646153846</v>
      </c>
    </row>
    <row r="15" customFormat="false" ht="22" hidden="false" customHeight="true" outlineLevel="0" collapsed="false">
      <c r="A15" s="18" t="s">
        <v>221</v>
      </c>
      <c r="B15" s="26" t="n">
        <f aca="false">Underwriting!B20/B14</f>
        <v>1.3</v>
      </c>
    </row>
    <row r="16" customFormat="false" ht="22" hidden="false" customHeight="true" outlineLevel="0" collapsed="false">
      <c r="A16" s="18" t="s">
        <v>222</v>
      </c>
      <c r="B16" s="27" t="n">
        <f aca="false">Underwriting!B20/B11</f>
        <v>0.0986026116649024</v>
      </c>
    </row>
    <row r="18" customFormat="false" ht="22" hidden="false" customHeight="true" outlineLevel="0" collapsed="false">
      <c r="A18" s="18" t="s">
        <v>223</v>
      </c>
      <c r="B18" s="23" t="n">
        <f aca="false">IF(Inputs!B16&gt;=12,B11*Inputs!B11,12*(-PMT(Inputs!B11/12,Inputs!B15*12,B11)))</f>
        <v>369111.318508361</v>
      </c>
    </row>
    <row r="19" customFormat="false" ht="22" hidden="false" customHeight="true" outlineLevel="0" collapsed="false">
      <c r="A19" s="3" t="s">
        <v>224</v>
      </c>
      <c r="B19" s="22" t="n">
        <f aca="false">B11*Inputs!B11/12</f>
        <v>30759.2765423634</v>
      </c>
    </row>
    <row r="20" customFormat="false" ht="22" hidden="false" customHeight="true" outlineLevel="0" collapsed="false">
      <c r="A20" s="9" t="s">
        <v>225</v>
      </c>
      <c r="B20" s="22" t="n">
        <f aca="false">-PMT(Inputs!B11/12,Inputs!B15*12,B11)</f>
        <v>36362.9100284259</v>
      </c>
    </row>
    <row r="21" customFormat="false" ht="22" hidden="false" customHeight="true" outlineLevel="0" collapsed="false">
      <c r="A21" s="9" t="s">
        <v>226</v>
      </c>
      <c r="B21" s="28" t="n">
        <f aca="false">B20*12</f>
        <v>436354.920341111</v>
      </c>
    </row>
    <row r="22" customFormat="false" ht="22" hidden="false" customHeight="true" outlineLevel="0" collapsed="false">
      <c r="A22" s="9" t="s">
        <v>227</v>
      </c>
      <c r="B22" s="29" t="n">
        <f aca="false">Underwriting!B20/B18</f>
        <v>1.57764178663844</v>
      </c>
    </row>
    <row r="23" customFormat="false" ht="22" hidden="false" customHeight="true" outlineLevel="0" collapsed="false">
      <c r="A23" s="9" t="s">
        <v>228</v>
      </c>
      <c r="B23" s="28" t="n">
        <f aca="false">B14-B18</f>
        <v>78831.3276454852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7" hidden="false" customHeight="true" outlineLevel="0" collapsed="false">
      <c r="A1" s="1" t="s">
        <v>229</v>
      </c>
    </row>
    <row r="3" customFormat="false" ht="25" hidden="false" customHeight="true" outlineLevel="0" collapsed="false">
      <c r="A3" s="2" t="s">
        <v>230</v>
      </c>
      <c r="B3" s="2" t="s">
        <v>231</v>
      </c>
      <c r="C3" s="2" t="s">
        <v>165</v>
      </c>
    </row>
    <row r="4" customFormat="false" ht="22" hidden="false" customHeight="true" outlineLevel="0" collapsed="false">
      <c r="A4" s="3" t="s">
        <v>232</v>
      </c>
      <c r="B4" s="22" t="n">
        <f aca="false">'Loan Sizing'!B11</f>
        <v>5905781.09613378</v>
      </c>
    </row>
    <row r="5" customFormat="false" ht="22" hidden="false" customHeight="true" outlineLevel="0" collapsed="false">
      <c r="A5" s="3" t="s">
        <v>233</v>
      </c>
      <c r="B5" s="28" t="n">
        <f aca="false">MAX(0,-B12)</f>
        <v>0</v>
      </c>
    </row>
    <row r="6" customFormat="false" ht="22" hidden="false" customHeight="true" outlineLevel="0" collapsed="false">
      <c r="A6" s="10" t="s">
        <v>234</v>
      </c>
      <c r="B6" s="23" t="n">
        <f aca="false">B4+B5</f>
        <v>5905781.09613378</v>
      </c>
    </row>
    <row r="8" customFormat="false" ht="25" hidden="false" customHeight="true" outlineLevel="0" collapsed="false">
      <c r="A8" s="2" t="s">
        <v>235</v>
      </c>
    </row>
    <row r="9" customFormat="false" ht="22" hidden="false" customHeight="true" outlineLevel="0" collapsed="false">
      <c r="A9" s="3" t="s">
        <v>28</v>
      </c>
      <c r="B9" s="22" t="n">
        <f aca="false">Inputs!B20</f>
        <v>4500000</v>
      </c>
    </row>
    <row r="10" customFormat="false" ht="22" hidden="false" customHeight="true" outlineLevel="0" collapsed="false">
      <c r="A10" s="9" t="s">
        <v>236</v>
      </c>
      <c r="B10" s="22" t="n">
        <f aca="false">B4*Inputs!B18</f>
        <v>59057.8109613378</v>
      </c>
    </row>
    <row r="11" customFormat="false" ht="22" hidden="false" customHeight="true" outlineLevel="0" collapsed="false">
      <c r="A11" s="3" t="s">
        <v>26</v>
      </c>
      <c r="B11" s="22" t="n">
        <f aca="false">Inputs!B19</f>
        <v>65000</v>
      </c>
    </row>
    <row r="12" customFormat="false" ht="22" hidden="false" customHeight="true" outlineLevel="0" collapsed="false">
      <c r="A12" s="18" t="s">
        <v>237</v>
      </c>
      <c r="B12" s="23" t="n">
        <f aca="false">B4-B9-B10-B11</f>
        <v>1281723.28517244</v>
      </c>
    </row>
    <row r="13" customFormat="false" ht="22" hidden="false" customHeight="true" outlineLevel="0" collapsed="false">
      <c r="A13" s="3" t="s">
        <v>238</v>
      </c>
      <c r="B13" s="28" t="n">
        <f aca="false">MAX(0,B12)</f>
        <v>1281723.28517244</v>
      </c>
    </row>
    <row r="14" customFormat="false" ht="22" hidden="false" customHeight="true" outlineLevel="0" collapsed="false">
      <c r="A14" s="10" t="s">
        <v>239</v>
      </c>
      <c r="B14" s="23" t="n">
        <f aca="false">B9+B10+B11+B13</f>
        <v>5905781.09613378</v>
      </c>
    </row>
    <row r="16" customFormat="false" ht="22" hidden="false" customHeight="true" outlineLevel="0" collapsed="false">
      <c r="A16" s="3" t="s">
        <v>240</v>
      </c>
      <c r="B16" s="28" t="n">
        <f aca="false">B6-B14</f>
        <v>0</v>
      </c>
    </row>
    <row r="18" customFormat="false" ht="36" hidden="false" customHeight="true" outlineLevel="0" collapsed="false">
      <c r="A18" s="5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27" hidden="false" customHeight="true" outlineLevel="0" collapsed="false">
      <c r="A1" s="1" t="s">
        <v>242</v>
      </c>
    </row>
    <row r="4" customFormat="false" ht="22" hidden="false" customHeight="true" outlineLevel="0" collapsed="false">
      <c r="A4" s="3" t="s">
        <v>243</v>
      </c>
      <c r="B4" s="7" t="n">
        <v>0.95</v>
      </c>
    </row>
    <row r="5" customFormat="false" ht="22" hidden="false" customHeight="true" outlineLevel="0" collapsed="false">
      <c r="A5" s="3" t="s">
        <v>244</v>
      </c>
      <c r="B5" s="8" t="n">
        <v>0.01</v>
      </c>
    </row>
    <row r="6" customFormat="false" ht="22" hidden="false" customHeight="true" outlineLevel="0" collapsed="false">
      <c r="A6" s="3" t="s">
        <v>245</v>
      </c>
      <c r="B6" s="8" t="n">
        <v>0.005</v>
      </c>
    </row>
    <row r="8" customFormat="false" ht="25" hidden="false" customHeight="true" outlineLevel="0" collapsed="false">
      <c r="A8" s="2" t="s">
        <v>246</v>
      </c>
      <c r="B8" s="2" t="s">
        <v>247</v>
      </c>
      <c r="C8" s="2" t="s">
        <v>248</v>
      </c>
      <c r="D8" s="2" t="s">
        <v>249</v>
      </c>
      <c r="E8" s="30" t="s">
        <v>250</v>
      </c>
      <c r="F8" s="2" t="s">
        <v>251</v>
      </c>
    </row>
    <row r="9" customFormat="false" ht="22" hidden="false" customHeight="true" outlineLevel="0" collapsed="false">
      <c r="A9" s="3" t="s">
        <v>252</v>
      </c>
      <c r="B9" s="31" t="n">
        <v>1</v>
      </c>
      <c r="C9" s="31" t="n">
        <f aca="false">$B$4</f>
        <v>0.95</v>
      </c>
      <c r="D9" s="31" t="n">
        <v>1</v>
      </c>
      <c r="E9" s="31" t="n">
        <f aca="false">$B$4</f>
        <v>0.95</v>
      </c>
      <c r="F9" s="31" t="n">
        <v>1</v>
      </c>
    </row>
    <row r="10" customFormat="false" ht="22" hidden="false" customHeight="true" outlineLevel="0" collapsed="false">
      <c r="A10" s="3" t="s">
        <v>253</v>
      </c>
      <c r="B10" s="32" t="n">
        <v>0</v>
      </c>
      <c r="C10" s="32" t="n">
        <v>0</v>
      </c>
      <c r="D10" s="32" t="n">
        <f aca="false">$B$5</f>
        <v>0.01</v>
      </c>
      <c r="E10" s="32" t="n">
        <f aca="false">$B$5</f>
        <v>0.01</v>
      </c>
      <c r="F10" s="32" t="n">
        <v>0</v>
      </c>
    </row>
    <row r="11" customFormat="false" ht="22" hidden="false" customHeight="true" outlineLevel="0" collapsed="false">
      <c r="A11" s="3" t="s">
        <v>254</v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f aca="false">$B$6</f>
        <v>0.005</v>
      </c>
    </row>
    <row r="12" customFormat="false" ht="22" hidden="false" customHeight="true" outlineLevel="0" collapsed="false">
      <c r="A12" s="3" t="s">
        <v>255</v>
      </c>
      <c r="B12" s="22" t="n">
        <f aca="false">Underwriting!$B$8*B9</f>
        <v>974016</v>
      </c>
      <c r="C12" s="22" t="n">
        <f aca="false">Underwriting!$B$8*C9</f>
        <v>925315.2</v>
      </c>
      <c r="D12" s="22" t="n">
        <f aca="false">Underwriting!$B$8*D9</f>
        <v>974016</v>
      </c>
      <c r="E12" s="22" t="n">
        <f aca="false">Underwriting!$B$8*E9</f>
        <v>925315.2</v>
      </c>
      <c r="F12" s="22" t="n">
        <f aca="false">Underwriting!$B$8*F9</f>
        <v>974016</v>
      </c>
    </row>
    <row r="13" customFormat="false" ht="22" hidden="false" customHeight="true" outlineLevel="0" collapsed="false">
      <c r="A13" s="3" t="s">
        <v>256</v>
      </c>
      <c r="B13" s="22" t="n">
        <f aca="false">MAX(Inputs!$B$32,Inputs!$B$31*B12)</f>
        <v>34090.56</v>
      </c>
      <c r="C13" s="22" t="n">
        <f aca="false">MAX(Inputs!$B$32,Inputs!$B$31*C12)</f>
        <v>32386.032</v>
      </c>
      <c r="D13" s="22" t="n">
        <f aca="false">MAX(Inputs!$B$32,Inputs!$B$31*D12)</f>
        <v>34090.56</v>
      </c>
      <c r="E13" s="22" t="n">
        <f aca="false">MAX(Inputs!$B$32,Inputs!$B$31*E12)</f>
        <v>32386.032</v>
      </c>
      <c r="F13" s="22" t="n">
        <f aca="false">MAX(Inputs!$B$32,Inputs!$B$31*F12)</f>
        <v>34090.56</v>
      </c>
    </row>
    <row r="14" customFormat="false" ht="22" hidden="false" customHeight="true" outlineLevel="0" collapsed="false">
      <c r="A14" s="9" t="s">
        <v>257</v>
      </c>
      <c r="B14" s="22" t="n">
        <f aca="false">SUM(Inputs!$B$25:$B$30)</f>
        <v>342000</v>
      </c>
      <c r="C14" s="22" t="n">
        <f aca="false">SUM(Inputs!$B$25:$B$30)</f>
        <v>342000</v>
      </c>
      <c r="D14" s="22" t="n">
        <f aca="false">SUM(Inputs!$B$25:$B$30)</f>
        <v>342000</v>
      </c>
      <c r="E14" s="22" t="n">
        <f aca="false">SUM(Inputs!$B$25:$B$30)</f>
        <v>342000</v>
      </c>
      <c r="F14" s="22" t="n">
        <f aca="false">SUM(Inputs!$B$25:$B$30)</f>
        <v>342000</v>
      </c>
    </row>
    <row r="15" customFormat="false" ht="22" hidden="false" customHeight="true" outlineLevel="0" collapsed="false">
      <c r="A15" s="3" t="s">
        <v>258</v>
      </c>
      <c r="B15" s="28" t="n">
        <f aca="false">B13+B14</f>
        <v>376090.56</v>
      </c>
      <c r="C15" s="28" t="n">
        <f aca="false">C13+C14</f>
        <v>374386.032</v>
      </c>
      <c r="D15" s="28" t="n">
        <f aca="false">D13+D14</f>
        <v>376090.56</v>
      </c>
      <c r="E15" s="28" t="n">
        <f aca="false">E13+E14</f>
        <v>374386.032</v>
      </c>
      <c r="F15" s="28" t="n">
        <f aca="false">F13+F14</f>
        <v>376090.56</v>
      </c>
    </row>
    <row r="16" customFormat="false" ht="22" hidden="false" customHeight="true" outlineLevel="0" collapsed="false">
      <c r="A16" s="10" t="s">
        <v>259</v>
      </c>
      <c r="B16" s="23" t="n">
        <f aca="false">B12-B15</f>
        <v>597925.44</v>
      </c>
      <c r="C16" s="23" t="n">
        <f aca="false">C12-C15</f>
        <v>550929.168</v>
      </c>
      <c r="D16" s="23" t="n">
        <f aca="false">D12-D15</f>
        <v>597925.44</v>
      </c>
      <c r="E16" s="23" t="n">
        <f aca="false">E12-E15</f>
        <v>550929.168</v>
      </c>
      <c r="F16" s="23" t="n">
        <f aca="false">F12-F15</f>
        <v>597925.44</v>
      </c>
    </row>
    <row r="17" customFormat="false" ht="22" hidden="false" customHeight="true" outlineLevel="0" collapsed="false">
      <c r="A17" s="3" t="s">
        <v>197</v>
      </c>
      <c r="B17" s="22" t="n">
        <f aca="false">Underwriting!$B$19</f>
        <v>15600</v>
      </c>
      <c r="C17" s="22" t="n">
        <f aca="false">Underwriting!$B$19</f>
        <v>15600</v>
      </c>
      <c r="D17" s="22" t="n">
        <f aca="false">Underwriting!$B$19</f>
        <v>15600</v>
      </c>
      <c r="E17" s="22" t="n">
        <f aca="false">Underwriting!$B$19</f>
        <v>15600</v>
      </c>
      <c r="F17" s="22" t="n">
        <f aca="false">Underwriting!$B$19</f>
        <v>15600</v>
      </c>
    </row>
    <row r="18" customFormat="false" ht="22" hidden="false" customHeight="true" outlineLevel="0" collapsed="false">
      <c r="A18" s="10" t="s">
        <v>260</v>
      </c>
      <c r="B18" s="23" t="n">
        <f aca="false">B16-B17</f>
        <v>582325.44</v>
      </c>
      <c r="C18" s="23" t="n">
        <f aca="false">C16-C17</f>
        <v>535329.168</v>
      </c>
      <c r="D18" s="23" t="n">
        <f aca="false">D16-D17</f>
        <v>582325.44</v>
      </c>
      <c r="E18" s="23" t="n">
        <f aca="false">E16-E17</f>
        <v>535329.168</v>
      </c>
      <c r="F18" s="23" t="n">
        <f aca="false">F16-F17</f>
        <v>582325.44</v>
      </c>
    </row>
    <row r="19" customFormat="false" ht="22" hidden="false" customHeight="true" outlineLevel="0" collapsed="false">
      <c r="A19" s="3" t="s">
        <v>261</v>
      </c>
      <c r="B19" s="24" t="n">
        <f aca="false">Inputs!$B$7+B11</f>
        <v>0.0575</v>
      </c>
      <c r="C19" s="24" t="n">
        <f aca="false">Inputs!$B$7+C11</f>
        <v>0.0575</v>
      </c>
      <c r="D19" s="24" t="n">
        <f aca="false">Inputs!$B$7+D11</f>
        <v>0.0575</v>
      </c>
      <c r="E19" s="24" t="n">
        <f aca="false">Inputs!$B$7+E11</f>
        <v>0.0575</v>
      </c>
      <c r="F19" s="24" t="n">
        <f aca="false">Inputs!$B$7+F11</f>
        <v>0.0625</v>
      </c>
    </row>
    <row r="20" customFormat="false" ht="22" hidden="false" customHeight="true" outlineLevel="0" collapsed="false">
      <c r="A20" s="3" t="s">
        <v>262</v>
      </c>
      <c r="B20" s="28" t="n">
        <f aca="false">B16/B19</f>
        <v>10398703.3043478</v>
      </c>
      <c r="C20" s="28" t="n">
        <f aca="false">C16/C19</f>
        <v>9581376.83478261</v>
      </c>
      <c r="D20" s="28" t="n">
        <f aca="false">D16/D19</f>
        <v>10398703.3043478</v>
      </c>
      <c r="E20" s="28" t="n">
        <f aca="false">E16/E19</f>
        <v>9581376.83478261</v>
      </c>
      <c r="F20" s="28" t="n">
        <f aca="false">F16/F19</f>
        <v>9566807.04</v>
      </c>
    </row>
    <row r="21" customFormat="false" ht="22" hidden="false" customHeight="true" outlineLevel="0" collapsed="false">
      <c r="A21" s="3" t="s">
        <v>21</v>
      </c>
      <c r="B21" s="24" t="n">
        <f aca="false">Inputs!$B$14+B10</f>
        <v>0.065</v>
      </c>
      <c r="C21" s="24" t="n">
        <f aca="false">Inputs!$B$14+C10</f>
        <v>0.065</v>
      </c>
      <c r="D21" s="24" t="n">
        <f aca="false">Inputs!$B$14+D10</f>
        <v>0.075</v>
      </c>
      <c r="E21" s="24" t="n">
        <f aca="false">Inputs!$B$14+E10</f>
        <v>0.075</v>
      </c>
      <c r="F21" s="24" t="n">
        <f aca="false">Inputs!$B$14+F10</f>
        <v>0.065</v>
      </c>
    </row>
    <row r="22" customFormat="false" ht="22" hidden="false" customHeight="true" outlineLevel="0" collapsed="false">
      <c r="A22" s="3" t="s">
        <v>263</v>
      </c>
      <c r="B22" s="25" t="n">
        <f aca="false">12*(-PMT(B21/12,Inputs!$B$15*12,1))</f>
        <v>0.0758481628191557</v>
      </c>
      <c r="C22" s="25" t="n">
        <f aca="false">12*(-PMT(C21/12,Inputs!$B$15*12,1))</f>
        <v>0.0758481628191557</v>
      </c>
      <c r="D22" s="25" t="n">
        <f aca="false">12*(-PMT(D21/12,Inputs!$B$15*12,1))</f>
        <v>0.0839057410263335</v>
      </c>
      <c r="E22" s="25" t="n">
        <f aca="false">12*(-PMT(E21/12,Inputs!$B$15*12,1))</f>
        <v>0.0839057410263335</v>
      </c>
      <c r="F22" s="25" t="n">
        <f aca="false">12*(-PMT(F21/12,Inputs!$B$15*12,1))</f>
        <v>0.0758481628191557</v>
      </c>
    </row>
    <row r="23" customFormat="false" ht="22" hidden="false" customHeight="true" outlineLevel="0" collapsed="false">
      <c r="A23" s="3" t="s">
        <v>212</v>
      </c>
      <c r="B23" s="22" t="n">
        <f aca="false">Inputs!$B$8*B20</f>
        <v>6239221.9826087</v>
      </c>
      <c r="C23" s="22" t="n">
        <f aca="false">Inputs!$B$8*C20</f>
        <v>5748826.10086956</v>
      </c>
      <c r="D23" s="22" t="n">
        <f aca="false">Inputs!$B$8*D20</f>
        <v>6239221.9826087</v>
      </c>
      <c r="E23" s="22" t="n">
        <f aca="false">Inputs!$B$8*E20</f>
        <v>5748826.10086956</v>
      </c>
      <c r="F23" s="22" t="n">
        <f aca="false">Inputs!$B$8*F20</f>
        <v>5740084.224</v>
      </c>
    </row>
    <row r="24" customFormat="false" ht="22" hidden="false" customHeight="true" outlineLevel="0" collapsed="false">
      <c r="A24" s="3" t="s">
        <v>214</v>
      </c>
      <c r="B24" s="22" t="n">
        <f aca="false">(B18/Inputs!$B$9)/B22</f>
        <v>5905781.09613378</v>
      </c>
      <c r="C24" s="22" t="n">
        <f aca="false">(C18/Inputs!$B$9)/C22</f>
        <v>5429158.10201152</v>
      </c>
      <c r="D24" s="22" t="n">
        <f aca="false">(D18/Inputs!$B$9)/D22</f>
        <v>5338641.20231369</v>
      </c>
      <c r="E24" s="22" t="n">
        <f aca="false">(E18/Inputs!$B$9)/E22</f>
        <v>4907788.93857893</v>
      </c>
      <c r="F24" s="22" t="n">
        <f aca="false">(F18/Inputs!$B$9)/F22</f>
        <v>5905781.09613378</v>
      </c>
    </row>
    <row r="25" customFormat="false" ht="22" hidden="false" customHeight="true" outlineLevel="0" collapsed="false">
      <c r="A25" s="3" t="s">
        <v>216</v>
      </c>
      <c r="B25" s="22" t="n">
        <f aca="false">B18/Inputs!$B$10</f>
        <v>6470282.66666667</v>
      </c>
      <c r="C25" s="22" t="n">
        <f aca="false">C18/Inputs!$B$10</f>
        <v>5948101.86666667</v>
      </c>
      <c r="D25" s="22" t="n">
        <f aca="false">D18/Inputs!$B$10</f>
        <v>6470282.66666667</v>
      </c>
      <c r="E25" s="22" t="n">
        <f aca="false">E18/Inputs!$B$10</f>
        <v>5948101.86666667</v>
      </c>
      <c r="F25" s="22" t="n">
        <f aca="false">F18/Inputs!$B$10</f>
        <v>6470282.66666667</v>
      </c>
    </row>
    <row r="26" customFormat="false" ht="22" hidden="false" customHeight="true" outlineLevel="0" collapsed="false">
      <c r="A26" s="10" t="s">
        <v>218</v>
      </c>
      <c r="B26" s="23" t="n">
        <f aca="false">MIN(B23:B25)</f>
        <v>5905781.09613378</v>
      </c>
      <c r="C26" s="23" t="n">
        <f aca="false">MIN(C23:C25)</f>
        <v>5429158.10201152</v>
      </c>
      <c r="D26" s="23" t="n">
        <f aca="false">MIN(D23:D25)</f>
        <v>5338641.20231369</v>
      </c>
      <c r="E26" s="23" t="n">
        <f aca="false">MIN(E23:E25)</f>
        <v>4907788.93857893</v>
      </c>
      <c r="F26" s="23" t="n">
        <f aca="false">MIN(F23:F25)</f>
        <v>5740084.224</v>
      </c>
    </row>
    <row r="27" customFormat="false" ht="22" hidden="false" customHeight="true" outlineLevel="0" collapsed="false">
      <c r="A27" s="10" t="s">
        <v>219</v>
      </c>
      <c r="B27" s="10" t="str">
        <f aca="false">IF(AND(B23&lt;=B24,B23&lt;=B25),"LTV",IF(AND(B24&lt;=B23,B24&lt;=B25),"DSCR","Debt yield"))</f>
        <v>DSCR</v>
      </c>
      <c r="C27" s="10" t="str">
        <f aca="false">IF(AND(C23&lt;=C24,C23&lt;=C25),"LTV",IF(AND(C24&lt;=C23,C24&lt;=C25),"DSCR","Debt yield"))</f>
        <v>DSCR</v>
      </c>
      <c r="D27" s="10" t="str">
        <f aca="false">IF(AND(D23&lt;=D24,D23&lt;=D25),"LTV",IF(AND(D24&lt;=D23,D24&lt;=D25),"DSCR","Debt yield"))</f>
        <v>DSCR</v>
      </c>
      <c r="E27" s="10" t="str">
        <f aca="false">IF(AND(E23&lt;=E24,E23&lt;=E25),"LTV",IF(AND(E24&lt;=E23,E24&lt;=E25),"DSCR","Debt yield"))</f>
        <v>DSCR</v>
      </c>
      <c r="F27" s="10" t="str">
        <f aca="false">IF(AND(F23&lt;=F24,F23&lt;=F25),"LTV",IF(AND(F24&lt;=F23,F24&lt;=F25),"DSCR","Debt yield"))</f>
        <v>LTV</v>
      </c>
    </row>
    <row r="28" customFormat="false" ht="22" hidden="false" customHeight="true" outlineLevel="0" collapsed="false">
      <c r="A28" s="3" t="s">
        <v>264</v>
      </c>
      <c r="C28" s="28" t="n">
        <f aca="false">C26-$B$26</f>
        <v>-476622.994122258</v>
      </c>
      <c r="D28" s="28" t="n">
        <f aca="false">D26-$B$26</f>
        <v>-567139.893820086</v>
      </c>
      <c r="E28" s="28" t="n">
        <f aca="false">E26-$B$26</f>
        <v>-997992.157554848</v>
      </c>
      <c r="F28" s="28" t="n">
        <f aca="false">F26-$B$26</f>
        <v>-165696.872133776</v>
      </c>
    </row>
    <row r="30" customFormat="false" ht="36" hidden="false" customHeight="true" outlineLevel="0" collapsed="false">
      <c r="A30" s="5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266</v>
      </c>
    </row>
    <row r="3" customFormat="false" ht="25" hidden="false" customHeight="true" outlineLevel="0" collapsed="false">
      <c r="A3" s="2" t="s">
        <v>205</v>
      </c>
      <c r="B3" s="2" t="s">
        <v>267</v>
      </c>
      <c r="C3" s="2" t="s">
        <v>268</v>
      </c>
    </row>
    <row r="4" customFormat="false" ht="25" hidden="false" customHeight="true" outlineLevel="0" collapsed="false">
      <c r="A4" s="2" t="s">
        <v>269</v>
      </c>
    </row>
    <row r="5" customFormat="false" ht="36" hidden="false" customHeight="true" outlineLevel="0" collapsed="false">
      <c r="A5" s="3" t="s">
        <v>270</v>
      </c>
      <c r="B5" s="3" t="s">
        <v>271</v>
      </c>
      <c r="C5" s="5" t="s">
        <v>272</v>
      </c>
    </row>
    <row r="6" customFormat="false" ht="36" hidden="false" customHeight="true" outlineLevel="0" collapsed="false">
      <c r="A6" s="3" t="s">
        <v>273</v>
      </c>
      <c r="B6" s="3" t="s">
        <v>274</v>
      </c>
      <c r="C6" s="5" t="s">
        <v>275</v>
      </c>
    </row>
    <row r="7" customFormat="false" ht="36" hidden="false" customHeight="true" outlineLevel="0" collapsed="false">
      <c r="A7" s="3" t="s">
        <v>276</v>
      </c>
      <c r="B7" s="3" t="s">
        <v>277</v>
      </c>
      <c r="C7" s="5" t="s">
        <v>278</v>
      </c>
    </row>
    <row r="8" customFormat="false" ht="22" hidden="false" customHeight="true" outlineLevel="0" collapsed="false">
      <c r="A8" s="3" t="s">
        <v>279</v>
      </c>
      <c r="B8" s="3" t="s">
        <v>280</v>
      </c>
    </row>
    <row r="9" customFormat="false" ht="36" hidden="false" customHeight="true" outlineLevel="0" collapsed="false">
      <c r="A9" s="3" t="s">
        <v>281</v>
      </c>
      <c r="B9" s="3" t="s">
        <v>187</v>
      </c>
      <c r="C9" s="5" t="s">
        <v>282</v>
      </c>
    </row>
    <row r="10" customFormat="false" ht="22" hidden="false" customHeight="true" outlineLevel="0" collapsed="false">
      <c r="A10" s="3" t="s">
        <v>283</v>
      </c>
      <c r="B10" s="3" t="s">
        <v>284</v>
      </c>
    </row>
    <row r="11" customFormat="false" ht="22" hidden="false" customHeight="true" outlineLevel="0" collapsed="false">
      <c r="A11" s="3" t="s">
        <v>285</v>
      </c>
      <c r="B11" s="3" t="s">
        <v>286</v>
      </c>
    </row>
    <row r="12" customFormat="false" ht="22" hidden="false" customHeight="true" outlineLevel="0" collapsed="false">
      <c r="A12" s="3" t="s">
        <v>207</v>
      </c>
      <c r="B12" s="3" t="s">
        <v>287</v>
      </c>
    </row>
    <row r="13" customFormat="false" ht="22" hidden="false" customHeight="true" outlineLevel="0" collapsed="false">
      <c r="A13" s="3" t="s">
        <v>288</v>
      </c>
      <c r="B13" s="3" t="s">
        <v>289</v>
      </c>
    </row>
    <row r="14" customFormat="false" ht="22" hidden="false" customHeight="true" outlineLevel="0" collapsed="false">
      <c r="A14" s="3" t="s">
        <v>290</v>
      </c>
      <c r="B14" s="3" t="s">
        <v>291</v>
      </c>
    </row>
    <row r="15" customFormat="false" ht="22" hidden="false" customHeight="true" outlineLevel="0" collapsed="false">
      <c r="A15" s="3" t="s">
        <v>292</v>
      </c>
      <c r="B15" s="3" t="s">
        <v>293</v>
      </c>
    </row>
    <row r="16" customFormat="false" ht="22" hidden="false" customHeight="true" outlineLevel="0" collapsed="false">
      <c r="A16" s="3" t="s">
        <v>294</v>
      </c>
      <c r="B16" s="3" t="s">
        <v>295</v>
      </c>
    </row>
    <row r="18" customFormat="false" ht="25" hidden="false" customHeight="true" outlineLevel="0" collapsed="false">
      <c r="A18" s="2" t="s">
        <v>296</v>
      </c>
    </row>
    <row r="19" customFormat="false" ht="22" hidden="false" customHeight="true" outlineLevel="0" collapsed="false">
      <c r="A19" s="3" t="s">
        <v>297</v>
      </c>
      <c r="B19" s="3" t="s">
        <v>298</v>
      </c>
      <c r="C19" s="22" t="n">
        <f aca="false">Underwriting!B18</f>
        <v>597925.44</v>
      </c>
    </row>
    <row r="20" customFormat="false" ht="22" hidden="false" customHeight="true" outlineLevel="0" collapsed="false">
      <c r="A20" s="3" t="s">
        <v>299</v>
      </c>
      <c r="B20" s="3" t="s">
        <v>300</v>
      </c>
      <c r="C20" s="22" t="n">
        <f aca="false">Underwriting!B20</f>
        <v>582325.44</v>
      </c>
    </row>
    <row r="21" customFormat="false" ht="22" hidden="false" customHeight="true" outlineLevel="0" collapsed="false">
      <c r="A21" s="3" t="s">
        <v>301</v>
      </c>
      <c r="B21" s="3" t="s">
        <v>302</v>
      </c>
      <c r="C21" s="22" t="n">
        <f aca="false">Underwriting!B22</f>
        <v>10398703.3043478</v>
      </c>
    </row>
    <row r="22" customFormat="false" ht="22" hidden="false" customHeight="true" outlineLevel="0" collapsed="false">
      <c r="A22" s="3" t="s">
        <v>212</v>
      </c>
      <c r="B22" s="3" t="s">
        <v>303</v>
      </c>
      <c r="C22" s="22" t="n">
        <f aca="false">'Loan Sizing'!B8</f>
        <v>6239221.9826087</v>
      </c>
    </row>
    <row r="23" customFormat="false" ht="22" hidden="false" customHeight="true" outlineLevel="0" collapsed="false">
      <c r="A23" s="3" t="s">
        <v>214</v>
      </c>
      <c r="B23" s="3" t="s">
        <v>304</v>
      </c>
      <c r="C23" s="22" t="n">
        <f aca="false">'Loan Sizing'!B9</f>
        <v>5905781.09613378</v>
      </c>
    </row>
    <row r="24" customFormat="false" ht="22" hidden="false" customHeight="true" outlineLevel="0" collapsed="false">
      <c r="A24" s="3" t="s">
        <v>216</v>
      </c>
      <c r="B24" s="3" t="s">
        <v>305</v>
      </c>
      <c r="C24" s="22" t="n">
        <f aca="false">'Loan Sizing'!B10</f>
        <v>6470282.66666667</v>
      </c>
    </row>
    <row r="25" customFormat="false" ht="22" hidden="false" customHeight="true" outlineLevel="0" collapsed="false">
      <c r="A25" s="3" t="s">
        <v>306</v>
      </c>
      <c r="B25" s="3" t="s">
        <v>307</v>
      </c>
      <c r="C25" s="22" t="n">
        <f aca="false">'Loan Sizing'!B11</f>
        <v>5905781.09613378</v>
      </c>
    </row>
    <row r="26" customFormat="false" ht="22" hidden="false" customHeight="true" outlineLevel="0" collapsed="false">
      <c r="A26" s="3" t="s">
        <v>308</v>
      </c>
      <c r="B26" s="3" t="s">
        <v>309</v>
      </c>
      <c r="C26" s="22" t="n">
        <f aca="false">'Loan Sizing'!B14</f>
        <v>447942.646153846</v>
      </c>
    </row>
    <row r="27" customFormat="false" ht="22" hidden="false" customHeight="true" outlineLevel="0" collapsed="false">
      <c r="A27" s="3" t="s">
        <v>310</v>
      </c>
      <c r="B27" s="3" t="s">
        <v>311</v>
      </c>
      <c r="C27" s="22" t="n">
        <f aca="false">'Loan Sizing'!B18</f>
        <v>369111.318508361</v>
      </c>
    </row>
    <row r="28" customFormat="false" ht="22" hidden="false" customHeight="true" outlineLevel="0" collapsed="false">
      <c r="A28" s="3" t="s">
        <v>312</v>
      </c>
      <c r="B28" s="3" t="s">
        <v>313</v>
      </c>
      <c r="C28" s="22" t="n">
        <f aca="false">'Sources &amp; Uses'!B12</f>
        <v>1281723.28517244</v>
      </c>
    </row>
    <row r="29" customFormat="false" ht="22" hidden="false" customHeight="true" outlineLevel="0" collapsed="false">
      <c r="A29" s="3" t="s">
        <v>314</v>
      </c>
      <c r="B29" s="3" t="s">
        <v>315</v>
      </c>
      <c r="C29" s="22" t="n">
        <f aca="false">Sensitivity!C16</f>
        <v>550929.168</v>
      </c>
    </row>
    <row r="30" customFormat="false" ht="22" hidden="false" customHeight="true" outlineLevel="0" collapsed="false">
      <c r="A30" s="3" t="s">
        <v>316</v>
      </c>
      <c r="B30" s="3" t="s">
        <v>317</v>
      </c>
      <c r="C30" s="22" t="n">
        <f aca="false">Sensitivity!E26</f>
        <v>4907788.93857893</v>
      </c>
    </row>
    <row r="31" customFormat="false" ht="22" hidden="false" customHeight="true" outlineLevel="0" collapsed="false">
      <c r="A31" s="3" t="s">
        <v>318</v>
      </c>
      <c r="B31" s="3" t="s">
        <v>319</v>
      </c>
      <c r="C31" s="22" t="n">
        <f aca="false">Sensitivity!F26</f>
        <v>5740084.224</v>
      </c>
    </row>
    <row r="33" customFormat="false" ht="36" hidden="false" customHeight="true" outlineLevel="0" collapsed="false">
      <c r="A33" s="5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