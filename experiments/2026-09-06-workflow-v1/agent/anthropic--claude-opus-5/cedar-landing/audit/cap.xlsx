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a3cf8ac64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ab2c1105a854613"/>
    <x:sheet xmlns:r="http://schemas.openxmlformats.org/officeDocument/2006/relationships" name="Rent Roll" sheetId="2" r:id="R8b3336982d254f5b"/>
    <x:sheet xmlns:r="http://schemas.openxmlformats.org/officeDocument/2006/relationships" name="T12 Historical" sheetId="3" r:id="Rc0031a1ff7f44c96"/>
    <x:sheet xmlns:r="http://schemas.openxmlformats.org/officeDocument/2006/relationships" name="Underwriting" sheetId="4" r:id="Rf23dcd7c0cfe403b"/>
    <x:sheet xmlns:r="http://schemas.openxmlformats.org/officeDocument/2006/relationships" name="Loan Sizing" sheetId="5" r:id="Rf104a6560654465a"/>
    <x:sheet xmlns:r="http://schemas.openxmlformats.org/officeDocument/2006/relationships" name="Sources &amp; Uses" sheetId="6" r:id="Re61b63020bdf4a8b"/>
    <x:sheet xmlns:r="http://schemas.openxmlformats.org/officeDocument/2006/relationships" name="Sensitivity" sheetId="7" r:id="Rcbe7cc2311ea44e0"/>
    <x:sheet xmlns:r="http://schemas.openxmlformats.org/officeDocument/2006/relationships" name="Map" sheetId="8" r:id="R6ef46d0042f5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.00"/>
    <x:numFmt numFmtId="203" formatCode="0.000%"/>
    <x:numFmt numFmtId="204" formatCode="0"/>
    <x:numFmt numFmtId="205" formatCode="#,##0.00"/>
    <x:numFmt numFmtId="206" formatCode="0.0%"/>
    <x:numFmt numFmtId="207" formatCode="0.00000000"/>
    <x:numFmt numFmtId="208" formatCode="0.000"/>
    <x:numFmt numFmtId="209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3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9" fontId="7" fillId="0" borderId="0" xfId="0" applyNumberFormat="1" applyFont="1" applyFill="1" applyBorder="1"/>
    <x:xf numFmtId="209" fontId="6" fillId="0" borderId="0" xfId="0" applyNumberFormat="1" applyFont="1" applyFill="1" applyBorder="1"/>
    <x:xf numFmtId="209" fontId="6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d755f0d7b4527" /><Relationship Type="http://schemas.openxmlformats.org/officeDocument/2006/relationships/theme" Target="/xl/theme/theme1.xml" Id="Rac2070d7ab344fa4" /><Relationship Type="http://schemas.openxmlformats.org/officeDocument/2006/relationships/sharedStrings" Target="/xl/sharedStrings.xml" Id="R0f30973d8c114bca" /><Relationship Type="http://schemas.openxmlformats.org/officeDocument/2006/relationships/worksheet" Target="/xl/worksheets/sheet1.xml" Id="R9ab2c1105a854613" /><Relationship Type="http://schemas.openxmlformats.org/officeDocument/2006/relationships/worksheet" Target="/xl/worksheets/sheet2.xml" Id="R8b3336982d254f5b" /><Relationship Type="http://schemas.openxmlformats.org/officeDocument/2006/relationships/worksheet" Target="/xl/worksheets/sheet3.xml" Id="Rc0031a1ff7f44c96" /><Relationship Type="http://schemas.openxmlformats.org/officeDocument/2006/relationships/worksheet" Target="/xl/worksheets/sheet4.xml" Id="Rf23dcd7c0cfe403b" /><Relationship Type="http://schemas.openxmlformats.org/officeDocument/2006/relationships/worksheet" Target="/xl/worksheets/sheet5.xml" Id="Rf104a6560654465a" /><Relationship Type="http://schemas.openxmlformats.org/officeDocument/2006/relationships/worksheet" Target="/xl/worksheets/sheet6.xml" Id="Re61b63020bdf4a8b" /><Relationship Type="http://schemas.openxmlformats.org/officeDocument/2006/relationships/worksheet" Target="/xl/worksheets/sheet7.xml" Id="Rcbe7cc2311ea44e0" /><Relationship Type="http://schemas.openxmlformats.org/officeDocument/2006/relationships/worksheet" Target="/xl/worksheets/sheet8.xml" Id="R6ef46d0042f5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Cedar Landing | Editable underwriting assumptions (as of 2026-08-31)</x:v>
      </x:c>
    </x:row>
    <x:row r="3" ht="25" customHeight="1">
      <x:c r="A3" s="4" t="str">
        <x:v>Assumption</x:v>
      </x:c>
      <x:c r="B3" s="4" t="str">
        <x:v>Value</x:v>
      </x:c>
      <x:c r="C3" s="4" t="str">
        <x:v>Source</x:v>
      </x:c>
    </x:row>
    <x:row r="4" ht="36" customHeight="1">
      <x:c r="A4" s="1" t="str">
        <x:v>UW gross potential base rent (annual)</x:v>
      </x:c>
      <x:c r="B4" s="6" t="n">
        <x:v>1056000</x:v>
      </x:c>
      <x:c r="C4" s="8" t="str">
        <x:v>Property-and-Plan.pdf p.2</x:v>
      </x:c>
    </x:row>
    <x:row r="5" ht="36" customHeight="1">
      <x:c r="A5" s="1" t="str">
        <x:v>Combined revenue loss % of GPR</x:v>
      </x:c>
      <x:c r="B5" s="9" t="n">
        <x:v>0.07</x:v>
      </x:c>
      <x:c r="C5" s="8" t="str">
        <x:v>Property-and-Plan.pdf p.2 (vacancy/concessions/bad debt)</x:v>
      </x:c>
    </x:row>
    <x:row r="6" ht="36" customHeight="1">
      <x:c r="A6" s="1" t="str">
        <x:v>Other income / recoveries (annual)</x:v>
      </x:c>
      <x:c r="B6" s="6" t="n">
        <x:v>43200</x:v>
      </x:c>
      <x:c r="C6" s="8" t="str">
        <x:v>Property-and-Plan.pdf p.2; added after loss</x:v>
      </x:c>
    </x:row>
    <x:row r="7" ht="36" customHeight="1">
      <x:c r="A7" s="1" t="str">
        <x:v>Capitalization rate</x:v>
      </x:c>
      <x:c r="B7" s="9" t="n">
        <x:v>0.0625</x:v>
      </x:c>
      <x:c r="C7" s="8" t="str">
        <x:v>Lender-Terms.pdf p.1 (NOI before reserves / 5.75%)</x:v>
      </x:c>
    </x:row>
    <x:row r="8" ht="36" customHeight="1">
      <x:c r="A8" s="1" t="str">
        <x:v>Maximum LTV</x:v>
      </x:c>
      <x:c r="B8" s="9" t="n">
        <x:v>0.6</x:v>
      </x:c>
      <x:c r="C8" s="8" t="str">
        <x:v>Lender-Terms.pdf p.1</x:v>
      </x:c>
    </x:row>
    <x:row r="9" ht="36" customHeight="1">
      <x:c r="A9" s="1" t="str">
        <x:v>Minimum DSCR (NCF after reserves)</x:v>
      </x:c>
      <x:c r="B9" s="10" t="n">
        <x:v>1.3</x:v>
      </x:c>
      <x:c r="C9" s="8" t="str">
        <x:v>Lender-Terms.pdf p.1</x:v>
      </x:c>
    </x:row>
    <x:row r="10" ht="36" customHeight="1">
      <x:c r="A10" s="1" t="str">
        <x:v>Minimum debt yield (NCF after reserves)</x:v>
      </x:c>
      <x:c r="B10" s="9" t="n">
        <x:v>0.09</x:v>
      </x:c>
      <x:c r="C10" s="8" t="str">
        <x:v>Lender-Terms.pdf p.1</x:v>
      </x:c>
    </x:row>
    <x:row r="11" ht="36" customHeight="1">
      <x:c r="A11" s="1" t="str">
        <x:v>Contract (note) rate</x:v>
      </x:c>
      <x:c r="B11" s="11" t="n">
        <x:v>0.0625</x:v>
      </x:c>
      <x:c r="C11" s="8" t="str">
        <x:v>Lender-Terms.pdf p.1</x:v>
      </x:c>
    </x:row>
    <x:row r="12" ht="36" customHeight="1">
      <x:c r="A12" s="1" t="str">
        <x:v>Underwriting rate floor</x:v>
      </x:c>
      <x:c r="B12" s="11" t="n">
        <x:v>0.065</x:v>
      </x:c>
      <x:c r="C12" s="8" t="str">
        <x:v>Lender-Terms.pdf p.1 (sizing = greater of contract and floor)</x:v>
      </x:c>
    </x:row>
    <x:row r="13" ht="36" customHeight="1">
      <x:c r="A13" s="12" t="str">
        <x:v>Sizing rate adjustment (decimal, e.g. 0.01 = +100 bps)</x:v>
      </x:c>
      <x:c r="B13" s="11" t="n">
        <x:v>0</x:v>
      </x:c>
      <x:c r="C13" s="8" t="str">
        <x:v>Reviewer stress lever</x:v>
      </x:c>
    </x:row>
    <x:row r="14" ht="22" customHeight="1">
      <x:c r="A14" s="14" t="str">
        <x:v>Sizing rate applied</x:v>
      </x:c>
      <x:c r="B14" s="17" t="n">
        <x:f>MAX(B11,B12)+B13</x:f>
        <x:v>0.065</x:v>
      </x:c>
    </x:row>
    <x:row r="15" ht="36" customHeight="1">
      <x:c r="A15" s="1" t="str">
        <x:v>Amortization (years, monthly pay)</x:v>
      </x:c>
      <x:c r="B15" s="18" t="n">
        <x:v>30</x:v>
      </x:c>
      <x:c r="C15" s="8" t="str">
        <x:v>Lender-Terms.pdf p.1</x:v>
      </x:c>
    </x:row>
    <x:row r="16" ht="36" customHeight="1">
      <x:c r="A16" s="1" t="str">
        <x:v>Interest-only period (months)</x:v>
      </x:c>
      <x:c r="B16" s="18" t="n">
        <x:v>36</x:v>
      </x:c>
      <x:c r="C16" s="8" t="str">
        <x:v>Lender-Terms.pdf p.1</x:v>
      </x:c>
    </x:row>
    <x:row r="17" ht="36" customHeight="1">
      <x:c r="A17" s="1" t="str">
        <x:v>Maturity (months)</x:v>
      </x:c>
      <x:c r="B17" s="18" t="n">
        <x:v>60</x:v>
      </x:c>
      <x:c r="C17" s="8" t="str">
        <x:v>Lender-Terms.pdf p.1</x:v>
      </x:c>
    </x:row>
    <x:row r="18" ht="36" customHeight="1">
      <x:c r="A18" s="1" t="str">
        <x:v>Origination fee % of initial principal</x:v>
      </x:c>
      <x:c r="B18" s="9" t="n">
        <x:v>0.01</x:v>
      </x:c>
      <x:c r="C18" s="8" t="str">
        <x:v>Lender-Terms.pdf p.1</x:v>
      </x:c>
    </x:row>
    <x:row r="19" ht="36" customHeight="1">
      <x:c r="A19" s="1" t="str">
        <x:v>Fixed closing costs</x:v>
      </x:c>
      <x:c r="B19" s="6" t="n">
        <x:v>65000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4500000</x:v>
      </x:c>
      <x:c r="C20" s="8" t="str">
        <x:v>Property-and-Plan.pdf p.1</x:v>
      </x:c>
    </x:row>
    <x:row r="21" ht="36" customHeight="1">
      <x:c r="A21" s="1" t="str">
        <x:v>Replacement reserves per unit per year</x:v>
      </x:c>
      <x:c r="B21" s="19" t="n">
        <x:v>325</x:v>
      </x:c>
      <x:c r="C21" s="8" t="str">
        <x:v>Property-and-Plan.pdf p.2</x:v>
      </x:c>
    </x:row>
    <x:row r="22" ht="36" customHeight="1">
      <x:c r="A22" s="1" t="str">
        <x:v>Unit count (from rent roll)</x:v>
      </x:c>
      <x:c r="B22" s="21" t="n">
        <x:f>'Rent Roll'!B56</x:f>
        <x:v>48</x:v>
      </x:c>
      <x:c r="C22" s="8" t="str">
        <x:v>Rent-Roll.xlsx rows 7-54</x:v>
      </x:c>
    </x:row>
    <x:row r="24" ht="25" customHeight="1">
      <x:c r="A24" s="4" t="str">
        <x:v>Underwritten operating expenses (annual)</x:v>
      </x:c>
      <x:c r="B24" s="4" t="str">
        <x:v>Value</x:v>
      </x:c>
      <x:c r="C24" s="4" t="str">
        <x:v>Source / treatment</x:v>
      </x:c>
    </x:row>
    <x:row r="25" ht="36" customHeight="1">
      <x:c r="A25" s="1" t="str">
        <x:v>Real estate taxes</x:v>
      </x:c>
      <x:c r="B25" s="6" t="n">
        <x:v>138000</x:v>
      </x:c>
      <x:c r="C25" s="8" t="str">
        <x:v>Plan p.2 UW (T12 132,000)</x:v>
      </x:c>
    </x:row>
    <x:row r="26" ht="36" customHeight="1">
      <x:c r="A26" s="1" t="str">
        <x:v>Property insurance</x:v>
      </x:c>
      <x:c r="B26" s="6" t="n">
        <x:v>45600</x:v>
      </x:c>
      <x:c r="C26" s="8" t="str">
        <x:v>Plan p.2 renewal allowance dated 2026-08-25 (T12 40,800)</x:v>
      </x:c>
    </x:row>
    <x:row r="27" ht="36" customHeight="1">
      <x:c r="A27" s="1" t="str">
        <x:v>Utilities</x:v>
      </x:c>
      <x:c r="B27" s="6" t="n">
        <x:v>33600</x:v>
      </x:c>
      <x:c r="C27" s="8" t="str">
        <x:v>Plan p.2: T12 actual</x:v>
      </x:c>
    </x:row>
    <x:row r="28" ht="36" customHeight="1">
      <x:c r="A28" s="1" t="str">
        <x:v>Repairs and maintenance</x:v>
      </x:c>
      <x:c r="B28" s="6" t="n">
        <x:v>42000</x:v>
      </x:c>
      <x:c r="C28" s="8" t="str">
        <x:v>T12 54,000 less 12,000 one-time casualty cleanup</x:v>
      </x:c>
    </x:row>
    <x:row r="29" ht="36" customHeight="1">
      <x:c r="A29" s="1" t="str">
        <x:v>Payroll / contract labor</x:v>
      </x:c>
      <x:c r="B29" s="6" t="n">
        <x:v>55200</x:v>
      </x:c>
      <x:c r="C29" s="8" t="str">
        <x:v>Plan p.2: T12 actual</x:v>
      </x:c>
    </x:row>
    <x:row r="30" ht="36" customHeight="1">
      <x:c r="A30" s="1" t="str">
        <x:v>Administrative / legal</x:v>
      </x:c>
      <x:c r="B30" s="6" t="n">
        <x:v>27600</x:v>
      </x:c>
      <x:c r="C30" s="8" t="str">
        <x:v>Plan p.2: T12 actual</x:v>
      </x:c>
    </x:row>
    <x:row r="31" ht="36" customHeight="1">
      <x:c r="A31" s="1" t="str">
        <x:v>Management fee % of underwritten EGI</x:v>
      </x:c>
      <x:c r="B31" s="9" t="n">
        <x:v>0.035</x:v>
      </x:c>
      <x:c r="C31" s="8" t="str">
        <x:v>Plan p.2: greater of T12 actual and 3.50% of EGI</x:v>
      </x:c>
    </x:row>
    <x:row r="32" ht="36" customHeight="1">
      <x:c r="A32" s="1" t="str">
        <x:v>Management fee floor (T12 actual)</x:v>
      </x:c>
      <x:c r="B32" s="6" t="n">
        <x:v>28000</x:v>
      </x:c>
      <x:c r="C32" s="8" t="str">
        <x:v>T12-Statement.pdf p.2 annual column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</x:cols>
  <x:sheetData>
    <x:row r="1" ht="27" customHeight="1">
      <x:c r="A1" s="2" t="str">
        <x:v>Cedar Landing | Contractual rent roll as of 2026-08-31 (source: Rent-Roll.xlsx)</x:v>
      </x:c>
    </x:row>
    <x:row r="3" ht="36" customHeight="1">
      <x:c r="A3" s="8" t="str">
        <x:v>Vacant units show market rent in the source file only; no contractual base rent is credited.</x:v>
      </x:c>
    </x:row>
    <x:row r="6" ht="25" customHeight="1">
      <x:c r="A6" s="4" t="str">
        <x:v>Unit</x:v>
      </x:c>
      <x:c r="B6" s="4" t="str">
        <x:v>Tenant</x:v>
      </x:c>
      <x:c r="C6" s="4" t="str">
        <x:v>Area SF</x:v>
      </x:c>
      <x:c r="D6" s="4" t="str">
        <x:v>Status</x:v>
      </x:c>
      <x:c r="E6" s="4" t="str">
        <x:v>Monthly base rent</x:v>
      </x:c>
      <x:c r="F6" s="4" t="str">
        <x:v>Lease expiry</x:v>
      </x:c>
    </x:row>
    <x:row r="7" ht="22" customHeight="1">
      <x:c r="A7" s="1" t="str">
        <x:v>101</x:v>
      </x:c>
      <x:c r="B7" s="1" t="str">
        <x:v>Household 101</x:v>
      </x:c>
      <x:c r="C7" s="1" t="n">
        <x:v>700</x:v>
      </x:c>
      <x:c r="D7" s="1" t="str">
        <x:v>Occupied</x:v>
      </x:c>
      <x:c r="E7" s="1" t="n">
        <x:v>1575</x:v>
      </x:c>
      <x:c r="F7" s="1" t="str">
        <x:v>2027-06-30</x:v>
      </x:c>
    </x:row>
    <x:row r="8" ht="22" customHeight="1">
      <x:c r="A8" s="1" t="str">
        <x:v>102</x:v>
      </x:c>
      <x:c r="B8" s="1" t="str">
        <x:v>Household 102</x:v>
      </x:c>
      <x:c r="C8" s="1" t="n">
        <x:v>700</x:v>
      </x:c>
      <x:c r="D8" s="1" t="str">
        <x:v>Occupied</x:v>
      </x:c>
      <x:c r="E8" s="1" t="n">
        <x:v>1575</x:v>
      </x:c>
      <x:c r="F8" s="1" t="str">
        <x:v>2026-10-31</x:v>
      </x:c>
    </x:row>
    <x:row r="9" ht="22" customHeight="1">
      <x:c r="A9" s="1" t="str">
        <x:v>103</x:v>
      </x:c>
      <x:c r="B9" s="1" t="str">
        <x:v>Household 103</x:v>
      </x:c>
      <x:c r="C9" s="1" t="n">
        <x:v>700</x:v>
      </x:c>
      <x:c r="D9" s="1" t="str">
        <x:v>Occupied</x:v>
      </x:c>
      <x:c r="E9" s="1" t="n">
        <x:v>1575</x:v>
      </x:c>
      <x:c r="F9" s="1" t="str">
        <x:v>2026-11-30</x:v>
      </x:c>
    </x:row>
    <x:row r="10" ht="22" customHeight="1">
      <x:c r="A10" s="1" t="str">
        <x:v>104</x:v>
      </x:c>
      <x:c r="B10" s="1" t="str">
        <x:v>Household 104</x:v>
      </x:c>
      <x:c r="C10" s="1" t="n">
        <x:v>700</x:v>
      </x:c>
      <x:c r="D10" s="1" t="str">
        <x:v>Occupied</x:v>
      </x:c>
      <x:c r="E10" s="1" t="n">
        <x:v>1575</x:v>
      </x:c>
      <x:c r="F10" s="1" t="str">
        <x:v>2026-12-31</x:v>
      </x:c>
    </x:row>
    <x:row r="11" ht="22" customHeight="1">
      <x:c r="A11" s="1" t="str">
        <x:v>105</x:v>
      </x:c>
      <x:c r="B11" s="1" t="str">
        <x:v>Household 105</x:v>
      </x:c>
      <x:c r="C11" s="1" t="n">
        <x:v>700</x:v>
      </x:c>
      <x:c r="D11" s="1" t="str">
        <x:v>Occupied</x:v>
      </x:c>
      <x:c r="E11" s="1" t="n">
        <x:v>1575</x:v>
      </x:c>
      <x:c r="F11" s="1" t="str">
        <x:v>2027-01-31</x:v>
      </x:c>
    </x:row>
    <x:row r="12" ht="22" customHeight="1">
      <x:c r="A12" s="1" t="str">
        <x:v>106</x:v>
      </x:c>
      <x:c r="B12" s="1" t="str">
        <x:v>Household 106</x:v>
      </x:c>
      <x:c r="C12" s="1" t="n">
        <x:v>700</x:v>
      </x:c>
      <x:c r="D12" s="1" t="str">
        <x:v>Occupied</x:v>
      </x:c>
      <x:c r="E12" s="1" t="n">
        <x:v>1575</x:v>
      </x:c>
      <x:c r="F12" s="1" t="str">
        <x:v>2027-02-28</x:v>
      </x:c>
    </x:row>
    <x:row r="13" ht="22" customHeight="1">
      <x:c r="A13" s="1" t="str">
        <x:v>107</x:v>
      </x:c>
      <x:c r="B13" s="1" t="str">
        <x:v>Household 107</x:v>
      </x:c>
      <x:c r="C13" s="1" t="n">
        <x:v>700</x:v>
      </x:c>
      <x:c r="D13" s="1" t="str">
        <x:v>Occupied</x:v>
      </x:c>
      <x:c r="E13" s="1" t="n">
        <x:v>1575</x:v>
      </x:c>
      <x:c r="F13" s="1" t="str">
        <x:v>2027-03-31</x:v>
      </x:c>
    </x:row>
    <x:row r="14" ht="22" customHeight="1">
      <x:c r="A14" s="1" t="str">
        <x:v>108</x:v>
      </x:c>
      <x:c r="B14" s="1" t="str">
        <x:v>Household 108</x:v>
      </x:c>
      <x:c r="C14" s="1" t="n">
        <x:v>700</x:v>
      </x:c>
      <x:c r="D14" s="1" t="str">
        <x:v>Occupied</x:v>
      </x:c>
      <x:c r="E14" s="1" t="n">
        <x:v>1575</x:v>
      </x:c>
      <x:c r="F14" s="1" t="str">
        <x:v>2027-04-30</x:v>
      </x:c>
    </x:row>
    <x:row r="15" ht="22" customHeight="1">
      <x:c r="A15" s="1" t="str">
        <x:v>109</x:v>
      </x:c>
      <x:c r="B15" s="1" t="str">
        <x:v>Household 109</x:v>
      </x:c>
      <x:c r="C15" s="1" t="n">
        <x:v>700</x:v>
      </x:c>
      <x:c r="D15" s="1" t="str">
        <x:v>Occupied</x:v>
      </x:c>
      <x:c r="E15" s="1" t="n">
        <x:v>1575</x:v>
      </x:c>
      <x:c r="F15" s="1" t="str">
        <x:v>2027-05-31</x:v>
      </x:c>
    </x:row>
    <x:row r="16" ht="22" customHeight="1">
      <x:c r="A16" s="1" t="str">
        <x:v>110</x:v>
      </x:c>
      <x:c r="B16" s="1" t="str">
        <x:v>Household 110</x:v>
      </x:c>
      <x:c r="C16" s="1" t="n">
        <x:v>700</x:v>
      </x:c>
      <x:c r="D16" s="1" t="str">
        <x:v>Occupied</x:v>
      </x:c>
      <x:c r="E16" s="1" t="n">
        <x:v>1575</x:v>
      </x:c>
      <x:c r="F16" s="1" t="str">
        <x:v>2027-06-30</x:v>
      </x:c>
    </x:row>
    <x:row r="17" ht="22" customHeight="1">
      <x:c r="A17" s="1" t="str">
        <x:v>111</x:v>
      </x:c>
      <x:c r="B17" s="1" t="str">
        <x:v>Household 111</x:v>
      </x:c>
      <x:c r="C17" s="1" t="n">
        <x:v>700</x:v>
      </x:c>
      <x:c r="D17" s="1" t="str">
        <x:v>Occupied</x:v>
      </x:c>
      <x:c r="E17" s="1" t="n">
        <x:v>1575</x:v>
      </x:c>
      <x:c r="F17" s="1" t="str">
        <x:v>2027-07-31</x:v>
      </x:c>
    </x:row>
    <x:row r="18" ht="22" customHeight="1">
      <x:c r="A18" s="1" t="str">
        <x:v>112</x:v>
      </x:c>
      <x:c r="B18" s="1" t="str">
        <x:v>Household 112</x:v>
      </x:c>
      <x:c r="C18" s="1" t="n">
        <x:v>700</x:v>
      </x:c>
      <x:c r="D18" s="1" t="str">
        <x:v>Occupied</x:v>
      </x:c>
      <x:c r="E18" s="1" t="n">
        <x:v>1575</x:v>
      </x:c>
      <x:c r="F18" s="1" t="str">
        <x:v>2027-08-31</x:v>
      </x:c>
    </x:row>
    <x:row r="19" ht="22" customHeight="1">
      <x:c r="A19" s="1" t="str">
        <x:v>113</x:v>
      </x:c>
      <x:c r="B19" s="1" t="str">
        <x:v>Household 113</x:v>
      </x:c>
      <x:c r="C19" s="1" t="n">
        <x:v>700</x:v>
      </x:c>
      <x:c r="D19" s="1" t="str">
        <x:v>Occupied</x:v>
      </x:c>
      <x:c r="E19" s="1" t="n">
        <x:v>1575</x:v>
      </x:c>
      <x:c r="F19" s="1" t="str">
        <x:v>2026-09-30</x:v>
      </x:c>
    </x:row>
    <x:row r="20" ht="22" customHeight="1">
      <x:c r="A20" s="1" t="str">
        <x:v>114</x:v>
      </x:c>
      <x:c r="B20" s="1" t="str">
        <x:v>Household 114</x:v>
      </x:c>
      <x:c r="C20" s="1" t="n">
        <x:v>700</x:v>
      </x:c>
      <x:c r="D20" s="1" t="str">
        <x:v>Occupied</x:v>
      </x:c>
      <x:c r="E20" s="1" t="n">
        <x:v>1575</x:v>
      </x:c>
      <x:c r="F20" s="1" t="str">
        <x:v>2026-10-31</x:v>
      </x:c>
    </x:row>
    <x:row r="21" ht="22" customHeight="1">
      <x:c r="A21" s="1" t="str">
        <x:v>115</x:v>
      </x:c>
      <x:c r="B21" s="1" t="str">
        <x:v>Household 115</x:v>
      </x:c>
      <x:c r="C21" s="1" t="n">
        <x:v>700</x:v>
      </x:c>
      <x:c r="D21" s="1" t="str">
        <x:v>Occupied</x:v>
      </x:c>
      <x:c r="E21" s="1" t="n">
        <x:v>1575</x:v>
      </x:c>
      <x:c r="F21" s="1" t="str">
        <x:v>2026-11-30</x:v>
      </x:c>
    </x:row>
    <x:row r="22" ht="22" customHeight="1">
      <x:c r="A22" s="1" t="str">
        <x:v>116</x:v>
      </x:c>
      <x:c r="B22" s="1" t="str">
        <x:v>Household 116</x:v>
      </x:c>
      <x:c r="C22" s="1" t="n">
        <x:v>700</x:v>
      </x:c>
      <x:c r="D22" s="1" t="str">
        <x:v>Occupied</x:v>
      </x:c>
      <x:c r="E22" s="1" t="n">
        <x:v>1575</x:v>
      </x:c>
      <x:c r="F22" s="1" t="str">
        <x:v>2026-12-31</x:v>
      </x:c>
    </x:row>
    <x:row r="23" ht="22" customHeight="1">
      <x:c r="A23" s="1" t="str">
        <x:v>117</x:v>
      </x:c>
      <x:c r="B23" s="1" t="str">
        <x:v>Household 117</x:v>
      </x:c>
      <x:c r="C23" s="1" t="n">
        <x:v>700</x:v>
      </x:c>
      <x:c r="D23" s="1" t="str">
        <x:v>Occupied</x:v>
      </x:c>
      <x:c r="E23" s="1" t="n">
        <x:v>1575</x:v>
      </x:c>
      <x:c r="F23" s="1" t="str">
        <x:v>2027-01-31</x:v>
      </x:c>
    </x:row>
    <x:row r="24" ht="22" customHeight="1">
      <x:c r="A24" s="1" t="str">
        <x:v>118</x:v>
      </x:c>
      <x:c r="B24" s="1" t="str">
        <x:v>Household 118</x:v>
      </x:c>
      <x:c r="C24" s="1" t="n">
        <x:v>700</x:v>
      </x:c>
      <x:c r="D24" s="1" t="str">
        <x:v>Occupied</x:v>
      </x:c>
      <x:c r="E24" s="1" t="n">
        <x:v>1575</x:v>
      </x:c>
      <x:c r="F24" s="1" t="str">
        <x:v>2027-02-28</x:v>
      </x:c>
    </x:row>
    <x:row r="25" ht="22" customHeight="1">
      <x:c r="A25" s="1" t="str">
        <x:v>119</x:v>
      </x:c>
      <x:c r="B25" s="1" t="str">
        <x:v>Household 119</x:v>
      </x:c>
      <x:c r="C25" s="1" t="n">
        <x:v>700</x:v>
      </x:c>
      <x:c r="D25" s="1" t="str">
        <x:v>Occupied</x:v>
      </x:c>
      <x:c r="E25" s="1" t="n">
        <x:v>1575</x:v>
      </x:c>
      <x:c r="F25" s="1" t="str">
        <x:v>2027-03-31</x:v>
      </x:c>
    </x:row>
    <x:row r="26" ht="22" customHeight="1">
      <x:c r="A26" s="1" t="str">
        <x:v>120</x:v>
      </x:c>
      <x:c r="B26" s="1" t="str">
        <x:v>Household 120</x:v>
      </x:c>
      <x:c r="C26" s="1" t="n">
        <x:v>700</x:v>
      </x:c>
      <x:c r="D26" s="1" t="str">
        <x:v>Occupied</x:v>
      </x:c>
      <x:c r="E26" s="1" t="n">
        <x:v>1575</x:v>
      </x:c>
      <x:c r="F26" s="1" t="str">
        <x:v>2027-04-30</x:v>
      </x:c>
    </x:row>
    <x:row r="27" ht="22" customHeight="1">
      <x:c r="A27" s="1" t="str">
        <x:v>121</x:v>
      </x:c>
      <x:c r="B27" s="1" t="str">
        <x:v>Household 121</x:v>
      </x:c>
      <x:c r="C27" s="1" t="n">
        <x:v>700</x:v>
      </x:c>
      <x:c r="D27" s="1" t="str">
        <x:v>Occupied</x:v>
      </x:c>
      <x:c r="E27" s="1" t="n">
        <x:v>1575</x:v>
      </x:c>
      <x:c r="F27" s="1" t="str">
        <x:v>2027-05-31</x:v>
      </x:c>
    </x:row>
    <x:row r="28" ht="22" customHeight="1">
      <x:c r="A28" s="1" t="str">
        <x:v>122</x:v>
      </x:c>
      <x:c r="B28" s="1" t="str">
        <x:v>Household 122</x:v>
      </x:c>
      <x:c r="C28" s="1" t="n">
        <x:v>700</x:v>
      </x:c>
      <x:c r="D28" s="1" t="str">
        <x:v>Occupied</x:v>
      </x:c>
      <x:c r="E28" s="1" t="n">
        <x:v>1575</x:v>
      </x:c>
      <x:c r="F28" s="1" t="str">
        <x:v>2027-06-30</x:v>
      </x:c>
    </x:row>
    <x:row r="29" ht="22" customHeight="1">
      <x:c r="A29" s="1" t="str">
        <x:v>123</x:v>
      </x:c>
      <x:c r="B29" s="1" t="str">
        <x:v>Household 123</x:v>
      </x:c>
      <x:c r="C29" s="1" t="n">
        <x:v>700</x:v>
      </x:c>
      <x:c r="D29" s="1" t="str">
        <x:v>Occupied</x:v>
      </x:c>
      <x:c r="E29" s="1" t="n">
        <x:v>1575</x:v>
      </x:c>
      <x:c r="F29" s="1" t="str">
        <x:v>2027-07-31</x:v>
      </x:c>
    </x:row>
    <x:row r="30" ht="22" customHeight="1">
      <x:c r="A30" s="1" t="str">
        <x:v>124</x:v>
      </x:c>
      <x:c r="B30" s="1" t="str">
        <x:v>Household 124</x:v>
      </x:c>
      <x:c r="C30" s="1" t="n">
        <x:v>700</x:v>
      </x:c>
      <x:c r="D30" s="1" t="str">
        <x:v>Occupied</x:v>
      </x:c>
      <x:c r="E30" s="1" t="n">
        <x:v>1575</x:v>
      </x:c>
      <x:c r="F30" s="1" t="str">
        <x:v>2027-08-31</x:v>
      </x:c>
    </x:row>
    <x:row r="31" ht="22" customHeight="1">
      <x:c r="A31" s="1" t="str">
        <x:v>125</x:v>
      </x:c>
      <x:c r="B31" s="1" t="str">
        <x:v>Household 125</x:v>
      </x:c>
      <x:c r="C31" s="1" t="n">
        <x:v>1100</x:v>
      </x:c>
      <x:c r="D31" s="1" t="str">
        <x:v>Occupied</x:v>
      </x:c>
      <x:c r="E31" s="1" t="n">
        <x:v>2025</x:v>
      </x:c>
      <x:c r="F31" s="1" t="str">
        <x:v>2026-09-30</x:v>
      </x:c>
    </x:row>
    <x:row r="32" ht="22" customHeight="1">
      <x:c r="A32" s="1" t="str">
        <x:v>126</x:v>
      </x:c>
      <x:c r="B32" s="1" t="str">
        <x:v>Household 126</x:v>
      </x:c>
      <x:c r="C32" s="1" t="n">
        <x:v>1100</x:v>
      </x:c>
      <x:c r="D32" s="1" t="str">
        <x:v>Occupied</x:v>
      </x:c>
      <x:c r="E32" s="1" t="n">
        <x:v>2025</x:v>
      </x:c>
      <x:c r="F32" s="1" t="str">
        <x:v>2026-10-31</x:v>
      </x:c>
    </x:row>
    <x:row r="33" ht="22" customHeight="1">
      <x:c r="A33" s="1" t="str">
        <x:v>127</x:v>
      </x:c>
      <x:c r="B33" s="1" t="str">
        <x:v>Household 127</x:v>
      </x:c>
      <x:c r="C33" s="1" t="n">
        <x:v>1100</x:v>
      </x:c>
      <x:c r="D33" s="1" t="str">
        <x:v>Occupied</x:v>
      </x:c>
      <x:c r="E33" s="1" t="n">
        <x:v>2025</x:v>
      </x:c>
      <x:c r="F33" s="1" t="str">
        <x:v>2026-11-30</x:v>
      </x:c>
    </x:row>
    <x:row r="34" ht="22" customHeight="1">
      <x:c r="A34" s="1" t="str">
        <x:v>128</x:v>
      </x:c>
      <x:c r="B34" s="1" t="str">
        <x:v>Household 128</x:v>
      </x:c>
      <x:c r="C34" s="1" t="n">
        <x:v>1100</x:v>
      </x:c>
      <x:c r="D34" s="1" t="str">
        <x:v>Occupied</x:v>
      </x:c>
      <x:c r="E34" s="1" t="n">
        <x:v>2025</x:v>
      </x:c>
      <x:c r="F34" s="1" t="str">
        <x:v>2026-12-31</x:v>
      </x:c>
    </x:row>
    <x:row r="35" ht="22" customHeight="1">
      <x:c r="A35" s="1" t="str">
        <x:v>129</x:v>
      </x:c>
      <x:c r="B35" s="1" t="str">
        <x:v>Household 129</x:v>
      </x:c>
      <x:c r="C35" s="1" t="n">
        <x:v>1100</x:v>
      </x:c>
      <x:c r="D35" s="1" t="str">
        <x:v>Occupied</x:v>
      </x:c>
      <x:c r="E35" s="1" t="n">
        <x:v>2025</x:v>
      </x:c>
      <x:c r="F35" s="1" t="str">
        <x:v>2027-01-31</x:v>
      </x:c>
    </x:row>
    <x:row r="36" ht="22" customHeight="1">
      <x:c r="A36" s="1" t="str">
        <x:v>130</x:v>
      </x:c>
      <x:c r="B36" s="1" t="str">
        <x:v>Household 130</x:v>
      </x:c>
      <x:c r="C36" s="1" t="n">
        <x:v>1100</x:v>
      </x:c>
      <x:c r="D36" s="1" t="str">
        <x:v>Occupied</x:v>
      </x:c>
      <x:c r="E36" s="1" t="n">
        <x:v>2025</x:v>
      </x:c>
      <x:c r="F36" s="1" t="str">
        <x:v>2027-02-28</x:v>
      </x:c>
    </x:row>
    <x:row r="37" ht="22" customHeight="1">
      <x:c r="A37" s="1" t="str">
        <x:v>131</x:v>
      </x:c>
      <x:c r="B37" s="1" t="str">
        <x:v>Household 131</x:v>
      </x:c>
      <x:c r="C37" s="1" t="n">
        <x:v>1100</x:v>
      </x:c>
      <x:c r="D37" s="1" t="str">
        <x:v>Occupied</x:v>
      </x:c>
      <x:c r="E37" s="1" t="n">
        <x:v>2025</x:v>
      </x:c>
      <x:c r="F37" s="1" t="str">
        <x:v>2027-03-31</x:v>
      </x:c>
    </x:row>
    <x:row r="38" ht="22" customHeight="1">
      <x:c r="A38" s="1" t="str">
        <x:v>132</x:v>
      </x:c>
      <x:c r="B38" s="1" t="str">
        <x:v>Household 132</x:v>
      </x:c>
      <x:c r="C38" s="1" t="n">
        <x:v>1100</x:v>
      </x:c>
      <x:c r="D38" s="1" t="str">
        <x:v>Occupied</x:v>
      </x:c>
      <x:c r="E38" s="1" t="n">
        <x:v>2025</x:v>
      </x:c>
      <x:c r="F38" s="1" t="str">
        <x:v>2027-04-30</x:v>
      </x:c>
    </x:row>
    <x:row r="39" ht="22" customHeight="1">
      <x:c r="A39" s="1" t="str">
        <x:v>133</x:v>
      </x:c>
      <x:c r="B39" s="1" t="str">
        <x:v>Household 133</x:v>
      </x:c>
      <x:c r="C39" s="1" t="n">
        <x:v>1100</x:v>
      </x:c>
      <x:c r="D39" s="1" t="str">
        <x:v>Occupied</x:v>
      </x:c>
      <x:c r="E39" s="1" t="n">
        <x:v>2025</x:v>
      </x:c>
      <x:c r="F39" s="1" t="str">
        <x:v>2027-05-31</x:v>
      </x:c>
    </x:row>
    <x:row r="40" ht="22" customHeight="1">
      <x:c r="A40" s="1" t="str">
        <x:v>134</x:v>
      </x:c>
      <x:c r="B40" s="1" t="str">
        <x:v>Vacant</x:v>
      </x:c>
      <x:c r="C40" s="1" t="n">
        <x:v>1100</x:v>
      </x:c>
      <x:c r="D40" s="1" t="str">
        <x:v>Vacant</x:v>
      </x:c>
      <x:c r="F40" s="1" t="str">
        <x:v>n/a</x:v>
      </x:c>
    </x:row>
    <x:row r="41" ht="22" customHeight="1">
      <x:c r="A41" s="1" t="str">
        <x:v>135</x:v>
      </x:c>
      <x:c r="B41" s="1" t="str">
        <x:v>Vacant</x:v>
      </x:c>
      <x:c r="C41" s="1" t="n">
        <x:v>1100</x:v>
      </x:c>
      <x:c r="D41" s="1" t="str">
        <x:v>Vacant</x:v>
      </x:c>
      <x:c r="F41" s="1" t="str">
        <x:v>n/a</x:v>
      </x:c>
    </x:row>
    <x:row r="42" ht="22" customHeight="1">
      <x:c r="A42" s="1" t="str">
        <x:v>136</x:v>
      </x:c>
      <x:c r="B42" s="1" t="str">
        <x:v>Vacant</x:v>
      </x:c>
      <x:c r="C42" s="1" t="n">
        <x:v>1100</x:v>
      </x:c>
      <x:c r="D42" s="1" t="str">
        <x:v>Vacant</x:v>
      </x:c>
      <x:c r="F42" s="1" t="str">
        <x:v>n/a</x:v>
      </x:c>
    </x:row>
    <x:row r="43" ht="22" customHeight="1">
      <x:c r="A43" s="1" t="str">
        <x:v>137</x:v>
      </x:c>
      <x:c r="B43" s="1" t="str">
        <x:v>Vacant</x:v>
      </x:c>
      <x:c r="C43" s="1" t="n">
        <x:v>1100</x:v>
      </x:c>
      <x:c r="D43" s="1" t="str">
        <x:v>Vacant</x:v>
      </x:c>
      <x:c r="F43" s="1" t="str">
        <x:v>n/a</x:v>
      </x:c>
    </x:row>
    <x:row r="44" ht="22" customHeight="1">
      <x:c r="A44" s="1" t="str">
        <x:v>138</x:v>
      </x:c>
      <x:c r="B44" s="1" t="str">
        <x:v>Vacant</x:v>
      </x:c>
      <x:c r="C44" s="1" t="n">
        <x:v>1100</x:v>
      </x:c>
      <x:c r="D44" s="1" t="str">
        <x:v>Vacant</x:v>
      </x:c>
      <x:c r="F44" s="1" t="str">
        <x:v>n/a</x:v>
      </x:c>
    </x:row>
    <x:row r="45" ht="22" customHeight="1">
      <x:c r="A45" s="1" t="str">
        <x:v>139</x:v>
      </x:c>
      <x:c r="B45" s="1" t="str">
        <x:v>Vacant</x:v>
      </x:c>
      <x:c r="C45" s="1" t="n">
        <x:v>1100</x:v>
      </x:c>
      <x:c r="D45" s="1" t="str">
        <x:v>Vacant</x:v>
      </x:c>
      <x:c r="F45" s="1" t="str">
        <x:v>n/a</x:v>
      </x:c>
    </x:row>
    <x:row r="46" ht="22" customHeight="1">
      <x:c r="A46" s="1" t="str">
        <x:v>140</x:v>
      </x:c>
      <x:c r="B46" s="1" t="str">
        <x:v>Vacant</x:v>
      </x:c>
      <x:c r="C46" s="1" t="n">
        <x:v>1100</x:v>
      </x:c>
      <x:c r="D46" s="1" t="str">
        <x:v>Vacant</x:v>
      </x:c>
      <x:c r="F46" s="1" t="str">
        <x:v>n/a</x:v>
      </x:c>
    </x:row>
    <x:row r="47" ht="22" customHeight="1">
      <x:c r="A47" s="1" t="str">
        <x:v>141</x:v>
      </x:c>
      <x:c r="B47" s="1" t="str">
        <x:v>Vacant</x:v>
      </x:c>
      <x:c r="C47" s="1" t="n">
        <x:v>1100</x:v>
      </x:c>
      <x:c r="D47" s="1" t="str">
        <x:v>Vacant</x:v>
      </x:c>
      <x:c r="F47" s="1" t="str">
        <x:v>n/a</x:v>
      </x:c>
    </x:row>
    <x:row r="48" ht="22" customHeight="1">
      <x:c r="A48" s="1" t="str">
        <x:v>142</x:v>
      </x:c>
      <x:c r="B48" s="1" t="str">
        <x:v>Vacant</x:v>
      </x:c>
      <x:c r="C48" s="1" t="n">
        <x:v>1100</x:v>
      </x:c>
      <x:c r="D48" s="1" t="str">
        <x:v>Vacant</x:v>
      </x:c>
      <x:c r="F48" s="1" t="str">
        <x:v>n/a</x:v>
      </x:c>
    </x:row>
    <x:row r="49" ht="22" customHeight="1">
      <x:c r="A49" s="1" t="str">
        <x:v>143</x:v>
      </x:c>
      <x:c r="B49" s="1" t="str">
        <x:v>Vacant</x:v>
      </x:c>
      <x:c r="C49" s="1" t="n">
        <x:v>1100</x:v>
      </x:c>
      <x:c r="D49" s="1" t="str">
        <x:v>Vacant</x:v>
      </x:c>
      <x:c r="F49" s="1" t="str">
        <x:v>n/a</x:v>
      </x:c>
    </x:row>
    <x:row r="50" ht="22" customHeight="1">
      <x:c r="A50" s="1" t="str">
        <x:v>144</x:v>
      </x:c>
      <x:c r="B50" s="1" t="str">
        <x:v>Vacant</x:v>
      </x:c>
      <x:c r="C50" s="1" t="n">
        <x:v>1100</x:v>
      </x:c>
      <x:c r="D50" s="1" t="str">
        <x:v>Vacant</x:v>
      </x:c>
      <x:c r="F50" s="1" t="str">
        <x:v>n/a</x:v>
      </x:c>
    </x:row>
    <x:row r="51" ht="22" customHeight="1">
      <x:c r="A51" s="1" t="str">
        <x:v>145</x:v>
      </x:c>
      <x:c r="B51" s="1" t="str">
        <x:v>Vacant</x:v>
      </x:c>
      <x:c r="C51" s="1" t="n">
        <x:v>1100</x:v>
      </x:c>
      <x:c r="D51" s="1" t="str">
        <x:v>Vacant</x:v>
      </x:c>
      <x:c r="F51" s="1" t="str">
        <x:v>n/a</x:v>
      </x:c>
    </x:row>
    <x:row r="52" ht="22" customHeight="1">
      <x:c r="A52" s="1" t="str">
        <x:v>146</x:v>
      </x:c>
      <x:c r="B52" s="1" t="str">
        <x:v>Vacant</x:v>
      </x:c>
      <x:c r="C52" s="1" t="n">
        <x:v>1100</x:v>
      </x:c>
      <x:c r="D52" s="1" t="str">
        <x:v>Vacant</x:v>
      </x:c>
      <x:c r="F52" s="1" t="str">
        <x:v>n/a</x:v>
      </x:c>
    </x:row>
    <x:row r="53" ht="22" customHeight="1">
      <x:c r="A53" s="1" t="str">
        <x:v>147</x:v>
      </x:c>
      <x:c r="B53" s="1" t="str">
        <x:v>Vacant</x:v>
      </x:c>
      <x:c r="C53" s="1" t="n">
        <x:v>1100</x:v>
      </x:c>
      <x:c r="D53" s="1" t="str">
        <x:v>Vacant</x:v>
      </x:c>
      <x:c r="F53" s="1" t="str">
        <x:v>n/a</x:v>
      </x:c>
    </x:row>
    <x:row r="54" ht="22" customHeight="1">
      <x:c r="A54" s="1" t="str">
        <x:v>148</x:v>
      </x:c>
      <x:c r="B54" s="1" t="str">
        <x:v>Vacant</x:v>
      </x:c>
      <x:c r="C54" s="1" t="n">
        <x:v>1100</x:v>
      </x:c>
      <x:c r="D54" s="1" t="str">
        <x:v>Vacant</x:v>
      </x:c>
      <x:c r="F54" s="1" t="str">
        <x:v>n/a</x:v>
      </x:c>
    </x:row>
    <x:row r="56" ht="22" customHeight="1">
      <x:c r="A56" s="14" t="str">
        <x:v>Total units / suites</x:v>
      </x:c>
      <x:c r="B56" s="24" t="n">
        <x:f>COUNTA(A7:A54)</x:f>
        <x:v>48</x:v>
      </x:c>
    </x:row>
    <x:row r="57" ht="22" customHeight="1">
      <x:c r="A57" s="14" t="str">
        <x:v>Occupied units</x:v>
      </x:c>
      <x:c r="B57" s="24" t="n">
        <x:f>COUNTIF(D7:D54,"Occupied")</x:f>
        <x:v>33</x:v>
      </x:c>
    </x:row>
    <x:row r="58" ht="22" customHeight="1">
      <x:c r="A58" s="14" t="str">
        <x:v>Total rentable SF</x:v>
      </x:c>
      <x:c r="B58" s="27" t="n">
        <x:f>SUM(C7:C54)</x:f>
        <x:v>43200</x:v>
      </x:c>
    </x:row>
    <x:row r="59" ht="22" customHeight="1">
      <x:c r="A59" s="14" t="str">
        <x:v>Occupied rentable SF</x:v>
      </x:c>
      <x:c r="B59" s="27" t="n">
        <x:f>SUMIF(D7:D54,"Occupied",C7:C54)</x:f>
        <x:v>26700</x:v>
      </x:c>
    </x:row>
    <x:row r="60" ht="22" customHeight="1">
      <x:c r="A60" s="14" t="str">
        <x:v>Occupancy by count (%)</x:v>
      </x:c>
      <x:c r="B60" s="30" t="n">
        <x:f>100*B57/B56</x:f>
        <x:v>68.75</x:v>
      </x:c>
    </x:row>
    <x:row r="61" ht="22" customHeight="1">
      <x:c r="A61" s="14" t="str">
        <x:v>Occupancy by area (%)</x:v>
      </x:c>
      <x:c r="B61" s="30" t="n">
        <x:f>100*B59/B58</x:f>
        <x:v>61.80555555555556</x:v>
      </x:c>
    </x:row>
    <x:row r="62" ht="22" customHeight="1">
      <x:c r="A62" s="14" t="str">
        <x:v>Monthly base rent as printed</x:v>
      </x:c>
      <x:c r="B62" s="27" t="n">
        <x:f>SUM(E7:E54)</x:f>
        <x:v>56025</x:v>
      </x:c>
    </x:row>
    <x:row r="63" ht="22" customHeight="1">
      <x:c r="A63" s="31" t="str">
        <x:v>Effective monthly base rent after authoritative amendments</x:v>
      </x:c>
      <x:c r="B63" s="27" t="n">
        <x:f>B62</x:f>
        <x:v>56025</x:v>
      </x:c>
    </x:row>
    <x:row r="64" ht="22" customHeight="1">
      <x:c r="A64" s="1" t="str">
        <x:v>Annualized contractual base rent (point in time)</x:v>
      </x:c>
      <x:c r="B64" s="25" t="n">
        <x:f>B63*12</x:f>
        <x:v>672300</x:v>
      </x:c>
    </x:row>
    <x:row r="66" ht="36" customHeight="1">
      <x:c r="A66" s="8" t="str">
        <x:v>No signed amendment or renewal-exercise notice was delivered for any unit, so effective rent equals printed rent. Annualized rent roll is not used as underwritten revenue.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Historical T12: September 2025 - August 2026 actual (T12-Statement.pdf, annual column)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6" t="n">
        <x:v>1036800</x:v>
      </x:c>
      <x:c r="C4" s="8" t="str">
        <x:v>p.2 Annual</x:v>
      </x:c>
    </x:row>
    <x:row r="5" ht="22" customHeight="1">
      <x:c r="A5" s="1" t="str">
        <x:v>Vacancy loss</x:v>
      </x:c>
      <x:c r="B5" s="6" t="n">
        <x:v>-302400</x:v>
      </x:c>
    </x:row>
    <x:row r="6" ht="22" customHeight="1">
      <x:c r="A6" s="1" t="str">
        <x:v>Concessions</x:v>
      </x:c>
      <x:c r="B6" s="6" t="n">
        <x:v>-64800</x:v>
      </x:c>
    </x:row>
    <x:row r="7" ht="22" customHeight="1">
      <x:c r="A7" s="1" t="str">
        <x:v>Bad debt</x:v>
      </x:c>
      <x:c r="B7" s="6" t="n">
        <x:v>-8400</x:v>
      </x:c>
    </x:row>
    <x:row r="8" ht="22" customHeight="1">
      <x:c r="A8" s="1" t="str">
        <x:v>Other income / recoveries</x:v>
      </x:c>
      <x:c r="B8" s="6" t="n">
        <x:v>30000</x:v>
      </x:c>
    </x:row>
    <x:row r="9" ht="22" customHeight="1">
      <x:c r="A9" s="14" t="str">
        <x:v>T12 effective gross income</x:v>
      </x:c>
      <x:c r="B9" s="27" t="n">
        <x:f>SUM(B4:B8)</x:f>
        <x:v>691200</x:v>
      </x:c>
    </x:row>
    <x:row r="11" ht="22" customHeight="1">
      <x:c r="A11" s="1" t="str">
        <x:v>Real estate taxes</x:v>
      </x:c>
      <x:c r="B11" s="6" t="n">
        <x:v>132000</x:v>
      </x:c>
    </x:row>
    <x:row r="12" ht="22" customHeight="1">
      <x:c r="A12" s="1" t="str">
        <x:v>Property insurance</x:v>
      </x:c>
      <x:c r="B12" s="6" t="n">
        <x:v>40800</x:v>
      </x:c>
    </x:row>
    <x:row r="13" ht="22" customHeight="1">
      <x:c r="A13" s="1" t="str">
        <x:v>Utilities</x:v>
      </x:c>
      <x:c r="B13" s="6" t="n">
        <x:v>33600</x:v>
      </x:c>
    </x:row>
    <x:row r="14" ht="36" customHeight="1">
      <x:c r="A14" s="1" t="str">
        <x:v>Repairs and maintenance</x:v>
      </x:c>
      <x:c r="B14" s="6" t="n">
        <x:v>54000</x:v>
      </x:c>
      <x:c r="C14" s="8" t="str">
        <x:v>Includes 12,000 one-time casualty cleanup</x:v>
      </x:c>
    </x:row>
    <x:row r="15" ht="22" customHeight="1">
      <x:c r="A15" s="1" t="str">
        <x:v>Payroll / contract labor</x:v>
      </x:c>
      <x:c r="B15" s="6" t="n">
        <x:v>55200</x:v>
      </x:c>
    </x:row>
    <x:row r="16" ht="22" customHeight="1">
      <x:c r="A16" s="1" t="str">
        <x:v>Administrative / legal</x:v>
      </x:c>
      <x:c r="B16" s="6" t="n">
        <x:v>27600</x:v>
      </x:c>
    </x:row>
    <x:row r="17" ht="22" customHeight="1">
      <x:c r="A17" s="1" t="str">
        <x:v>Management fee</x:v>
      </x:c>
      <x:c r="B17" s="6" t="n">
        <x:v>28000</x:v>
      </x:c>
    </x:row>
    <x:row r="18" ht="22" customHeight="1">
      <x:c r="A18" s="31" t="str">
        <x:v>T12 operating expenses (excl. reserves, capex, debt, depreciation)</x:v>
      </x:c>
      <x:c r="B18" s="27" t="n">
        <x:f>SUM(B11:B17)</x:f>
        <x:v>371200</x:v>
      </x:c>
    </x:row>
    <x:row r="19" ht="22" customHeight="1">
      <x:c r="A19" s="14" t="str">
        <x:v>T12 NOI before replacement reserves</x:v>
      </x:c>
      <x:c r="B19" s="27" t="n">
        <x:f>B9-B18</x:f>
        <x:v>320000</x:v>
      </x:c>
    </x:row>
    <x:row r="20" ht="22" customHeight="1">
      <x:c r="A20" s="1" t="str">
        <x:v>T12 replacement reserves</x:v>
      </x:c>
      <x:c r="B20" s="6" t="n">
        <x:v>14400</x:v>
      </x:c>
    </x:row>
    <x:row r="21" ht="22" customHeight="1">
      <x:c r="A21" s="31" t="str">
        <x:v>T12 NCF after reserves (reported by owner as "property NOI")</x:v>
      </x:c>
      <x:c r="B21" s="27" t="n">
        <x:f>B19-B20</x:f>
        <x:v>305600</x:v>
      </x:c>
    </x:row>
    <x:row r="23" ht="25" customHeight="1">
      <x:c r="A23" s="4" t="str">
        <x:v>Below cash flow - not operating expenses</x:v>
      </x:c>
    </x:row>
    <x:row r="24" ht="22" customHeight="1">
      <x:c r="A24" s="1" t="str">
        <x:v>Capital improvements</x:v>
      </x:c>
      <x:c r="B24" s="25" t="n">
        <x:v>184000</x:v>
      </x:c>
    </x:row>
    <x:row r="25" ht="22" customHeight="1">
      <x:c r="A25" s="1" t="str">
        <x:v>Loan principal and interest (existing debt)</x:v>
      </x:c>
      <x:c r="B25" s="25" t="n">
        <x:v>294000</x:v>
      </x:c>
    </x:row>
    <x:row r="26" ht="22" customHeight="1">
      <x:c r="A26" s="1" t="str">
        <x:v>Depreciation (noncash)</x:v>
      </x:c>
      <x:c r="B26" s="25" t="n">
        <x:v>180000</x:v>
      </x:c>
    </x:row>
    <x:row r="28" ht="22" customHeight="1">
      <x:c r="A28" s="1" t="str">
        <x:v>T12 expense ratio (opex / EGI)</x:v>
      </x:c>
      <x:c r="B28" s="32" t="n">
        <x:f>B18/B9</x:f>
        <x:v>0.5370370370370371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4" hidden="0" customWidth="1"/>
  </x:cols>
  <x:sheetData>
    <x:row r="1" ht="27" customHeight="1">
      <x:c r="A1" s="2" t="str">
        <x:v>Underwritten (supplied scenario, September 2026 forward) - not a lender-approved forecast</x:v>
      </x:c>
    </x:row>
    <x:row r="3" ht="25" customHeight="1">
      <x:c r="A3" s="4" t="str">
        <x:v>Line</x:v>
      </x:c>
      <x:c r="B3" s="4" t="str">
        <x:v>Annual UW</x:v>
      </x:c>
      <x:c r="C3" s="4" t="str">
        <x:v>Basis</x:v>
      </x:c>
    </x:row>
    <x:row r="4" ht="36" customHeight="1">
      <x:c r="A4" s="1" t="str">
        <x:v>Gross potential base rent</x:v>
      </x:c>
      <x:c r="B4" s="33" t="n">
        <x:f>Inputs!B4</x:f>
        <x:v>1056000</x:v>
      </x:c>
      <x:c r="C4" s="8" t="str">
        <x:v>Inputs!B4</x:v>
      </x:c>
    </x:row>
    <x:row r="5" ht="36" customHeight="1">
      <x:c r="A5" s="12" t="str">
        <x:v>Combined revenue loss (vacancy/concessions/bad debt)</x:v>
      </x:c>
      <x:c r="B5" s="33" t="n">
        <x:f>-Inputs!B4*Inputs!B5</x:f>
        <x:v>-73920</x:v>
      </x:c>
      <x:c r="C5" s="8" t="str">
        <x:v>7.00% of UW GPR</x:v>
      </x:c>
    </x:row>
    <x:row r="6" ht="22" customHeight="1">
      <x:c r="A6" s="14" t="str">
        <x:v>Net rental revenue</x:v>
      </x:c>
      <x:c r="B6" s="27" t="n">
        <x:f>B4+B5</x:f>
        <x:v>982080</x:v>
      </x:c>
    </x:row>
    <x:row r="7" ht="36" customHeight="1">
      <x:c r="A7" s="1" t="str">
        <x:v>Other income / recoveries</x:v>
      </x:c>
      <x:c r="B7" s="33" t="n">
        <x:f>Inputs!B6</x:f>
        <x:v>43200</x:v>
      </x:c>
      <x:c r="C7" s="8" t="str">
        <x:v>Added after loss</x:v>
      </x:c>
    </x:row>
    <x:row r="8" ht="22" customHeight="1">
      <x:c r="A8" s="14" t="str">
        <x:v>Underwritten EGI</x:v>
      </x:c>
      <x:c r="B8" s="27" t="n">
        <x:f>B6+B7</x:f>
        <x:v>1025280</x:v>
      </x:c>
    </x:row>
    <x:row r="10" ht="22" customHeight="1">
      <x:c r="A10" s="1" t="str">
        <x:v>Real estate taxes</x:v>
      </x:c>
      <x:c r="B10" s="33" t="n">
        <x:f>Inputs!B25</x:f>
        <x:v>138000</x:v>
      </x:c>
    </x:row>
    <x:row r="11" ht="22" customHeight="1">
      <x:c r="A11" s="1" t="str">
        <x:v>Property insurance</x:v>
      </x:c>
      <x:c r="B11" s="33" t="n">
        <x:f>Inputs!B26</x:f>
        <x:v>45600</x:v>
      </x:c>
    </x:row>
    <x:row r="12" ht="22" customHeight="1">
      <x:c r="A12" s="1" t="str">
        <x:v>Utilities</x:v>
      </x:c>
      <x:c r="B12" s="33" t="n">
        <x:f>Inputs!B27</x:f>
        <x:v>33600</x:v>
      </x:c>
    </x:row>
    <x:row r="13" ht="22" customHeight="1">
      <x:c r="A13" s="1" t="str">
        <x:v>Repairs and maintenance</x:v>
      </x:c>
      <x:c r="B13" s="33" t="n">
        <x:f>Inputs!B28</x:f>
        <x:v>42000</x:v>
      </x:c>
    </x:row>
    <x:row r="14" ht="22" customHeight="1">
      <x:c r="A14" s="1" t="str">
        <x:v>Payroll / contract labor</x:v>
      </x:c>
      <x:c r="B14" s="33" t="n">
        <x:f>Inputs!B29</x:f>
        <x:v>55200</x:v>
      </x:c>
    </x:row>
    <x:row r="15" ht="22" customHeight="1">
      <x:c r="A15" s="1" t="str">
        <x:v>Administrative / legal</x:v>
      </x:c>
      <x:c r="B15" s="33" t="n">
        <x:f>Inputs!B30</x:f>
        <x:v>27600</x:v>
      </x:c>
    </x:row>
    <x:row r="16" ht="36" customHeight="1">
      <x:c r="A16" s="1" t="str">
        <x:v>Management fee (lender-normalized)</x:v>
      </x:c>
      <x:c r="B16" s="34" t="n">
        <x:f>MAX(Inputs!B32,Inputs!B31*B8)</x:f>
        <x:v>35884.8</x:v>
      </x:c>
      <x:c r="C16" s="8" t="str">
        <x:v>Greater of T12 actual and 3.50% of UW EGI</x:v>
      </x:c>
    </x:row>
    <x:row r="17" ht="22" customHeight="1">
      <x:c r="A17" s="31" t="str">
        <x:v>Underwritten operating expenses before reserves</x:v>
      </x:c>
      <x:c r="B17" s="37" t="n">
        <x:f>SUM(B10:B16)</x:f>
        <x:v>377884.8</x:v>
      </x:c>
    </x:row>
    <x:row r="18" ht="22" customHeight="1">
      <x:c r="A18" s="14" t="str">
        <x:v>Underwritten NOI before reserves</x:v>
      </x:c>
      <x:c r="B18" s="37" t="n">
        <x:f>B8-B17</x:f>
        <x:v>647395.2</x:v>
      </x:c>
    </x:row>
    <x:row r="19" ht="36" customHeight="1">
      <x:c r="A19" s="1" t="str">
        <x:v>Replacement reserves</x:v>
      </x:c>
      <x:c r="B19" s="33" t="n">
        <x:f>Inputs!B21*Inputs!B22</x:f>
        <x:v>15600</x:v>
      </x:c>
      <x:c r="C19" s="8" t="str">
        <x:v>$325 per unit x units</x:v>
      </x:c>
    </x:row>
    <x:row r="20" ht="22" customHeight="1">
      <x:c r="A20" s="14" t="str">
        <x:v>Underwritten NCF after reserves</x:v>
      </x:c>
      <x:c r="B20" s="37" t="n">
        <x:f>B18-B19</x:f>
        <x:v>631795.2</x:v>
      </x:c>
    </x:row>
    <x:row r="22" ht="36" customHeight="1">
      <x:c r="A22" s="14" t="str">
        <x:v>Indicative capitalization value</x:v>
      </x:c>
      <x:c r="B22" s="37" t="n">
        <x:f>B18/Inputs!B7</x:f>
        <x:v>10358323.2</x:v>
      </x:c>
      <x:c r="C22" s="8" t="str">
        <x:v>UW NOI before reserves / cap rate</x:v>
      </x:c>
    </x:row>
    <x:row r="23" ht="22" customHeight="1">
      <x:c r="A23" s="1" t="str">
        <x:v>UW expense ratio (opex / EGI)</x:v>
      </x:c>
      <x:c r="B23" s="32" t="n">
        <x:f>B17/B8</x:f>
        <x:v>0.3685674157303371</x:v>
      </x:c>
    </x:row>
    <x:row r="24" ht="22" customHeight="1">
      <x:c r="A24" s="1" t="str">
        <x:v>Change vs T12 NOI before reserves</x:v>
      </x:c>
      <x:c r="B24" s="34" t="n">
        <x:f>B18-'T12 Historical'!B19</x:f>
        <x:v>327395.19999999995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44" hidden="0" customWidth="1"/>
  </x:cols>
  <x:sheetData>
    <x:row r="1" ht="27" customHeight="1">
      <x:c r="A1" s="2" t="str">
        <x:v>Loan sizing under lender constraints (Lender-Terms.pdf p.1)</x:v>
      </x:c>
    </x:row>
    <x:row r="3" ht="25" customHeight="1">
      <x:c r="A3" s="4" t="str">
        <x:v>Item</x:v>
      </x:c>
      <x:c r="B3" s="4" t="str">
        <x:v>Value</x:v>
      </x:c>
      <x:c r="C3" s="4" t="str">
        <x:v>Definition</x:v>
      </x:c>
    </x:row>
    <x:row r="4" ht="22" customHeight="1">
      <x:c r="A4" s="1" t="str">
        <x:v>Contract rate</x:v>
      </x:c>
      <x:c r="B4" s="38" t="n">
        <x:f>Inputs!B11</x:f>
        <x:v>0.0625</x:v>
      </x:c>
    </x:row>
    <x:row r="5" ht="36" customHeight="1">
      <x:c r="A5" s="1" t="str">
        <x:v>Sizing rate</x:v>
      </x:c>
      <x:c r="B5" s="38" t="n">
        <x:f>Inputs!B14</x:f>
        <x:v>0.065</x:v>
      </x:c>
      <x:c r="C5" s="8" t="str">
        <x:v>Greater of contract rate and 6.50% floor (+ adjustment)</x:v>
      </x:c>
    </x:row>
    <x:row r="6" ht="36" customHeight="1">
      <x:c r="A6" s="1" t="str">
        <x:v>Annual debt constant per $1 principal</x:v>
      </x:c>
      <x:c r="B6" s="39" t="n">
        <x:f>12*(-PMT(B5/12,Inputs!B15*12,1))</x:f>
        <x:v>0.07584816281915566</x:v>
      </x:c>
      <x:c r="C6" s="8" t="str">
        <x:v>12 monthly payments, 30-year amortization</x:v>
      </x:c>
    </x:row>
    <x:row r="8" ht="36" customHeight="1">
      <x:c r="A8" s="14" t="str">
        <x:v>LTV constraint</x:v>
      </x:c>
      <x:c r="B8" s="37" t="n">
        <x:f>Inputs!B8*Underwriting!B22</x:f>
        <x:v>6214993.919999999</x:v>
      </x:c>
      <x:c r="C8" s="8" t="str">
        <x:v>60.00% x indicative value</x:v>
      </x:c>
    </x:row>
    <x:row r="9" ht="36" customHeight="1">
      <x:c r="A9" s="14" t="str">
        <x:v>DSCR constraint</x:v>
      </x:c>
      <x:c r="B9" s="37" t="n">
        <x:f>(Underwriting!B20/Inputs!B9)/B6</x:f>
        <x:v>6407489.510999309</x:v>
      </x:c>
      <x:c r="C9" s="8" t="str">
        <x:v>(UW NCF / 1.30x) / debt constant</x:v>
      </x:c>
    </x:row>
    <x:row r="10" ht="36" customHeight="1">
      <x:c r="A10" s="14" t="str">
        <x:v>Debt yield constraint</x:v>
      </x:c>
      <x:c r="B10" s="37" t="n">
        <x:f>Underwriting!B20/Inputs!B10</x:f>
        <x:v>7019946.666666666</x:v>
      </x:c>
      <x:c r="C10" s="8" t="str">
        <x:v>UW NCF after reserves / 9.00%</x:v>
      </x:c>
    </x:row>
    <x:row r="11" ht="22" customHeight="1">
      <x:c r="A11" s="14" t="str">
        <x:v>Maximum loan</x:v>
      </x:c>
      <x:c r="B11" s="37" t="n">
        <x:f>MIN(B8:B10)</x:f>
        <x:v>6214993.919999999</x:v>
      </x:c>
    </x:row>
    <x:row r="12" ht="22" customHeight="1">
      <x:c r="A12" s="14" t="str">
        <x:v>Binding constraint</x:v>
      </x:c>
      <x:c r="B12" s="14" t="str">
        <x:f>IF(AND(B8&lt;=B9,B8&lt;=B10),"LTV",IF(AND(B9&lt;=B8,B9&lt;=B10),"DSCR","Debt yield"))</x:f>
        <x:v>LTV</x:v>
      </x:c>
    </x:row>
    <x:row r="14" ht="22" customHeight="1">
      <x:c r="A14" s="31" t="str">
        <x:v>Sizing annual debt service (amortizing, sizing rate)</x:v>
      </x:c>
      <x:c r="B14" s="37" t="n">
        <x:f>B11*B6</x:f>
        <x:v>471395.8707642224</x:v>
      </x:c>
    </x:row>
    <x:row r="15" ht="22" customHeight="1">
      <x:c r="A15" s="31" t="str">
        <x:v>Sizing DSCR (UW NCF / sizing debt service)</x:v>
      </x:c>
      <x:c r="B15" s="42" t="n">
        <x:f>Underwriting!B20/B14</x:f>
        <x:v>1.3402646038789854</x:v>
      </x:c>
    </x:row>
    <x:row r="16" ht="22" customHeight="1">
      <x:c r="A16" s="31" t="str">
        <x:v>Sizing debt yield (UW NCF / maximum loan)</x:v>
      </x:c>
      <x:c r="B16" s="45" t="n">
        <x:f>Underwriting!B20/B11</x:f>
        <x:v>0.10165660789576444</x:v>
      </x:c>
    </x:row>
    <x:row r="18" ht="22" customHeight="1">
      <x:c r="A18" s="31" t="str">
        <x:v>First-year contractual debt service (36-month IO at 6.25%)</x:v>
      </x:c>
      <x:c r="B18" s="37" t="n">
        <x:f>IF(Inputs!B16&gt;=12,B11*Inputs!B11,12*(-PMT(Inputs!B11/12,Inputs!B15*12,B11)))</x:f>
        <x:v>388437.11999999994</x:v>
      </x:c>
    </x:row>
    <x:row r="19" ht="22" customHeight="1">
      <x:c r="A19" s="1" t="str">
        <x:v>Monthly interest-only payment</x:v>
      </x:c>
      <x:c r="B19" s="34" t="n">
        <x:f>B11*Inputs!B11/12</x:f>
        <x:v>32369.759999999995</x:v>
      </x:c>
    </x:row>
    <x:row r="20" ht="22" customHeight="1">
      <x:c r="A20" s="12" t="str">
        <x:v>Post-IO amortizing monthly payment at contract rate</x:v>
      </x:c>
      <x:c r="B20" s="34" t="n">
        <x:f>-PMT(Inputs!B11/12,Inputs!B15*12,B11)</x:f>
        <x:v>38266.786570894445</x:v>
      </x:c>
    </x:row>
    <x:row r="21" ht="22" customHeight="1">
      <x:c r="A21" s="12" t="str">
        <x:v>Post-IO annual amortizing debt service at contract rate</x:v>
      </x:c>
      <x:c r="B21" s="35" t="n">
        <x:f>B20*12</x:f>
        <x:v>459201.43885073334</x:v>
      </x:c>
    </x:row>
    <x:row r="22" ht="22" customHeight="1">
      <x:c r="A22" s="12" t="str">
        <x:v>First-year DSCR on contractual (IO) debt service</x:v>
      </x:c>
      <x:c r="B22" s="40" t="n">
        <x:f>Underwriting!B20/B18</x:f>
        <x:v>1.6265057263322311</x:v>
      </x:c>
    </x:row>
    <x:row r="23" ht="22" customHeight="1">
      <x:c r="A23" s="12" t="str">
        <x:v>Sizing debt service less first-year contractual debt service</x:v>
      </x:c>
      <x:c r="B23" s="35" t="n">
        <x:f>B14-B18</x:f>
        <x:v>82958.75076422247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34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  <x:c r="C3" s="4" t="str">
        <x:v>Note</x:v>
      </x:c>
    </x:row>
    <x:row r="4" ht="22" customHeight="1">
      <x:c r="A4" s="1" t="str">
        <x:v>New first-mortgage loan</x:v>
      </x:c>
      <x:c r="B4" s="34" t="n">
        <x:f>'Loan Sizing'!B11</x:f>
        <x:v>6214993.919999999</x:v>
      </x:c>
    </x:row>
    <x:row r="5" ht="22" customHeight="1">
      <x:c r="A5" s="1" t="str">
        <x:v>Borrower cash contribution (if required)</x:v>
      </x:c>
      <x:c r="B5" s="35" t="n">
        <x:f>MAX(0,-B12)</x:f>
        <x:v>0</x:v>
      </x:c>
    </x:row>
    <x:row r="6" ht="22" customHeight="1">
      <x:c r="A6" s="14" t="str">
        <x:v>Total sources</x:v>
      </x:c>
      <x:c r="B6" s="37" t="n">
        <x:f>B4+B5</x:f>
        <x:v>6214993.919999999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34" t="n">
        <x:f>Inputs!B20</x:f>
        <x:v>4500000</x:v>
      </x:c>
    </x:row>
    <x:row r="10" ht="22" customHeight="1">
      <x:c r="A10" s="12" t="str">
        <x:v>Origination fee (1.00% of initial principal)</x:v>
      </x:c>
      <x:c r="B10" s="34" t="n">
        <x:f>B4*Inputs!B18</x:f>
        <x:v>62149.93919999999</x:v>
      </x:c>
    </x:row>
    <x:row r="11" ht="22" customHeight="1">
      <x:c r="A11" s="1" t="str">
        <x:v>Fixed closing costs</x:v>
      </x:c>
      <x:c r="B11" s="34" t="n">
        <x:f>Inputs!B19</x:f>
        <x:v>65000</x:v>
      </x:c>
    </x:row>
    <x:row r="12" ht="22" customHeight="1">
      <x:c r="A12" s="31" t="str">
        <x:v>Net cash to borrower (negative = cash in)</x:v>
      </x:c>
      <x:c r="B12" s="37" t="n">
        <x:f>B4-B9-B10-B11</x:f>
        <x:v>1587843.980799999</x:v>
      </x:c>
    </x:row>
    <x:row r="13" ht="22" customHeight="1">
      <x:c r="A13" s="1" t="str">
        <x:v>Cash distributed to borrower (if positive)</x:v>
      </x:c>
      <x:c r="B13" s="35" t="n">
        <x:f>MAX(0,B12)</x:f>
        <x:v>1587843.980799999</x:v>
      </x:c>
    </x:row>
    <x:row r="14" ht="22" customHeight="1">
      <x:c r="A14" s="14" t="str">
        <x:v>Total uses</x:v>
      </x:c>
      <x:c r="B14" s="37" t="n">
        <x:f>B9+B10+B11+B13</x:f>
        <x:v>6214993.919999999</x:v>
      </x:c>
    </x:row>
    <x:row r="16" ht="22" customHeight="1">
      <x:c r="A16" s="1" t="str">
        <x:v>Check: total sources less total uses</x:v>
      </x:c>
      <x:c r="B16" s="35" t="n">
        <x:f>B6-B14</x:f>
        <x:v>0</x:v>
      </x:c>
    </x:row>
    <x:row r="18" ht="36" customHeight="1">
      <x:c r="A18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7" customHeight="1">
      <x:c r="A1" s="2" t="str">
        <x:v>Sensitivity: EGI, sizing rate and cap rate levers</x:v>
      </x:c>
    </x:row>
    <x:row r="4" ht="22" customHeight="1">
      <x:c r="A4" s="1" t="str">
        <x:v>EGI stress factor (0.95 = EGI -5%)</x:v>
      </x:c>
      <x:c r="B4" s="10" t="n">
        <x:v>0.95</x:v>
      </x:c>
    </x:row>
    <x:row r="5" ht="22" customHeight="1">
      <x:c r="A5" s="1" t="str">
        <x:v>Sizing rate stress (decimal)</x:v>
      </x:c>
      <x:c r="B5" s="11" t="n">
        <x:v>0.01</x:v>
      </x:c>
    </x:row>
    <x:row r="6" ht="22" customHeight="1">
      <x:c r="A6" s="1" t="str">
        <x:v>Cap rate stress (decimal)</x:v>
      </x:c>
      <x:c r="B6" s="11" t="n">
        <x:v>0.005</x:v>
      </x:c>
    </x:row>
    <x:row r="8" ht="25" customHeight="1">
      <x:c r="A8" s="4" t="str">
        <x:v>Metric</x:v>
      </x:c>
      <x:c r="B8" s="4" t="str">
        <x:v>Base</x:v>
      </x:c>
      <x:c r="C8" s="4" t="str">
        <x:v>EGI -5%</x:v>
      </x:c>
      <x:c r="D8" s="4" t="str">
        <x:v>Sizing rate +100 bps</x:v>
      </x:c>
      <x:c r="E8" s="46" t="str">
        <x:v>Combined EGI -5% &amp; rate +100 bps</x:v>
      </x:c>
      <x:c r="F8" s="4" t="str">
        <x:v>Cap rate +50 bps</x:v>
      </x:c>
    </x:row>
    <x:row r="9" ht="22" customHeight="1">
      <x:c r="A9" s="1" t="str">
        <x:v>EGI factor applied</x:v>
      </x:c>
      <x:c r="B9" s="28" t="n">
        <x:v>1</x:v>
      </x:c>
      <x:c r="C9" s="28" t="n">
        <x:f>$B$4</x:f>
        <x:v>0.95</x:v>
      </x:c>
      <x:c r="D9" s="28" t="n">
        <x:v>1</x:v>
      </x:c>
      <x:c r="E9" s="28" t="n">
        <x:f>$B$4</x:f>
        <x:v>0.95</x:v>
      </x:c>
      <x:c r="F9" s="28" t="n">
        <x:v>1</x:v>
      </x:c>
    </x:row>
    <x:row r="10" ht="22" customHeight="1">
      <x:c r="A10" s="1" t="str">
        <x:v>Sizing rate add-on</x:v>
      </x:c>
      <x:c r="B10" s="15" t="n">
        <x:v>0</x:v>
      </x:c>
      <x:c r="C10" s="15" t="n">
        <x:v>0</x:v>
      </x:c>
      <x:c r="D10" s="15" t="n">
        <x:f>$B$5</x:f>
        <x:v>0.01</x:v>
      </x:c>
      <x:c r="E10" s="15" t="n">
        <x:f>$B$5</x:f>
        <x:v>0.01</x:v>
      </x:c>
      <x:c r="F10" s="15" t="n">
        <x:v>0</x:v>
      </x:c>
    </x:row>
    <x:row r="11" ht="22" customHeight="1">
      <x:c r="A11" s="1" t="str">
        <x:v>Cap rate add-on</x:v>
      </x:c>
      <x:c r="B11" s="15" t="n">
        <x:v>0</x:v>
      </x:c>
      <x:c r="C11" s="15" t="n">
        <x:v>0</x:v>
      </x:c>
      <x:c r="D11" s="15" t="n">
        <x:v>0</x:v>
      </x:c>
      <x:c r="E11" s="15" t="n">
        <x:v>0</x:v>
      </x:c>
      <x:c r="F11" s="15" t="n">
        <x:f>$B$6</x:f>
        <x:v>0.005</x:v>
      </x:c>
    </x:row>
    <x:row r="12" ht="22" customHeight="1">
      <x:c r="A12" s="1" t="str">
        <x:v>EGI</x:v>
      </x:c>
      <x:c r="B12" s="34" t="n">
        <x:f>Underwriting!$B$8*B9</x:f>
        <x:v>1025280</x:v>
      </x:c>
      <x:c r="C12" s="34" t="n">
        <x:f>Underwriting!$B$8*C9</x:f>
        <x:v>974016</x:v>
      </x:c>
      <x:c r="D12" s="34" t="n">
        <x:f>Underwriting!$B$8*D9</x:f>
        <x:v>1025280</x:v>
      </x:c>
      <x:c r="E12" s="34" t="n">
        <x:f>Underwriting!$B$8*E9</x:f>
        <x:v>974016</x:v>
      </x:c>
      <x:c r="F12" s="34" t="n">
        <x:f>Underwriting!$B$8*F9</x:f>
        <x:v>1025280</x:v>
      </x:c>
    </x:row>
    <x:row r="13" ht="22" customHeight="1">
      <x:c r="A13" s="1" t="str">
        <x:v>Management fee (recomputed)</x:v>
      </x:c>
      <x:c r="B13" s="34" t="n">
        <x:f>MAX(Inputs!$B$32,Inputs!$B$31*B12)</x:f>
        <x:v>35884.8</x:v>
      </x:c>
      <x:c r="C13" s="34" t="n">
        <x:f>MAX(Inputs!$B$32,Inputs!$B$31*C12)</x:f>
        <x:v>34090.560000000005</x:v>
      </x:c>
      <x:c r="D13" s="34" t="n">
        <x:f>MAX(Inputs!$B$32,Inputs!$B$31*D12)</x:f>
        <x:v>35884.8</x:v>
      </x:c>
      <x:c r="E13" s="34" t="n">
        <x:f>MAX(Inputs!$B$32,Inputs!$B$31*E12)</x:f>
        <x:v>34090.560000000005</x:v>
      </x:c>
      <x:c r="F13" s="34" t="n">
        <x:f>MAX(Inputs!$B$32,Inputs!$B$31*F12)</x:f>
        <x:v>35884.8</x:v>
      </x:c>
    </x:row>
    <x:row r="14" ht="22" customHeight="1">
      <x:c r="A14" s="12" t="str">
        <x:v>Other operating expenses (held constant)</x:v>
      </x:c>
      <x:c r="B14" s="34" t="n">
        <x:f>SUM(Inputs!$B$25:$B$30)</x:f>
        <x:v>342000</x:v>
      </x:c>
      <x:c r="C14" s="34" t="n">
        <x:f>SUM(Inputs!$B$25:$B$30)</x:f>
        <x:v>342000</x:v>
      </x:c>
      <x:c r="D14" s="34" t="n">
        <x:f>SUM(Inputs!$B$25:$B$30)</x:f>
        <x:v>342000</x:v>
      </x:c>
      <x:c r="E14" s="34" t="n">
        <x:f>SUM(Inputs!$B$25:$B$30)</x:f>
        <x:v>342000</x:v>
      </x:c>
      <x:c r="F14" s="34" t="n">
        <x:f>SUM(Inputs!$B$25:$B$30)</x:f>
        <x:v>342000</x:v>
      </x:c>
    </x:row>
    <x:row r="15" ht="22" customHeight="1">
      <x:c r="A15" s="1" t="str">
        <x:v>Total operating expenses</x:v>
      </x:c>
      <x:c r="B15" s="35" t="n">
        <x:f>B13+B14</x:f>
        <x:v>377884.8</x:v>
      </x:c>
      <x:c r="C15" s="35" t="n">
        <x:f>C13+C14</x:f>
        <x:v>376090.56</x:v>
      </x:c>
      <x:c r="D15" s="35" t="n">
        <x:f>D13+D14</x:f>
        <x:v>377884.8</x:v>
      </x:c>
      <x:c r="E15" s="35" t="n">
        <x:f>E13+E14</x:f>
        <x:v>376090.56</x:v>
      </x:c>
      <x:c r="F15" s="35" t="n">
        <x:f>F13+F14</x:f>
        <x:v>377884.8</x:v>
      </x:c>
    </x:row>
    <x:row r="16" ht="22" customHeight="1">
      <x:c r="A16" s="14" t="str">
        <x:v>NOI before reserves</x:v>
      </x:c>
      <x:c r="B16" s="37" t="n">
        <x:f>B12-B15</x:f>
        <x:v>647395.2</x:v>
      </x:c>
      <x:c r="C16" s="37" t="n">
        <x:f>C12-C15</x:f>
        <x:v>597925.44</x:v>
      </x:c>
      <x:c r="D16" s="37" t="n">
        <x:f>D12-D15</x:f>
        <x:v>647395.2</x:v>
      </x:c>
      <x:c r="E16" s="37" t="n">
        <x:f>E12-E15</x:f>
        <x:v>597925.44</x:v>
      </x:c>
      <x:c r="F16" s="37" t="n">
        <x:f>F12-F15</x:f>
        <x:v>647395.2</x:v>
      </x:c>
    </x:row>
    <x:row r="17" ht="22" customHeight="1">
      <x:c r="A17" s="1" t="str">
        <x:v>Replacement reserves</x:v>
      </x:c>
      <x:c r="B17" s="34" t="n">
        <x:f>Underwriting!$B$19</x:f>
        <x:v>15600</x:v>
      </x:c>
      <x:c r="C17" s="34" t="n">
        <x:f>Underwriting!$B$19</x:f>
        <x:v>15600</x:v>
      </x:c>
      <x:c r="D17" s="34" t="n">
        <x:f>Underwriting!$B$19</x:f>
        <x:v>15600</x:v>
      </x:c>
      <x:c r="E17" s="34" t="n">
        <x:f>Underwriting!$B$19</x:f>
        <x:v>15600</x:v>
      </x:c>
      <x:c r="F17" s="34" t="n">
        <x:f>Underwriting!$B$19</x:f>
        <x:v>15600</x:v>
      </x:c>
    </x:row>
    <x:row r="18" ht="22" customHeight="1">
      <x:c r="A18" s="14" t="str">
        <x:v>NCF after reserves</x:v>
      </x:c>
      <x:c r="B18" s="37" t="n">
        <x:f>B16-B17</x:f>
        <x:v>631795.2</x:v>
      </x:c>
      <x:c r="C18" s="37" t="n">
        <x:f>C16-C17</x:f>
        <x:v>582325.44</x:v>
      </x:c>
      <x:c r="D18" s="37" t="n">
        <x:f>D16-D17</x:f>
        <x:v>631795.2</x:v>
      </x:c>
      <x:c r="E18" s="37" t="n">
        <x:f>E16-E17</x:f>
        <x:v>582325.44</x:v>
      </x:c>
      <x:c r="F18" s="37" t="n">
        <x:f>F16-F17</x:f>
        <x:v>631795.2</x:v>
      </x:c>
    </x:row>
    <x:row r="19" ht="22" customHeight="1">
      <x:c r="A19" s="1" t="str">
        <x:v>Cap rate applied</x:v>
      </x:c>
      <x:c r="B19" s="38" t="n">
        <x:f>Inputs!$B$7+B11</x:f>
        <x:v>0.0625</x:v>
      </x:c>
      <x:c r="C19" s="38" t="n">
        <x:f>Inputs!$B$7+C11</x:f>
        <x:v>0.0625</x:v>
      </x:c>
      <x:c r="D19" s="38" t="n">
        <x:f>Inputs!$B$7+D11</x:f>
        <x:v>0.0625</x:v>
      </x:c>
      <x:c r="E19" s="38" t="n">
        <x:f>Inputs!$B$7+E11</x:f>
        <x:v>0.0625</x:v>
      </x:c>
      <x:c r="F19" s="38" t="n">
        <x:f>Inputs!$B$7+F11</x:f>
        <x:v>0.0675</x:v>
      </x:c>
    </x:row>
    <x:row r="20" ht="22" customHeight="1">
      <x:c r="A20" s="1" t="str">
        <x:v>Indicative value</x:v>
      </x:c>
      <x:c r="B20" s="35" t="n">
        <x:f>B16/B19</x:f>
        <x:v>10358323.2</x:v>
      </x:c>
      <x:c r="C20" s="35" t="n">
        <x:f>C16/C19</x:f>
        <x:v>9566807.04</x:v>
      </x:c>
      <x:c r="D20" s="35" t="n">
        <x:f>D16/D19</x:f>
        <x:v>10358323.2</x:v>
      </x:c>
      <x:c r="E20" s="35" t="n">
        <x:f>E16/E19</x:f>
        <x:v>9566807.04</x:v>
      </x:c>
      <x:c r="F20" s="35" t="n">
        <x:f>F16/F19</x:f>
        <x:v>9591039.999999998</x:v>
      </x:c>
    </x:row>
    <x:row r="21" ht="22" customHeight="1">
      <x:c r="A21" s="1" t="str">
        <x:v>Sizing rate applied</x:v>
      </x:c>
      <x:c r="B21" s="38" t="n">
        <x:f>Inputs!$B$14+B10</x:f>
        <x:v>0.065</x:v>
      </x:c>
      <x:c r="C21" s="38" t="n">
        <x:f>Inputs!$B$14+C10</x:f>
        <x:v>0.065</x:v>
      </x:c>
      <x:c r="D21" s="38" t="n">
        <x:f>Inputs!$B$14+D10</x:f>
        <x:v>0.075</x:v>
      </x:c>
      <x:c r="E21" s="38" t="n">
        <x:f>Inputs!$B$14+E10</x:f>
        <x:v>0.075</x:v>
      </x:c>
      <x:c r="F21" s="38" t="n">
        <x:f>Inputs!$B$14+F10</x:f>
        <x:v>0.065</x:v>
      </x:c>
    </x:row>
    <x:row r="22" ht="22" customHeight="1">
      <x:c r="A22" s="1" t="str">
        <x:v>Annual debt constant</x:v>
      </x:c>
      <x:c r="B22" s="39" t="n">
        <x:f>12*(-PMT(B21/12,Inputs!$B$15*12,1))</x:f>
        <x:v>0.07584816281915566</x:v>
      </x:c>
      <x:c r="C22" s="39" t="n">
        <x:f>12*(-PMT(C21/12,Inputs!$B$15*12,1))</x:f>
        <x:v>0.07584816281915566</x:v>
      </x:c>
      <x:c r="D22" s="39" t="n">
        <x:f>12*(-PMT(D21/12,Inputs!$B$15*12,1))</x:f>
        <x:v>0.0839057410263335</x:v>
      </x:c>
      <x:c r="E22" s="39" t="n">
        <x:f>12*(-PMT(E21/12,Inputs!$B$15*12,1))</x:f>
        <x:v>0.0839057410263335</x:v>
      </x:c>
      <x:c r="F22" s="39" t="n">
        <x:f>12*(-PMT(F21/12,Inputs!$B$15*12,1))</x:f>
        <x:v>0.07584816281915566</x:v>
      </x:c>
    </x:row>
    <x:row r="23" ht="22" customHeight="1">
      <x:c r="A23" s="1" t="str">
        <x:v>LTV constraint</x:v>
      </x:c>
      <x:c r="B23" s="34" t="n">
        <x:f>Inputs!$B$8*B20</x:f>
        <x:v>6214993.919999999</x:v>
      </x:c>
      <x:c r="C23" s="34" t="n">
        <x:f>Inputs!$B$8*C20</x:f>
        <x:v>5740084.223999999</x:v>
      </x:c>
      <x:c r="D23" s="34" t="n">
        <x:f>Inputs!$B$8*D20</x:f>
        <x:v>6214993.919999999</x:v>
      </x:c>
      <x:c r="E23" s="34" t="n">
        <x:f>Inputs!$B$8*E20</x:f>
        <x:v>5740084.223999999</x:v>
      </x:c>
      <x:c r="F23" s="34" t="n">
        <x:f>Inputs!$B$8*F20</x:f>
        <x:v>5754623.999999999</x:v>
      </x:c>
    </x:row>
    <x:row r="24" ht="22" customHeight="1">
      <x:c r="A24" s="1" t="str">
        <x:v>DSCR constraint</x:v>
      </x:c>
      <x:c r="B24" s="34" t="n">
        <x:f>(B18/Inputs!$B$9)/B22</x:f>
        <x:v>6407489.510999309</x:v>
      </x:c>
      <x:c r="C24" s="34" t="n">
        <x:f>(C18/Inputs!$B$9)/C22</x:f>
        <x:v>5905781.096133775</x:v>
      </x:c>
      <x:c r="D24" s="34" t="n">
        <x:f>(D18/Inputs!$B$9)/D22</x:f>
        <x:v>5792169.900981859</x:v>
      </x:c>
      <x:c r="E24" s="34" t="n">
        <x:f>(E18/Inputs!$B$9)/E22</x:f>
        <x:v>5338641.2023136895</x:v>
      </x:c>
      <x:c r="F24" s="34" t="n">
        <x:f>(F18/Inputs!$B$9)/F22</x:f>
        <x:v>6407489.510999309</x:v>
      </x:c>
    </x:row>
    <x:row r="25" ht="22" customHeight="1">
      <x:c r="A25" s="1" t="str">
        <x:v>Debt yield constraint</x:v>
      </x:c>
      <x:c r="B25" s="34" t="n">
        <x:f>B18/Inputs!$B$10</x:f>
        <x:v>7019946.666666666</x:v>
      </x:c>
      <x:c r="C25" s="34" t="n">
        <x:f>C18/Inputs!$B$10</x:f>
        <x:v>6470282.666666666</x:v>
      </x:c>
      <x:c r="D25" s="34" t="n">
        <x:f>D18/Inputs!$B$10</x:f>
        <x:v>7019946.666666666</x:v>
      </x:c>
      <x:c r="E25" s="34" t="n">
        <x:f>E18/Inputs!$B$10</x:f>
        <x:v>6470282.666666666</x:v>
      </x:c>
      <x:c r="F25" s="34" t="n">
        <x:f>F18/Inputs!$B$10</x:f>
        <x:v>7019946.666666666</x:v>
      </x:c>
    </x:row>
    <x:row r="26" ht="22" customHeight="1">
      <x:c r="A26" s="14" t="str">
        <x:v>Maximum loan</x:v>
      </x:c>
      <x:c r="B26" s="37" t="n">
        <x:f>MIN(B23:B25)</x:f>
        <x:v>6214993.919999999</x:v>
      </x:c>
      <x:c r="C26" s="37" t="n">
        <x:f>MIN(C23:C25)</x:f>
        <x:v>5740084.223999999</x:v>
      </x:c>
      <x:c r="D26" s="37" t="n">
        <x:f>MIN(D23:D25)</x:f>
        <x:v>5792169.900981859</x:v>
      </x:c>
      <x:c r="E26" s="37" t="n">
        <x:f>MIN(E23:E25)</x:f>
        <x:v>5338641.2023136895</x:v>
      </x:c>
      <x:c r="F26" s="37" t="n">
        <x:f>MIN(F23:F25)</x:f>
        <x:v>5754623.999999999</x:v>
      </x:c>
    </x:row>
    <x:row r="27" ht="22" customHeight="1">
      <x:c r="A27" s="14" t="str">
        <x:v>Binding constraint</x:v>
      </x:c>
      <x:c r="B27" s="14" t="str">
        <x:f>IF(AND(B23&lt;=B24,B23&lt;=B25),"LTV",IF(AND(B24&lt;=B23,B24&lt;=B25),"DSCR","Debt yield"))</x:f>
        <x:v>LTV</x:v>
      </x:c>
      <x:c r="C27" s="14" t="str">
        <x:f>IF(AND(C23&lt;=C24,C23&lt;=C25),"LTV",IF(AND(C24&lt;=C23,C24&lt;=C25),"DSCR","Debt yield"))</x:f>
        <x:v>LTV</x:v>
      </x:c>
      <x:c r="D27" s="14" t="str">
        <x:f>IF(AND(D23&lt;=D24,D23&lt;=D25),"LTV",IF(AND(D24&lt;=D23,D24&lt;=D25),"DSCR","Debt yield"))</x:f>
        <x:v>DSCR</x:v>
      </x:c>
      <x:c r="E27" s="14" t="str">
        <x:f>IF(AND(E23&lt;=E24,E23&lt;=E25),"LTV",IF(AND(E24&lt;=E23,E24&lt;=E25),"DSCR","Debt yield"))</x:f>
        <x:v>DSCR</x:v>
      </x:c>
      <x:c r="F27" s="14" t="str">
        <x:f>IF(AND(F23&lt;=F24,F23&lt;=F25),"LTV",IF(AND(F24&lt;=F23,F24&lt;=F25),"DSCR","Debt yield"))</x:f>
        <x:v>LTV</x:v>
      </x:c>
    </x:row>
    <x:row r="28" ht="22" customHeight="1">
      <x:c r="A28" s="1" t="str">
        <x:v>Change in maximum loan vs base</x:v>
      </x:c>
      <x:c r="C28" s="35" t="n">
        <x:f>C26-$B$26</x:f>
        <x:v>-474909.69599999953</x:v>
      </x:c>
      <x:c r="D28" s="35" t="n">
        <x:f>D26-$B$26</x:f>
        <x:v>-422824.0190181397</x:v>
      </x:c>
      <x:c r="E28" s="35" t="n">
        <x:f>E26-$B$26</x:f>
        <x:v>-876352.7176863095</x:v>
      </x:c>
      <x:c r="F28" s="35" t="n">
        <x:f>F26-$B$26</x:f>
        <x:v>-460369.9199999999</x:v>
      </x:c>
    </x:row>
    <x:row r="30" ht="36" customHeight="1">
      <x:c r="A30" s="8" t="str">
        <x:v>Management fee is recomputed in every case; all other operating expenses and reserves are held constant. Cap rate is unchanged in the combined downside.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map: editable inputs and key outputs</x:v>
      </x:c>
    </x:row>
    <x:row r="3" ht="25" customHeight="1">
      <x:c r="A3" s="4" t="str">
        <x:v>Item</x:v>
      </x:c>
      <x:c r="B3" s="4" t="str">
        <x:v>Location</x:v>
      </x:c>
      <x:c r="C3" s="4" t="str">
        <x:v>Comment</x:v>
      </x:c>
    </x:row>
    <x:row r="4" ht="25" customHeight="1">
      <x:c r="A4" s="4" t="str">
        <x:v>EDITABLE INPUTS</x:v>
      </x:c>
    </x:row>
    <x:row r="5" ht="36" customHeight="1">
      <x:c r="A5" s="1" t="str">
        <x:v>Cap rate</x:v>
      </x:c>
      <x:c r="B5" s="1" t="str">
        <x:v>Inputs!B7</x:v>
      </x:c>
      <x:c r="C5" s="8" t="str">
        <x:v>Drives indicative value and LTV constraint</x:v>
      </x:c>
    </x:row>
    <x:row r="6" ht="36" customHeight="1">
      <x:c r="A6" s="1" t="str">
        <x:v>Sizing rate floor</x:v>
      </x:c>
      <x:c r="B6" s="1" t="str">
        <x:v>Inputs!B12</x:v>
      </x:c>
      <x:c r="C6" s="8" t="str">
        <x:v>Sizing rate = MAX(contract, floor) + adjustment</x:v>
      </x:c>
    </x:row>
    <x:row r="7" ht="36" customHeight="1">
      <x:c r="A7" s="1" t="str">
        <x:v>Sizing rate adjustment / increment</x:v>
      </x:c>
      <x:c r="B7" s="1" t="str">
        <x:v>Inputs!B13</x:v>
      </x:c>
      <x:c r="C7" s="8" t="str">
        <x:v>Enter 0.01 for +100 bps</x:v>
      </x:c>
    </x:row>
    <x:row r="8" ht="22" customHeight="1">
      <x:c r="A8" s="1" t="str">
        <x:v>Sizing rate applied (calculated)</x:v>
      </x:c>
      <x:c r="B8" s="1" t="str">
        <x:v>Inputs!B14</x:v>
      </x:c>
    </x:row>
    <x:row r="9" ht="36" customHeight="1">
      <x:c r="A9" s="1" t="str">
        <x:v>EGI driver: gross potential base rent</x:v>
      </x:c>
      <x:c r="B9" s="1" t="str">
        <x:v>Inputs!B4</x:v>
      </x:c>
      <x:c r="C9" s="8" t="str">
        <x:v>Loss % held constant at Inputs!B5</x:v>
      </x:c>
    </x:row>
    <x:row r="10" ht="22" customHeight="1">
      <x:c r="A10" s="1" t="str">
        <x:v>EGI driver: other income</x:v>
      </x:c>
      <x:c r="B10" s="1" t="str">
        <x:v>Inputs!B6</x:v>
      </x:c>
    </x:row>
    <x:row r="11" ht="22" customHeight="1">
      <x:c r="A11" s="1" t="str">
        <x:v>Calculated underwritten EGI</x:v>
      </x:c>
      <x:c r="B11" s="1" t="str">
        <x:v>Underwriting!B8</x:v>
      </x:c>
    </x:row>
    <x:row r="12" ht="22" customHeight="1">
      <x:c r="A12" s="1" t="str">
        <x:v>Contract rate</x:v>
      </x:c>
      <x:c r="B12" s="1" t="str">
        <x:v>Inputs!B11</x:v>
      </x:c>
    </x:row>
    <x:row r="13" ht="22" customHeight="1">
      <x:c r="A13" s="1" t="str">
        <x:v>LTV / DSCR / debt yield tests</x:v>
      </x:c>
      <x:c r="B13" s="1" t="str">
        <x:v>Inputs!B8, B9, B10</x:v>
      </x:c>
    </x:row>
    <x:row r="14" ht="22" customHeight="1">
      <x:c r="A14" s="1" t="str">
        <x:v>Reserves per unit / unit count</x:v>
      </x:c>
      <x:c r="B14" s="1" t="str">
        <x:v>Inputs!B21, Inputs!B22</x:v>
      </x:c>
    </x:row>
    <x:row r="15" ht="22" customHeight="1">
      <x:c r="A15" s="1" t="str">
        <x:v>Underwritten expense lines</x:v>
      </x:c>
      <x:c r="B15" s="1" t="str">
        <x:v>Inputs!B25:B32</x:v>
      </x:c>
    </x:row>
    <x:row r="16" ht="22" customHeight="1">
      <x:c r="A16" s="1" t="str">
        <x:v>Sensitivity levers (EGI, rate, cap)</x:v>
      </x:c>
      <x:c r="B16" s="1" t="str">
        <x:v>Sensitivity!B4, B5, B6</x:v>
      </x:c>
    </x:row>
    <x:row r="18" ht="25" customHeight="1">
      <x:c r="A18" s="4" t="str">
        <x:v>KEY OUTPUTS</x:v>
      </x:c>
    </x:row>
    <x:row r="19" ht="22" customHeight="1">
      <x:c r="A19" s="1" t="str">
        <x:v>UW NOI before reserves</x:v>
      </x:c>
      <x:c r="B19" s="1" t="str">
        <x:v>Underwriting!B18</x:v>
      </x:c>
      <x:c r="C19" s="34" t="n">
        <x:f>Underwriting!B18</x:f>
        <x:v>647395.2</x:v>
      </x:c>
    </x:row>
    <x:row r="20" ht="22" customHeight="1">
      <x:c r="A20" s="1" t="str">
        <x:v>UW NCF after reserves</x:v>
      </x:c>
      <x:c r="B20" s="1" t="str">
        <x:v>Underwriting!B20</x:v>
      </x:c>
      <x:c r="C20" s="34" t="n">
        <x:f>Underwriting!B20</x:f>
        <x:v>631795.2</x:v>
      </x:c>
    </x:row>
    <x:row r="21" ht="22" customHeight="1">
      <x:c r="A21" s="1" t="str">
        <x:v>Capitalization value</x:v>
      </x:c>
      <x:c r="B21" s="1" t="str">
        <x:v>Underwriting!B22</x:v>
      </x:c>
      <x:c r="C21" s="34" t="n">
        <x:f>Underwriting!B22</x:f>
        <x:v>10358323.2</x:v>
      </x:c>
    </x:row>
    <x:row r="22" ht="22" customHeight="1">
      <x:c r="A22" s="1" t="str">
        <x:v>LTV constraint</x:v>
      </x:c>
      <x:c r="B22" s="1" t="str">
        <x:v>Loan Sizing!B8</x:v>
      </x:c>
      <x:c r="C22" s="34" t="n">
        <x:f>'Loan Sizing'!B8</x:f>
        <x:v>6214993.919999999</x:v>
      </x:c>
    </x:row>
    <x:row r="23" ht="22" customHeight="1">
      <x:c r="A23" s="1" t="str">
        <x:v>DSCR constraint</x:v>
      </x:c>
      <x:c r="B23" s="1" t="str">
        <x:v>Loan Sizing!B9</x:v>
      </x:c>
      <x:c r="C23" s="34" t="n">
        <x:f>'Loan Sizing'!B9</x:f>
        <x:v>6407489.510999309</x:v>
      </x:c>
    </x:row>
    <x:row r="24" ht="22" customHeight="1">
      <x:c r="A24" s="1" t="str">
        <x:v>Debt yield constraint</x:v>
      </x:c>
      <x:c r="B24" s="1" t="str">
        <x:v>Loan Sizing!B10</x:v>
      </x:c>
      <x:c r="C24" s="34" t="n">
        <x:f>'Loan Sizing'!B10</x:f>
        <x:v>7019946.666666666</x:v>
      </x:c>
    </x:row>
    <x:row r="25" ht="22" customHeight="1">
      <x:c r="A25" s="1" t="str">
        <x:v>Maximum loan / binding constraint</x:v>
      </x:c>
      <x:c r="B25" s="1" t="str">
        <x:v>Loan Sizing!B11 / B12</x:v>
      </x:c>
      <x:c r="C25" s="34" t="n">
        <x:f>'Loan Sizing'!B11</x:f>
        <x:v>6214993.919999999</x:v>
      </x:c>
    </x:row>
    <x:row r="26" ht="22" customHeight="1">
      <x:c r="A26" s="1" t="str">
        <x:v>Sizing annual debt service</x:v>
      </x:c>
      <x:c r="B26" s="1" t="str">
        <x:v>Loan Sizing!B14</x:v>
      </x:c>
      <x:c r="C26" s="34" t="n">
        <x:f>'Loan Sizing'!B14</x:f>
        <x:v>471395.8707642224</x:v>
      </x:c>
    </x:row>
    <x:row r="27" ht="22" customHeight="1">
      <x:c r="A27" s="1" t="str">
        <x:v>First-year contractual debt service</x:v>
      </x:c>
      <x:c r="B27" s="1" t="str">
        <x:v>Loan Sizing!B18</x:v>
      </x:c>
      <x:c r="C27" s="34" t="n">
        <x:f>'Loan Sizing'!B18</x:f>
        <x:v>388437.11999999994</x:v>
      </x:c>
    </x:row>
    <x:row r="28" ht="22" customHeight="1">
      <x:c r="A28" s="1" t="str">
        <x:v>Net cash to borrower</x:v>
      </x:c>
      <x:c r="B28" s="1" t="str">
        <x:v>Sources &amp; Uses!B12</x:v>
      </x:c>
      <x:c r="C28" s="34" t="n">
        <x:f>'Sources &amp; Uses'!B12</x:f>
        <x:v>1587843.980799999</x:v>
      </x:c>
    </x:row>
    <x:row r="29" ht="22" customHeight="1">
      <x:c r="A29" s="1" t="str">
        <x:v>Stress NOI (EGI -5%)</x:v>
      </x:c>
      <x:c r="B29" s="1" t="str">
        <x:v>Sensitivity!C16</x:v>
      </x:c>
      <x:c r="C29" s="34" t="n">
        <x:f>Sensitivity!C16</x:f>
        <x:v>597925.44</x:v>
      </x:c>
    </x:row>
    <x:row r="30" ht="22" customHeight="1">
      <x:c r="A30" s="1" t="str">
        <x:v>Stress maximum loan (combined)</x:v>
      </x:c>
      <x:c r="B30" s="1" t="str">
        <x:v>Sensitivity!E26</x:v>
      </x:c>
      <x:c r="C30" s="34" t="n">
        <x:f>Sensitivity!E26</x:f>
        <x:v>5338641.2023136895</x:v>
      </x:c>
    </x:row>
    <x:row r="31" ht="22" customHeight="1">
      <x:c r="A31" s="1" t="str">
        <x:v>Cap rate +50 bps maximum loan</x:v>
      </x:c>
      <x:c r="B31" s="1" t="str">
        <x:v>Sensitivity!F26</x:v>
      </x:c>
      <x:c r="C31" s="34" t="n">
        <x:f>Sensitivity!F26</x:f>
        <x:v>5754623.999999999</x:v>
      </x:c>
    </x:row>
    <x:row r="33" ht="36" customHeight="1">
      <x:c r="A33" s="8" t="str">
        <x:v>Historical T12 (Sep-2025 to Aug-2026) is on sheet 'T12 Historical'; the underwriting scenario is on 'Underwriting'. They are never blended.</x:v>
      </x:c>
    </x:row>
  </x:sheetData>
  <x:pageMargins left="0.7" right="0.7" top="0.75" bottom="0.75" header="0.3" footer="0.3"/>
</x:worksheet>
</file>