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80e59797f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5b8c8dad8f549b3"/>
    <x:sheet xmlns:r="http://schemas.openxmlformats.org/officeDocument/2006/relationships" name="RentRoll" sheetId="2" r:id="R73387f2de03b49fc"/>
    <x:sheet xmlns:r="http://schemas.openxmlformats.org/officeDocument/2006/relationships" name="T12" sheetId="3" r:id="R362e410f0dab4670"/>
    <x:sheet xmlns:r="http://schemas.openxmlformats.org/officeDocument/2006/relationships" name="Underwriting" sheetId="4" r:id="R6cf0624dd77a4f44"/>
    <x:sheet xmlns:r="http://schemas.openxmlformats.org/officeDocument/2006/relationships" name="Sizing" sheetId="5" r:id="R67d10e6b5f994220"/>
    <x:sheet xmlns:r="http://schemas.openxmlformats.org/officeDocument/2006/relationships" name="SourcesUses" sheetId="6" r:id="Ra99833447adc4bcf"/>
    <x:sheet xmlns:r="http://schemas.openxmlformats.org/officeDocument/2006/relationships" name="Sensitivity" sheetId="7" r:id="R67b8053b4f274d89"/>
    <x:sheet xmlns:r="http://schemas.openxmlformats.org/officeDocument/2006/relationships" name="Map" sheetId="8" r:id="Rcfdb26fbd3d3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"/>
    <x:numFmt numFmtId="204" formatCode="0.00"/>
    <x:numFmt numFmtId="205" formatCode="0.0%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0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7" fontId="7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099d3c32e4aca" /><Relationship Type="http://schemas.openxmlformats.org/officeDocument/2006/relationships/theme" Target="/xl/theme/theme1.xml" Id="Reaebe536f99346aa" /><Relationship Type="http://schemas.openxmlformats.org/officeDocument/2006/relationships/sharedStrings" Target="/xl/sharedStrings.xml" Id="R10b0f71dd0e540d0" /><Relationship Type="http://schemas.openxmlformats.org/officeDocument/2006/relationships/worksheet" Target="/xl/worksheets/sheet1.xml" Id="Rc5b8c8dad8f549b3" /><Relationship Type="http://schemas.openxmlformats.org/officeDocument/2006/relationships/worksheet" Target="/xl/worksheets/sheet2.xml" Id="R73387f2de03b49fc" /><Relationship Type="http://schemas.openxmlformats.org/officeDocument/2006/relationships/worksheet" Target="/xl/worksheets/sheet3.xml" Id="R362e410f0dab4670" /><Relationship Type="http://schemas.openxmlformats.org/officeDocument/2006/relationships/worksheet" Target="/xl/worksheets/sheet4.xml" Id="R6cf0624dd77a4f44" /><Relationship Type="http://schemas.openxmlformats.org/officeDocument/2006/relationships/worksheet" Target="/xl/worksheets/sheet5.xml" Id="R67d10e6b5f994220" /><Relationship Type="http://schemas.openxmlformats.org/officeDocument/2006/relationships/worksheet" Target="/xl/worksheets/sheet6.xml" Id="Ra99833447adc4bcf" /><Relationship Type="http://schemas.openxmlformats.org/officeDocument/2006/relationships/worksheet" Target="/xl/worksheets/sheet7.xml" Id="R67b8053b4f274d89" /><Relationship Type="http://schemas.openxmlformats.org/officeDocument/2006/relationships/worksheet" Target="/xl/worksheets/sheet8.xml" Id="Rcfdb26fbd3d344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52" hidden="0" customWidth="1"/>
  </x:cols>
  <x:sheetData>
    <x:row r="1" ht="27" customHeight="1">
      <x:c r="A1" s="2" t="str">
        <x:v>Meadow Commerce | Editable underwriting assumptions</x:v>
      </x:c>
    </x:row>
    <x:row r="2" ht="36" customHeight="1">
      <x:c r="A2" s="4" t="str">
        <x:v>As of 2026-08-31. Blue-shaded value cells are inputs; all other sheets recalculate from them.</x:v>
      </x:c>
    </x:row>
    <x:row r="3" ht="25" customHeight="1">
      <x:c r="A3" s="6" t="str">
        <x:v>Input</x:v>
      </x:c>
      <x:c r="B3" s="6" t="str">
        <x:v>Value</x:v>
      </x:c>
      <x:c r="C3" s="6" t="str">
        <x:v>Source / note</x:v>
      </x:c>
    </x:row>
    <x:row r="4" ht="22" customHeight="1">
      <x:c r="A4" s="1" t="str">
        <x:v>Gross potential base rent (annual, UW)</x:v>
      </x:c>
      <x:c r="B4" s="8" t="n">
        <x:v>756000</x:v>
      </x:c>
      <x:c r="C4" s="1" t="str">
        <x:v>Property-and-Plan.pdf p.2 (supplied scenario)</x:v>
      </x:c>
    </x:row>
    <x:row r="5" ht="22" customHeight="1">
      <x:c r="A5" s="1" t="str">
        <x:v>Combined revenue loss (% of GPR)</x:v>
      </x:c>
      <x:c r="B5" s="9" t="n">
        <x:v>0.03</x:v>
      </x:c>
      <x:c r="C5" s="1" t="str">
        <x:v>Property-and-Plan.pdf p.2; vacancy+concessions+bad debt</x:v>
      </x:c>
    </x:row>
    <x:row r="6" ht="22" customHeight="1">
      <x:c r="A6" s="1" t="str">
        <x:v>Other income / recoveries (annual, UW)</x:v>
      </x:c>
      <x:c r="B6" s="8" t="n">
        <x:v>162000</x:v>
      </x:c>
      <x:c r="C6" s="1" t="str">
        <x:v>Property-and-Plan.pdf p.2; added after loss</x:v>
      </x:c>
    </x:row>
    <x:row r="7" ht="22" customHeight="1">
      <x:c r="A7" s="1" t="str">
        <x:v>Valuation cap rate</x:v>
      </x:c>
      <x:c r="B7" s="10" t="n">
        <x:v>0.065</x:v>
      </x:c>
      <x:c r="C7" s="1" t="str">
        <x:v>Lender-Terms.pdf p.1</x:v>
      </x:c>
    </x:row>
    <x:row r="8" ht="22" customHeight="1">
      <x:c r="A8" s="1" t="str">
        <x:v>Sizing rate (annual)</x:v>
      </x:c>
      <x:c r="B8" s="10" t="n">
        <x:v>0.075</x:v>
      </x:c>
      <x:c r="C8" s="1" t="str">
        <x:v>Greater of 6.10% contract and 6.50% floor (Lender-Terms.pdf p.1)</x:v>
      </x:c>
    </x:row>
    <x:row r="9" ht="22" customHeight="1">
      <x:c r="A9" s="1" t="str">
        <x:v>Contract rate (annual, fixed)</x:v>
      </x:c>
      <x:c r="B9" s="10" t="n">
        <x:v>0.061</x:v>
      </x:c>
      <x:c r="C9" s="1" t="str">
        <x:v>Lender-Terms.pdf p.1</x:v>
      </x:c>
    </x:row>
    <x:row r="10" ht="22" customHeight="1">
      <x:c r="A10" s="1" t="str">
        <x:v>Underwriting rate floor</x:v>
      </x:c>
      <x:c r="B10" s="10" t="n">
        <x:v>0.065</x:v>
      </x:c>
      <x:c r="C10" s="1" t="str">
        <x:v>Lender-Terms.pdf p.1</x:v>
      </x:c>
    </x:row>
    <x:row r="11" ht="22" customHeight="1">
      <x:c r="A11" s="1" t="str">
        <x:v>Amortization term (years)</x:v>
      </x:c>
      <x:c r="B11" s="11" t="n">
        <x:v>30</x:v>
      </x:c>
      <x:c r="C11" s="1" t="str">
        <x:v>Lender-Terms.pdf p.1</x:v>
      </x:c>
    </x:row>
    <x:row r="12" ht="22" customHeight="1">
      <x:c r="A12" s="1" t="str">
        <x:v>Payments per year</x:v>
      </x:c>
      <x:c r="B12" s="11" t="n">
        <x:v>12</x:v>
      </x:c>
      <x:c r="C12" s="1" t="str">
        <x:v>Monthly payments; annual DS = 12 payments</x:v>
      </x:c>
    </x:row>
    <x:row r="13" ht="22" customHeight="1">
      <x:c r="A13" s="1" t="str">
        <x:v>Interest-only period (months)</x:v>
      </x:c>
      <x:c r="B13" s="11" t="n">
        <x:v>12</x:v>
      </x:c>
      <x:c r="C13" s="1" t="str">
        <x:v>Lender-Terms.pdf p.1</x:v>
      </x:c>
    </x:row>
    <x:row r="14" ht="22" customHeight="1">
      <x:c r="A14" s="1" t="str">
        <x:v>Maximum LTV</x:v>
      </x:c>
      <x:c r="B14" s="9" t="n">
        <x:v>0.6</x:v>
      </x:c>
      <x:c r="C14" s="1" t="str">
        <x:v>Lender-Terms.pdf p.1</x:v>
      </x:c>
    </x:row>
    <x:row r="15" ht="22" customHeight="1">
      <x:c r="A15" s="1" t="str">
        <x:v>Minimum DSCR (NCF after reserves)</x:v>
      </x:c>
      <x:c r="B15" s="12" t="n">
        <x:v>1.3</x:v>
      </x:c>
      <x:c r="C15" s="1" t="str">
        <x:v>Lender-Terms.pdf p.1</x:v>
      </x:c>
    </x:row>
    <x:row r="16" ht="22" customHeight="1">
      <x:c r="A16" s="1" t="str">
        <x:v>Minimum debt yield (NCF after reserves)</x:v>
      </x:c>
      <x:c r="B16" s="9" t="n">
        <x:v>0.095</x:v>
      </x:c>
      <x:c r="C16" s="1" t="str">
        <x:v>Lender-Terms.pdf p.1</x:v>
      </x:c>
    </x:row>
    <x:row r="17" ht="22" customHeight="1">
      <x:c r="A17" s="1" t="str">
        <x:v>Replacement reserves ($/SF/year)</x:v>
      </x:c>
      <x:c r="B17" s="12" t="n">
        <x:v>0.2</x:v>
      </x:c>
      <x:c r="C17" s="1" t="str">
        <x:v>Property-and-Plan.pdf p.2</x:v>
      </x:c>
    </x:row>
    <x:row r="18" ht="22" customHeight="1">
      <x:c r="A18" s="1" t="str">
        <x:v>Total rentable SF</x:v>
      </x:c>
      <x:c r="B18" s="8" t="n">
        <x:v>72000</x:v>
      </x:c>
      <x:c r="C18" s="1" t="str">
        <x:v>Rent-Roll.xlsx rows 7-9 (16,000+24,000+32,000)</x:v>
      </x:c>
    </x:row>
    <x:row r="19" ht="22" customHeight="1">
      <x:c r="A19" s="1" t="str">
        <x:v>Existing debt payoff</x:v>
      </x:c>
      <x:c r="B19" s="8" t="n">
        <x:v>3600000</x:v>
      </x:c>
      <x:c r="C19" s="1" t="str">
        <x:v>Property-and-Plan.pdf p.1</x:v>
      </x:c>
    </x:row>
    <x:row r="20" ht="22" customHeight="1">
      <x:c r="A20" s="1" t="str">
        <x:v>Fixed closing costs</x:v>
      </x:c>
      <x:c r="B20" s="8" t="n">
        <x:v>55000</x:v>
      </x:c>
      <x:c r="C20" s="1" t="str">
        <x:v>Property-and-Plan.pdf p.1</x:v>
      </x:c>
    </x:row>
    <x:row r="21" ht="22" customHeight="1">
      <x:c r="A21" s="1" t="str">
        <x:v>Origination fee (% of initial principal)</x:v>
      </x:c>
      <x:c r="B21" s="9" t="n">
        <x:v>0.01</x:v>
      </x:c>
      <x:c r="C21" s="1" t="str">
        <x:v>Lender-Terms.pdf p.1</x:v>
      </x:c>
    </x:row>
    <x:row r="22" ht="22" customHeight="1">
      <x:c r="A22" s="1" t="str">
        <x:v>T12 actual management fee</x:v>
      </x:c>
      <x:c r="B22" s="8" t="n">
        <x:v>26400</x:v>
      </x:c>
      <x:c r="C22" s="1" t="str">
        <x:v>T12-Statement.pdf p.2 annual column</x:v>
      </x:c>
    </x:row>
    <x:row r="23" ht="22" customHeight="1">
      <x:c r="A23" s="1" t="str">
        <x:v>Management fee (% of underwritten EGI)</x:v>
      </x:c>
      <x:c r="B23" s="9" t="n">
        <x:v>0.03</x:v>
      </x:c>
      <x:c r="C23" s="1" t="str">
        <x:v>Property-and-Plan.pdf p.2 (greater of T12 actual or 3%)</x:v>
      </x:c>
    </x:row>
    <x:row r="24" ht="22" customHeight="1">
      <x:c r="A24" s="1" t="str">
        <x:v>UW real estate taxes</x:v>
      </x:c>
      <x:c r="B24" s="8" t="n">
        <x:v>108000</x:v>
      </x:c>
      <x:c r="C24" s="1" t="str">
        <x:v>Property-and-Plan.pdf p.2</x:v>
      </x:c>
    </x:row>
    <x:row r="25" ht="22" customHeight="1">
      <x:c r="A25" s="1" t="str">
        <x:v>UW property insurance (provisional allowance)</x:v>
      </x:c>
      <x:c r="B25" s="8" t="n">
        <x:v>36000</x:v>
      </x:c>
      <x:c r="C25" s="1" t="str">
        <x:v>Property-and-Plan.pdf p.2; no renewal quote/binder delivered</x:v>
      </x:c>
    </x:row>
    <x:row r="26" ht="22" customHeight="1">
      <x:c r="A26" s="1" t="str">
        <x:v>UW utilities</x:v>
      </x:c>
      <x:c r="B26" s="8" t="n">
        <x:v>9600</x:v>
      </x:c>
      <x:c r="C26" s="1" t="str">
        <x:v>T12 actual per plan</x:v>
      </x:c>
    </x:row>
    <x:row r="27" ht="22" customHeight="1">
      <x:c r="A27" s="1" t="str">
        <x:v>UW repairs and maintenance</x:v>
      </x:c>
      <x:c r="B27" s="8" t="n">
        <x:v>19200</x:v>
      </x:c>
      <x:c r="C27" s="1" t="str">
        <x:v>T12 actual; $0 one-time cleanup removed</x:v>
      </x:c>
    </x:row>
    <x:row r="28" ht="22" customHeight="1">
      <x:c r="A28" s="1" t="str">
        <x:v>UW payroll / contract labor</x:v>
      </x:c>
      <x:c r="B28" s="8" t="n">
        <x:v>12000</x:v>
      </x:c>
      <x:c r="C28" s="1" t="str">
        <x:v>T12 actual per plan</x:v>
      </x:c>
    </x:row>
    <x:row r="29" ht="22" customHeight="1">
      <x:c r="A29" s="1" t="str">
        <x:v>UW administrative / legal</x:v>
      </x:c>
      <x:c r="B29" s="8" t="n">
        <x:v>16800</x:v>
      </x:c>
      <x:c r="C29" s="1" t="str">
        <x:v>T12 actual per plan</x:v>
      </x:c>
    </x:row>
    <x:row r="30" ht="22" customHeight="1">
      <x:c r="A30" s="1" t="str">
        <x:v>EGI stress factor (downside)</x:v>
      </x:c>
      <x:c r="B30" s="9" t="n">
        <x:v>0.95</x:v>
      </x:c>
      <x:c r="C30" s="1" t="str">
        <x:v>Property-and-Plan.pdf p.2 sensitivity instruction (-5%)</x:v>
      </x:c>
    </x:row>
    <x:row r="31" ht="22" customHeight="1">
      <x:c r="A31" s="1" t="str">
        <x:v>Sizing rate stress increment</x:v>
      </x:c>
      <x:c r="B31" s="10" t="n">
        <x:v>0.01</x:v>
      </x:c>
      <x:c r="C31" s="1" t="str">
        <x:v>+100 bps combined downside</x:v>
      </x:c>
    </x:row>
    <x:row r="32" ht="22" customHeight="1">
      <x:c r="A32" s="1" t="str">
        <x:v>Cap rate stress increment (separate test)</x:v>
      </x:c>
      <x:c r="B32" s="10" t="n">
        <x:v>0.005</x:v>
      </x:c>
      <x:c r="C32" s="1" t="str">
        <x:v>+50 bps cap-rate sensitivity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4" hidden="0" customWidth="1"/>
  </x:cols>
  <x:sheetData>
    <x:row r="1" ht="27" customHeight="1">
      <x:c r="A1" s="2" t="str">
        <x:v>Rent roll | as of 2026-08-31 (current contractual)</x:v>
      </x:c>
    </x:row>
    <x:row r="2" ht="36" customHeight="1">
      <x:c r="A2" s="4" t="str">
        <x:v>Source: Rent-Roll.xlsx, worksheet 'Rent Roll', rows 7-9. Market rent is context only, not income.</x:v>
      </x:c>
    </x:row>
    <x:row r="3" ht="25" customHeight="1">
      <x:c r="A3" s="6" t="str">
        <x:v>Unit</x:v>
      </x:c>
      <x:c r="B3" s="6" t="str">
        <x:v>Tenant</x:v>
      </x:c>
      <x:c r="C3" s="6" t="str">
        <x:v>Area SF</x:v>
      </x:c>
      <x:c r="D3" s="6" t="str">
        <x:v>Status</x:v>
      </x:c>
      <x:c r="E3" s="6" t="str">
        <x:v>Monthly base rent</x:v>
      </x:c>
      <x:c r="F3" s="6" t="str">
        <x:v>Market monthly rent</x:v>
      </x:c>
      <x:c r="G3" s="6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3" t="n">
        <x:v>16000</x:v>
      </x:c>
      <x:c r="D4" s="1" t="str">
        <x:v>Occupied</x:v>
      </x:c>
      <x:c r="E4" s="13" t="n">
        <x:v>12800</x:v>
      </x:c>
      <x:c r="F4" s="13" t="n">
        <x:v>12800</x:v>
      </x:c>
      <x:c r="G4" s="1" t="str">
        <x:v>2028-08-31</x:v>
      </x:c>
    </x:row>
    <x:row r="5" ht="22" customHeight="1">
      <x:c r="A5" s="1" t="str">
        <x:v>102</x:v>
      </x:c>
      <x:c r="B5" s="1" t="str">
        <x:v>Tenant B LLC</x:v>
      </x:c>
      <x:c r="C5" s="13" t="n">
        <x:v>24000</x:v>
      </x:c>
      <x:c r="D5" s="1" t="str">
        <x:v>Occupied</x:v>
      </x:c>
      <x:c r="E5" s="13" t="n">
        <x:v>20400</x:v>
      </x:c>
      <x:c r="F5" s="13" t="n">
        <x:v>20400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3" t="n">
        <x:v>32000</x:v>
      </x:c>
      <x:c r="D6" s="1" t="str">
        <x:v>Occupied</x:v>
      </x:c>
      <x:c r="E6" s="13" t="n">
        <x:v>28800</x:v>
      </x:c>
      <x:c r="F6" s="13" t="n">
        <x:v>28800</x:v>
      </x:c>
      <x:c r="G6" s="1" t="str">
        <x:v>2029-08-31</x:v>
      </x:c>
    </x:row>
    <x:row r="7" ht="22" customHeight="1">
      <x:c r="A7" s="15" t="str">
        <x:v>Total</x:v>
      </x:c>
      <x:c r="C7" s="17" t="n">
        <x:f>SUM(C4:C6)</x:f>
        <x:v>72000</x:v>
      </x:c>
      <x:c r="E7" s="17" t="n">
        <x:f>SUM(E4:E6)</x:f>
        <x:v>62000</x:v>
      </x:c>
      <x:c r="F7" s="17" t="n">
        <x:f>SUM(F4:F6)</x:f>
        <x:v>62000</x:v>
      </x:c>
    </x:row>
    <x:row r="9" ht="22" customHeight="1">
      <x:c r="A9" s="1" t="str">
        <x:v>Space count</x:v>
      </x:c>
      <x:c r="C9" s="18" t="n">
        <x:f>COUNTA(A4:A6)</x:f>
        <x:v>3</x:v>
      </x:c>
    </x:row>
    <x:row r="10" ht="22" customHeight="1">
      <x:c r="A10" s="1" t="str">
        <x:v>Occupied count</x:v>
      </x:c>
      <x:c r="C10" s="18" t="n">
        <x:f>COUNTIF(D4:D6,"Occupied")</x:f>
        <x:v>3</x:v>
      </x:c>
    </x:row>
    <x:row r="11" ht="22" customHeight="1">
      <x:c r="A11" s="1" t="str">
        <x:v>Occupied area SF</x:v>
      </x:c>
      <x:c r="C11" s="13" t="n">
        <x:f>SUMIF(D4:D6,"Occupied",C4:C6)</x:f>
        <x:v>72000</x:v>
      </x:c>
    </x:row>
    <x:row r="12" ht="22" customHeight="1">
      <x:c r="A12" s="1" t="str">
        <x:v>Occupancy by count (%)</x:v>
      </x:c>
      <x:c r="C12" s="19" t="n">
        <x:f>100*C10/C9</x:f>
        <x:v>100</x:v>
      </x:c>
    </x:row>
    <x:row r="13" ht="22" customHeight="1">
      <x:c r="A13" s="1" t="str">
        <x:v>Occupancy by area (%)</x:v>
      </x:c>
      <x:c r="C13" s="19" t="n">
        <x:f>100*C11/C7</x:f>
        <x:v>100</x:v>
      </x:c>
    </x:row>
    <x:row r="14" ht="22" customHeight="1">
      <x:c r="A14" s="1" t="str">
        <x:v>Monthly base rent as printed</x:v>
      </x:c>
      <x:c r="C14" s="13" t="n">
        <x:f>E7</x:f>
        <x:v>62000</x:v>
      </x:c>
    </x:row>
    <x:row r="15" ht="22" customHeight="1">
      <x:c r="A15" s="20" t="str">
        <x:v>Effective monthly base rent (after authoritative lease evidence)</x:v>
      </x:c>
      <x:c r="C15" s="17" t="n">
        <x:f>E7</x:f>
        <x:v>62000</x:v>
      </x:c>
    </x:row>
    <x:row r="16" ht="36" customHeight="1">
      <x:c r="A16" s="4" t="str">
        <x:v>Lease-File.pdf p.1 confirms premises 101 base rent of $12,800/month as of 2026-08-31 and expiry 2028-08-31; no signed amendment or renewal-exercise notice is in the packet, so the printed roll stands.</x:v>
      </x:c>
    </x:row>
    <x:row r="18" ht="22" customHeight="1">
      <x:c r="A18" s="20" t="str">
        <x:v>Annualized contractual base rent (context only, not underwritten)</x:v>
      </x:c>
      <x:c r="C18" s="13" t="n">
        <x:f>12*C15</x:f>
        <x:v>744000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40" hidden="0" customWidth="1"/>
  </x:cols>
  <x:sheetData>
    <x:row r="1" ht="27" customHeight="1">
      <x:c r="A1" s="2" t="str">
        <x:v>Historical T12 | September 2025 - August 2026 (actual)</x:v>
      </x:c>
    </x:row>
    <x:row r="2" ht="36" customHeight="1">
      <x:c r="A2" s="4" t="str">
        <x:v>Source: T12-Statement.pdf pp.1-2, annual column. Historical only; not the underwriting scenario.</x:v>
      </x:c>
    </x:row>
    <x:row r="3" ht="25" customHeight="1">
      <x:c r="A3" s="6" t="str">
        <x:v>Line</x:v>
      </x:c>
      <x:c r="B3" s="6" t="str">
        <x:v>Amount</x:v>
      </x:c>
      <x:c r="C3" s="6" t="str">
        <x:v>Note</x:v>
      </x:c>
    </x:row>
    <x:row r="4" ht="22" customHeight="1">
      <x:c r="A4" s="1" t="str">
        <x:v>Gross potential base rent</x:v>
      </x:c>
      <x:c r="B4" s="13" t="n">
        <x:v>744000</x:v>
      </x:c>
    </x:row>
    <x:row r="5" ht="22" customHeight="1">
      <x:c r="A5" s="1" t="str">
        <x:v>Vacancy loss</x:v>
      </x:c>
      <x:c r="B5" s="13" t="n">
        <x:v>0</x:v>
      </x:c>
    </x:row>
    <x:row r="6" ht="22" customHeight="1">
      <x:c r="A6" s="1" t="str">
        <x:v>Concessions</x:v>
      </x:c>
      <x:c r="B6" s="13" t="n">
        <x:v>-18000</x:v>
      </x:c>
    </x:row>
    <x:row r="7" ht="22" customHeight="1">
      <x:c r="A7" s="1" t="str">
        <x:v>Bad debt</x:v>
      </x:c>
      <x:c r="B7" s="13" t="n">
        <x:v>-2400</x:v>
      </x:c>
    </x:row>
    <x:row r="8" ht="22" customHeight="1">
      <x:c r="A8" s="1" t="str">
        <x:v>Other income / recoveries</x:v>
      </x:c>
      <x:c r="B8" s="13" t="n">
        <x:v>158400</x:v>
      </x:c>
    </x:row>
    <x:row r="9" ht="22" customHeight="1">
      <x:c r="A9" s="15" t="str">
        <x:v>T12 effective gross income (EGI)</x:v>
      </x:c>
      <x:c r="B9" s="17" t="n">
        <x:f>SUM(B4:B8)</x:f>
        <x:v>882000</x:v>
      </x:c>
    </x:row>
    <x:row r="10" ht="22" customHeight="1">
      <x:c r="A10" s="1" t="str">
        <x:v>Real estate taxes</x:v>
      </x:c>
      <x:c r="B10" s="13" t="n">
        <x:v>102000</x:v>
      </x:c>
    </x:row>
    <x:row r="11" ht="22" customHeight="1">
      <x:c r="A11" s="1" t="str">
        <x:v>Property insurance</x:v>
      </x:c>
      <x:c r="B11" s="13" t="n">
        <x:v>26400</x:v>
      </x:c>
    </x:row>
    <x:row r="12" ht="22" customHeight="1">
      <x:c r="A12" s="1" t="str">
        <x:v>Utilities</x:v>
      </x:c>
      <x:c r="B12" s="13" t="n">
        <x:v>9600</x:v>
      </x:c>
    </x:row>
    <x:row r="13" ht="22" customHeight="1">
      <x:c r="A13" s="1" t="str">
        <x:v>Repairs and maintenance</x:v>
      </x:c>
      <x:c r="B13" s="13" t="n">
        <x:v>19200</x:v>
      </x:c>
    </x:row>
    <x:row r="14" ht="22" customHeight="1">
      <x:c r="A14" s="1" t="str">
        <x:v>Payroll / contract labor</x:v>
      </x:c>
      <x:c r="B14" s="13" t="n">
        <x:v>12000</x:v>
      </x:c>
    </x:row>
    <x:row r="15" ht="22" customHeight="1">
      <x:c r="A15" s="1" t="str">
        <x:v>Administrative / legal</x:v>
      </x:c>
      <x:c r="B15" s="13" t="n">
        <x:v>16800</x:v>
      </x:c>
    </x:row>
    <x:row r="16" ht="22" customHeight="1">
      <x:c r="A16" s="1" t="str">
        <x:v>Management fee</x:v>
      </x:c>
      <x:c r="B16" s="13" t="n">
        <x:v>26400</x:v>
      </x:c>
    </x:row>
    <x:row r="17" ht="22" customHeight="1">
      <x:c r="A17" s="21" t="str">
        <x:v>T12 operating expenses (excl. reserves/capex/debt/depreciation)</x:v>
      </x:c>
      <x:c r="B17" s="17" t="n">
        <x:f>SUM(B10:B16)</x:f>
        <x:v>212400</x:v>
      </x:c>
    </x:row>
    <x:row r="18" ht="22" customHeight="1">
      <x:c r="A18" s="15" t="str">
        <x:v>T12 NOI before replacement reserves</x:v>
      </x:c>
      <x:c r="B18" s="17" t="n">
        <x:f>B9-B17</x:f>
        <x:v>669600</x:v>
      </x:c>
    </x:row>
    <x:row r="19" ht="22" customHeight="1">
      <x:c r="A19" s="1" t="str">
        <x:v>Replacement reserves (below NOI)</x:v>
      </x:c>
      <x:c r="B19" s="13" t="n">
        <x:v>14400</x:v>
      </x:c>
    </x:row>
    <x:row r="20" ht="36" customHeight="1">
      <x:c r="A20" s="15" t="str">
        <x:v>T12 NCF after replacement reserves</x:v>
      </x:c>
      <x:c r="B20" s="17" t="n">
        <x:f>B18-B19</x:f>
        <x:v>655200</x:v>
      </x:c>
      <x:c r="C20" s="4" t="str">
        <x:v>Equals the figure the accounting package may label 'property NOI'</x:v>
      </x:c>
    </x:row>
    <x:row r="22" ht="25" customHeight="1">
      <x:c r="A22" s="6" t="str">
        <x:v>Below cash flow (reconciliation only, not operating expense)</x:v>
      </x:c>
    </x:row>
    <x:row r="23" ht="22" customHeight="1">
      <x:c r="A23" s="1" t="str">
        <x:v>Capital improvements</x:v>
      </x:c>
      <x:c r="B23" s="13" t="n">
        <x:v>112000</x:v>
      </x:c>
    </x:row>
    <x:row r="24" ht="22" customHeight="1">
      <x:c r="A24" s="1" t="str">
        <x:v>Loan principal and interest (existing debt)</x:v>
      </x:c>
      <x:c r="B24" s="13" t="n">
        <x:v>294000</x:v>
      </x:c>
    </x:row>
    <x:row r="25" ht="22" customHeight="1">
      <x:c r="A25" s="1" t="str">
        <x:v>Depreciation (noncash)</x:v>
      </x:c>
      <x:c r="B25" s="13" t="n">
        <x:v>180000</x:v>
      </x:c>
    </x:row>
    <x:row r="26" ht="22" customHeight="1">
      <x:c r="A26" s="1" t="str">
        <x:v>T12 expense ratio (opex / EGI)</x:v>
      </x:c>
      <x:c r="B26" s="22" t="n">
        <x:f>B17/B9</x:f>
        <x:v>0.24081632653061225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42" hidden="0" customWidth="1"/>
  </x:cols>
  <x:sheetData>
    <x:row r="1" ht="27" customHeight="1">
      <x:c r="A1" s="2" t="str">
        <x:v>Underwritten cash flow | supplied scenario, September 2026 forward</x:v>
      </x:c>
    </x:row>
    <x:row r="2" ht="36" customHeight="1">
      <x:c r="A2" s="4" t="str">
        <x:v>Live formulas from Assumptions. Not a lender-approved forecast (Property-and-Plan.pdf p.1).</x:v>
      </x:c>
    </x:row>
    <x:row r="3" ht="25" customHeight="1">
      <x:c r="A3" s="6" t="str">
        <x:v>Line</x:v>
      </x:c>
      <x:c r="B3" s="6" t="str">
        <x:v>Amount</x:v>
      </x:c>
      <x:c r="C3" s="6" t="str">
        <x:v>Formula basis</x:v>
      </x:c>
    </x:row>
    <x:row r="4" ht="22" customHeight="1">
      <x:c r="A4" s="1" t="str">
        <x:v>Gross potential base rent</x:v>
      </x:c>
      <x:c r="B4" s="24" t="n">
        <x:f>Assumptions!B4</x:f>
        <x:v>756000</x:v>
      </x:c>
    </x:row>
    <x:row r="5" ht="22" customHeight="1">
      <x:c r="A5" s="20" t="str">
        <x:v>Combined revenue loss (vacancy/concessions/bad debt)</x:v>
      </x:c>
      <x:c r="B5" s="24" t="n">
        <x:f>-Assumptions!B4*Assumptions!B5</x:f>
        <x:v>-22680</x:v>
      </x:c>
      <x:c r="C5" s="1" t="str">
        <x:v>3.00% of underwritten GPR</x:v>
      </x:c>
    </x:row>
    <x:row r="6" ht="22" customHeight="1">
      <x:c r="A6" s="1" t="str">
        <x:v>Other income / recoveries</x:v>
      </x:c>
      <x:c r="B6" s="24" t="n">
        <x:f>Assumptions!B6</x:f>
        <x:v>162000</x:v>
      </x:c>
    </x:row>
    <x:row r="7" ht="22" customHeight="1">
      <x:c r="A7" s="15" t="str">
        <x:v>Underwritten EGI</x:v>
      </x:c>
      <x:c r="B7" s="17" t="n">
        <x:f>SUM(B4:B6)</x:f>
        <x:v>895320</x:v>
      </x:c>
    </x:row>
    <x:row r="8" ht="22" customHeight="1">
      <x:c r="A8" s="1" t="str">
        <x:v>Real estate taxes</x:v>
      </x:c>
      <x:c r="B8" s="24" t="n">
        <x:f>Assumptions!B24</x:f>
        <x:v>108000</x:v>
      </x:c>
    </x:row>
    <x:row r="9" ht="22" customHeight="1">
      <x:c r="A9" s="1" t="str">
        <x:v>Property insurance (provisional allowance)</x:v>
      </x:c>
      <x:c r="B9" s="24" t="n">
        <x:f>Assumptions!B25</x:f>
        <x:v>36000</x:v>
      </x:c>
      <x:c r="C9" s="1" t="str">
        <x:v>Verified renewal premium unknown</x:v>
      </x:c>
    </x:row>
    <x:row r="10" ht="22" customHeight="1">
      <x:c r="A10" s="1" t="str">
        <x:v>Utilities</x:v>
      </x:c>
      <x:c r="B10" s="24" t="n">
        <x:f>Assumptions!B26</x:f>
        <x:v>9600</x:v>
      </x:c>
    </x:row>
    <x:row r="11" ht="22" customHeight="1">
      <x:c r="A11" s="1" t="str">
        <x:v>Repairs and maintenance</x:v>
      </x:c>
      <x:c r="B11" s="24" t="n">
        <x:f>Assumptions!B27</x:f>
        <x:v>19200</x:v>
      </x:c>
    </x:row>
    <x:row r="12" ht="22" customHeight="1">
      <x:c r="A12" s="1" t="str">
        <x:v>Payroll / contract labor</x:v>
      </x:c>
      <x:c r="B12" s="24" t="n">
        <x:f>Assumptions!B28</x:f>
        <x:v>12000</x:v>
      </x:c>
    </x:row>
    <x:row r="13" ht="22" customHeight="1">
      <x:c r="A13" s="1" t="str">
        <x:v>Administrative / legal</x:v>
      </x:c>
      <x:c r="B13" s="24" t="n">
        <x:f>Assumptions!B29</x:f>
        <x:v>16800</x:v>
      </x:c>
    </x:row>
    <x:row r="14" ht="22" customHeight="1">
      <x:c r="A14" s="1" t="str">
        <x:v>Management fee (lender-normalized)</x:v>
      </x:c>
      <x:c r="B14" s="24" t="n">
        <x:f>MAX(Assumptions!B22,Assumptions!B23*B7)</x:f>
        <x:v>26859.6</x:v>
      </x:c>
      <x:c r="C14" s="1" t="str">
        <x:v>Greater of T12 actual and 3.00% of UW EGI</x:v>
      </x:c>
    </x:row>
    <x:row r="15" ht="22" customHeight="1">
      <x:c r="A15" s="21" t="str">
        <x:v>Underwritten operating expenses before reserves</x:v>
      </x:c>
      <x:c r="B15" s="17" t="n">
        <x:f>SUM(B8:B14)</x:f>
        <x:v>228459.6</x:v>
      </x:c>
    </x:row>
    <x:row r="16" ht="22" customHeight="1">
      <x:c r="A16" s="15" t="str">
        <x:v>Underwritten NOI before reserves</x:v>
      </x:c>
      <x:c r="B16" s="17" t="n">
        <x:f>B7-B15</x:f>
        <x:v>666860.4</x:v>
      </x:c>
    </x:row>
    <x:row r="17" ht="22" customHeight="1">
      <x:c r="A17" s="1" t="str">
        <x:v>Replacement reserves</x:v>
      </x:c>
      <x:c r="B17" s="24" t="n">
        <x:f>Assumptions!B17*Assumptions!B18</x:f>
        <x:v>14400</x:v>
      </x:c>
      <x:c r="C17" s="1" t="str">
        <x:v>$0.20/SF x 72,000 SF</x:v>
      </x:c>
    </x:row>
    <x:row r="18" ht="22" customHeight="1">
      <x:c r="A18" s="15" t="str">
        <x:v>Underwritten NCF after reserves</x:v>
      </x:c>
      <x:c r="B18" s="17" t="n">
        <x:f>B16-B17</x:f>
        <x:v>652460.4</x:v>
      </x:c>
    </x:row>
    <x:row r="20" ht="22" customHeight="1">
      <x:c r="A20" s="1" t="str">
        <x:v>UW expense ratio (opex / EGI)</x:v>
      </x:c>
      <x:c r="B20" s="22" t="n">
        <x:f>B15/B7</x:f>
        <x:v>0.2551708886208283</x:v>
      </x:c>
    </x:row>
    <x:row r="21" ht="22" customHeight="1">
      <x:c r="A21" s="20" t="str">
        <x:v>Variance: UW NOI vs T12 NOI (before reserves)</x:v>
      </x:c>
      <x:c r="B21" s="24" t="n">
        <x:f>B16-T12!B18</x:f>
        <x:v>-2739.5999999999767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42" hidden="0" customWidth="1"/>
  </x:cols>
  <x:sheetData>
    <x:row r="1" ht="27" customHeight="1">
      <x:c r="A1" s="2" t="str">
        <x:v>Loan sizing | three constraints and binding maximum</x:v>
      </x:c>
    </x:row>
    <x:row r="2" ht="36" customHeight="1">
      <x:c r="A2" s="4" t="str">
        <x:v>Lender definitions per Lender-Terms.pdf p.1. Unrounded intermediates.</x:v>
      </x:c>
    </x:row>
    <x:row r="3" ht="25" customHeight="1">
      <x:c r="A3" s="6" t="str">
        <x:v>Metric</x:v>
      </x:c>
      <x:c r="B3" s="6" t="str">
        <x:v>Value</x:v>
      </x:c>
      <x:c r="C3" s="6" t="str">
        <x:v>Basis</x:v>
      </x:c>
    </x:row>
    <x:row r="4" ht="22" customHeight="1">
      <x:c r="A4" s="1" t="str">
        <x:v>Indicative capitalization value</x:v>
      </x:c>
      <x:c r="B4" s="17" t="n">
        <x:f>Underwriting!B16/Assumptions!B7</x:f>
        <x:v>10259390.76923077</x:v>
      </x:c>
      <x:c r="C4" s="1" t="str">
        <x:v>UW NOI before reserves / cap rate</x:v>
      </x:c>
    </x:row>
    <x:row r="5" ht="22" customHeight="1">
      <x:c r="A5" s="1" t="str">
        <x:v>LTV constraint (60% of value)</x:v>
      </x:c>
      <x:c r="B5" s="17" t="n">
        <x:f>Assumptions!B14*B4</x:f>
        <x:v>6155634.461538462</x:v>
      </x:c>
    </x:row>
    <x:row r="6" ht="22" customHeight="1">
      <x:c r="A6" s="1" t="str">
        <x:v>Sizing rate applied</x:v>
      </x:c>
      <x:c r="B6" s="25" t="n">
        <x:f>Assumptions!B8</x:f>
        <x:v>0.075</x:v>
      </x:c>
      <x:c r="C6" s="1" t="str">
        <x:v>MAX(contract 6.100%, floor 6.500%)</x:v>
      </x:c>
    </x:row>
    <x:row r="7" ht="22" customHeight="1">
      <x:c r="A7" s="1" t="str">
        <x:v>Monthly payment per $1 of principal</x:v>
      </x:c>
      <x:c r="B7" s="26" t="n">
        <x:f>-PMT(B6/Assumptions!B12,Assumptions!B11*Assumptions!B12,1)</x:f>
        <x:v>0.006992145085527791</x:v>
      </x:c>
    </x:row>
    <x:row r="8" ht="22" customHeight="1">
      <x:c r="A8" s="20" t="str">
        <x:v>Annual debt constant (12 monthly payments per $1)</x:v>
      </x:c>
      <x:c r="B8" s="28" t="n">
        <x:f>Assumptions!B12*B7</x:f>
        <x:v>0.0839057410263335</x:v>
      </x:c>
    </x:row>
    <x:row r="9" ht="22" customHeight="1">
      <x:c r="A9" s="1" t="str">
        <x:v>DSCR constraint (NCF / 1.30x / constant)</x:v>
      </x:c>
      <x:c r="B9" s="17" t="n">
        <x:f>Underwriting!B18/Assumptions!B15/B8</x:f>
        <x:v>5981624.251755292</x:v>
      </x:c>
    </x:row>
    <x:row r="10" ht="22" customHeight="1">
      <x:c r="A10" s="20" t="str">
        <x:v>Debt yield numerator (UW NCF after reserves)</x:v>
      </x:c>
      <x:c r="B10" s="24" t="n">
        <x:f>Underwriting!B18</x:f>
        <x:v>652460.4</x:v>
      </x:c>
    </x:row>
    <x:row r="12" ht="22" customHeight="1">
      <x:c r="A12" s="1" t="str">
        <x:v>Debt yield constraint (NCF / 9.50%)</x:v>
      </x:c>
      <x:c r="B12" s="17" t="n">
        <x:f>B10/Assumptions!B16</x:f>
        <x:v>6868004.2105263155</x:v>
      </x:c>
    </x:row>
    <x:row r="14" ht="22" customHeight="1">
      <x:c r="A14" s="15" t="str">
        <x:v>Maximum loan (lowest constraint)</x:v>
      </x:c>
      <x:c r="B14" s="17" t="n">
        <x:f>MIN(B5,B9,B12)</x:f>
        <x:v>5981624.251755292</x:v>
      </x:c>
    </x:row>
    <x:row r="15" ht="22" customHeight="1">
      <x:c r="A15" s="15" t="str">
        <x:v>Binding constraint</x:v>
      </x:c>
      <x:c r="B15" s="15" t="str">
        <x:f>IF(B14=B5,"LTV",IF(B14=B9,"DSCR","Debt yield"))</x:f>
        <x:v>DSCR</x:v>
      </x:c>
    </x:row>
    <x:row r="16" ht="22" customHeight="1">
      <x:c r="A16" s="20" t="str">
        <x:v>Sizing annual debt service (amortizing, sizing rate)</x:v>
      </x:c>
      <x:c r="B16" s="17" t="n">
        <x:f>B14*B8</x:f>
        <x:v>501892.6153846154</x:v>
      </x:c>
    </x:row>
    <x:row r="17" ht="22" customHeight="1">
      <x:c r="A17" s="1" t="str">
        <x:v>Sizing DSCR (NCF / sizing debt service)</x:v>
      </x:c>
      <x:c r="B17" s="31" t="n">
        <x:f>Underwriting!B18/B16</x:f>
        <x:v>1.3</x:v>
      </x:c>
    </x:row>
    <x:row r="18" ht="22" customHeight="1">
      <x:c r="A18" s="1" t="str">
        <x:v>Sizing debt yield (NCF / loan)</x:v>
      </x:c>
      <x:c r="B18" s="34" t="n">
        <x:f>B10/B14</x:f>
        <x:v>0.10907746333423356</x:v>
      </x:c>
    </x:row>
    <x:row r="19" ht="22" customHeight="1">
      <x:c r="A19" s="1" t="str">
        <x:v>Implied LTV at maximum loan</x:v>
      </x:c>
      <x:c r="B19" s="35" t="n">
        <x:f>B14/B4</x:f>
        <x:v>0.5830389334320856</x:v>
      </x:c>
    </x:row>
    <x:row r="20" ht="22" customHeight="1">
      <x:c r="A20" s="21" t="str">
        <x:v>First-year contractual debt service (12 months IO at 6.100%)</x:v>
      </x:c>
      <x:c r="B20" s="17" t="n">
        <x:f>B14*Assumptions!B9*Assumptions!B13/12</x:f>
        <x:v>364879.07935707277</x:v>
      </x:c>
    </x:row>
    <x:row r="21" ht="22" customHeight="1">
      <x:c r="A21" s="20" t="str">
        <x:v>Post-IO annual debt service (contract rate, 30-yr amortization)</x:v>
      </x:c>
      <x:c r="B21" s="24" t="n">
        <x:f>B14*Assumptions!B12*(-PMT(Assumptions!B9/Assumptions!B12,Assumptions!B11*Assumptions!B12,1))</x:f>
        <x:v>434979.97267869196</x:v>
      </x:c>
    </x:row>
    <x:row r="22" ht="22" customHeight="1">
      <x:c r="A22" s="20" t="str">
        <x:v>First-year DSCR on contractual (IO) debt service</x:v>
      </x:c>
      <x:c r="B22" s="29" t="n">
        <x:f>Underwriting!B18/B20</x:f>
        <x:v>1.7881551366267796</x:v>
      </x:c>
    </x:row>
    <x:row r="23" ht="22" customHeight="1">
      <x:c r="A23" s="20" t="str">
        <x:v>Sizing debt service less first-year contractual debt service</x:v>
      </x:c>
      <x:c r="B23" s="13" t="n">
        <x:f>B16-B20</x:f>
        <x:v>137013.5360275426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36" hidden="0" customWidth="1"/>
  </x:cols>
  <x:sheetData>
    <x:row r="1" ht="27" customHeight="1">
      <x:c r="A1" s="2" t="str">
        <x:v>Sources and uses | net cash to borrower</x:v>
      </x:c>
    </x:row>
    <x:row r="3" ht="25" customHeight="1">
      <x:c r="A3" s="6" t="str">
        <x:v>Item</x:v>
      </x:c>
      <x:c r="B3" s="6" t="str">
        <x:v>Amount</x:v>
      </x:c>
      <x:c r="C3" s="6" t="str">
        <x:v>Basis</x:v>
      </x:c>
    </x:row>
    <x:row r="4" ht="25" customHeight="1">
      <x:c r="A4" s="6" t="str">
        <x:v>Sources</x:v>
      </x:c>
    </x:row>
    <x:row r="5" ht="22" customHeight="1">
      <x:c r="A5" s="1" t="str">
        <x:v>New first-mortgage loan proceeds</x:v>
      </x:c>
      <x:c r="B5" s="17" t="n">
        <x:f>Sizing!B14</x:f>
        <x:v>5981624.251755292</x:v>
      </x:c>
    </x:row>
    <x:row r="6" ht="22" customHeight="1">
      <x:c r="A6" s="15" t="str">
        <x:v>Total sources</x:v>
      </x:c>
      <x:c r="B6" s="17" t="n">
        <x:f>B5</x:f>
        <x:v>5981624.251755292</x:v>
      </x:c>
    </x:row>
    <x:row r="7" ht="25" customHeight="1">
      <x:c r="A7" s="6" t="str">
        <x:v>Uses</x:v>
      </x:c>
    </x:row>
    <x:row r="8" ht="22" customHeight="1">
      <x:c r="A8" s="1" t="str">
        <x:v>Existing debt payoff</x:v>
      </x:c>
      <x:c r="B8" s="24" t="n">
        <x:f>Assumptions!B19</x:f>
        <x:v>3600000</x:v>
      </x:c>
    </x:row>
    <x:row r="9" ht="22" customHeight="1">
      <x:c r="A9" s="1" t="str">
        <x:v>Origination fee (1.00% of initial principal)</x:v>
      </x:c>
      <x:c r="B9" s="24" t="n">
        <x:f>Assumptions!B21*B5</x:f>
        <x:v>59816.24251755292</x:v>
      </x:c>
    </x:row>
    <x:row r="10" ht="22" customHeight="1">
      <x:c r="A10" s="1" t="str">
        <x:v>Fixed closing costs</x:v>
      </x:c>
      <x:c r="B10" s="24" t="n">
        <x:f>Assumptions!B20</x:f>
        <x:v>55000</x:v>
      </x:c>
    </x:row>
    <x:row r="11" ht="22" customHeight="1">
      <x:c r="A11" s="15" t="str">
        <x:v>Total uses before distribution</x:v>
      </x:c>
      <x:c r="B11" s="17" t="n">
        <x:f>SUM(B8:B10)</x:f>
        <x:v>3714816.242517553</x:v>
      </x:c>
    </x:row>
    <x:row r="12" ht="22" customHeight="1">
      <x:c r="A12" s="15" t="str">
        <x:v>Net cash to borrower (negative = cash in)</x:v>
      </x:c>
      <x:c r="B12" s="17" t="n">
        <x:f>B6-B11</x:f>
        <x:v>2266808.009237739</x:v>
      </x:c>
    </x:row>
    <x:row r="14" ht="22" customHeight="1">
      <x:c r="A14" s="20" t="str">
        <x:v>Check: total uses incl. distribution equals sources</x:v>
      </x:c>
      <x:c r="B14" s="13" t="n">
        <x:f>B11+B12-B6</x:f>
        <x:v>0</x:v>
      </x:c>
    </x:row>
    <x:row r="15" ht="36" customHeight="1">
      <x:c r="A15" s="4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38" hidden="0" customWidth="1"/>
  </x:cols>
  <x:sheetData>
    <x:row r="1" ht="27" customHeight="1">
      <x:c r="A1" s="2" t="str">
        <x:v>Sensitivities | EGI -5%, sizing rate +100 bps, cap rate +50 bps</x:v>
      </x:c>
    </x:row>
    <x:row r="2" ht="36" customHeight="1">
      <x:c r="A2" s="4" t="str">
        <x:v>Management fee is recomputed on stressed EGI; all other expenses and reserves held constant.</x:v>
      </x:c>
    </x:row>
    <x:row r="3" ht="25" customHeight="1">
      <x:c r="A3" s="6" t="str">
        <x:v>Metric</x:v>
      </x:c>
      <x:c r="B3" s="6" t="str">
        <x:v>Value</x:v>
      </x:c>
      <x:c r="C3" s="6" t="str">
        <x:v>Basis</x:v>
      </x:c>
    </x:row>
    <x:row r="4" ht="25" customHeight="1">
      <x:c r="A4" s="6" t="str">
        <x:v>Case 1: EGI -5% (cap rate and sizing rate unchanged)</x:v>
      </x:c>
    </x:row>
    <x:row r="5" ht="22" customHeight="1">
      <x:c r="A5" s="1" t="str">
        <x:v>Stressed EGI</x:v>
      </x:c>
      <x:c r="B5" s="24" t="n">
        <x:f>Underwriting!B7*Assumptions!B30</x:f>
        <x:v>850554</x:v>
      </x:c>
    </x:row>
    <x:row r="6" ht="22" customHeight="1">
      <x:c r="A6" s="1" t="str">
        <x:v>Recomputed management fee</x:v>
      </x:c>
      <x:c r="B6" s="24" t="n">
        <x:f>MAX(Assumptions!B22,Assumptions!B23*B5)</x:f>
        <x:v>26400</x:v>
      </x:c>
    </x:row>
    <x:row r="7" ht="22" customHeight="1">
      <x:c r="A7" s="1" t="str">
        <x:v>Other operating expenses (unchanged)</x:v>
      </x:c>
      <x:c r="B7" s="24" t="n">
        <x:f>Underwriting!B15-Underwriting!B14</x:f>
        <x:v>201600</x:v>
      </x:c>
    </x:row>
    <x:row r="8" ht="22" customHeight="1">
      <x:c r="A8" s="1" t="str">
        <x:v>Stressed operating expenses</x:v>
      </x:c>
      <x:c r="B8" s="13" t="n">
        <x:f>B7+B6</x:f>
        <x:v>228000</x:v>
      </x:c>
    </x:row>
    <x:row r="9" ht="22" customHeight="1">
      <x:c r="A9" s="15" t="str">
        <x:v>Stressed NOI before reserves</x:v>
      </x:c>
      <x:c r="B9" s="17" t="n">
        <x:f>B5-B8</x:f>
        <x:v>622554</x:v>
      </x:c>
    </x:row>
    <x:row r="10" ht="22" customHeight="1">
      <x:c r="A10" s="15" t="str">
        <x:v>Stressed NCF after reserves</x:v>
      </x:c>
      <x:c r="B10" s="17" t="n">
        <x:f>B9-Underwriting!B17</x:f>
        <x:v>608154</x:v>
      </x:c>
    </x:row>
    <x:row r="11" ht="22" customHeight="1">
      <x:c r="A11" s="1" t="str">
        <x:v>Stressed value at base cap rate</x:v>
      </x:c>
      <x:c r="B11" s="24" t="n">
        <x:f>B9/Assumptions!B7</x:f>
        <x:v>9577753.846153846</x:v>
      </x:c>
    </x:row>
    <x:row r="12" ht="36" customHeight="1">
      <x:c r="A12" s="36" t="str">
        <x:v>Case 2: Combined downside - EGI -5% AND sizing rate +100 bps</x:v>
      </x:c>
    </x:row>
    <x:row r="13" ht="22" customHeight="1">
      <x:c r="A13" s="1" t="str">
        <x:v>Stressed sizing rate</x:v>
      </x:c>
      <x:c r="B13" s="25" t="n">
        <x:f>Assumptions!B8+Assumptions!B31</x:f>
        <x:v>0.08499999999999999</x:v>
      </x:c>
    </x:row>
    <x:row r="14" ht="22" customHeight="1">
      <x:c r="A14" s="1" t="str">
        <x:v>Stressed annual debt constant</x:v>
      </x:c>
      <x:c r="B14" s="26" t="n">
        <x:f>Assumptions!B12*(-PMT(B13/Assumptions!B12,Assumptions!B11*Assumptions!B12,1))</x:f>
        <x:v>0.09226961803012003</x:v>
      </x:c>
    </x:row>
    <x:row r="15" ht="22" customHeight="1">
      <x:c r="A15" s="1" t="str">
        <x:v>LTV constraint (cap rate unchanged)</x:v>
      </x:c>
      <x:c r="B15" s="24" t="n">
        <x:f>Assumptions!B14*B11</x:f>
        <x:v>5746652.307692307</x:v>
      </x:c>
    </x:row>
    <x:row r="16" ht="22" customHeight="1">
      <x:c r="A16" s="1" t="str">
        <x:v>DSCR constraint at stressed rate</x:v>
      </x:c>
      <x:c r="B16" s="24" t="n">
        <x:f>B10/Assumptions!B15/B14</x:f>
        <x:v>5070041.246708742</x:v>
      </x:c>
    </x:row>
    <x:row r="17" ht="22" customHeight="1">
      <x:c r="A17" s="1" t="str">
        <x:v>Debt yield constraint</x:v>
      </x:c>
      <x:c r="B17" s="24" t="n">
        <x:f>B10/Assumptions!B16</x:f>
        <x:v>6401621.052631578</x:v>
      </x:c>
    </x:row>
    <x:row r="21" ht="22" customHeight="1">
      <x:c r="A21" s="15" t="str">
        <x:v>Stressed maximum loan (combined downside)</x:v>
      </x:c>
      <x:c r="B21" s="17" t="n">
        <x:f>MIN(B15,B16,B17)</x:f>
        <x:v>5070041.246708742</x:v>
      </x:c>
    </x:row>
    <x:row r="22" ht="22" customHeight="1">
      <x:c r="A22" s="15" t="str">
        <x:v>Stressed binding constraint</x:v>
      </x:c>
      <x:c r="B22" s="15" t="str">
        <x:f>IF(B21=B15,"LTV",IF(B21=B16,"DSCR","Debt yield"))</x:f>
        <x:v>DSCR</x:v>
      </x:c>
    </x:row>
    <x:row r="23" ht="22" customHeight="1">
      <x:c r="A23" s="1" t="str">
        <x:v>Change vs base maximum loan</x:v>
      </x:c>
      <x:c r="B23" s="24" t="n">
        <x:f>B21-Sizing!B14</x:f>
        <x:v>-911583.0050465493</x:v>
      </x:c>
    </x:row>
    <x:row r="24" ht="36" customHeight="1">
      <x:c r="A24" s="36" t="str">
        <x:v>Case 3: Cap rate +50 bps only (EGI and sizing rate unchanged)</x:v>
      </x:c>
    </x:row>
    <x:row r="25" ht="22" customHeight="1">
      <x:c r="A25" s="1" t="str">
        <x:v>Stressed cap rate</x:v>
      </x:c>
      <x:c r="B25" s="25" t="n">
        <x:f>Assumptions!B7+Assumptions!B32</x:f>
        <x:v>0.07</x:v>
      </x:c>
    </x:row>
    <x:row r="26" ht="22" customHeight="1">
      <x:c r="A26" s="1" t="str">
        <x:v>Value at stressed cap rate</x:v>
      </x:c>
      <x:c r="B26" s="24" t="n">
        <x:f>Underwriting!B16/B25</x:f>
        <x:v>9526577.142857142</x:v>
      </x:c>
    </x:row>
    <x:row r="27" ht="22" customHeight="1">
      <x:c r="A27" s="1" t="str">
        <x:v>LTV constraint at stressed cap rate</x:v>
      </x:c>
      <x:c r="B27" s="24" t="n">
        <x:f>Assumptions!B14*B26</x:f>
        <x:v>5715946.2857142845</x:v>
      </x:c>
    </x:row>
    <x:row r="28" ht="22" customHeight="1">
      <x:c r="A28" s="15" t="str">
        <x:v>Maximum loan with cap rate +50 bps</x:v>
      </x:c>
      <x:c r="B28" s="17" t="n">
        <x:f>MIN(B27,Sizing!B9,Sizing!B12)</x:f>
        <x:v>5715946.2857142845</x:v>
      </x:c>
    </x:row>
    <x:row r="29" ht="22" customHeight="1">
      <x:c r="A29" s="15" t="str">
        <x:v>Binding constraint (cap +50 bps)</x:v>
      </x:c>
      <x:c r="B29" s="15" t="str">
        <x:f>IF(B28=B27,"LTV",IF(B28=Sizing!B9,"DSCR","Debt yield"))</x:f>
        <x:v>LTV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44" hidden="0" customWidth="1"/>
  </x:cols>
  <x:sheetData>
    <x:row r="1" ht="27" customHeight="1">
      <x:c r="A1" s="2" t="str">
        <x:v>Input / output location map</x:v>
      </x:c>
    </x:row>
    <x:row r="3" ht="25" customHeight="1">
      <x:c r="A3" s="6" t="str">
        <x:v>Item</x:v>
      </x:c>
      <x:c r="B3" s="6" t="str">
        <x:v>Cell</x:v>
      </x:c>
      <x:c r="C3" s="6" t="str">
        <x:v>Note</x:v>
      </x:c>
    </x:row>
    <x:row r="4" ht="25" customHeight="1">
      <x:c r="A4" s="6" t="str">
        <x:v>INPUTS</x:v>
      </x:c>
    </x:row>
    <x:row r="5" ht="22" customHeight="1">
      <x:c r="A5" s="1" t="str">
        <x:v>Cap rate</x:v>
      </x:c>
      <x:c r="B5" s="1" t="str">
        <x:v>Assumptions!B7</x:v>
      </x:c>
      <x:c r="C5" s="1" t="str">
        <x:v>Drives valuation and LTV constraint</x:v>
      </x:c>
    </x:row>
    <x:row r="6" ht="22" customHeight="1">
      <x:c r="A6" s="1" t="str">
        <x:v>Sizing rate</x:v>
      </x:c>
      <x:c r="B6" s="1" t="str">
        <x:v>Assumptions!B8</x:v>
      </x:c>
      <x:c r="C6" s="1" t="str">
        <x:v>Drives annual debt constant and DSCR constraint</x:v>
      </x:c>
    </x:row>
    <x:row r="7" ht="22" customHeight="1">
      <x:c r="A7" s="1" t="str">
        <x:v>EGI - gross potential rent</x:v>
      </x:c>
      <x:c r="B7" s="1" t="str">
        <x:v>Assumptions!B4</x:v>
      </x:c>
      <x:c r="C7" s="1" t="str">
        <x:v>Loss % held constant at Assumptions!B5</x:v>
      </x:c>
    </x:row>
    <x:row r="8" ht="22" customHeight="1">
      <x:c r="A8" s="1" t="str">
        <x:v>EGI - other income</x:v>
      </x:c>
      <x:c r="B8" s="1" t="str">
        <x:v>Assumptions!B6</x:v>
      </x:c>
    </x:row>
    <x:row r="9" ht="22" customHeight="1">
      <x:c r="A9" s="1" t="str">
        <x:v>Revenue loss %</x:v>
      </x:c>
      <x:c r="B9" s="1" t="str">
        <x:v>Assumptions!B5</x:v>
      </x:c>
    </x:row>
    <x:row r="10" ht="22" customHeight="1">
      <x:c r="A10" s="1" t="str">
        <x:v>Contract rate</x:v>
      </x:c>
      <x:c r="B10" s="1" t="str">
        <x:v>Assumptions!B9</x:v>
      </x:c>
    </x:row>
    <x:row r="11" ht="22" customHeight="1">
      <x:c r="A11" s="1" t="str">
        <x:v>Sizing rate stress (+bps)</x:v>
      </x:c>
      <x:c r="B11" s="1" t="str">
        <x:v>Assumptions!B31</x:v>
      </x:c>
    </x:row>
    <x:row r="12" ht="22" customHeight="1">
      <x:c r="A12" s="1" t="str">
        <x:v>Cap rate stress (+bps)</x:v>
      </x:c>
      <x:c r="B12" s="1" t="str">
        <x:v>Assumptions!B32</x:v>
      </x:c>
    </x:row>
    <x:row r="13" ht="22" customHeight="1">
      <x:c r="A13" s="1" t="str">
        <x:v>EGI stress factor</x:v>
      </x:c>
      <x:c r="B13" s="1" t="str">
        <x:v>Assumptions!B30</x:v>
      </x:c>
    </x:row>
    <x:row r="15" ht="25" customHeight="1">
      <x:c r="A15" s="6" t="str">
        <x:v>OUTPUTS</x:v>
      </x:c>
    </x:row>
    <x:row r="16" ht="22" customHeight="1">
      <x:c r="A16" s="1" t="str">
        <x:v>uw_egi</x:v>
      </x:c>
      <x:c r="B16" s="1" t="str">
        <x:v>Underwriting!B7</x:v>
      </x:c>
    </x:row>
    <x:row r="17" ht="22" customHeight="1">
      <x:c r="A17" s="1" t="str">
        <x:v>uw_noi_before_reserves</x:v>
      </x:c>
      <x:c r="B17" s="1" t="str">
        <x:v>Underwriting!B16</x:v>
      </x:c>
    </x:row>
    <x:row r="18" ht="22" customHeight="1">
      <x:c r="A18" s="1" t="str">
        <x:v>uw_ncf</x:v>
      </x:c>
      <x:c r="B18" s="1" t="str">
        <x:v>Underwriting!B18</x:v>
      </x:c>
    </x:row>
    <x:row r="19" ht="22" customHeight="1">
      <x:c r="A19" s="1" t="str">
        <x:v>capitalization_value</x:v>
      </x:c>
      <x:c r="B19" s="1" t="str">
        <x:v>Sizing!B4</x:v>
      </x:c>
    </x:row>
    <x:row r="20" ht="22" customHeight="1">
      <x:c r="A20" s="1" t="str">
        <x:v>ltv_limit</x:v>
      </x:c>
      <x:c r="B20" s="1" t="str">
        <x:v>Sizing!B5</x:v>
      </x:c>
    </x:row>
    <x:row r="21" ht="22" customHeight="1">
      <x:c r="A21" s="1" t="str">
        <x:v>dscr_limit</x:v>
      </x:c>
      <x:c r="B21" s="1" t="str">
        <x:v>Sizing!B9</x:v>
      </x:c>
    </x:row>
    <x:row r="22" ht="22" customHeight="1">
      <x:c r="A22" s="1" t="str">
        <x:v>debt_yield_limit</x:v>
      </x:c>
      <x:c r="B22" s="1" t="str">
        <x:v>Sizing!B12</x:v>
      </x:c>
    </x:row>
    <x:row r="23" ht="22" customHeight="1">
      <x:c r="A23" s="1" t="str">
        <x:v>maximum_loan</x:v>
      </x:c>
      <x:c r="B23" s="1" t="str">
        <x:v>Sizing!B14</x:v>
      </x:c>
    </x:row>
    <x:row r="24" ht="22" customHeight="1">
      <x:c r="A24" s="1" t="str">
        <x:v>binding_constraint</x:v>
      </x:c>
      <x:c r="B24" s="1" t="str">
        <x:v>Sizing!B15</x:v>
      </x:c>
    </x:row>
    <x:row r="25" ht="22" customHeight="1">
      <x:c r="A25" s="1" t="str">
        <x:v>annual_debt_constant</x:v>
      </x:c>
      <x:c r="B25" s="1" t="str">
        <x:v>Sizing!B8</x:v>
      </x:c>
    </x:row>
    <x:row r="26" ht="22" customHeight="1">
      <x:c r="A26" s="1" t="str">
        <x:v>sizing_annual_debt_service</x:v>
      </x:c>
      <x:c r="B26" s="1" t="str">
        <x:v>Sizing!B16</x:v>
      </x:c>
    </x:row>
    <x:row r="27" ht="22" customHeight="1">
      <x:c r="A27" s="1" t="str">
        <x:v>sizing_dscr</x:v>
      </x:c>
      <x:c r="B27" s="1" t="str">
        <x:v>Sizing!B17</x:v>
      </x:c>
    </x:row>
    <x:row r="28" ht="22" customHeight="1">
      <x:c r="A28" s="1" t="str">
        <x:v>sizing_debt_yield</x:v>
      </x:c>
      <x:c r="B28" s="1" t="str">
        <x:v>Sizing!B18</x:v>
      </x:c>
    </x:row>
    <x:row r="29" ht="22" customHeight="1">
      <x:c r="A29" s="1" t="str">
        <x:v>first_year_debt_service</x:v>
      </x:c>
      <x:c r="B29" s="1" t="str">
        <x:v>Sizing!B20</x:v>
      </x:c>
    </x:row>
    <x:row r="30" ht="22" customHeight="1">
      <x:c r="A30" s="1" t="str">
        <x:v>cash_to_borrower</x:v>
      </x:c>
      <x:c r="B30" s="1" t="str">
        <x:v>SourcesUses!B12</x:v>
      </x:c>
    </x:row>
    <x:row r="31" ht="22" customHeight="1">
      <x:c r="A31" s="1" t="str">
        <x:v>stress_uw_noi</x:v>
      </x:c>
      <x:c r="B31" s="1" t="str">
        <x:v>Sensitivity!B9</x:v>
      </x:c>
    </x:row>
    <x:row r="32" ht="22" customHeight="1">
      <x:c r="A32" s="1" t="str">
        <x:v>stress_maximum_loan</x:v>
      </x:c>
      <x:c r="B32" s="1" t="str">
        <x:v>Sensitivity!B21</x:v>
      </x:c>
    </x:row>
    <x:row r="33" ht="22" customHeight="1">
      <x:c r="A33" s="1" t="str">
        <x:v>t12_noi_before_reserves</x:v>
      </x:c>
      <x:c r="B33" s="1" t="str">
        <x:v>T12!B18</x:v>
      </x:c>
    </x:row>
    <x:row r="34" ht="22" customHeight="1">
      <x:c r="A34" s="1" t="str">
        <x:v>t12_ncf</x:v>
      </x:c>
      <x:c r="B34" s="1" t="str">
        <x:v>T12!B20</x:v>
      </x:c>
    </x:row>
    <x:row r="35" ht="22" customHeight="1">
      <x:c r="A35" s="1" t="str">
        <x:v>occupancy / rent roll metrics</x:v>
      </x:c>
      <x:c r="B35" s="1" t="str">
        <x:v>RentRoll!C9:C18</x:v>
      </x:c>
    </x:row>
  </x:sheetData>
  <x:pageMargins left="0.7" right="0.7" top="0.75" bottom="0.75" header="0.3" footer="0.3"/>
</x:worksheet>
</file>