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Roll" sheetId="2" state="visible" r:id="rId4"/>
    <sheet name="T12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<sst xmlns="http://schemas.openxmlformats.org/spreadsheetml/2006/main" count="283" uniqueCount="249">
  <si>
    <t xml:space="preserve">Meadow Commerce | Editable underwriting assumptions</t>
  </si>
  <si>
    <t xml:space="preserve">As of 2026-08-31. Blue-shaded value cells are inputs; all other sheets recalculate from them.</t>
  </si>
  <si>
    <t xml:space="preserve">Input</t>
  </si>
  <si>
    <t xml:space="preserve">Value</t>
  </si>
  <si>
    <t xml:space="preserve">Source / note</t>
  </si>
  <si>
    <t xml:space="preserve">Gross potential base rent (annual, UW)</t>
  </si>
  <si>
    <t xml:space="preserve">Property-and-Plan.pdf p.2 (supplied scenario)</t>
  </si>
  <si>
    <t xml:space="preserve">Combined revenue loss (% of GPR)</t>
  </si>
  <si>
    <t xml:space="preserve">Property-and-Plan.pdf p.2; vacancy+concessions+bad debt</t>
  </si>
  <si>
    <t xml:space="preserve">Other income / recoveries (annual, UW)</t>
  </si>
  <si>
    <t xml:space="preserve">Property-and-Plan.pdf p.2; added after loss</t>
  </si>
  <si>
    <t xml:space="preserve">Valuation cap rate</t>
  </si>
  <si>
    <t xml:space="preserve">Lender-Terms.pdf p.1</t>
  </si>
  <si>
    <t xml:space="preserve">Sizing rate (annual)</t>
  </si>
  <si>
    <t xml:space="preserve">Greater of 6.10% contract and 6.50% floor (Lender-Terms.pdf p.1)</t>
  </si>
  <si>
    <t xml:space="preserve">Contract rate (annual, fixed)</t>
  </si>
  <si>
    <t xml:space="preserve">Underwriting rate floor</t>
  </si>
  <si>
    <t xml:space="preserve">Amortization term (years)</t>
  </si>
  <si>
    <t xml:space="preserve">Payments per year</t>
  </si>
  <si>
    <t xml:space="preserve">Monthly payments; annual DS = 12 payments</t>
  </si>
  <si>
    <t xml:space="preserve">Interest-only period (months)</t>
  </si>
  <si>
    <t xml:space="preserve">Maximum LTV</t>
  </si>
  <si>
    <t xml:space="preserve">Minimum DSCR (NCF after reserves)</t>
  </si>
  <si>
    <t xml:space="preserve">Minimum debt yield (NCF after reserves)</t>
  </si>
  <si>
    <t xml:space="preserve">Replacement reserves ($/SF/year)</t>
  </si>
  <si>
    <t xml:space="preserve">Property-and-Plan.pdf p.2</t>
  </si>
  <si>
    <t xml:space="preserve">Total rentable SF</t>
  </si>
  <si>
    <t xml:space="preserve">Rent-Roll.xlsx rows 7-9 (16,000+24,000+32,000)</t>
  </si>
  <si>
    <t xml:space="preserve">Existing debt payoff</t>
  </si>
  <si>
    <t xml:space="preserve">Property-and-Plan.pdf p.1</t>
  </si>
  <si>
    <t xml:space="preserve">Fixed closing costs</t>
  </si>
  <si>
    <t xml:space="preserve">Origination fee (% of initial principal)</t>
  </si>
  <si>
    <t xml:space="preserve">T12 actual management fee</t>
  </si>
  <si>
    <t xml:space="preserve">T12-Statement.pdf p.2 annual column</t>
  </si>
  <si>
    <t xml:space="preserve">Management fee (% of underwritten EGI)</t>
  </si>
  <si>
    <t xml:space="preserve">Property-and-Plan.pdf p.2 (greater of T12 actual or 3%)</t>
  </si>
  <si>
    <t xml:space="preserve">UW real estate taxes</t>
  </si>
  <si>
    <t xml:space="preserve">UW property insurance (provisional allowance)</t>
  </si>
  <si>
    <t xml:space="preserve">Property-and-Plan.pdf p.2; no renewal quote/binder delivered</t>
  </si>
  <si>
    <t xml:space="preserve">UW utilities</t>
  </si>
  <si>
    <t xml:space="preserve">T12 actual per plan</t>
  </si>
  <si>
    <t xml:space="preserve">UW repairs and maintenance</t>
  </si>
  <si>
    <t xml:space="preserve">T12 actual; $0 one-time cleanup removed</t>
  </si>
  <si>
    <t xml:space="preserve">UW payroll / contract labor</t>
  </si>
  <si>
    <t xml:space="preserve">UW administrative / legal</t>
  </si>
  <si>
    <t xml:space="preserve">EGI stress factor (downside)</t>
  </si>
  <si>
    <t xml:space="preserve">Property-and-Plan.pdf p.2 sensitivity instruction (-5%)</t>
  </si>
  <si>
    <t xml:space="preserve">Sizing rate stress increment</t>
  </si>
  <si>
    <t xml:space="preserve">+100 bps combined downside</t>
  </si>
  <si>
    <t xml:space="preserve">Cap rate stress increment (separate test)</t>
  </si>
  <si>
    <t xml:space="preserve">+50 bps cap-rate sensitivity</t>
  </si>
  <si>
    <t xml:space="preserve">Rent roll | as of 2026-08-31 (current contractual)</t>
  </si>
  <si>
    <t xml:space="preserve">Source: Rent-Roll.xlsx, worksheet 'Rent Roll', rows 7-9. Market rent is context only, not income.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</si>
  <si>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</si>
  <si>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</si>
  <si>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</si>
  <si>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</si>
  <si>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</si>
  <si>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</si>
  <si>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</si>
  <si>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</si>
  <si>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</si>
  <si>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</si>
  <si>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</si>
  <si>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</si>
  <si>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</si>
  <si>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</si>
  <si>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</si>
  <si>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</si>
  <si>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</t>
  </si>
  <si>
    <t xml:space="preserve">Space count</t>
  </si>
  <si>
    <t xml:space="preserve">Occupied count</t>
  </si>
  <si>
    <t xml:space="preserve">Occupied area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</si>
  <si>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</si>
  <si>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</si>
  <si>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</si>
  <si>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(after authoritative lease evidence)</t>
  </si>
  <si>
    <t xml:space="preserve">Lease-File.pdf p.1 confirms premises 101 base rent of $12,800/month as of 2026-08-31 and expiry 2028-08-31; no signed amendment or renewal-exercise notice is in the packet, so the printed roll stands.</t>
  </si>
  <si>
    <t xml:space="preserve">Annualized contractual base rent (context only, not underwritten)</t>
  </si>
  <si>
    <t xml:space="preserve">Historical T12 | September 2025 - August 2026 (actual)</t>
  </si>
  <si>
    <t xml:space="preserve">Source: T12-Statement.pdf pp.1-2, annual column. Historical only; not the underwriting scenario.</t>
  </si>
  <si>
    <t xml:space="preserve">Line</t>
  </si>
  <si>
    <t xml:space="preserve">Amount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</si>
  <si>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</si>
  <si>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</si>
  <si>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</si>
  <si>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</si>
  <si>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</si>
  <si>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</si>
  <si>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</si>
  <si>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</si>
  <si>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</si>
  <si>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</si>
  <si>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</si>
  <si>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</si>
  <si>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</si>
  <si>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</si>
  <si>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</si>
  <si>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</si>
  <si>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</si>
  <si>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</si>
  <si>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Equals the figure the accounting package may label 'property NOI'</t>
  </si>
  <si>
    <t xml:space="preserve">Below cash flow (reconciliation only, not operating expense)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</si>
  <si>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</si>
  <si>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</si>
  <si>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</si>
  <si>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</si>
  <si>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cash flow | supplied scenario, September 2026 forward</t>
  </si>
  <si>
    <t xml:space="preserve">Live formulas from Assumptions. Not a lender-approved forecast (Property-and-Plan.pdf p.1).</t>
  </si>
  <si>
    <t xml:space="preserve">Formula basis</t>
  </si>
  <si>
    <t xml:space="preserve">Combined revenue loss (vacancy/concessions/bad debt)</t>
  </si>
  <si>
    <t xml:space="preserve">3.00% of underwritten GPR</t>
  </si>
  <si>
    <t xml:space="preserve">Underwritten EGI</t>
  </si>
  <si>
    <t xml:space="preserve">Property insurance (provisional allowance)</t>
  </si>
  <si>
    <t xml:space="preserve">Verified renewal premium unknown</t>
  </si>
  <si>
    <t xml:space="preserve">Management fee (lender-normalized)</t>
  </si>
  <si>
    <t xml:space="preserve">Greater of T12 actual and 3.00%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</si>
  <si>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</si>
  <si>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</si>
  <si>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</si>
  <si>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$0.20/SF x 72,000 SF</t>
  </si>
  <si>
    <t xml:space="preserve">Underwritten NCF after reserves</t>
  </si>
  <si>
    <t xml:space="preserve">UW expense ratio (opex / EGI)</t>
  </si>
  <si>
    <t xml:space="preserve">Variance: UW NOI vs T12 NOI (before reserves)</t>
  </si>
  <si>
    <t xml:space="preserve">Loan sizing | three constraints and binding maximum</t>
  </si>
  <si>
    <t xml:space="preserve">Lender definitions per Lender-Terms.pdf p.1. Unrounded intermediates.</t>
  </si>
  <si>
    <t xml:space="preserve">Metric</t>
  </si>
  <si>
    <t xml:space="preserve">Basis</t>
  </si>
  <si>
    <t xml:space="preserve">Indicative capitalization value</t>
  </si>
  <si>
    <t xml:space="preserve">UW NOI before reserves / cap rate</t>
  </si>
  <si>
    <t xml:space="preserve">LTV constraint (60% of value)</t>
  </si>
  <si>
    <t xml:space="preserve">Sizing rate applied</t>
  </si>
  <si>
    <t xml:space="preserve">MAX(contract 6.100%, floor 6.500%)</t>
  </si>
  <si>
    <t xml:space="preserve">Monthly payment per $1 of principal</t>
  </si>
  <si>
    <t xml:space="preserve">Annual debt constant (12 monthly payments per $1)</t>
  </si>
  <si>
    <t xml:space="preserve">DSCR constraint (NCF / 1.30x / constant)</t>
  </si>
  <si>
    <t xml:space="preserve">Debt yield numerator (UW NCF after reserves)</t>
  </si>
  <si>
    <t xml:space="preserve">Debt yield constraint (NCF / 9.50%)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</si>
  <si>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</si>
  <si>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</si>
  <si>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</si>
  <si>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(NCF / sizing debt service)</t>
  </si>
  <si>
    <t xml:space="preserve">Sizing debt yield (NCF / loan)</t>
  </si>
  <si>
    <t xml:space="preserve">Implied LTV at maximum loan</t>
  </si>
  <si>
    <t xml:space="preserve">First-year contractual debt service (12 months IO at 6.100%)</t>
  </si>
  <si>
    <t xml:space="preserve">Post-IO annual debt service (contract rate, 30-yr amortization)</t>
  </si>
  <si>
    <t xml:space="preserve">First-year DSCR on contractual (IO) debt service</t>
  </si>
  <si>
    <t xml:space="preserve">Sizing debt service less first-year contractual debt service</t>
  </si>
  <si>
    <t xml:space="preserve">Sources and uses | net cash to borrower</t>
  </si>
  <si>
    <t xml:space="preserve">Item</t>
  </si>
  <si>
    <t xml:space="preserve">Sources</t>
  </si>
  <si>
    <t xml:space="preserve">New first-mortgage loan proceeds</t>
  </si>
  <si>
    <t xml:space="preserve">Total sources</t>
  </si>
  <si>
    <t xml:space="preserve">Uses</t>
  </si>
  <si>
    <t xml:space="preserve">Origination fee (1.00% of initial principal)</t>
  </si>
  <si>
    <t xml:space="preserve">Total uses before distribution</t>
  </si>
  <si>
    <t xml:space="preserve">Net cash to borrower (negative = cash in)</t>
  </si>
  <si>
    <t xml:space="preserve">Check: total uses incl. distribution equals sources</t>
  </si>
  <si>
    <t xml:space="preserve">No fee capitalization, interest reserve, holdback or earn-out is assumed (Lender-Terms.pdf p.1).</t>
  </si>
  <si>
    <t xml:space="preserve">Sensitivities | EGI -5%, sizing rate +100 bps, cap rate +50 bps</t>
  </si>
  <si>
    <t xml:space="preserve">Management fee is recomputed on stressed EGI; all other expenses and reserves held constant.</t>
  </si>
  <si>
    <t xml:space="preserve">Case 1: EGI -5% (cap rate and sizing rate unchanged)</t>
  </si>
  <si>
    <t xml:space="preserve">Stressed EGI</t>
  </si>
  <si>
    <t xml:space="preserve">Recomputed management fee</t>
  </si>
  <si>
    <t xml:space="preserve">Other operating expenses (unchanged)</t>
  </si>
  <si>
    <t xml:space="preserve">Stressed operating expenses</t>
  </si>
  <si>
    <t xml:space="preserve">Stressed NOI before reserves</t>
  </si>
  <si>
    <t xml:space="preserve">Stressed NCF after reserves</t>
  </si>
  <si>
    <t xml:space="preserve">Stressed value at base cap rate</t>
  </si>
  <si>
    <t xml:space="preserve">Case 2: Combined downside - EGI -5% AND sizing rate +100 bps</t>
  </si>
  <si>
    <t xml:space="preserve">Stressed sizing rate</t>
  </si>
  <si>
    <t xml:space="preserve">Stressed annual debt constant</t>
  </si>
  <si>
    <t xml:space="preserve">LTV constraint (cap rate unchanged)</t>
  </si>
  <si>
    <t xml:space="preserve">DSCR constraint at stressed rate</t>
  </si>
  <si>
    <t xml:space="preserve">Debt yield constraint</t>
  </si>
  <si>
    <t xml:space="preserve">Stressed maximum loan (combined downside)</t>
  </si>
  <si>
    <t xml:space="preserve">Stressed binding constraint</t>
  </si>
  <si>
    <t xml:space="preserve">Change vs base maximum loan</t>
  </si>
  <si>
    <t xml:space="preserve">Case 3: Cap rate +50 bps only (EGI and sizing rate unchanged)</t>
  </si>
  <si>
    <t xml:space="preserve">Stressed cap rate</t>
  </si>
  <si>
    <t xml:space="preserve">Value at stressed cap rate</t>
  </si>
  <si>
    <t xml:space="preserve">LTV constraint at stressed cap rate</t>
  </si>
  <si>
    <t xml:space="preserve">Maximum loan with cap rate +50 bps</t>
  </si>
  <si>
    <t xml:space="preserve">Binding constraint (cap +50 bps)</t>
  </si>
  <si>
    <t xml:space="preserve">Input / output location map</t>
  </si>
  <si>
    <t xml:space="preserve">Cell</t>
  </si>
  <si>
    <t xml:space="preserve">INPUTS</t>
  </si>
  <si>
    <t xml:space="preserve">Cap rate</t>
  </si>
  <si>
    <t xml:space="preserve">Assumptions!B7</t>
  </si>
  <si>
    <t xml:space="preserve">Drives valuation and LTV constraint</t>
  </si>
  <si>
    <t xml:space="preserve">Sizing rate</t>
  </si>
  <si>
    <t xml:space="preserve">Assumptions!B8</t>
  </si>
  <si>
    <t xml:space="preserve">Drives annual debt constant and DSCR constraint</t>
  </si>
  <si>
    <t xml:space="preserve">EGI - gross potential rent</t>
  </si>
  <si>
    <t xml:space="preserve">Assumptions!B4</t>
  </si>
  <si>
    <t xml:space="preserve">Loss % held constant at Assumptions!B5</t>
  </si>
  <si>
    <t xml:space="preserve">EGI - other income</t>
  </si>
  <si>
    <t xml:space="preserve">Assumptions!B6</t>
  </si>
  <si>
    <t xml:space="preserve">Revenue loss %</t>
  </si>
  <si>
    <t xml:space="preserve">Assumptions!B5</t>
  </si>
  <si>
    <t xml:space="preserve">Contract rate</t>
  </si>
  <si>
    <t xml:space="preserve">Assumptions!B9</t>
  </si>
  <si>
    <t xml:space="preserve">Sizing rate stress (+bps)</t>
  </si>
  <si>
    <t xml:space="preserve">Assumptions!B31</t>
  </si>
  <si>
    <t xml:space="preserve">Cap rate stress (+bps)</t>
  </si>
  <si>
    <t xml:space="preserve">Assumptions!B32</t>
  </si>
  <si>
    <t xml:space="preserve">EGI stress factor</t>
  </si>
  <si>
    <t xml:space="preserve">Assumptions!B30</t>
  </si>
  <si>
    <t xml:space="preserve">OUTPUTS</t>
  </si>
  <si>
    <t xml:space="preserve">uw_egi</t>
  </si>
  <si>
    <t xml:space="preserve">Underwriting!B7</t>
  </si>
  <si>
    <t xml:space="preserve">uw_noi_before_reserves</t>
  </si>
  <si>
    <t xml:space="preserve">Underwriting!B16</t>
  </si>
  <si>
    <t xml:space="preserve">uw_ncf</t>
  </si>
  <si>
    <t xml:space="preserve">Underwriting!B18</t>
  </si>
  <si>
    <t xml:space="preserve">capitalization_value</t>
  </si>
  <si>
    <t xml:space="preserve">Sizing!B4</t>
  </si>
  <si>
    <t xml:space="preserve">ltv_limit</t>
  </si>
  <si>
    <t xml:space="preserve">Sizing!B5</t>
  </si>
  <si>
    <t xml:space="preserve">dscr_limit</t>
  </si>
  <si>
    <t xml:space="preserve">Sizing!B9</t>
  </si>
  <si>
    <t xml:space="preserve">debt_yield_limit</t>
  </si>
  <si>
    <t xml:space="preserve">Sizing!B12</t>
  </si>
  <si>
    <t xml:space="preserve">maximum_loan</t>
  </si>
  <si>
    <t xml:space="preserve">Sizing!B14</t>
  </si>
  <si>
    <t xml:space="preserve">binding_constraint</t>
  </si>
  <si>
    <t xml:space="preserve">Sizing!B15</t>
  </si>
  <si>
    <t xml:space="preserve">annual_debt_constant</t>
  </si>
  <si>
    <t xml:space="preserve">Sizing!B8</t>
  </si>
  <si>
    <t xml:space="preserve">sizing_annual_debt_service</t>
  </si>
  <si>
    <t xml:space="preserve">Sizing!B16</t>
  </si>
  <si>
    <t xml:space="preserve">sizing_dscr</t>
  </si>
  <si>
    <t xml:space="preserve">Sizing!B17</t>
  </si>
  <si>
    <t xml:space="preserve">sizing_debt_yield</t>
  </si>
  <si>
    <t xml:space="preserve">Sizing!B18</t>
  </si>
  <si>
    <t xml:space="preserve">first_year_debt_service</t>
  </si>
  <si>
    <t xml:space="preserve">Sizing!B20</t>
  </si>
  <si>
    <t xml:space="preserve">cash_to_borrower</t>
  </si>
  <si>
    <t xml:space="preserve">SourcesUses!B12</t>
  </si>
  <si>
    <t xml:space="preserve">stress_uw_noi</t>
  </si>
  <si>
    <t xml:space="preserve">Sensitivity!B9</t>
  </si>
  <si>
    <t xml:space="preserve">stress_maximum_loan</t>
  </si>
  <si>
    <t xml:space="preserve">Sensitivity!B21</t>
  </si>
  <si>
    <t xml:space="preserve">t12_noi_before_reserves</t>
  </si>
  <si>
    <t xml:space="preserve">T12!B18</t>
  </si>
  <si>
    <t xml:space="preserve">t12_ncf</t>
  </si>
  <si>
    <t xml:space="preserve">T12!B20</t>
  </si>
  <si>
    <t xml:space="preserve">occupancy / rent roll metrics</t>
  </si>
  <si>
    <t xml:space="preserve">RentRoll!C9:C18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</si>
</sst>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"/>
    <numFmt numFmtId="169" formatCode="0.0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2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22" hidden="false" customHeight="true" outlineLevel="0" collapsed="false">
      <c r="A4" s="4" t="s">
        <v>5</v>
      </c>
      <c r="B4" s="5" t="n">
        <v>756000</v>
      </c>
      <c r="C4" s="4" t="s">
        <v>6</v>
      </c>
    </row>
    <row r="5" customFormat="false" ht="22" hidden="false" customHeight="true" outlineLevel="0" collapsed="false">
      <c r="A5" s="4" t="s">
        <v>7</v>
      </c>
      <c r="B5" s="6" t="n">
        <v>0.03</v>
      </c>
      <c r="C5" s="4" t="s">
        <v>8</v>
      </c>
    </row>
    <row r="6" customFormat="false" ht="22" hidden="false" customHeight="true" outlineLevel="0" collapsed="false">
      <c r="A6" s="4" t="s">
        <v>9</v>
      </c>
      <c r="B6" s="5" t="n">
        <v>162000</v>
      </c>
      <c r="C6" s="4" t="s">
        <v>10</v>
      </c>
    </row>
    <row r="7" customFormat="false" ht="22" hidden="false" customHeight="true" outlineLevel="0" collapsed="false">
      <c r="A7" s="4" t="s">
        <v>11</v>
      </c>
      <c r="B7" s="7" t="n">
        <v>0.065</v>
      </c>
      <c r="C7" s="4" t="s">
        <v>12</v>
      </c>
    </row>
    <row r="8" customFormat="false" ht="22" hidden="false" customHeight="true" outlineLevel="0" collapsed="false">
      <c r="A8" s="4" t="s">
        <v>13</v>
      </c>
      <c r="B8" s="7" t="n">
        <v>0.065</v>
      </c>
      <c r="C8" s="4" t="s">
        <v>14</v>
      </c>
    </row>
    <row r="9" customFormat="false" ht="22" hidden="false" customHeight="true" outlineLevel="0" collapsed="false">
      <c r="A9" s="4" t="s">
        <v>15</v>
      </c>
      <c r="B9" s="7" t="n">
        <v>0.061</v>
      </c>
      <c r="C9" s="4" t="s">
        <v>12</v>
      </c>
    </row>
    <row r="10" customFormat="false" ht="22" hidden="false" customHeight="true" outlineLevel="0" collapsed="false">
      <c r="A10" s="4" t="s">
        <v>16</v>
      </c>
      <c r="B10" s="7" t="n">
        <v>0.065</v>
      </c>
      <c r="C10" s="4" t="s">
        <v>12</v>
      </c>
    </row>
    <row r="11" customFormat="false" ht="22" hidden="false" customHeight="true" outlineLevel="0" collapsed="false">
      <c r="A11" s="4" t="s">
        <v>17</v>
      </c>
      <c r="B11" s="8" t="n">
        <v>30</v>
      </c>
      <c r="C11" s="4" t="s">
        <v>12</v>
      </c>
    </row>
    <row r="12" customFormat="false" ht="22" hidden="false" customHeight="true" outlineLevel="0" collapsed="false">
      <c r="A12" s="4" t="s">
        <v>18</v>
      </c>
      <c r="B12" s="8" t="n">
        <v>12</v>
      </c>
      <c r="C12" s="4" t="s">
        <v>19</v>
      </c>
    </row>
    <row r="13" customFormat="false" ht="22" hidden="false" customHeight="true" outlineLevel="0" collapsed="false">
      <c r="A13" s="4" t="s">
        <v>20</v>
      </c>
      <c r="B13" s="8" t="n">
        <v>12</v>
      </c>
      <c r="C13" s="4" t="s">
        <v>12</v>
      </c>
    </row>
    <row r="14" customFormat="false" ht="22" hidden="false" customHeight="true" outlineLevel="0" collapsed="false">
      <c r="A14" s="4" t="s">
        <v>21</v>
      </c>
      <c r="B14" s="6" t="n">
        <v>0.6</v>
      </c>
      <c r="C14" s="4" t="s">
        <v>12</v>
      </c>
    </row>
    <row r="15" customFormat="false" ht="22" hidden="false" customHeight="true" outlineLevel="0" collapsed="false">
      <c r="A15" s="4" t="s">
        <v>22</v>
      </c>
      <c r="B15" s="9" t="n">
        <v>1.3</v>
      </c>
      <c r="C15" s="4" t="s">
        <v>12</v>
      </c>
    </row>
    <row r="16" customFormat="false" ht="22" hidden="false" customHeight="true" outlineLevel="0" collapsed="false">
      <c r="A16" s="4" t="s">
        <v>23</v>
      </c>
      <c r="B16" s="6" t="n">
        <v>0.095</v>
      </c>
      <c r="C16" s="4" t="s">
        <v>12</v>
      </c>
    </row>
    <row r="17" customFormat="false" ht="22" hidden="false" customHeight="true" outlineLevel="0" collapsed="false">
      <c r="A17" s="4" t="s">
        <v>24</v>
      </c>
      <c r="B17" s="9" t="n">
        <v>0.2</v>
      </c>
      <c r="C17" s="4" t="s">
        <v>25</v>
      </c>
    </row>
    <row r="18" customFormat="false" ht="22" hidden="false" customHeight="true" outlineLevel="0" collapsed="false">
      <c r="A18" s="4" t="s">
        <v>26</v>
      </c>
      <c r="B18" s="5" t="n">
        <v>72000</v>
      </c>
      <c r="C18" s="4" t="s">
        <v>27</v>
      </c>
    </row>
    <row r="19" customFormat="false" ht="22" hidden="false" customHeight="true" outlineLevel="0" collapsed="false">
      <c r="A19" s="4" t="s">
        <v>28</v>
      </c>
      <c r="B19" s="5" t="n">
        <v>3600000</v>
      </c>
      <c r="C19" s="4" t="s">
        <v>29</v>
      </c>
    </row>
    <row r="20" customFormat="false" ht="22" hidden="false" customHeight="true" outlineLevel="0" collapsed="false">
      <c r="A20" s="4" t="s">
        <v>30</v>
      </c>
      <c r="B20" s="5" t="n">
        <v>55000</v>
      </c>
      <c r="C20" s="4" t="s">
        <v>29</v>
      </c>
    </row>
    <row r="21" customFormat="false" ht="22" hidden="false" customHeight="true" outlineLevel="0" collapsed="false">
      <c r="A21" s="4" t="s">
        <v>31</v>
      </c>
      <c r="B21" s="6" t="n">
        <v>0.01</v>
      </c>
      <c r="C21" s="4" t="s">
        <v>12</v>
      </c>
    </row>
    <row r="22" customFormat="false" ht="22" hidden="false" customHeight="true" outlineLevel="0" collapsed="false">
      <c r="A22" s="4" t="s">
        <v>32</v>
      </c>
      <c r="B22" s="5" t="n">
        <v>26400</v>
      </c>
      <c r="C22" s="4" t="s">
        <v>33</v>
      </c>
    </row>
    <row r="23" customFormat="false" ht="22" hidden="false" customHeight="true" outlineLevel="0" collapsed="false">
      <c r="A23" s="4" t="s">
        <v>34</v>
      </c>
      <c r="B23" s="6" t="n">
        <v>0.03</v>
      </c>
      <c r="C23" s="4" t="s">
        <v>35</v>
      </c>
    </row>
    <row r="24" customFormat="false" ht="22" hidden="false" customHeight="true" outlineLevel="0" collapsed="false">
      <c r="A24" s="4" t="s">
        <v>36</v>
      </c>
      <c r="B24" s="5" t="n">
        <v>108000</v>
      </c>
      <c r="C24" s="4" t="s">
        <v>25</v>
      </c>
    </row>
    <row r="25" customFormat="false" ht="22" hidden="false" customHeight="true" outlineLevel="0" collapsed="false">
      <c r="A25" s="4" t="s">
        <v>37</v>
      </c>
      <c r="B25" s="5" t="n">
        <v>36000</v>
      </c>
      <c r="C25" s="4" t="s">
        <v>38</v>
      </c>
    </row>
    <row r="26" customFormat="false" ht="22" hidden="false" customHeight="true" outlineLevel="0" collapsed="false">
      <c r="A26" s="4" t="s">
        <v>39</v>
      </c>
      <c r="B26" s="5" t="n">
        <v>9600</v>
      </c>
      <c r="C26" s="4" t="s">
        <v>40</v>
      </c>
    </row>
    <row r="27" customFormat="false" ht="22" hidden="false" customHeight="true" outlineLevel="0" collapsed="false">
      <c r="A27" s="4" t="s">
        <v>41</v>
      </c>
      <c r="B27" s="5" t="n">
        <v>19200</v>
      </c>
      <c r="C27" s="4" t="s">
        <v>42</v>
      </c>
    </row>
    <row r="28" customFormat="false" ht="22" hidden="false" customHeight="true" outlineLevel="0" collapsed="false">
      <c r="A28" s="4" t="s">
        <v>43</v>
      </c>
      <c r="B28" s="5" t="n">
        <v>12000</v>
      </c>
      <c r="C28" s="4" t="s">
        <v>40</v>
      </c>
    </row>
    <row r="29" customFormat="false" ht="22" hidden="false" customHeight="true" outlineLevel="0" collapsed="false">
      <c r="A29" s="4" t="s">
        <v>44</v>
      </c>
      <c r="B29" s="5" t="n">
        <v>16800</v>
      </c>
      <c r="C29" s="4" t="s">
        <v>40</v>
      </c>
    </row>
    <row r="30" customFormat="false" ht="22" hidden="false" customHeight="true" outlineLevel="0" collapsed="false">
      <c r="A30" s="4" t="s">
        <v>45</v>
      </c>
      <c r="B30" s="6" t="n">
        <v>0.95</v>
      </c>
      <c r="C30" s="4" t="s">
        <v>46</v>
      </c>
    </row>
    <row r="31" customFormat="false" ht="22" hidden="false" customHeight="true" outlineLevel="0" collapsed="false">
      <c r="A31" s="4" t="s">
        <v>47</v>
      </c>
      <c r="B31" s="7" t="n">
        <v>0.01</v>
      </c>
      <c r="C31" s="4" t="s">
        <v>48</v>
      </c>
    </row>
    <row r="32" customFormat="false" ht="22" hidden="false" customHeight="true" outlineLevel="0" collapsed="false">
      <c r="A32" s="4" t="s">
        <v>49</v>
      </c>
      <c r="B32" s="7" t="n">
        <v>0.005</v>
      </c>
      <c r="C32" s="4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27" hidden="false" customHeight="true" outlineLevel="0" collapsed="false">
      <c r="A1" s="1" t="s">
        <v>51</v>
      </c>
    </row>
    <row r="2" customFormat="false" ht="36" hidden="false" customHeight="true" outlineLevel="0" collapsed="false">
      <c r="A2" s="2" t="s">
        <v>52</v>
      </c>
    </row>
    <row r="3" customFormat="false" ht="25" hidden="false" customHeight="tru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</row>
    <row r="4" customFormat="false" ht="22" hidden="false" customHeight="true" outlineLevel="0" collapsed="false">
      <c r="A4" s="4" t="s">
        <v>60</v>
      </c>
      <c r="B4" s="4" t="s">
        <v>61</v>
      </c>
      <c r="C4" s="10" t="n">
        <v>16000</v>
      </c>
      <c r="D4" s="4" t="s">
        <v>62</v>
      </c>
      <c r="E4" s="10" t="n">
        <v>12800</v>
      </c>
      <c r="F4" s="10" t="n">
        <v>12800</v>
      </c>
      <c r="G4" s="4" t="s">
        <v>63</v>
      </c>
    </row>
    <row r="5" customFormat="false" ht="22" hidden="false" customHeight="true" outlineLevel="0" collapsed="false">
      <c r="A5" s="4" t="s">
        <v>64</v>
      </c>
      <c r="B5" s="4" t="s">
        <v>65</v>
      </c>
      <c r="C5" s="10" t="n">
        <v>24000</v>
      </c>
      <c r="D5" s="4" t="s">
        <v>62</v>
      </c>
      <c r="E5" s="10" t="n">
        <v>20400</v>
      </c>
      <c r="F5" s="10" t="n">
        <v>20400</v>
      </c>
      <c r="G5" s="4" t="s">
        <v>63</v>
      </c>
    </row>
    <row r="6" customFormat="false" ht="22" hidden="false" customHeight="true" outlineLevel="0" collapsed="false">
      <c r="A6" s="4" t="s">
        <v>66</v>
      </c>
      <c r="B6" s="4" t="s">
        <v>67</v>
      </c>
      <c r="C6" s="10" t="n">
        <v>32000</v>
      </c>
      <c r="D6" s="4" t="s">
        <v>62</v>
      </c>
      <c r="E6" s="10" t="n">
        <v>28800</v>
      </c>
      <c r="F6" s="10" t="n">
        <v>28800</v>
      </c>
      <c r="G6" s="4" t="s">
        <v>68</v>
      </c>
    </row>
    <row r="7" customFormat="false" ht="22" hidden="false" customHeight="true" outlineLevel="0" collapsed="false">
      <c r="A7" s="11" t="s">
        <v>69</v>
      </c>
      <c r="C7" s="12" t="n">
        <f aca="false">SUM(C4:C6)</f>
        <v>72000</v>
      </c>
      <c r="E7" s="12" t="n">
        <f aca="false">SUM(E4:E6)</f>
        <v>62000</v>
      </c>
      <c r="F7" s="12" t="n">
        <f aca="false">SUM(F4:F6)</f>
        <v>62000</v>
      </c>
    </row>
    <row r="9" customFormat="false" ht="22" hidden="false" customHeight="true" outlineLevel="0" collapsed="false">
      <c r="A9" s="4" t="s">
        <v>70</v>
      </c>
      <c r="C9" s="13" t="n">
        <f aca="false">COUNTA(A4:A6)</f>
        <v>3</v>
      </c>
    </row>
    <row r="10" customFormat="false" ht="22" hidden="false" customHeight="true" outlineLevel="0" collapsed="false">
      <c r="A10" s="4" t="s">
        <v>71</v>
      </c>
      <c r="C10" s="13" t="n">
        <f aca="false">COUNTIF(D4:D6,"Occupied")</f>
        <v>3</v>
      </c>
    </row>
    <row r="11" customFormat="false" ht="22" hidden="false" customHeight="true" outlineLevel="0" collapsed="false">
      <c r="A11" s="4" t="s">
        <v>72</v>
      </c>
      <c r="C11" s="10" t="n">
        <f aca="false">SUMIF(D4:D6,"Occupied",C4:C6)</f>
        <v>72000</v>
      </c>
    </row>
    <row r="12" customFormat="false" ht="22" hidden="false" customHeight="true" outlineLevel="0" collapsed="false">
      <c r="A12" s="4" t="s">
        <v>73</v>
      </c>
      <c r="C12" s="14" t="n">
        <f aca="false">100*C10/C9</f>
        <v>100</v>
      </c>
    </row>
    <row r="13" customFormat="false" ht="22" hidden="false" customHeight="true" outlineLevel="0" collapsed="false">
      <c r="A13" s="4" t="s">
        <v>74</v>
      </c>
      <c r="C13" s="14" t="n">
        <f aca="false">100*C11/C7</f>
        <v>100</v>
      </c>
    </row>
    <row r="14" customFormat="false" ht="22" hidden="false" customHeight="true" outlineLevel="0" collapsed="false">
      <c r="A14" s="4" t="s">
        <v>75</v>
      </c>
      <c r="C14" s="10" t="n">
        <f aca="false">E7</f>
        <v>62000</v>
      </c>
    </row>
    <row r="15" customFormat="false" ht="22" hidden="false" customHeight="true" outlineLevel="0" collapsed="false">
      <c r="A15" s="15" t="s">
        <v>76</v>
      </c>
      <c r="C15" s="12" t="n">
        <f aca="false">E7</f>
        <v>62000</v>
      </c>
    </row>
    <row r="16" customFormat="false" ht="36" hidden="false" customHeight="true" outlineLevel="0" collapsed="false">
      <c r="A16" s="2" t="s">
        <v>77</v>
      </c>
    </row>
    <row r="18" customFormat="false" ht="22" hidden="false" customHeight="true" outlineLevel="0" collapsed="false">
      <c r="A18" s="15" t="s">
        <v>78</v>
      </c>
      <c r="C18" s="10" t="n">
        <f aca="false">12*C15</f>
        <v>744000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79</v>
      </c>
    </row>
    <row r="2" customFormat="false" ht="36" hidden="false" customHeight="true" outlineLevel="0" collapsed="false">
      <c r="A2" s="2" t="s">
        <v>80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83</v>
      </c>
    </row>
    <row r="4" customFormat="false" ht="22" hidden="false" customHeight="true" outlineLevel="0" collapsed="false">
      <c r="A4" s="4" t="s">
        <v>84</v>
      </c>
      <c r="B4" s="10" t="n">
        <v>744000</v>
      </c>
    </row>
    <row r="5" customFormat="false" ht="22" hidden="false" customHeight="true" outlineLevel="0" collapsed="false">
      <c r="A5" s="4" t="s">
        <v>85</v>
      </c>
      <c r="B5" s="10" t="n">
        <v>0</v>
      </c>
    </row>
    <row r="6" customFormat="false" ht="22" hidden="false" customHeight="true" outlineLevel="0" collapsed="false">
      <c r="A6" s="4" t="s">
        <v>86</v>
      </c>
      <c r="B6" s="10" t="n">
        <v>-18000</v>
      </c>
    </row>
    <row r="7" customFormat="false" ht="22" hidden="false" customHeight="true" outlineLevel="0" collapsed="false">
      <c r="A7" s="4" t="s">
        <v>87</v>
      </c>
      <c r="B7" s="10" t="n">
        <v>-2400</v>
      </c>
    </row>
    <row r="8" customFormat="false" ht="22" hidden="false" customHeight="true" outlineLevel="0" collapsed="false">
      <c r="A8" s="4" t="s">
        <v>88</v>
      </c>
      <c r="B8" s="10" t="n">
        <v>158400</v>
      </c>
    </row>
    <row r="9" customFormat="false" ht="22" hidden="false" customHeight="true" outlineLevel="0" collapsed="false">
      <c r="A9" s="11" t="s">
        <v>89</v>
      </c>
      <c r="B9" s="12" t="n">
        <f aca="false">SUM(B4:B8)</f>
        <v>882000</v>
      </c>
    </row>
    <row r="10" customFormat="false" ht="22" hidden="false" customHeight="true" outlineLevel="0" collapsed="false">
      <c r="A10" s="4" t="s">
        <v>90</v>
      </c>
      <c r="B10" s="10" t="n">
        <v>102000</v>
      </c>
    </row>
    <row r="11" customFormat="false" ht="22" hidden="false" customHeight="true" outlineLevel="0" collapsed="false">
      <c r="A11" s="4" t="s">
        <v>91</v>
      </c>
      <c r="B11" s="10" t="n">
        <v>26400</v>
      </c>
    </row>
    <row r="12" customFormat="false" ht="22" hidden="false" customHeight="true" outlineLevel="0" collapsed="false">
      <c r="A12" s="4" t="s">
        <v>92</v>
      </c>
      <c r="B12" s="10" t="n">
        <v>9600</v>
      </c>
    </row>
    <row r="13" customFormat="false" ht="22" hidden="false" customHeight="true" outlineLevel="0" collapsed="false">
      <c r="A13" s="4" t="s">
        <v>93</v>
      </c>
      <c r="B13" s="10" t="n">
        <v>19200</v>
      </c>
    </row>
    <row r="14" customFormat="false" ht="22" hidden="false" customHeight="true" outlineLevel="0" collapsed="false">
      <c r="A14" s="4" t="s">
        <v>94</v>
      </c>
      <c r="B14" s="10" t="n">
        <v>12000</v>
      </c>
    </row>
    <row r="15" customFormat="false" ht="22" hidden="false" customHeight="true" outlineLevel="0" collapsed="false">
      <c r="A15" s="4" t="s">
        <v>95</v>
      </c>
      <c r="B15" s="10" t="n">
        <v>16800</v>
      </c>
    </row>
    <row r="16" customFormat="false" ht="22" hidden="false" customHeight="true" outlineLevel="0" collapsed="false">
      <c r="A16" s="4" t="s">
        <v>96</v>
      </c>
      <c r="B16" s="10" t="n">
        <v>26400</v>
      </c>
    </row>
    <row r="17" customFormat="false" ht="22" hidden="false" customHeight="true" outlineLevel="0" collapsed="false">
      <c r="A17" s="16" t="s">
        <v>97</v>
      </c>
      <c r="B17" s="12" t="n">
        <f aca="false">SUM(B10:B16)</f>
        <v>212400</v>
      </c>
    </row>
    <row r="18" customFormat="false" ht="22" hidden="false" customHeight="true" outlineLevel="0" collapsed="false">
      <c r="A18" s="11" t="s">
        <v>98</v>
      </c>
      <c r="B18" s="12" t="n">
        <f aca="false">B9-B17</f>
        <v>669600</v>
      </c>
    </row>
    <row r="19" customFormat="false" ht="22" hidden="false" customHeight="true" outlineLevel="0" collapsed="false">
      <c r="A19" s="4" t="s">
        <v>99</v>
      </c>
      <c r="B19" s="10" t="n">
        <v>14400</v>
      </c>
    </row>
    <row r="20" customFormat="false" ht="36" hidden="false" customHeight="true" outlineLevel="0" collapsed="false">
      <c r="A20" s="11" t="s">
        <v>100</v>
      </c>
      <c r="B20" s="12" t="n">
        <f aca="false">B18-B19</f>
        <v>655200</v>
      </c>
      <c r="C20" s="2" t="s">
        <v>101</v>
      </c>
    </row>
    <row r="22" customFormat="false" ht="25" hidden="false" customHeight="true" outlineLevel="0" collapsed="false">
      <c r="A22" s="3" t="s">
        <v>102</v>
      </c>
    </row>
    <row r="23" customFormat="false" ht="22" hidden="false" customHeight="true" outlineLevel="0" collapsed="false">
      <c r="A23" s="4" t="s">
        <v>103</v>
      </c>
      <c r="B23" s="10" t="n">
        <v>112000</v>
      </c>
    </row>
    <row r="24" customFormat="false" ht="22" hidden="false" customHeight="true" outlineLevel="0" collapsed="false">
      <c r="A24" s="4" t="s">
        <v>104</v>
      </c>
      <c r="B24" s="10" t="n">
        <v>294000</v>
      </c>
    </row>
    <row r="25" customFormat="false" ht="22" hidden="false" customHeight="true" outlineLevel="0" collapsed="false">
      <c r="A25" s="4" t="s">
        <v>105</v>
      </c>
      <c r="B25" s="10" t="n">
        <v>180000</v>
      </c>
    </row>
    <row r="26" customFormat="false" ht="22" hidden="false" customHeight="true" outlineLevel="0" collapsed="false">
      <c r="A26" s="4" t="s">
        <v>106</v>
      </c>
      <c r="B26" s="17" t="n">
        <f aca="false">B17/B9</f>
        <v>0.240816326530612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107</v>
      </c>
    </row>
    <row r="2" customFormat="false" ht="36" hidden="false" customHeight="true" outlineLevel="0" collapsed="false">
      <c r="A2" s="2" t="s">
        <v>108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109</v>
      </c>
    </row>
    <row r="4" customFormat="false" ht="22" hidden="false" customHeight="true" outlineLevel="0" collapsed="false">
      <c r="A4" s="4" t="s">
        <v>84</v>
      </c>
      <c r="B4" s="18" t="n">
        <f aca="false">Assumptions!B4</f>
        <v>756000</v>
      </c>
    </row>
    <row r="5" customFormat="false" ht="22" hidden="false" customHeight="true" outlineLevel="0" collapsed="false">
      <c r="A5" s="15" t="s">
        <v>110</v>
      </c>
      <c r="B5" s="18" t="n">
        <f aca="false">-Assumptions!B4*Assumptions!B5</f>
        <v>-22680</v>
      </c>
      <c r="C5" s="4" t="s">
        <v>111</v>
      </c>
    </row>
    <row r="6" customFormat="false" ht="22" hidden="false" customHeight="true" outlineLevel="0" collapsed="false">
      <c r="A6" s="4" t="s">
        <v>88</v>
      </c>
      <c r="B6" s="18" t="n">
        <f aca="false">Assumptions!B6</f>
        <v>162000</v>
      </c>
    </row>
    <row r="7" customFormat="false" ht="22" hidden="false" customHeight="true" outlineLevel="0" collapsed="false">
      <c r="A7" s="11" t="s">
        <v>112</v>
      </c>
      <c r="B7" s="12" t="n">
        <f aca="false">SUM(B4:B6)</f>
        <v>895320</v>
      </c>
    </row>
    <row r="8" customFormat="false" ht="22" hidden="false" customHeight="true" outlineLevel="0" collapsed="false">
      <c r="A8" s="4" t="s">
        <v>90</v>
      </c>
      <c r="B8" s="18" t="n">
        <f aca="false">Assumptions!B24</f>
        <v>108000</v>
      </c>
    </row>
    <row r="9" customFormat="false" ht="22" hidden="false" customHeight="true" outlineLevel="0" collapsed="false">
      <c r="A9" s="4" t="s">
        <v>113</v>
      </c>
      <c r="B9" s="18" t="n">
        <f aca="false">Assumptions!B25</f>
        <v>36000</v>
      </c>
      <c r="C9" s="4" t="s">
        <v>114</v>
      </c>
    </row>
    <row r="10" customFormat="false" ht="22" hidden="false" customHeight="true" outlineLevel="0" collapsed="false">
      <c r="A10" s="4" t="s">
        <v>92</v>
      </c>
      <c r="B10" s="18" t="n">
        <f aca="false">Assumptions!B26</f>
        <v>9600</v>
      </c>
    </row>
    <row r="11" customFormat="false" ht="22" hidden="false" customHeight="true" outlineLevel="0" collapsed="false">
      <c r="A11" s="4" t="s">
        <v>93</v>
      </c>
      <c r="B11" s="18" t="n">
        <f aca="false">Assumptions!B27</f>
        <v>19200</v>
      </c>
    </row>
    <row r="12" customFormat="false" ht="22" hidden="false" customHeight="true" outlineLevel="0" collapsed="false">
      <c r="A12" s="4" t="s">
        <v>94</v>
      </c>
      <c r="B12" s="18" t="n">
        <f aca="false">Assumptions!B28</f>
        <v>12000</v>
      </c>
    </row>
    <row r="13" customFormat="false" ht="22" hidden="false" customHeight="true" outlineLevel="0" collapsed="false">
      <c r="A13" s="4" t="s">
        <v>95</v>
      </c>
      <c r="B13" s="18" t="n">
        <f aca="false">Assumptions!B29</f>
        <v>16800</v>
      </c>
    </row>
    <row r="14" customFormat="false" ht="22" hidden="false" customHeight="true" outlineLevel="0" collapsed="false">
      <c r="A14" s="4" t="s">
        <v>115</v>
      </c>
      <c r="B14" s="18" t="n">
        <f aca="false">MAX(Assumptions!B22,Assumptions!B23*B7)</f>
        <v>26859.6</v>
      </c>
      <c r="C14" s="4" t="s">
        <v>116</v>
      </c>
    </row>
    <row r="15" customFormat="false" ht="22" hidden="false" customHeight="true" outlineLevel="0" collapsed="false">
      <c r="A15" s="16" t="s">
        <v>117</v>
      </c>
      <c r="B15" s="12" t="n">
        <f aca="false">SUM(B8:B14)</f>
        <v>228459.6</v>
      </c>
    </row>
    <row r="16" customFormat="false" ht="22" hidden="false" customHeight="true" outlineLevel="0" collapsed="false">
      <c r="A16" s="11" t="s">
        <v>118</v>
      </c>
      <c r="B16" s="12" t="n">
        <f aca="false">B7-B15</f>
        <v>666860.4</v>
      </c>
    </row>
    <row r="17" customFormat="false" ht="22" hidden="false" customHeight="true" outlineLevel="0" collapsed="false">
      <c r="A17" s="4" t="s">
        <v>119</v>
      </c>
      <c r="B17" s="18" t="n">
        <f aca="false">Assumptions!B17*Assumptions!B18</f>
        <v>14400</v>
      </c>
      <c r="C17" s="4" t="s">
        <v>120</v>
      </c>
    </row>
    <row r="18" customFormat="false" ht="22" hidden="false" customHeight="true" outlineLevel="0" collapsed="false">
      <c r="A18" s="11" t="s">
        <v>121</v>
      </c>
      <c r="B18" s="12" t="n">
        <f aca="false">B16-B17</f>
        <v>652460.4</v>
      </c>
    </row>
    <row r="20" customFormat="false" ht="22" hidden="false" customHeight="true" outlineLevel="0" collapsed="false">
      <c r="A20" s="4" t="s">
        <v>122</v>
      </c>
      <c r="B20" s="17" t="n">
        <f aca="false">B15/B7</f>
        <v>0.255170888620828</v>
      </c>
    </row>
    <row r="21" customFormat="false" ht="22" hidden="false" customHeight="true" outlineLevel="0" collapsed="false">
      <c r="A21" s="15" t="s">
        <v>123</v>
      </c>
      <c r="B21" s="18" t="n">
        <f aca="false">B16-'T12'!B18</f>
        <v>-2739.59999999998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124</v>
      </c>
    </row>
    <row r="2" customFormat="false" ht="36" hidden="false" customHeight="true" outlineLevel="0" collapsed="false">
      <c r="A2" s="2" t="s">
        <v>125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2" hidden="false" customHeight="true" outlineLevel="0" collapsed="false">
      <c r="A4" s="4" t="s">
        <v>128</v>
      </c>
      <c r="B4" s="12" t="n">
        <f aca="false">Underwriting!B16/Assumptions!B7</f>
        <v>10259390.7692308</v>
      </c>
      <c r="C4" s="4" t="s">
        <v>129</v>
      </c>
    </row>
    <row r="5" customFormat="false" ht="22" hidden="false" customHeight="true" outlineLevel="0" collapsed="false">
      <c r="A5" s="4" t="s">
        <v>130</v>
      </c>
      <c r="B5" s="12" t="n">
        <f aca="false">Assumptions!B14*B4</f>
        <v>6155634.46153846</v>
      </c>
    </row>
    <row r="6" customFormat="false" ht="22" hidden="false" customHeight="true" outlineLevel="0" collapsed="false">
      <c r="A6" s="4" t="s">
        <v>131</v>
      </c>
      <c r="B6" s="19" t="n">
        <f aca="false">Assumptions!B8</f>
        <v>0.065</v>
      </c>
      <c r="C6" s="4" t="s">
        <v>132</v>
      </c>
    </row>
    <row r="7" customFormat="false" ht="22" hidden="false" customHeight="true" outlineLevel="0" collapsed="false">
      <c r="A7" s="4" t="s">
        <v>133</v>
      </c>
      <c r="B7" s="20" t="n">
        <f aca="false">-PMT(B6/Assumptions!B12,Assumptions!B11*Assumptions!B12,1)</f>
        <v>0.00632068023492964</v>
      </c>
    </row>
    <row r="8" customFormat="false" ht="22" hidden="false" customHeight="true" outlineLevel="0" collapsed="false">
      <c r="A8" s="15" t="s">
        <v>134</v>
      </c>
      <c r="B8" s="21" t="n">
        <f aca="false">Assumptions!B12*B7</f>
        <v>0.0758481628191557</v>
      </c>
    </row>
    <row r="9" customFormat="false" ht="22" hidden="false" customHeight="true" outlineLevel="0" collapsed="false">
      <c r="A9" s="4" t="s">
        <v>135</v>
      </c>
      <c r="B9" s="12" t="n">
        <f aca="false">Underwriting!B18/Assumptions!B15/B8</f>
        <v>6617070.16663377</v>
      </c>
    </row>
    <row r="10" customFormat="false" ht="22" hidden="false" customHeight="true" outlineLevel="0" collapsed="false">
      <c r="A10" s="15" t="s">
        <v>136</v>
      </c>
      <c r="B10" s="18" t="n">
        <f aca="false">Underwriting!B18</f>
        <v>652460.4</v>
      </c>
    </row>
    <row r="12" customFormat="false" ht="22" hidden="false" customHeight="true" outlineLevel="0" collapsed="false">
      <c r="A12" s="4" t="s">
        <v>137</v>
      </c>
      <c r="B12" s="12" t="n">
        <f aca="false">B10/Assumptions!B16</f>
        <v>6868004.21052632</v>
      </c>
    </row>
    <row r="14" customFormat="false" ht="22" hidden="false" customHeight="true" outlineLevel="0" collapsed="false">
      <c r="A14" s="11" t="s">
        <v>138</v>
      </c>
      <c r="B14" s="12" t="n">
        <f aca="false">MIN(B5,B9,B12)</f>
        <v>6155634.46153846</v>
      </c>
    </row>
    <row r="15" customFormat="false" ht="22" hidden="false" customHeight="true" outlineLevel="0" collapsed="false">
      <c r="A15" s="11" t="s">
        <v>139</v>
      </c>
      <c r="B15" s="11" t="str">
        <f aca="false">IF(B14=B5,"LTV",IF(B14=B9,"DSCR","Debt yield"))</f>
        <v>LTV</v>
      </c>
    </row>
    <row r="16" customFormat="false" ht="22" hidden="false" customHeight="true" outlineLevel="0" collapsed="false">
      <c r="A16" s="15" t="s">
        <v>140</v>
      </c>
      <c r="B16" s="12" t="n">
        <f aca="false">B14*B8</f>
        <v>466893.564893975</v>
      </c>
    </row>
    <row r="17" customFormat="false" ht="22" hidden="false" customHeight="true" outlineLevel="0" collapsed="false">
      <c r="A17" s="4" t="s">
        <v>141</v>
      </c>
      <c r="B17" s="22" t="n">
        <f aca="false">Underwriting!B18/B16</f>
        <v>1.39744997373901</v>
      </c>
    </row>
    <row r="18" customFormat="false" ht="22" hidden="false" customHeight="true" outlineLevel="0" collapsed="false">
      <c r="A18" s="4" t="s">
        <v>142</v>
      </c>
      <c r="B18" s="23" t="n">
        <f aca="false">B10/B14</f>
        <v>0.105994013139782</v>
      </c>
    </row>
    <row r="19" customFormat="false" ht="22" hidden="false" customHeight="true" outlineLevel="0" collapsed="false">
      <c r="A19" s="4" t="s">
        <v>143</v>
      </c>
      <c r="B19" s="24" t="n">
        <f aca="false">B14/B4</f>
        <v>0.6</v>
      </c>
    </row>
    <row r="20" customFormat="false" ht="22" hidden="false" customHeight="true" outlineLevel="0" collapsed="false">
      <c r="A20" s="16" t="s">
        <v>144</v>
      </c>
      <c r="B20" s="12" t="n">
        <f aca="false">B14*Assumptions!B9*Assumptions!B13/12</f>
        <v>375493.702153846</v>
      </c>
    </row>
    <row r="21" customFormat="false" ht="22" hidden="false" customHeight="true" outlineLevel="0" collapsed="false">
      <c r="A21" s="15" t="s">
        <v>145</v>
      </c>
      <c r="B21" s="18" t="n">
        <f aca="false">B14*Assumptions!B12*(-PMT(Assumptions!B9/Assumptions!B12,Assumptions!B11*Assumptions!B12,1))</f>
        <v>447633.886249924</v>
      </c>
    </row>
    <row r="22" customFormat="false" ht="22" hidden="false" customHeight="true" outlineLevel="0" collapsed="false">
      <c r="A22" s="15" t="s">
        <v>146</v>
      </c>
      <c r="B22" s="25" t="n">
        <f aca="false">Underwriting!B18/B20</f>
        <v>1.7376067727833</v>
      </c>
    </row>
    <row r="23" customFormat="false" ht="22" hidden="false" customHeight="true" outlineLevel="0" collapsed="false">
      <c r="A23" s="15" t="s">
        <v>147</v>
      </c>
      <c r="B23" s="10" t="n">
        <f aca="false">B16-B20</f>
        <v>91399.8627401287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7" hidden="false" customHeight="true" outlineLevel="0" collapsed="false">
      <c r="A1" s="1" t="s">
        <v>148</v>
      </c>
    </row>
    <row r="3" customFormat="false" ht="25" hidden="false" customHeight="true" outlineLevel="0" collapsed="false">
      <c r="A3" s="3" t="s">
        <v>149</v>
      </c>
      <c r="B3" s="3" t="s">
        <v>82</v>
      </c>
      <c r="C3" s="3" t="s">
        <v>127</v>
      </c>
    </row>
    <row r="4" customFormat="false" ht="25" hidden="false" customHeight="true" outlineLevel="0" collapsed="false">
      <c r="A4" s="3" t="s">
        <v>150</v>
      </c>
    </row>
    <row r="5" customFormat="false" ht="22" hidden="false" customHeight="true" outlineLevel="0" collapsed="false">
      <c r="A5" s="4" t="s">
        <v>151</v>
      </c>
      <c r="B5" s="12" t="n">
        <f aca="false">Sizing!B14</f>
        <v>6155634.46153846</v>
      </c>
    </row>
    <row r="6" customFormat="false" ht="22" hidden="false" customHeight="true" outlineLevel="0" collapsed="false">
      <c r="A6" s="11" t="s">
        <v>152</v>
      </c>
      <c r="B6" s="12" t="n">
        <f aca="false">B5</f>
        <v>6155634.46153846</v>
      </c>
    </row>
    <row r="7" customFormat="false" ht="25" hidden="false" customHeight="true" outlineLevel="0" collapsed="false">
      <c r="A7" s="3" t="s">
        <v>153</v>
      </c>
    </row>
    <row r="8" customFormat="false" ht="22" hidden="false" customHeight="true" outlineLevel="0" collapsed="false">
      <c r="A8" s="4" t="s">
        <v>28</v>
      </c>
      <c r="B8" s="18" t="n">
        <f aca="false">Assumptions!B19</f>
        <v>3600000</v>
      </c>
    </row>
    <row r="9" customFormat="false" ht="22" hidden="false" customHeight="true" outlineLevel="0" collapsed="false">
      <c r="A9" s="4" t="s">
        <v>154</v>
      </c>
      <c r="B9" s="18" t="n">
        <f aca="false">Assumptions!B21*B5</f>
        <v>61556.3446153846</v>
      </c>
    </row>
    <row r="10" customFormat="false" ht="22" hidden="false" customHeight="true" outlineLevel="0" collapsed="false">
      <c r="A10" s="4" t="s">
        <v>30</v>
      </c>
      <c r="B10" s="18" t="n">
        <f aca="false">Assumptions!B20</f>
        <v>55000</v>
      </c>
    </row>
    <row r="11" customFormat="false" ht="22" hidden="false" customHeight="true" outlineLevel="0" collapsed="false">
      <c r="A11" s="11" t="s">
        <v>155</v>
      </c>
      <c r="B11" s="12" t="n">
        <f aca="false">SUM(B8:B10)</f>
        <v>3716556.34461538</v>
      </c>
    </row>
    <row r="12" customFormat="false" ht="22" hidden="false" customHeight="true" outlineLevel="0" collapsed="false">
      <c r="A12" s="11" t="s">
        <v>156</v>
      </c>
      <c r="B12" s="12" t="n">
        <f aca="false">B6-B11</f>
        <v>2439078.11692308</v>
      </c>
    </row>
    <row r="14" customFormat="false" ht="22" hidden="false" customHeight="true" outlineLevel="0" collapsed="false">
      <c r="A14" s="15" t="s">
        <v>157</v>
      </c>
      <c r="B14" s="10" t="n">
        <f aca="false">B11+B12-B6</f>
        <v>0</v>
      </c>
    </row>
    <row r="15" customFormat="false" ht="36" hidden="false" customHeight="true" outlineLevel="0" collapsed="false">
      <c r="A15" s="2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27" hidden="false" customHeight="true" outlineLevel="0" collapsed="false">
      <c r="A1" s="1" t="s">
        <v>159</v>
      </c>
    </row>
    <row r="2" customFormat="false" ht="36" hidden="false" customHeight="true" outlineLevel="0" collapsed="false">
      <c r="A2" s="2" t="s">
        <v>160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5" hidden="false" customHeight="true" outlineLevel="0" collapsed="false">
      <c r="A4" s="3" t="s">
        <v>161</v>
      </c>
    </row>
    <row r="5" customFormat="false" ht="22" hidden="false" customHeight="true" outlineLevel="0" collapsed="false">
      <c r="A5" s="4" t="s">
        <v>162</v>
      </c>
      <c r="B5" s="18" t="n">
        <f aca="false">Underwriting!B7*Assumptions!B30</f>
        <v>850554</v>
      </c>
    </row>
    <row r="6" customFormat="false" ht="22" hidden="false" customHeight="true" outlineLevel="0" collapsed="false">
      <c r="A6" s="4" t="s">
        <v>163</v>
      </c>
      <c r="B6" s="18" t="n">
        <f aca="false">MAX(Assumptions!B22,Assumptions!B23*B5)</f>
        <v>26400</v>
      </c>
    </row>
    <row r="7" customFormat="false" ht="22" hidden="false" customHeight="true" outlineLevel="0" collapsed="false">
      <c r="A7" s="4" t="s">
        <v>164</v>
      </c>
      <c r="B7" s="18" t="n">
        <f aca="false">Underwriting!B15-Underwriting!B14</f>
        <v>201600</v>
      </c>
    </row>
    <row r="8" customFormat="false" ht="22" hidden="false" customHeight="true" outlineLevel="0" collapsed="false">
      <c r="A8" s="4" t="s">
        <v>165</v>
      </c>
      <c r="B8" s="10" t="n">
        <f aca="false">B7+B6</f>
        <v>228000</v>
      </c>
    </row>
    <row r="9" customFormat="false" ht="22" hidden="false" customHeight="true" outlineLevel="0" collapsed="false">
      <c r="A9" s="11" t="s">
        <v>166</v>
      </c>
      <c r="B9" s="12" t="n">
        <f aca="false">B5-B8</f>
        <v>622554</v>
      </c>
    </row>
    <row r="10" customFormat="false" ht="22" hidden="false" customHeight="true" outlineLevel="0" collapsed="false">
      <c r="A10" s="11" t="s">
        <v>167</v>
      </c>
      <c r="B10" s="12" t="n">
        <f aca="false">B9-Underwriting!B17</f>
        <v>608154</v>
      </c>
    </row>
    <row r="11" customFormat="false" ht="22" hidden="false" customHeight="true" outlineLevel="0" collapsed="false">
      <c r="A11" s="4" t="s">
        <v>168</v>
      </c>
      <c r="B11" s="18" t="n">
        <f aca="false">B9/Assumptions!B7</f>
        <v>9577753.84615385</v>
      </c>
    </row>
    <row r="12" customFormat="false" ht="36" hidden="false" customHeight="true" outlineLevel="0" collapsed="false">
      <c r="A12" s="26" t="s">
        <v>169</v>
      </c>
    </row>
    <row r="13" customFormat="false" ht="22" hidden="false" customHeight="true" outlineLevel="0" collapsed="false">
      <c r="A13" s="4" t="s">
        <v>170</v>
      </c>
      <c r="B13" s="19" t="n">
        <f aca="false">Assumptions!B8+Assumptions!B31</f>
        <v>0.075</v>
      </c>
    </row>
    <row r="14" customFormat="false" ht="22" hidden="false" customHeight="true" outlineLevel="0" collapsed="false">
      <c r="A14" s="4" t="s">
        <v>171</v>
      </c>
      <c r="B14" s="20" t="n">
        <f aca="false">Assumptions!B12*(-PMT(B13/Assumptions!B12,Assumptions!B11*Assumptions!B12,1))</f>
        <v>0.0839057410263335</v>
      </c>
    </row>
    <row r="15" customFormat="false" ht="22" hidden="false" customHeight="true" outlineLevel="0" collapsed="false">
      <c r="A15" s="4" t="s">
        <v>172</v>
      </c>
      <c r="B15" s="18" t="n">
        <f aca="false">Assumptions!B14*B11</f>
        <v>5746652.30769231</v>
      </c>
    </row>
    <row r="16" customFormat="false" ht="22" hidden="false" customHeight="true" outlineLevel="0" collapsed="false">
      <c r="A16" s="4" t="s">
        <v>173</v>
      </c>
      <c r="B16" s="18" t="n">
        <f aca="false">B10/Assumptions!B15/B14</f>
        <v>5575432.18745841</v>
      </c>
    </row>
    <row r="17" customFormat="false" ht="22" hidden="false" customHeight="true" outlineLevel="0" collapsed="false">
      <c r="A17" s="4" t="s">
        <v>174</v>
      </c>
      <c r="B17" s="18" t="n">
        <f aca="false">B10/Assumptions!B16</f>
        <v>6401621.05263158</v>
      </c>
    </row>
    <row r="21" customFormat="false" ht="22" hidden="false" customHeight="true" outlineLevel="0" collapsed="false">
      <c r="A21" s="11" t="s">
        <v>175</v>
      </c>
      <c r="B21" s="12" t="n">
        <f aca="false">MIN(B15,B16,B17)</f>
        <v>5575432.18745841</v>
      </c>
    </row>
    <row r="22" customFormat="false" ht="22" hidden="false" customHeight="true" outlineLevel="0" collapsed="false">
      <c r="A22" s="11" t="s">
        <v>176</v>
      </c>
      <c r="B22" s="11" t="str">
        <f aca="false">IF(B21=B15,"LTV",IF(B21=B16,"DSCR","Debt yield"))</f>
        <v>DSCR</v>
      </c>
    </row>
    <row r="23" customFormat="false" ht="22" hidden="false" customHeight="true" outlineLevel="0" collapsed="false">
      <c r="A23" s="4" t="s">
        <v>177</v>
      </c>
      <c r="B23" s="18" t="n">
        <f aca="false">B21-Sizing!B14</f>
        <v>-580202.274080055</v>
      </c>
    </row>
    <row r="24" customFormat="false" ht="36" hidden="false" customHeight="true" outlineLevel="0" collapsed="false">
      <c r="A24" s="26" t="s">
        <v>178</v>
      </c>
    </row>
    <row r="25" customFormat="false" ht="22" hidden="false" customHeight="true" outlineLevel="0" collapsed="false">
      <c r="A25" s="4" t="s">
        <v>179</v>
      </c>
      <c r="B25" s="19" t="n">
        <f aca="false">Assumptions!B7+Assumptions!B32</f>
        <v>0.07</v>
      </c>
    </row>
    <row r="26" customFormat="false" ht="22" hidden="false" customHeight="true" outlineLevel="0" collapsed="false">
      <c r="A26" s="4" t="s">
        <v>180</v>
      </c>
      <c r="B26" s="18" t="n">
        <f aca="false">Underwriting!B16/B25</f>
        <v>9526577.14285714</v>
      </c>
    </row>
    <row r="27" customFormat="false" ht="22" hidden="false" customHeight="true" outlineLevel="0" collapsed="false">
      <c r="A27" s="4" t="s">
        <v>181</v>
      </c>
      <c r="B27" s="18" t="n">
        <f aca="false">Assumptions!B14*B26</f>
        <v>5715946.28571428</v>
      </c>
    </row>
    <row r="28" customFormat="false" ht="22" hidden="false" customHeight="true" outlineLevel="0" collapsed="false">
      <c r="A28" s="11" t="s">
        <v>182</v>
      </c>
      <c r="B28" s="12" t="n">
        <f aca="false">MIN(B27,Sizing!B9,Sizing!B12)</f>
        <v>5715946.28571428</v>
      </c>
    </row>
    <row r="29" customFormat="false" ht="22" hidden="false" customHeight="true" outlineLevel="0" collapsed="false">
      <c r="A29" s="11" t="s">
        <v>183</v>
      </c>
      <c r="B29" s="11" t="str">
        <f aca="false">IF(B28=B27,"LTV",IF(B28=Sizing!B9,"DSCR","Debt yield"))</f>
        <v>LTV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3" t="s">
        <v>149</v>
      </c>
      <c r="B3" s="3" t="s">
        <v>185</v>
      </c>
      <c r="C3" s="3" t="s">
        <v>83</v>
      </c>
    </row>
    <row r="4" customFormat="false" ht="25" hidden="false" customHeight="true" outlineLevel="0" collapsed="false">
      <c r="A4" s="3" t="s">
        <v>186</v>
      </c>
    </row>
    <row r="5" customFormat="false" ht="22" hidden="false" customHeight="true" outlineLevel="0" collapsed="false">
      <c r="A5" s="4" t="s">
        <v>187</v>
      </c>
      <c r="B5" s="4" t="s">
        <v>188</v>
      </c>
      <c r="C5" s="4" t="s">
        <v>189</v>
      </c>
    </row>
    <row r="6" customFormat="false" ht="22" hidden="false" customHeight="true" outlineLevel="0" collapsed="false">
      <c r="A6" s="4" t="s">
        <v>190</v>
      </c>
      <c r="B6" s="4" t="s">
        <v>191</v>
      </c>
      <c r="C6" s="4" t="s">
        <v>192</v>
      </c>
    </row>
    <row r="7" customFormat="false" ht="22" hidden="false" customHeight="true" outlineLevel="0" collapsed="false">
      <c r="A7" s="4" t="s">
        <v>193</v>
      </c>
      <c r="B7" s="4" t="s">
        <v>194</v>
      </c>
      <c r="C7" s="4" t="s">
        <v>195</v>
      </c>
    </row>
    <row r="8" customFormat="false" ht="22" hidden="false" customHeight="true" outlineLevel="0" collapsed="false">
      <c r="A8" s="4" t="s">
        <v>196</v>
      </c>
      <c r="B8" s="4" t="s">
        <v>197</v>
      </c>
    </row>
    <row r="9" customFormat="false" ht="22" hidden="false" customHeight="true" outlineLevel="0" collapsed="false">
      <c r="A9" s="4" t="s">
        <v>198</v>
      </c>
      <c r="B9" s="4" t="s">
        <v>199</v>
      </c>
    </row>
    <row r="10" customFormat="false" ht="22" hidden="false" customHeight="true" outlineLevel="0" collapsed="false">
      <c r="A10" s="4" t="s">
        <v>200</v>
      </c>
      <c r="B10" s="4" t="s">
        <v>201</v>
      </c>
    </row>
    <row r="11" customFormat="false" ht="22" hidden="false" customHeight="true" outlineLevel="0" collapsed="false">
      <c r="A11" s="4" t="s">
        <v>202</v>
      </c>
      <c r="B11" s="4" t="s">
        <v>203</v>
      </c>
    </row>
    <row r="12" customFormat="false" ht="22" hidden="false" customHeight="true" outlineLevel="0" collapsed="false">
      <c r="A12" s="4" t="s">
        <v>204</v>
      </c>
      <c r="B12" s="4" t="s">
        <v>205</v>
      </c>
    </row>
    <row r="13" customFormat="false" ht="22" hidden="false" customHeight="true" outlineLevel="0" collapsed="false">
      <c r="A13" s="4" t="s">
        <v>206</v>
      </c>
      <c r="B13" s="4" t="s">
        <v>207</v>
      </c>
    </row>
    <row r="15" customFormat="false" ht="25" hidden="false" customHeight="true" outlineLevel="0" collapsed="false">
      <c r="A15" s="3" t="s">
        <v>208</v>
      </c>
    </row>
    <row r="16" customFormat="false" ht="22" hidden="false" customHeight="true" outlineLevel="0" collapsed="false">
      <c r="A16" s="4" t="s">
        <v>209</v>
      </c>
      <c r="B16" s="4" t="s">
        <v>210</v>
      </c>
    </row>
    <row r="17" customFormat="false" ht="22" hidden="false" customHeight="true" outlineLevel="0" collapsed="false">
      <c r="A17" s="4" t="s">
        <v>211</v>
      </c>
      <c r="B17" s="4" t="s">
        <v>212</v>
      </c>
    </row>
    <row r="18" customFormat="false" ht="22" hidden="false" customHeight="true" outlineLevel="0" collapsed="false">
      <c r="A18" s="4" t="s">
        <v>213</v>
      </c>
      <c r="B18" s="4" t="s">
        <v>214</v>
      </c>
    </row>
    <row r="19" customFormat="false" ht="22" hidden="false" customHeight="true" outlineLevel="0" collapsed="false">
      <c r="A19" s="4" t="s">
        <v>215</v>
      </c>
      <c r="B19" s="4" t="s">
        <v>216</v>
      </c>
    </row>
    <row r="20" customFormat="false" ht="22" hidden="false" customHeight="true" outlineLevel="0" collapsed="false">
      <c r="A20" s="4" t="s">
        <v>217</v>
      </c>
      <c r="B20" s="4" t="s">
        <v>218</v>
      </c>
    </row>
    <row r="21" customFormat="false" ht="22" hidden="false" customHeight="true" outlineLevel="0" collapsed="false">
      <c r="A21" s="4" t="s">
        <v>219</v>
      </c>
      <c r="B21" s="4" t="s">
        <v>220</v>
      </c>
    </row>
    <row r="22" customFormat="false" ht="22" hidden="false" customHeight="true" outlineLevel="0" collapsed="false">
      <c r="A22" s="4" t="s">
        <v>221</v>
      </c>
      <c r="B22" s="4" t="s">
        <v>222</v>
      </c>
    </row>
    <row r="23" customFormat="false" ht="22" hidden="false" customHeight="true" outlineLevel="0" collapsed="false">
      <c r="A23" s="4" t="s">
        <v>223</v>
      </c>
      <c r="B23" s="4" t="s">
        <v>224</v>
      </c>
    </row>
    <row r="24" customFormat="false" ht="22" hidden="false" customHeight="true" outlineLevel="0" collapsed="false">
      <c r="A24" s="4" t="s">
        <v>225</v>
      </c>
      <c r="B24" s="4" t="s">
        <v>226</v>
      </c>
    </row>
    <row r="25" customFormat="false" ht="22" hidden="false" customHeight="true" outlineLevel="0" collapsed="false">
      <c r="A25" s="4" t="s">
        <v>227</v>
      </c>
      <c r="B25" s="4" t="s">
        <v>228</v>
      </c>
    </row>
    <row r="26" customFormat="false" ht="22" hidden="false" customHeight="true" outlineLevel="0" collapsed="false">
      <c r="A26" s="4" t="s">
        <v>229</v>
      </c>
      <c r="B26" s="4" t="s">
        <v>230</v>
      </c>
    </row>
    <row r="27" customFormat="false" ht="22" hidden="false" customHeight="true" outlineLevel="0" collapsed="false">
      <c r="A27" s="4" t="s">
        <v>231</v>
      </c>
      <c r="B27" s="4" t="s">
        <v>232</v>
      </c>
    </row>
    <row r="28" customFormat="false" ht="22" hidden="false" customHeight="true" outlineLevel="0" collapsed="false">
      <c r="A28" s="4" t="s">
        <v>233</v>
      </c>
      <c r="B28" s="4" t="s">
        <v>234</v>
      </c>
    </row>
    <row r="29" customFormat="false" ht="22" hidden="false" customHeight="true" outlineLevel="0" collapsed="false">
      <c r="A29" s="4" t="s">
        <v>235</v>
      </c>
      <c r="B29" s="4" t="s">
        <v>236</v>
      </c>
    </row>
    <row r="30" customFormat="false" ht="22" hidden="false" customHeight="true" outlineLevel="0" collapsed="false">
      <c r="A30" s="4" t="s">
        <v>237</v>
      </c>
      <c r="B30" s="4" t="s">
        <v>238</v>
      </c>
    </row>
    <row r="31" customFormat="false" ht="22" hidden="false" customHeight="true" outlineLevel="0" collapsed="false">
      <c r="A31" s="4" t="s">
        <v>239</v>
      </c>
      <c r="B31" s="4" t="s">
        <v>240</v>
      </c>
    </row>
    <row r="32" customFormat="false" ht="22" hidden="false" customHeight="true" outlineLevel="0" collapsed="false">
      <c r="A32" s="4" t="s">
        <v>241</v>
      </c>
      <c r="B32" s="4" t="s">
        <v>242</v>
      </c>
    </row>
    <row r="33" customFormat="false" ht="22" hidden="false" customHeight="true" outlineLevel="0" collapsed="false">
      <c r="A33" s="4" t="s">
        <v>243</v>
      </c>
      <c r="B33" s="4" t="s">
        <v>244</v>
      </c>
    </row>
    <row r="34" customFormat="false" ht="22" hidden="false" customHeight="true" outlineLevel="0" collapsed="false">
      <c r="A34" s="4" t="s">
        <v>245</v>
      </c>
      <c r="B34" s="4" t="s">
        <v>246</v>
      </c>
    </row>
    <row r="35" customFormat="false" ht="22" hidden="false" customHeight="true" outlineLevel="0" collapsed="false">
      <c r="A35" s="4" t="s">
        <v>247</v>
      </c>
      <c r="B35" s="4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