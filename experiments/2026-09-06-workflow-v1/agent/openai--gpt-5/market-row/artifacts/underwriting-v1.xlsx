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23e88b008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a140b7f8ab94d51"/>
    <x:sheet xmlns:r="http://schemas.openxmlformats.org/officeDocument/2006/relationships" name="T12" sheetId="2" r:id="Rfb49e4278c234328"/>
    <x:sheet xmlns:r="http://schemas.openxmlformats.org/officeDocument/2006/relationships" name="Underwriting" sheetId="3" r:id="R9ac01c0db1e44721"/>
    <x:sheet xmlns:r="http://schemas.openxmlformats.org/officeDocument/2006/relationships" name="Value &amp; Sizing" sheetId="4" r:id="Rcb90a242665f42ee"/>
    <x:sheet xmlns:r="http://schemas.openxmlformats.org/officeDocument/2006/relationships" name="Sensitivity" sheetId="5" r:id="Rca0dc4d5a8e0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0%"/>
    <x:numFmt numFmtId="202" formatCode="#,##0"/>
    <x:numFmt numFmtId="203" formatCode="$0.00"/>
    <x:numFmt numFmtId="204" formatCode="0.0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1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7f2b1bc214ee5" /><Relationship Type="http://schemas.openxmlformats.org/officeDocument/2006/relationships/theme" Target="/xl/theme/theme1.xml" Id="R650954bfe0744570" /><Relationship Type="http://schemas.openxmlformats.org/officeDocument/2006/relationships/sharedStrings" Target="/xl/sharedStrings.xml" Id="Rb7794f2b69824880" /><Relationship Type="http://schemas.openxmlformats.org/officeDocument/2006/relationships/worksheet" Target="/xl/worksheets/sheet1.xml" Id="R2a140b7f8ab94d51" /><Relationship Type="http://schemas.openxmlformats.org/officeDocument/2006/relationships/worksheet" Target="/xl/worksheets/sheet2.xml" Id="Rfb49e4278c234328" /><Relationship Type="http://schemas.openxmlformats.org/officeDocument/2006/relationships/worksheet" Target="/xl/worksheets/sheet3.xml" Id="R9ac01c0db1e44721" /><Relationship Type="http://schemas.openxmlformats.org/officeDocument/2006/relationships/worksheet" Target="/xl/worksheets/sheet4.xml" Id="Rcb90a242665f42ee" /><Relationship Type="http://schemas.openxmlformats.org/officeDocument/2006/relationships/worksheet" Target="/xl/worksheets/sheet5.xml" Id="Rca0dc4d5a8e0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</x:cols>
  <x:sheetData>
    <x:row r="1" ht="27" customHeight="1">
      <x:c r="A1" s="2" t="str">
        <x:v>Market Row | Underwriting Inputs</x:v>
      </x:c>
    </x:row>
    <x:row r="3" ht="25" customHeight="1">
      <x:c r="A3" s="4" t="str">
        <x:v>Income assumptions</x:v>
      </x:c>
    </x:row>
    <x:row r="4" ht="22" customHeight="1">
      <x:c r="A4" s="1" t="str">
        <x:v>Gross potential base rent (annual)</x:v>
      </x:c>
      <x:c r="B4" s="6" t="n">
        <x:v>657600</x:v>
      </x:c>
    </x:row>
    <x:row r="5" ht="22" customHeight="1">
      <x:c r="A5" s="1" t="str">
        <x:v>Revenue loss % of GPR</x:v>
      </x:c>
      <x:c r="B5" s="7" t="n">
        <x:v>0.06</x:v>
      </x:c>
    </x:row>
    <x:row r="6" ht="22" customHeight="1">
      <x:c r="A6" s="1" t="str">
        <x:v>Other income (annual)</x:v>
      </x:c>
      <x:c r="B6" s="6" t="n">
        <x:v>150000</x:v>
      </x:c>
    </x:row>
    <x:row r="8" ht="25" customHeight="1">
      <x:c r="A8" s="4" t="str">
        <x:v>Management assumptions</x:v>
      </x:c>
    </x:row>
    <x:row r="9" ht="22" customHeight="1">
      <x:c r="A9" s="1" t="str">
        <x:v>T12 management fee (annual)</x:v>
      </x:c>
      <x:c r="B9" s="6" t="n">
        <x:v>24000</x:v>
      </x:c>
    </x:row>
    <x:row r="10" ht="22" customHeight="1">
      <x:c r="A10" s="1" t="str">
        <x:v>Management fee % of EGI</x:v>
      </x:c>
      <x:c r="B10" s="7" t="n">
        <x:v>0.04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 (annual)</x:v>
      </x:c>
      <x:c r="B13" s="6" t="n">
        <x:v>90000</x:v>
      </x:c>
    </x:row>
    <x:row r="14" ht="22" customHeight="1">
      <x:c r="A14" s="1" t="str">
        <x:v>Property insurance (annual)</x:v>
      </x:c>
      <x:c r="B14" s="6" t="n">
        <x:v>27600</x:v>
      </x:c>
    </x:row>
    <x:row r="15" ht="22" customHeight="1">
      <x:c r="A15" s="1" t="str">
        <x:v>Utilities</x:v>
      </x:c>
      <x:c r="B15" s="6" t="n">
        <x:v>19200</x:v>
      </x:c>
    </x:row>
    <x:row r="16" ht="22" customHeight="1">
      <x:c r="A16" s="1" t="str">
        <x:v>Repairs and maintenance (UW)</x:v>
      </x:c>
      <x:c r="B16" s="6" t="n">
        <x:v>24000</x:v>
      </x:c>
    </x:row>
    <x:row r="17" ht="22" customHeight="1">
      <x:c r="A17" s="1" t="str">
        <x:v>Payroll / contract labor</x:v>
      </x:c>
      <x:c r="B17" s="6" t="n">
        <x:v>18000</x:v>
      </x:c>
    </x:row>
    <x:row r="18" ht="22" customHeight="1">
      <x:c r="A18" s="1" t="str">
        <x:v>Administrative / legal</x:v>
      </x:c>
      <x:c r="B18" s="6" t="n">
        <x:v>14400</x:v>
      </x:c>
    </x:row>
    <x:row r="20" ht="25" customHeight="1">
      <x:c r="A20" s="4" t="str">
        <x:v>Reserves and area</x:v>
      </x:c>
    </x:row>
    <x:row r="21" ht="22" customHeight="1">
      <x:c r="A21" s="1" t="str">
        <x:v>Total rentable SF</x:v>
      </x:c>
      <x:c r="B21" s="8" t="n">
        <x:v>23000</x:v>
      </x:c>
    </x:row>
    <x:row r="22" ht="22" customHeight="1">
      <x:c r="A22" s="1" t="str">
        <x:v>Reserves $/SF/year</x:v>
      </x:c>
      <x:c r="B22" s="9" t="n">
        <x:v>0.2</x:v>
      </x:c>
    </x:row>
    <x:row r="24" ht="25" customHeight="1">
      <x:c r="A24" s="4" t="str">
        <x:v>Rates and sizing</x:v>
      </x:c>
    </x:row>
    <x:row r="25" ht="22" customHeight="1">
      <x:c r="A25" s="1" t="str">
        <x:v>Cap rate</x:v>
      </x:c>
      <x:c r="B25" s="7" t="n">
        <x:v>0.065</x:v>
      </x:c>
    </x:row>
    <x:row r="26" ht="22" customHeight="1">
      <x:c r="A26" s="1" t="str">
        <x:v>Debt yield minimum</x:v>
      </x:c>
      <x:c r="B26" s="7" t="n">
        <x:v>0.09</x:v>
      </x:c>
    </x:row>
    <x:row r="27" ht="22" customHeight="1">
      <x:c r="A27" s="1" t="str">
        <x:v>Contract rate</x:v>
      </x:c>
      <x:c r="B27" s="7" t="n">
        <x:v>0.0625</x:v>
      </x:c>
    </x:row>
    <x:row r="28" ht="22" customHeight="1">
      <x:c r="A28" s="1" t="str">
        <x:v>Sizing rate</x:v>
      </x:c>
      <x:c r="B28" s="7" t="n">
        <x:v>0.065</x:v>
      </x:c>
    </x:row>
    <x:row r="29" ht="22" customHeight="1">
      <x:c r="A29" s="1" t="str">
        <x:v>Amortization years</x:v>
      </x:c>
      <x:c r="B29" s="5" t="n">
        <x:v>25</x:v>
      </x:c>
    </x:row>
    <x:row r="30" ht="22" customHeight="1">
      <x:c r="A30" s="1" t="str">
        <x:v>Interest-only months</x:v>
      </x:c>
      <x:c r="B30" s="5" t="n">
        <x:v>0</x:v>
      </x:c>
    </x:row>
    <x:row r="32" ht="25" customHeight="1">
      <x:c r="A32" s="4" t="str">
        <x:v>Transaction costs</x:v>
      </x:c>
    </x:row>
    <x:row r="33" ht="22" customHeight="1">
      <x:c r="A33" s="1" t="str">
        <x:v>Existing debt payoff</x:v>
      </x:c>
      <x:c r="B33" s="6" t="n">
        <x:v>3400000</x:v>
      </x:c>
    </x:row>
    <x:row r="34" ht="22" customHeight="1">
      <x:c r="A34" s="1" t="str">
        <x:v>Fixed closing costs</x:v>
      </x:c>
      <x:c r="B34" s="6" t="n">
        <x:v>48000</x:v>
      </x:c>
    </x:row>
    <x:row r="35" ht="22" customHeight="1">
      <x:c r="A35" s="1" t="str">
        <x:v>Origination fee % of loan</x:v>
      </x:c>
      <x:c r="B35" s="7" t="n">
        <x:v>0.01</x:v>
      </x:c>
    </x:row>
    <x:row r="37" ht="25" customHeight="1">
      <x:c r="A37" s="4" t="str">
        <x:v>Evidence inputs</x:v>
      </x:c>
    </x:row>
    <x:row r="38" ht="22" customHeight="1">
      <x:c r="A38" s="1" t="str">
        <x:v>Verified renewal insurance (annual)</x:v>
      </x:c>
      <x:c r="B38" s="6" t="n">
        <x:v>27600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Market Row | Trailing twelve months (Sep 2025 - Aug 2026)</x:v>
      </x:c>
    </x:row>
    <x:row r="3" ht="22" customHeight="1">
      <x:c r="A3" s="1" t="str">
        <x:v>Gross potential base rent</x:v>
      </x:c>
      <x:c r="B3" s="12" t="n">
        <x:v>645600</x:v>
      </x:c>
    </x:row>
    <x:row r="4" ht="22" customHeight="1">
      <x:c r="A4" s="1" t="str">
        <x:v>Vacancy loss</x:v>
      </x:c>
      <x:c r="B4" s="12" t="n">
        <x:v>-46800</x:v>
      </x:c>
    </x:row>
    <x:row r="5" ht="22" customHeight="1">
      <x:c r="A5" s="1" t="str">
        <x:v>Concessions</x:v>
      </x:c>
      <x:c r="B5" s="12" t="n">
        <x:v>-14400</x:v>
      </x:c>
    </x:row>
    <x:row r="6" ht="22" customHeight="1">
      <x:c r="A6" s="1" t="str">
        <x:v>Bad debt</x:v>
      </x:c>
      <x:c r="B6" s="12" t="n">
        <x:v>-3600</x:v>
      </x:c>
    </x:row>
    <x:row r="7" ht="22" customHeight="1">
      <x:c r="A7" s="1" t="str">
        <x:v>Other income / recoveries</x:v>
      </x:c>
      <x:c r="B7" s="12" t="n">
        <x:v>142800</x:v>
      </x:c>
    </x:row>
    <x:row r="8" ht="22" customHeight="1">
      <x:c r="A8" s="4" t="str">
        <x:v>Effective gross income (EGI)</x:v>
      </x:c>
      <x:c r="B8" s="12" t="n">
        <x:f>SUM(B3:B7)</x:f>
        <x:v>723600</x:v>
      </x:c>
    </x:row>
    <x:row r="10" ht="25" customHeight="1">
      <x:c r="A10" s="4" t="str">
        <x:v>Operating expenses (above NOI)</x:v>
      </x:c>
    </x:row>
    <x:row r="11" ht="22" customHeight="1">
      <x:c r="A11" s="1" t="str">
        <x:v>Real estate taxes</x:v>
      </x:c>
      <x:c r="B11" s="10" t="n">
        <x:v>86400</x:v>
      </x:c>
    </x:row>
    <x:row r="12" ht="22" customHeight="1">
      <x:c r="A12" s="1" t="str">
        <x:v>Property insurance</x:v>
      </x:c>
      <x:c r="B12" s="10" t="n">
        <x:v>25200</x:v>
      </x:c>
    </x:row>
    <x:row r="13" ht="22" customHeight="1">
      <x:c r="A13" s="1" t="str">
        <x:v>Utilities</x:v>
      </x:c>
      <x:c r="B13" s="10" t="n">
        <x:v>19200</x:v>
      </x:c>
    </x:row>
    <x:row r="14" ht="22" customHeight="1">
      <x:c r="A14" s="1" t="str">
        <x:v>Repairs and maintenance</x:v>
      </x:c>
      <x:c r="B14" s="10" t="n">
        <x:v>28800</x:v>
      </x:c>
    </x:row>
    <x:row r="15" ht="22" customHeight="1">
      <x:c r="A15" s="1" t="str">
        <x:v>Payroll / contract labor</x:v>
      </x:c>
      <x:c r="B15" s="10" t="n">
        <x:v>18000</x:v>
      </x:c>
    </x:row>
    <x:row r="16" ht="22" customHeight="1">
      <x:c r="A16" s="1" t="str">
        <x:v>Administrative / legal</x:v>
      </x:c>
      <x:c r="B16" s="10" t="n">
        <x:v>14400</x:v>
      </x:c>
    </x:row>
    <x:row r="17" ht="22" customHeight="1">
      <x:c r="A17" s="1" t="str">
        <x:v>Management fee</x:v>
      </x:c>
      <x:c r="B17" s="10" t="n">
        <x:v>24000</x:v>
      </x:c>
    </x:row>
    <x:row r="18" ht="22" customHeight="1">
      <x:c r="A18" s="1" t="str">
        <x:v>Total operating expenses</x:v>
      </x:c>
      <x:c r="B18" s="12" t="n">
        <x:f>SUM(B11:B17)</x:f>
        <x:v>216000</x:v>
      </x:c>
    </x:row>
    <x:row r="20" ht="22" customHeight="1">
      <x:c r="A20" s="4" t="str">
        <x:v>NOI before reserves</x:v>
      </x:c>
      <x:c r="B20" s="12" t="n">
        <x:f>B8-B18</x:f>
        <x:v>507600</x:v>
      </x:c>
    </x:row>
    <x:row r="21" ht="22" customHeight="1">
      <x:c r="A21" s="1" t="str">
        <x:v>Replacement reserves (T12)</x:v>
      </x:c>
      <x:c r="B21" s="10" t="n">
        <x:v>9200</x:v>
      </x:c>
    </x:row>
    <x:row r="22" ht="22" customHeight="1">
      <x:c r="A22" s="4" t="str">
        <x:v>NCF after reserves</x:v>
      </x:c>
      <x:c r="B22" s="12" t="n">
        <x:f>B20-B21</x:f>
        <x:v>498400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 ht="27" customHeight="1">
      <x:c r="A1" s="2" t="str">
        <x:v>Market Row | Underwriting (Sep 2026 forward)</x:v>
      </x:c>
    </x:row>
    <x:row r="3" ht="22" customHeight="1">
      <x:c r="A3" s="1" t="str">
        <x:v>Gross potential base rent (annual)</x:v>
      </x:c>
    </x:row>
    <x:row r="4" ht="22" customHeight="1">
      <x:c r="A4" s="14" t="n">
        <x:f>Inputs!B4</x:f>
        <x:v>657600</x:v>
      </x:c>
    </x:row>
    <x:row r="5" ht="22" customHeight="1">
      <x:c r="A5" s="1" t="str">
        <x:v>Revenue loss % of GPR</x:v>
      </x:c>
    </x:row>
    <x:row r="6" ht="22" customHeight="1">
      <x:c r="A6" s="15" t="n">
        <x:f>Inputs!B5</x:f>
        <x:v>0.06</x:v>
      </x:c>
    </x:row>
    <x:row r="7" ht="22" customHeight="1">
      <x:c r="A7" s="1" t="str">
        <x:v>Other income (annual)</x:v>
      </x:c>
    </x:row>
    <x:row r="8" ht="22" customHeight="1">
      <x:c r="A8" s="14" t="n">
        <x:f>Inputs!B6</x:f>
        <x:v>150000</x:v>
      </x:c>
    </x:row>
    <x:row r="9" ht="25" customHeight="1">
      <x:c r="A9" s="4" t="str">
        <x:v>Effective gross income (EGI)</x:v>
      </x:c>
    </x:row>
    <x:row r="10" ht="22" customHeight="1">
      <x:c r="A10" s="12" t="n">
        <x:f>A4 - (A4*A6) + A8</x:f>
        <x:v>768144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</x:v>
      </x:c>
    </x:row>
    <x:row r="14" ht="22" customHeight="1">
      <x:c r="A14" s="14" t="n">
        <x:f>Inputs!B13</x:f>
        <x:v>90000</x:v>
      </x:c>
    </x:row>
    <x:row r="15" ht="22" customHeight="1">
      <x:c r="A15" s="1" t="str">
        <x:v>Property insurance</x:v>
      </x:c>
    </x:row>
    <x:row r="16" ht="22" customHeight="1">
      <x:c r="A16" s="14" t="n">
        <x:f>Inputs!B14</x:f>
        <x:v>27600</x:v>
      </x:c>
    </x:row>
    <x:row r="17" ht="22" customHeight="1">
      <x:c r="A17" s="1" t="str">
        <x:v>Utilities</x:v>
      </x:c>
    </x:row>
    <x:row r="18" ht="22" customHeight="1">
      <x:c r="A18" s="14" t="n">
        <x:f>Inputs!B15</x:f>
        <x:v>19200</x:v>
      </x:c>
    </x:row>
    <x:row r="19" ht="22" customHeight="1">
      <x:c r="A19" s="1" t="str">
        <x:v>Repairs and maintenance</x:v>
      </x:c>
    </x:row>
    <x:row r="20" ht="22" customHeight="1">
      <x:c r="A20" s="14" t="n">
        <x:f>Inputs!B16</x:f>
        <x:v>24000</x:v>
      </x:c>
    </x:row>
    <x:row r="21" ht="22" customHeight="1">
      <x:c r="A21" s="1" t="str">
        <x:v>Payroll / contract labor</x:v>
      </x:c>
    </x:row>
    <x:row r="22" ht="22" customHeight="1">
      <x:c r="A22" s="14" t="n">
        <x:f>Inputs!B17</x:f>
        <x:v>18000</x:v>
      </x:c>
    </x:row>
    <x:row r="23" ht="22" customHeight="1">
      <x:c r="A23" s="1" t="str">
        <x:v>Administrative / legal</x:v>
      </x:c>
    </x:row>
    <x:row r="24" ht="22" customHeight="1">
      <x:c r="A24" s="14" t="n">
        <x:f>Inputs!B18</x:f>
        <x:v>14400</x:v>
      </x:c>
    </x:row>
    <x:row r="25" ht="22" customHeight="1">
      <x:c r="A25" s="1" t="str">
        <x:v>Subtotal opex ex mgmt</x:v>
      </x:c>
    </x:row>
    <x:row r="26" ht="22" customHeight="1">
      <x:c r="A26" s="12" t="n">
        <x:f>SUM(A14,A16,A18,A20,A22,A24)</x:f>
        <x:v>193200</x:v>
      </x:c>
    </x:row>
    <x:row r="27" ht="22" customHeight="1">
      <x:c r="A27" s="1" t="str">
        <x:v>Management fee % of EGI</x:v>
      </x:c>
    </x:row>
    <x:row r="28" ht="22" customHeight="1">
      <x:c r="A28" s="15" t="n">
        <x:f>Inputs!B10</x:f>
        <x:v>0.04</x:v>
      </x:c>
    </x:row>
    <x:row r="29" ht="22" customHeight="1">
      <x:c r="A29" s="1" t="str">
        <x:v>T12 management fee (actual)</x:v>
      </x:c>
    </x:row>
    <x:row r="30" ht="22" customHeight="1">
      <x:c r="A30" s="14" t="n">
        <x:f>Inputs!B9</x:f>
        <x:v>24000</x:v>
      </x:c>
    </x:row>
    <x:row r="31" ht="22" customHeight="1">
      <x:c r="A31" s="1" t="str">
        <x:v>Calculated mgmt @ % of EGI</x:v>
      </x:c>
    </x:row>
    <x:row r="32" ht="22" customHeight="1">
      <x:c r="A32" s="10" t="n">
        <x:f>A10*A28</x:f>
        <x:v>30725.760000000002</x:v>
      </x:c>
    </x:row>
    <x:row r="33" ht="25" customHeight="1">
      <x:c r="A33" s="4" t="str">
        <x:v>Management fee (greater of)</x:v>
      </x:c>
    </x:row>
    <x:row r="34" ht="22" customHeight="1">
      <x:c r="A34" s="12" t="n">
        <x:f>MAX(A30,A32)</x:f>
        <x:v>30725.760000000002</x:v>
      </x:c>
    </x:row>
    <x:row r="35" ht="25" customHeight="1">
      <x:c r="A35" s="4" t="str">
        <x:v>Total operating expenses</x:v>
      </x:c>
    </x:row>
    <x:row r="36" ht="22" customHeight="1">
      <x:c r="A36" s="12" t="n">
        <x:f>A26+A34</x:f>
        <x:v>223925.76</x:v>
      </x:c>
    </x:row>
    <x:row r="37" ht="25" customHeight="1">
      <x:c r="A37" s="4" t="str">
        <x:v>NOI before reserves</x:v>
      </x:c>
    </x:row>
    <x:row r="38" ht="22" customHeight="1">
      <x:c r="A38" s="12" t="n">
        <x:f>A10-A36</x:f>
        <x:v>544218.24</x:v>
      </x:c>
    </x:row>
    <x:row r="39" ht="22" customHeight="1">
      <x:c r="A39" s="1" t="str">
        <x:v>Reserves $/SF/year</x:v>
      </x:c>
    </x:row>
    <x:row r="40" ht="22" customHeight="1">
      <x:c r="A40" s="16" t="n">
        <x:f>Inputs!B22</x:f>
        <x:v>0.2</x:v>
      </x:c>
    </x:row>
    <x:row r="41" ht="22" customHeight="1">
      <x:c r="A41" s="1" t="str">
        <x:v>Total rentable SF</x:v>
      </x:c>
    </x:row>
    <x:row r="42" ht="22" customHeight="1">
      <x:c r="A42" s="17" t="n">
        <x:f>Inputs!B21</x:f>
        <x:v>23000</x:v>
      </x:c>
    </x:row>
    <x:row r="43" ht="25" customHeight="1">
      <x:c r="A43" s="4" t="str">
        <x:v>Replacement reserves</x:v>
      </x:c>
    </x:row>
    <x:row r="44" ht="22" customHeight="1">
      <x:c r="A44" s="12" t="n">
        <x:f>A40*A42</x:f>
        <x:v>4600</x:v>
      </x:c>
    </x:row>
    <x:row r="45" ht="25" customHeight="1">
      <x:c r="A45" s="4" t="str">
        <x:v>NCF after reserves</x:v>
      </x:c>
    </x:row>
    <x:row r="46" ht="22" customHeight="1">
      <x:c r="A46" s="12" t="n">
        <x:f>A38-A44</x:f>
        <x:v>539618.24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</x:cols>
  <x:sheetData>
    <x:row r="1" ht="27" customHeight="1">
      <x:c r="A1" s="2" t="str">
        <x:v>Market Row | Valuation and Loan Sizing</x:v>
      </x:c>
    </x:row>
    <x:row r="3" ht="22" customHeight="1">
      <x:c r="A3" s="1" t="str">
        <x:v>Cap rate</x:v>
      </x:c>
    </x:row>
    <x:row r="4" ht="22" customHeight="1">
      <x:c r="A4" s="15" t="n">
        <x:f>Inputs!B25</x:f>
        <x:v>0.065</x:v>
      </x:c>
    </x:row>
    <x:row r="5" ht="25" customHeight="1">
      <x:c r="A5" s="4" t="str">
        <x:v>Indicative value (NOI/cap)</x:v>
      </x:c>
    </x:row>
    <x:row r="6" ht="22" customHeight="1">
      <x:c r="A6" s="12" t="n">
        <x:f>'Underwriting'!A38/A4</x:f>
        <x:v>8372588.307692307</x:v>
      </x:c>
    </x:row>
    <x:row r="7" ht="22" customHeight="1">
      <x:c r="A7" s="1" t="str">
        <x:v>LTV limit (65%)</x:v>
      </x:c>
    </x:row>
    <x:row r="8" ht="22" customHeight="1">
      <x:c r="A8" s="12" t="n">
        <x:f>0.65*A6</x:f>
        <x:v>5442182.399999999</x:v>
      </x:c>
    </x:row>
    <x:row r="10" ht="22" customHeight="1">
      <x:c r="A10" s="1" t="str">
        <x:v>Debt yield minimum</x:v>
      </x:c>
    </x:row>
    <x:row r="11" ht="22" customHeight="1">
      <x:c r="A11" s="15" t="n">
        <x:f>Inputs!B26</x:f>
        <x:v>0.09</x:v>
      </x:c>
    </x:row>
    <x:row r="12" ht="22" customHeight="1">
      <x:c r="A12" s="1" t="str">
        <x:v>Debt yield limit</x:v>
      </x:c>
    </x:row>
    <x:row r="13" ht="22" customHeight="1">
      <x:c r="A13" s="12" t="n">
        <x:f>'Underwriting'!A38/A11</x:f>
        <x:v>6046869.333333333</x:v>
      </x:c>
    </x:row>
    <x:row r="15" ht="22" customHeight="1">
      <x:c r="A15" s="1" t="str">
        <x:v>Sizing rate</x:v>
      </x:c>
    </x:row>
    <x:row r="16" ht="22" customHeight="1">
      <x:c r="A16" s="15" t="n">
        <x:f>Inputs!B28</x:f>
        <x:v>0.065</x:v>
      </x:c>
    </x:row>
    <x:row r="17" ht="22" customHeight="1">
      <x:c r="A17" s="1" t="str">
        <x:v>Amortization years</x:v>
      </x:c>
    </x:row>
    <x:row r="18" ht="22" customHeight="1">
      <x:c r="A18" s="13" t="n">
        <x:f>Inputs!B29</x:f>
        <x:v>25</x:v>
      </x:c>
    </x:row>
    <x:row r="19" ht="22" customHeight="1">
      <x:c r="A19" s="1" t="str">
        <x:v>Annual debt constant</x:v>
      </x:c>
    </x:row>
    <x:row r="20" ht="22" customHeight="1">
      <x:c r="A20" s="20" t="n">
        <x:f>-12*PMT(A16/12,A18*12,1)</x:f>
        <x:v>0.08102485936171676</x:v>
      </x:c>
    </x:row>
    <x:row r="22" ht="22" customHeight="1">
      <x:c r="A22" s="1" t="str">
        <x:v>NCF after reserves</x:v>
      </x:c>
    </x:row>
    <x:row r="23" ht="22" customHeight="1">
      <x:c r="A23" s="12" t="n">
        <x:f>'Underwriting'!A46</x:f>
        <x:v>539618.24</x:v>
      </x:c>
    </x:row>
    <x:row r="24" ht="22" customHeight="1">
      <x:c r="A24" s="1" t="str">
        <x:v>DSCR minimum</x:v>
      </x:c>
    </x:row>
    <x:row r="25" ht="22" customHeight="1">
      <x:c r="A25" s="1" t="n">
        <x:v>1.25</x:v>
      </x:c>
    </x:row>
    <x:row r="26" ht="22" customHeight="1">
      <x:c r="A26" s="1" t="str">
        <x:v>DSCR limit</x:v>
      </x:c>
    </x:row>
    <x:row r="27" ht="22" customHeight="1">
      <x:c r="A27" s="12" t="n">
        <x:f>A23/(A25*A20)</x:f>
        <x:v>5327927.692818315</x:v>
      </x:c>
    </x:row>
    <x:row r="29" ht="25" customHeight="1">
      <x:c r="A29" s="4" t="str">
        <x:v>Maximum loan (min of constraints)</x:v>
      </x:c>
    </x:row>
    <x:row r="30" ht="22" customHeight="1">
      <x:c r="A30" s="12" t="n">
        <x:f>MIN(A8,A13,A27)</x:f>
        <x:v>5327927.692818315</x:v>
      </x:c>
    </x:row>
    <x:row r="31" ht="22" customHeight="1">
      <x:c r="A31" s="1" t="str">
        <x:v>Binding constraint</x:v>
      </x:c>
    </x:row>
    <x:row r="32" ht="22" customHeight="1">
      <x:c r="A32" s="22" t="str">
        <x:f>IF(A30=A27,"DSCR",IF(A30=A8,"LTV","Debt yield"))</x:f>
        <x:v>DSCR</x:v>
      </x:c>
    </x:row>
    <x:row r="34" ht="22" customHeight="1">
      <x:c r="A34" s="1" t="str">
        <x:v>Sizing annual debt service</x:v>
      </x:c>
    </x:row>
    <x:row r="35" ht="22" customHeight="1">
      <x:c r="A35" s="12" t="n">
        <x:f>A20*A30</x:f>
        <x:v>431694.592</x:v>
      </x:c>
    </x:row>
    <x:row r="36" ht="22" customHeight="1">
      <x:c r="A36" s="1" t="str">
        <x:v>Sizing DSCR</x:v>
      </x:c>
    </x:row>
    <x:row r="37" ht="22" customHeight="1">
      <x:c r="A37" s="25" t="n">
        <x:f>A23/A35</x:f>
        <x:v>1.25</x:v>
      </x:c>
    </x:row>
    <x:row r="38" ht="22" customHeight="1">
      <x:c r="A38" s="1" t="str">
        <x:v>Sizing debt yield</x:v>
      </x:c>
    </x:row>
    <x:row r="39" ht="22" customHeight="1">
      <x:c r="A39" s="27" t="n">
        <x:f>'Underwriting'!A38/A30</x:f>
        <x:v>0.10214444928251734</x:v>
      </x:c>
    </x:row>
    <x:row r="41" ht="22" customHeight="1">
      <x:c r="A41" s="1" t="str">
        <x:v>Contract rate</x:v>
      </x:c>
    </x:row>
    <x:row r="42" ht="22" customHeight="1">
      <x:c r="A42" s="15" t="n">
        <x:f>Inputs!B27</x:f>
        <x:v>0.0625</x:v>
      </x:c>
    </x:row>
    <x:row r="43" ht="22" customHeight="1">
      <x:c r="A43" s="1" t="str">
        <x:v>First-year annual debt service (contract rate)</x:v>
      </x:c>
    </x:row>
    <x:row r="44" ht="22" customHeight="1">
      <x:c r="A44" s="12" t="n">
        <x:f>-12*PMT(A42/12,A18*12,A30)</x:f>
        <x:v>421760.4898594753</x:v>
      </x:c>
    </x:row>
    <x:row r="46" ht="25" customHeight="1">
      <x:c r="A46" s="4" t="str">
        <x:v>Cash to/from borrower</x:v>
      </x:c>
    </x:row>
    <x:row r="47" ht="22" customHeight="1">
      <x:c r="A47" s="1" t="str">
        <x:v>Origination fee % of loan</x:v>
      </x:c>
    </x:row>
    <x:row r="48" ht="22" customHeight="1">
      <x:c r="A48" s="15" t="n">
        <x:f>Inputs!B35</x:f>
        <x:v>0.01</x:v>
      </x:c>
    </x:row>
    <x:row r="49" ht="22" customHeight="1">
      <x:c r="A49" s="1" t="str">
        <x:v>Existing debt payoff</x:v>
      </x:c>
    </x:row>
    <x:row r="50" ht="22" customHeight="1">
      <x:c r="A50" s="14" t="n">
        <x:f>Inputs!B33</x:f>
        <x:v>3400000</x:v>
      </x:c>
    </x:row>
    <x:row r="51" ht="22" customHeight="1">
      <x:c r="A51" s="1" t="str">
        <x:v>Fixed closing costs</x:v>
      </x:c>
    </x:row>
    <x:row r="52" ht="22" customHeight="1">
      <x:c r="A52" s="14" t="n">
        <x:f>Inputs!B34</x:f>
        <x:v>48000</x:v>
      </x:c>
    </x:row>
    <x:row r="53" ht="22" customHeight="1">
      <x:c r="A53" s="1" t="str">
        <x:v>Net cash to borrower (loan less fee, payoff, costs)</x:v>
      </x:c>
    </x:row>
    <x:row r="54" ht="22" customHeight="1">
      <x:c r="A54" s="12" t="n">
        <x:f>A30*(1-A48)-A50-A52</x:f>
        <x:v>1826648.4158901311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Market Row | Sensitivity</x:v>
      </x:c>
    </x:row>
    <x:row r="3" ht="22" customHeight="1">
      <x:c r="A3" s="1" t="str">
        <x:v>Base EGI</x:v>
      </x:c>
      <x:c r="B3" s="14" t="n">
        <x:f>'Underwriting'!A10</x:f>
        <x:v>768144</x:v>
      </x:c>
    </x:row>
    <x:row r="4" ht="22" customHeight="1">
      <x:c r="A4" s="1" t="str">
        <x:v>EGI down 5%</x:v>
      </x:c>
      <x:c r="B4" s="10" t="n">
        <x:f>B3*0.95</x:f>
        <x:v>729736.7999999999</x:v>
      </x:c>
    </x:row>
    <x:row r="6" ht="22" customHeight="1">
      <x:c r="A6" s="1" t="str">
        <x:v>Mgmt % of EGI</x:v>
      </x:c>
      <x:c r="B6" s="15" t="n">
        <x:f>Inputs!B10</x:f>
        <x:v>0.04</x:v>
      </x:c>
    </x:row>
    <x:row r="7" ht="22" customHeight="1">
      <x:c r="A7" s="1" t="str">
        <x:v>T12 mgmt actual</x:v>
      </x:c>
      <x:c r="B7" s="14" t="n">
        <x:f>Inputs!B9</x:f>
        <x:v>24000</x:v>
      </x:c>
    </x:row>
    <x:row r="8" ht="22" customHeight="1">
      <x:c r="A8" s="1" t="str">
        <x:v>Opex ex mgmt (UW)</x:v>
      </x:c>
      <x:c r="B8" s="14" t="n">
        <x:f>'Underwriting'!A26</x:f>
        <x:v>193200</x:v>
      </x:c>
    </x:row>
    <x:row r="9" ht="22" customHeight="1">
      <x:c r="A9" s="1" t="str">
        <x:v>Mgmt fee (stress)</x:v>
      </x:c>
      <x:c r="B9" s="10" t="n">
        <x:f>MAX(B7,B6*B4)</x:f>
        <x:v>29189.471999999998</x:v>
      </x:c>
    </x:row>
    <x:row r="10" ht="22" customHeight="1">
      <x:c r="A10" s="1" t="str">
        <x:v>NOI before reserves (stress)</x:v>
      </x:c>
      <x:c r="B10" s="10" t="n">
        <x:f>B4-(B8+B9)</x:f>
        <x:v>507347.3279999999</x:v>
      </x:c>
    </x:row>
    <x:row r="11" ht="22" customHeight="1">
      <x:c r="A11" s="1" t="str">
        <x:v>Reserves (same $/SF)</x:v>
      </x:c>
      <x:c r="B11" s="14" t="n">
        <x:f>'Underwriting'!A44</x:f>
        <x:v>4600</x:v>
      </x:c>
    </x:row>
    <x:row r="12" ht="22" customHeight="1">
      <x:c r="A12" s="1" t="str">
        <x:v>NCF after reserves (stress)</x:v>
      </x:c>
      <x:c r="B12" s="10" t="n">
        <x:f>B10-B11</x:f>
        <x:v>502747.3279999999</x:v>
      </x:c>
    </x:row>
    <x:row r="14" ht="22" customHeight="1">
      <x:c r="A14" s="1" t="str">
        <x:v>Cap rate</x:v>
      </x:c>
      <x:c r="B14" s="15" t="n">
        <x:f>Inputs!B25</x:f>
        <x:v>0.065</x:v>
      </x:c>
    </x:row>
    <x:row r="15" ht="22" customHeight="1">
      <x:c r="A15" s="1" t="str">
        <x:v>Value at cap (stress EGI)</x:v>
      </x:c>
      <x:c r="B15" s="10" t="n">
        <x:f>B10/B14</x:f>
        <x:v>7805343.507692306</x:v>
      </x:c>
    </x:row>
    <x:row r="16" ht="22" customHeight="1">
      <x:c r="A16" s="1" t="str">
        <x:v>LTV limit (65%)</x:v>
      </x:c>
      <x:c r="B16" s="10" t="n">
        <x:f>0.65*B15</x:f>
        <x:v>5073473.279999999</x:v>
      </x:c>
    </x:row>
    <x:row r="18" ht="22" customHeight="1">
      <x:c r="A18" s="1" t="str">
        <x:v>Debt yield minimum</x:v>
      </x:c>
      <x:c r="B18" s="15" t="n">
        <x:f>Inputs!B26</x:f>
        <x:v>0.09</x:v>
      </x:c>
    </x:row>
    <x:row r="19" ht="22" customHeight="1">
      <x:c r="A19" s="1" t="str">
        <x:v>Debt yield limit (stress)</x:v>
      </x:c>
      <x:c r="B19" s="10" t="n">
        <x:f>B10/B18</x:f>
        <x:v>5637192.533333332</x:v>
      </x:c>
    </x:row>
    <x:row r="21" ht="22" customHeight="1">
      <x:c r="A21" s="1" t="str">
        <x:v>Sizing rate (base +100 bps)</x:v>
      </x:c>
      <x:c r="B21" s="15" t="n">
        <x:f>Inputs!B28+0.01</x:f>
        <x:v>0.075</x:v>
      </x:c>
    </x:row>
    <x:row r="22" ht="22" customHeight="1">
      <x:c r="A22" s="1" t="str">
        <x:v>Annual debt constant (stress)</x:v>
      </x:c>
      <x:c r="B22" s="28" t="n">
        <x:f>-12*PMT(B21/12,Inputs!B29*12,1)</x:f>
        <x:v>0.08867894133569512</x:v>
      </x:c>
    </x:row>
    <x:row r="23" ht="22" customHeight="1">
      <x:c r="A23" s="1" t="str">
        <x:v>DSCR minimum</x:v>
      </x:c>
      <x:c r="B23" s="1" t="n">
        <x:v>1.25</x:v>
      </x:c>
    </x:row>
    <x:row r="24" ht="22" customHeight="1">
      <x:c r="A24" s="1" t="str">
        <x:v>DSCR limit (stress)</x:v>
      </x:c>
      <x:c r="B24" s="10" t="n">
        <x:f>B12/(B23*B22)</x:f>
        <x:v>4535438.248833795</x:v>
      </x:c>
    </x:row>
    <x:row r="26" ht="22" customHeight="1">
      <x:c r="A26" s="4" t="str">
        <x:v>Maximum loan (combined downside)</x:v>
      </x:c>
      <x:c r="B26" s="10" t="n">
        <x:f>MIN(B16,B19,B24)</x:f>
        <x:v>4535438.248833795</x:v>
      </x:c>
    </x:row>
    <x:row r="28" ht="22" customHeight="1">
      <x:c r="A28" s="1" t="str">
        <x:v>Value at cap +50 bps (for context)</x:v>
      </x:c>
      <x:c r="B28" s="14" t="n">
        <x:f>'Underwriting'!A38/(Inputs!B25+0.005)</x:f>
        <x:v>7774546.2857142845</x:v>
      </x:c>
    </x:row>
  </x:sheetData>
  <x:pageMargins left="0.7" right="0.7" top="0.75" bottom="0.75" header="0.3" footer="0.3"/>
</x:worksheet>
</file>