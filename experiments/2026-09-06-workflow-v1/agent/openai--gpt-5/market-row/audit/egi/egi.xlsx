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T12" sheetId="2" state="visible" r:id="rId4"/>
    <sheet name="Underwriting" sheetId="3" state="visible" r:id="rId5"/>
    <sheet name="Value &amp; Sizing" sheetId="4" state="visible" r:id="rId6"/>
    <sheet name="Sensitivity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<sst xmlns="http://schemas.openxmlformats.org/spreadsheetml/2006/main" count="118" uniqueCount="85">
  <si>
    <t xml:space="preserve">Market Row | Underwriting Inputs</t>
  </si>
  <si>
    <t xml:space="preserve">Income assumptions</t>
  </si>
  <si>
    <t xml:space="preserve">Gross potential base rent (annual)</t>
  </si>
  <si>
    <t xml:space="preserve">Revenue loss % of GPR</t>
  </si>
  <si>
    <t xml:space="preserve">Other income (annual)</t>
  </si>
  <si>
    <t xml:space="preserve">Management assumptions</t>
  </si>
  <si>
    <t xml:space="preserve">T12 management fee (annual)</t>
  </si>
  <si>
    <t xml:space="preserve">Management fee % of EGI</t>
  </si>
  <si>
    <t xml:space="preserve">Operating expenses (UW)</t>
  </si>
  <si>
    <t xml:space="preserve">Real estate taxes (annual)</t>
  </si>
  <si>
    <t xml:space="preserve">Property insurance (annual)</t>
  </si>
  <si>
    <t xml:space="preserve">Utilities</t>
  </si>
  <si>
    <t xml:space="preserve">Repairs and maintenance (UW)</t>
  </si>
  <si>
    <t xml:space="preserve">Payroll / contract labor</t>
  </si>
  <si>
    <t xml:space="preserve">Administrative / legal</t>
  </si>
  <si>
    <t xml:space="preserve">Reserves and area</t>
  </si>
  <si>
    <t xml:space="preserve">Total rentable SF</t>
  </si>
  <si>
    <t xml:space="preserve">Reserves $/SF/year</t>
  </si>
  <si>
    <t xml:space="preserve">Rates and sizing</t>
  </si>
  <si>
    <t xml:space="preserve">Cap rate</t>
  </si>
  <si>
    <t xml:space="preserve">Debt yield minimum</t>
  </si>
  <si>
    <t xml:space="preserve">Contract rate</t>
  </si>
  <si>
    <t xml:space="preserve">Sizing rate</t>
  </si>
  <si>
    <t xml:space="preserve">Amortization years</t>
  </si>
  <si>
    <t xml:space="preserve">Interest-only months</t>
  </si>
  <si>
    <t xml:space="preserve">Transaction costs</t>
  </si>
  <si>
    <t xml:space="preserve">Existing debt payoff</t>
  </si>
  <si>
    <t xml:space="preserve">Fixed closing costs</t>
  </si>
  <si>
    <t xml:space="preserve">Origination fee % of loan</t>
  </si>
  <si>
    <t xml:space="preserve">Evidence inputs</t>
  </si>
  <si>
    <t xml:space="preserve">Verified renewal insurance (annual)</t>
  </si>
  <si>
    <t xml:space="preserve">Market Row | Trailing twelve months (Sep 2025 - Aug 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</si>
  <si>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</si>
  <si>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</si>
  <si>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</si>
  <si>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</si>
  <si>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</si>
  <si>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</si>
  <si>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Operating expenses (above NOI)</t>
  </si>
  <si>
    <t xml:space="preserve">Real estate taxes</t>
  </si>
  <si>
    <t xml:space="preserve">Property insurance</t>
  </si>
  <si>
    <t xml:space="preserve">Repairs and maintenance</t>
  </si>
  <si>
    <t xml:space="preserve">Management fee</t>
  </si>
  <si>
    <t xml:space="preserve">Total operating expenses</t>
  </si>
  <si>
    <t xml:space="preserve">NOI before reserves</t>
  </si>
  <si>
    <t xml:space="preserve">Replacement reserves (T12)</t>
  </si>
  <si>
    <t xml:space="preserve">NCF after reserves</t>
  </si>
  <si>
    <t xml:space="preserve">Market Row | Underwriting (Sep 2026 forward)</t>
  </si>
  <si>
    <t xml:space="preserve">Subtotal opex ex mgmt</t>
  </si>
  <si>
    <t xml:space="preserve">T12 management fee (actual)</t>
  </si>
  <si>
    <t xml:space="preserve">Calculated mgmt @ % of EGI</t>
  </si>
  <si>
    <t xml:space="preserve">Management fee (greater of)</t>
  </si>
  <si>
    <t xml:space="preserve">Replacement reserves</t>
  </si>
  <si>
    <t xml:space="preserve">Market Row | Valuation and Loan Sizing</t>
  </si>
  <si>
    <t xml:space="preserve">Indicative value (NOI/cap)</t>
  </si>
  <si>
    <t xml:space="preserve">LTV limit (65%)</t>
  </si>
  <si>
    <t xml:space="preserve">Debt yield limit</t>
  </si>
  <si>
    <t xml:space="preserve">Annual debt constant</t>
  </si>
  <si>
    <t xml:space="preserve">DSCR minimum</t>
  </si>
  <si>
    <t xml:space="preserve">DSCR limit</t>
  </si>
  <si>
    <t xml:space="preserve">Maximum loan (min of constraints)</t>
  </si>
  <si>
    <t xml:space="preserve">Binding constraint</t>
  </si>
  <si>
    <t xml:space="preserve">Sizing annual debt service</t>
  </si>
  <si>
    <t xml:space="preserve">Sizing DSCR</t>
  </si>
  <si>
    <t xml:space="preserve">Sizing debt yield</t>
  </si>
  <si>
    <t xml:space="preserve">First-year annual debt service (contract rate)</t>
  </si>
  <si>
    <t xml:space="preserve">Cash to/from borrower</t>
  </si>
  <si>
    <t xml:space="preserve">Net cash to borrower (loan less fee, payoff, costs)</t>
  </si>
  <si>
    <t xml:space="preserve">Market Row | Sensitivity</t>
  </si>
  <si>
    <t xml:space="preserve">Base EGI</t>
  </si>
  <si>
    <t xml:space="preserve">EGI down 5%</t>
  </si>
  <si>
    <t xml:space="preserve">Mgmt % of EGI</t>
  </si>
  <si>
    <t xml:space="preserve">T12 mgmt actual</t>
  </si>
  <si>
    <t xml:space="preserve">Opex ex mgmt (UW)</t>
  </si>
  <si>
    <t xml:space="preserve">Mgmt fee (stress)</t>
  </si>
  <si>
    <t xml:space="preserve">NOI before reserves (stress)</t>
  </si>
  <si>
    <t xml:space="preserve">Reserves (same $/SF)</t>
  </si>
  <si>
    <t xml:space="preserve">NCF after reserves (stress)</t>
  </si>
  <si>
    <t xml:space="preserve">Value at cap (stress EGI)</t>
  </si>
  <si>
    <t xml:space="preserve">Debt yield limit (stress)</t>
  </si>
  <si>
    <t xml:space="preserve">Sizing rate (base +100 bps)</t>
  </si>
  <si>
    <t xml:space="preserve">Annual debt constant (stress)</t>
  </si>
  <si>
    <t xml:space="preserve">DSCR limit (stress)</t>
  </si>
  <si>
    <t xml:space="preserve">Maximum loan (combined downside)</t>
  </si>
  <si>
    <t xml:space="preserve">Value at cap +50 bps (for context)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</si>
</sst>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0%"/>
    <numFmt numFmtId="167" formatCode="#,##0"/>
    <numFmt numFmtId="168" formatCode="\$0.00"/>
    <numFmt numFmtId="169" formatCode="0.0000000000"/>
    <numFmt numFmtId="170" formatCode="0.0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18"/>
  </cols>
  <sheetData>
    <row r="1" customFormat="false" ht="27" hidden="false" customHeight="true" outlineLevel="0" collapsed="false">
      <c r="A1" s="1" t="s">
        <v>0</v>
      </c>
    </row>
    <row r="3" customFormat="false" ht="25" hidden="false" customHeight="true" outlineLevel="0" collapsed="false">
      <c r="A3" s="2" t="s">
        <v>1</v>
      </c>
    </row>
    <row r="4" customFormat="false" ht="22" hidden="false" customHeight="true" outlineLevel="0" collapsed="false">
      <c r="A4" s="3" t="s">
        <v>2</v>
      </c>
      <c r="B4" s="4" t="n">
        <v>624720</v>
      </c>
    </row>
    <row r="5" customFormat="false" ht="22" hidden="false" customHeight="true" outlineLevel="0" collapsed="false">
      <c r="A5" s="3" t="s">
        <v>3</v>
      </c>
      <c r="B5" s="5" t="n">
        <v>0.06</v>
      </c>
    </row>
    <row r="6" customFormat="false" ht="22" hidden="false" customHeight="true" outlineLevel="0" collapsed="false">
      <c r="A6" s="3" t="s">
        <v>4</v>
      </c>
      <c r="B6" s="4" t="n">
        <v>142500</v>
      </c>
    </row>
    <row r="8" customFormat="false" ht="25" hidden="false" customHeight="true" outlineLevel="0" collapsed="false">
      <c r="A8" s="2" t="s">
        <v>5</v>
      </c>
    </row>
    <row r="9" customFormat="false" ht="22" hidden="false" customHeight="true" outlineLevel="0" collapsed="false">
      <c r="A9" s="3" t="s">
        <v>6</v>
      </c>
      <c r="B9" s="4" t="n">
        <v>24000</v>
      </c>
    </row>
    <row r="10" customFormat="false" ht="22" hidden="false" customHeight="true" outlineLevel="0" collapsed="false">
      <c r="A10" s="3" t="s">
        <v>7</v>
      </c>
      <c r="B10" s="5" t="n">
        <v>0.04</v>
      </c>
    </row>
    <row r="12" customFormat="false" ht="25" hidden="false" customHeight="true" outlineLevel="0" collapsed="false">
      <c r="A12" s="2" t="s">
        <v>8</v>
      </c>
    </row>
    <row r="13" customFormat="false" ht="22" hidden="false" customHeight="true" outlineLevel="0" collapsed="false">
      <c r="A13" s="3" t="s">
        <v>9</v>
      </c>
      <c r="B13" s="4" t="n">
        <v>90000</v>
      </c>
    </row>
    <row r="14" customFormat="false" ht="22" hidden="false" customHeight="true" outlineLevel="0" collapsed="false">
      <c r="A14" s="3" t="s">
        <v>10</v>
      </c>
      <c r="B14" s="4" t="n">
        <v>27600</v>
      </c>
    </row>
    <row r="15" customFormat="false" ht="22" hidden="false" customHeight="true" outlineLevel="0" collapsed="false">
      <c r="A15" s="3" t="s">
        <v>11</v>
      </c>
      <c r="B15" s="4" t="n">
        <v>19200</v>
      </c>
    </row>
    <row r="16" customFormat="false" ht="22" hidden="false" customHeight="true" outlineLevel="0" collapsed="false">
      <c r="A16" s="3" t="s">
        <v>12</v>
      </c>
      <c r="B16" s="4" t="n">
        <v>24000</v>
      </c>
    </row>
    <row r="17" customFormat="false" ht="22" hidden="false" customHeight="true" outlineLevel="0" collapsed="false">
      <c r="A17" s="3" t="s">
        <v>13</v>
      </c>
      <c r="B17" s="4" t="n">
        <v>18000</v>
      </c>
    </row>
    <row r="18" customFormat="false" ht="22" hidden="false" customHeight="true" outlineLevel="0" collapsed="false">
      <c r="A18" s="3" t="s">
        <v>14</v>
      </c>
      <c r="B18" s="4" t="n">
        <v>14400</v>
      </c>
    </row>
    <row r="20" customFormat="false" ht="25" hidden="false" customHeight="true" outlineLevel="0" collapsed="false">
      <c r="A20" s="2" t="s">
        <v>15</v>
      </c>
    </row>
    <row r="21" customFormat="false" ht="22" hidden="false" customHeight="true" outlineLevel="0" collapsed="false">
      <c r="A21" s="3" t="s">
        <v>16</v>
      </c>
      <c r="B21" s="6" t="n">
        <v>23000</v>
      </c>
    </row>
    <row r="22" customFormat="false" ht="22" hidden="false" customHeight="true" outlineLevel="0" collapsed="false">
      <c r="A22" s="3" t="s">
        <v>17</v>
      </c>
      <c r="B22" s="7" t="n">
        <v>0.2</v>
      </c>
    </row>
    <row r="24" customFormat="false" ht="25" hidden="false" customHeight="true" outlineLevel="0" collapsed="false">
      <c r="A24" s="2" t="s">
        <v>18</v>
      </c>
    </row>
    <row r="25" customFormat="false" ht="22" hidden="false" customHeight="true" outlineLevel="0" collapsed="false">
      <c r="A25" s="3" t="s">
        <v>19</v>
      </c>
      <c r="B25" s="5" t="n">
        <v>0.065</v>
      </c>
    </row>
    <row r="26" customFormat="false" ht="22" hidden="false" customHeight="true" outlineLevel="0" collapsed="false">
      <c r="A26" s="3" t="s">
        <v>20</v>
      </c>
      <c r="B26" s="5" t="n">
        <v>0.09</v>
      </c>
    </row>
    <row r="27" customFormat="false" ht="22" hidden="false" customHeight="true" outlineLevel="0" collapsed="false">
      <c r="A27" s="3" t="s">
        <v>21</v>
      </c>
      <c r="B27" s="5" t="n">
        <v>0.0625</v>
      </c>
    </row>
    <row r="28" customFormat="false" ht="22" hidden="false" customHeight="true" outlineLevel="0" collapsed="false">
      <c r="A28" s="3" t="s">
        <v>22</v>
      </c>
      <c r="B28" s="5" t="n">
        <v>0.065</v>
      </c>
    </row>
    <row r="29" customFormat="false" ht="22" hidden="false" customHeight="true" outlineLevel="0" collapsed="false">
      <c r="A29" s="3" t="s">
        <v>23</v>
      </c>
      <c r="B29" s="8" t="n">
        <v>25</v>
      </c>
    </row>
    <row r="30" customFormat="false" ht="22" hidden="false" customHeight="true" outlineLevel="0" collapsed="false">
      <c r="A30" s="3" t="s">
        <v>24</v>
      </c>
      <c r="B30" s="8" t="n">
        <v>0</v>
      </c>
    </row>
    <row r="32" customFormat="false" ht="25" hidden="false" customHeight="true" outlineLevel="0" collapsed="false">
      <c r="A32" s="2" t="s">
        <v>25</v>
      </c>
    </row>
    <row r="33" customFormat="false" ht="22" hidden="false" customHeight="true" outlineLevel="0" collapsed="false">
      <c r="A33" s="3" t="s">
        <v>26</v>
      </c>
      <c r="B33" s="4" t="n">
        <v>3400000</v>
      </c>
    </row>
    <row r="34" customFormat="false" ht="22" hidden="false" customHeight="true" outlineLevel="0" collapsed="false">
      <c r="A34" s="3" t="s">
        <v>27</v>
      </c>
      <c r="B34" s="4" t="n">
        <v>48000</v>
      </c>
    </row>
    <row r="35" customFormat="false" ht="22" hidden="false" customHeight="true" outlineLevel="0" collapsed="false">
      <c r="A35" s="3" t="s">
        <v>28</v>
      </c>
      <c r="B35" s="5" t="n">
        <v>0.01</v>
      </c>
    </row>
    <row r="37" customFormat="false" ht="25" hidden="false" customHeight="true" outlineLevel="0" collapsed="false">
      <c r="A37" s="2" t="s">
        <v>29</v>
      </c>
    </row>
    <row r="38" customFormat="false" ht="22" hidden="false" customHeight="true" outlineLevel="0" collapsed="false">
      <c r="A38" s="3" t="s">
        <v>30</v>
      </c>
      <c r="B38" s="4" t="n">
        <v>27600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27" hidden="false" customHeight="true" outlineLevel="0" collapsed="false">
      <c r="A1" s="1" t="s">
        <v>31</v>
      </c>
    </row>
    <row r="3" customFormat="false" ht="22" hidden="false" customHeight="true" outlineLevel="0" collapsed="false">
      <c r="A3" s="3" t="s">
        <v>32</v>
      </c>
      <c r="B3" s="9" t="n">
        <v>645600</v>
      </c>
    </row>
    <row r="4" customFormat="false" ht="22" hidden="false" customHeight="true" outlineLevel="0" collapsed="false">
      <c r="A4" s="3" t="s">
        <v>33</v>
      </c>
      <c r="B4" s="9" t="n">
        <v>-46800</v>
      </c>
    </row>
    <row r="5" customFormat="false" ht="22" hidden="false" customHeight="true" outlineLevel="0" collapsed="false">
      <c r="A5" s="3" t="s">
        <v>34</v>
      </c>
      <c r="B5" s="9" t="n">
        <v>-14400</v>
      </c>
    </row>
    <row r="6" customFormat="false" ht="22" hidden="false" customHeight="true" outlineLevel="0" collapsed="false">
      <c r="A6" s="3" t="s">
        <v>35</v>
      </c>
      <c r="B6" s="9" t="n">
        <v>-3600</v>
      </c>
    </row>
    <row r="7" customFormat="false" ht="22" hidden="false" customHeight="true" outlineLevel="0" collapsed="false">
      <c r="A7" s="3" t="s">
        <v>36</v>
      </c>
      <c r="B7" s="9" t="n">
        <v>142800</v>
      </c>
    </row>
    <row r="8" customFormat="false" ht="22" hidden="false" customHeight="true" outlineLevel="0" collapsed="false">
      <c r="A8" s="2" t="s">
        <v>37</v>
      </c>
      <c r="B8" s="9" t="n">
        <f aca="false">SUM(B3:B7)</f>
        <v>723600</v>
      </c>
    </row>
    <row r="10" customFormat="false" ht="25" hidden="false" customHeight="true" outlineLevel="0" collapsed="false">
      <c r="A10" s="2" t="s">
        <v>38</v>
      </c>
    </row>
    <row r="11" customFormat="false" ht="22" hidden="false" customHeight="true" outlineLevel="0" collapsed="false">
      <c r="A11" s="3" t="s">
        <v>39</v>
      </c>
      <c r="B11" s="10" t="n">
        <v>86400</v>
      </c>
    </row>
    <row r="12" customFormat="false" ht="22" hidden="false" customHeight="true" outlineLevel="0" collapsed="false">
      <c r="A12" s="3" t="s">
        <v>40</v>
      </c>
      <c r="B12" s="10" t="n">
        <v>25200</v>
      </c>
    </row>
    <row r="13" customFormat="false" ht="22" hidden="false" customHeight="true" outlineLevel="0" collapsed="false">
      <c r="A13" s="3" t="s">
        <v>11</v>
      </c>
      <c r="B13" s="10" t="n">
        <v>19200</v>
      </c>
    </row>
    <row r="14" customFormat="false" ht="22" hidden="false" customHeight="true" outlineLevel="0" collapsed="false">
      <c r="A14" s="3" t="s">
        <v>41</v>
      </c>
      <c r="B14" s="10" t="n">
        <v>28800</v>
      </c>
    </row>
    <row r="15" customFormat="false" ht="22" hidden="false" customHeight="true" outlineLevel="0" collapsed="false">
      <c r="A15" s="3" t="s">
        <v>13</v>
      </c>
      <c r="B15" s="10" t="n">
        <v>18000</v>
      </c>
    </row>
    <row r="16" customFormat="false" ht="22" hidden="false" customHeight="true" outlineLevel="0" collapsed="false">
      <c r="A16" s="3" t="s">
        <v>14</v>
      </c>
      <c r="B16" s="10" t="n">
        <v>14400</v>
      </c>
    </row>
    <row r="17" customFormat="false" ht="22" hidden="false" customHeight="true" outlineLevel="0" collapsed="false">
      <c r="A17" s="3" t="s">
        <v>42</v>
      </c>
      <c r="B17" s="10" t="n">
        <v>24000</v>
      </c>
    </row>
    <row r="18" customFormat="false" ht="22" hidden="false" customHeight="true" outlineLevel="0" collapsed="false">
      <c r="A18" s="3" t="s">
        <v>43</v>
      </c>
      <c r="B18" s="9" t="n">
        <f aca="false">SUM(B11:B17)</f>
        <v>216000</v>
      </c>
    </row>
    <row r="20" customFormat="false" ht="22" hidden="false" customHeight="true" outlineLevel="0" collapsed="false">
      <c r="A20" s="2" t="s">
        <v>44</v>
      </c>
      <c r="B20" s="9" t="n">
        <f aca="false">B8-B18</f>
        <v>507600</v>
      </c>
    </row>
    <row r="21" customFormat="false" ht="22" hidden="false" customHeight="true" outlineLevel="0" collapsed="false">
      <c r="A21" s="3" t="s">
        <v>45</v>
      </c>
      <c r="B21" s="10" t="n">
        <v>9200</v>
      </c>
    </row>
    <row r="22" customFormat="false" ht="22" hidden="false" customHeight="true" outlineLevel="0" collapsed="false">
      <c r="A22" s="2" t="s">
        <v>46</v>
      </c>
      <c r="B22" s="9" t="n">
        <f aca="false">B20-B21</f>
        <v>498400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</cols>
  <sheetData>
    <row r="1" customFormat="false" ht="27" hidden="false" customHeight="true" outlineLevel="0" collapsed="false">
      <c r="A1" s="1" t="s">
        <v>47</v>
      </c>
    </row>
    <row r="3" customFormat="false" ht="22" hidden="false" customHeight="true" outlineLevel="0" collapsed="false">
      <c r="A3" s="3" t="s">
        <v>2</v>
      </c>
    </row>
    <row r="4" customFormat="false" ht="22" hidden="false" customHeight="true" outlineLevel="0" collapsed="false">
      <c r="A4" s="11" t="n">
        <f aca="false">Inputs!B4</f>
        <v>624720</v>
      </c>
    </row>
    <row r="5" customFormat="false" ht="22" hidden="false" customHeight="true" outlineLevel="0" collapsed="false">
      <c r="A5" s="3" t="s">
        <v>3</v>
      </c>
    </row>
    <row r="6" customFormat="false" ht="22" hidden="false" customHeight="true" outlineLevel="0" collapsed="false">
      <c r="A6" s="12" t="n">
        <f aca="false">Inputs!B5</f>
        <v>0.06</v>
      </c>
    </row>
    <row r="7" customFormat="false" ht="22" hidden="false" customHeight="true" outlineLevel="0" collapsed="false">
      <c r="A7" s="3" t="s">
        <v>4</v>
      </c>
    </row>
    <row r="8" customFormat="false" ht="22" hidden="false" customHeight="true" outlineLevel="0" collapsed="false">
      <c r="A8" s="11" t="n">
        <f aca="false">Inputs!B6</f>
        <v>142500</v>
      </c>
    </row>
    <row r="9" customFormat="false" ht="25" hidden="false" customHeight="true" outlineLevel="0" collapsed="false">
      <c r="A9" s="2" t="s">
        <v>37</v>
      </c>
    </row>
    <row r="10" customFormat="false" ht="22" hidden="false" customHeight="true" outlineLevel="0" collapsed="false">
      <c r="A10" s="9" t="n">
        <f aca="false">A4 - (A4*A6) + A8</f>
        <v>729736.8</v>
      </c>
    </row>
    <row r="12" customFormat="false" ht="25" hidden="false" customHeight="true" outlineLevel="0" collapsed="false">
      <c r="A12" s="2" t="s">
        <v>8</v>
      </c>
    </row>
    <row r="13" customFormat="false" ht="22" hidden="false" customHeight="true" outlineLevel="0" collapsed="false">
      <c r="A13" s="3" t="s">
        <v>39</v>
      </c>
    </row>
    <row r="14" customFormat="false" ht="22" hidden="false" customHeight="true" outlineLevel="0" collapsed="false">
      <c r="A14" s="11" t="n">
        <f aca="false">Inputs!B13</f>
        <v>90000</v>
      </c>
    </row>
    <row r="15" customFormat="false" ht="22" hidden="false" customHeight="true" outlineLevel="0" collapsed="false">
      <c r="A15" s="3" t="s">
        <v>40</v>
      </c>
    </row>
    <row r="16" customFormat="false" ht="22" hidden="false" customHeight="true" outlineLevel="0" collapsed="false">
      <c r="A16" s="11" t="n">
        <f aca="false">Inputs!B14</f>
        <v>27600</v>
      </c>
    </row>
    <row r="17" customFormat="false" ht="22" hidden="false" customHeight="true" outlineLevel="0" collapsed="false">
      <c r="A17" s="3" t="s">
        <v>11</v>
      </c>
    </row>
    <row r="18" customFormat="false" ht="22" hidden="false" customHeight="true" outlineLevel="0" collapsed="false">
      <c r="A18" s="11" t="n">
        <f aca="false">Inputs!B15</f>
        <v>19200</v>
      </c>
    </row>
    <row r="19" customFormat="false" ht="22" hidden="false" customHeight="true" outlineLevel="0" collapsed="false">
      <c r="A19" s="3" t="s">
        <v>41</v>
      </c>
    </row>
    <row r="20" customFormat="false" ht="22" hidden="false" customHeight="true" outlineLevel="0" collapsed="false">
      <c r="A20" s="11" t="n">
        <f aca="false">Inputs!B16</f>
        <v>24000</v>
      </c>
    </row>
    <row r="21" customFormat="false" ht="22" hidden="false" customHeight="true" outlineLevel="0" collapsed="false">
      <c r="A21" s="3" t="s">
        <v>13</v>
      </c>
    </row>
    <row r="22" customFormat="false" ht="22" hidden="false" customHeight="true" outlineLevel="0" collapsed="false">
      <c r="A22" s="11" t="n">
        <f aca="false">Inputs!B17</f>
        <v>18000</v>
      </c>
    </row>
    <row r="23" customFormat="false" ht="22" hidden="false" customHeight="true" outlineLevel="0" collapsed="false">
      <c r="A23" s="3" t="s">
        <v>14</v>
      </c>
    </row>
    <row r="24" customFormat="false" ht="22" hidden="false" customHeight="true" outlineLevel="0" collapsed="false">
      <c r="A24" s="11" t="n">
        <f aca="false">Inputs!B18</f>
        <v>14400</v>
      </c>
    </row>
    <row r="25" customFormat="false" ht="22" hidden="false" customHeight="true" outlineLevel="0" collapsed="false">
      <c r="A25" s="3" t="s">
        <v>48</v>
      </c>
    </row>
    <row r="26" customFormat="false" ht="22" hidden="false" customHeight="true" outlineLevel="0" collapsed="false">
      <c r="A26" s="9" t="n">
        <f aca="false">SUM(A14,A16,A18,A20,A22,A24)</f>
        <v>193200</v>
      </c>
    </row>
    <row r="27" customFormat="false" ht="22" hidden="false" customHeight="true" outlineLevel="0" collapsed="false">
      <c r="A27" s="3" t="s">
        <v>7</v>
      </c>
    </row>
    <row r="28" customFormat="false" ht="22" hidden="false" customHeight="true" outlineLevel="0" collapsed="false">
      <c r="A28" s="12" t="n">
        <f aca="false">Inputs!B10</f>
        <v>0.04</v>
      </c>
    </row>
    <row r="29" customFormat="false" ht="22" hidden="false" customHeight="true" outlineLevel="0" collapsed="false">
      <c r="A29" s="3" t="s">
        <v>49</v>
      </c>
    </row>
    <row r="30" customFormat="false" ht="22" hidden="false" customHeight="true" outlineLevel="0" collapsed="false">
      <c r="A30" s="11" t="n">
        <f aca="false">Inputs!B9</f>
        <v>24000</v>
      </c>
    </row>
    <row r="31" customFormat="false" ht="22" hidden="false" customHeight="true" outlineLevel="0" collapsed="false">
      <c r="A31" s="3" t="s">
        <v>50</v>
      </c>
    </row>
    <row r="32" customFormat="false" ht="22" hidden="false" customHeight="true" outlineLevel="0" collapsed="false">
      <c r="A32" s="10" t="n">
        <f aca="false">A10*A28</f>
        <v>29189.472</v>
      </c>
    </row>
    <row r="33" customFormat="false" ht="25" hidden="false" customHeight="true" outlineLevel="0" collapsed="false">
      <c r="A33" s="2" t="s">
        <v>51</v>
      </c>
    </row>
    <row r="34" customFormat="false" ht="22" hidden="false" customHeight="true" outlineLevel="0" collapsed="false">
      <c r="A34" s="9" t="n">
        <f aca="false">MAX(A30,A32)</f>
        <v>29189.472</v>
      </c>
    </row>
    <row r="35" customFormat="false" ht="25" hidden="false" customHeight="true" outlineLevel="0" collapsed="false">
      <c r="A35" s="2" t="s">
        <v>43</v>
      </c>
    </row>
    <row r="36" customFormat="false" ht="22" hidden="false" customHeight="true" outlineLevel="0" collapsed="false">
      <c r="A36" s="9" t="n">
        <f aca="false">A26+A34</f>
        <v>222389.472</v>
      </c>
    </row>
    <row r="37" customFormat="false" ht="25" hidden="false" customHeight="true" outlineLevel="0" collapsed="false">
      <c r="A37" s="2" t="s">
        <v>44</v>
      </c>
    </row>
    <row r="38" customFormat="false" ht="22" hidden="false" customHeight="true" outlineLevel="0" collapsed="false">
      <c r="A38" s="9" t="n">
        <f aca="false">A10-A36</f>
        <v>507347.328</v>
      </c>
    </row>
    <row r="39" customFormat="false" ht="22" hidden="false" customHeight="true" outlineLevel="0" collapsed="false">
      <c r="A39" s="3" t="s">
        <v>17</v>
      </c>
    </row>
    <row r="40" customFormat="false" ht="22" hidden="false" customHeight="true" outlineLevel="0" collapsed="false">
      <c r="A40" s="13" t="n">
        <f aca="false">Inputs!B22</f>
        <v>0.2</v>
      </c>
    </row>
    <row r="41" customFormat="false" ht="22" hidden="false" customHeight="true" outlineLevel="0" collapsed="false">
      <c r="A41" s="3" t="s">
        <v>16</v>
      </c>
    </row>
    <row r="42" customFormat="false" ht="22" hidden="false" customHeight="true" outlineLevel="0" collapsed="false">
      <c r="A42" s="14" t="n">
        <f aca="false">Inputs!B21</f>
        <v>23000</v>
      </c>
    </row>
    <row r="43" customFormat="false" ht="25" hidden="false" customHeight="true" outlineLevel="0" collapsed="false">
      <c r="A43" s="2" t="s">
        <v>52</v>
      </c>
    </row>
    <row r="44" customFormat="false" ht="22" hidden="false" customHeight="true" outlineLevel="0" collapsed="false">
      <c r="A44" s="9" t="n">
        <f aca="false">A40*A42</f>
        <v>4600</v>
      </c>
    </row>
    <row r="45" customFormat="false" ht="25" hidden="false" customHeight="true" outlineLevel="0" collapsed="false">
      <c r="A45" s="2" t="s">
        <v>46</v>
      </c>
    </row>
    <row r="46" customFormat="false" ht="22" hidden="false" customHeight="true" outlineLevel="0" collapsed="false">
      <c r="A46" s="9" t="n">
        <f aca="false">A38-A44</f>
        <v>502747.328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53</v>
      </c>
    </row>
    <row r="3" customFormat="false" ht="22" hidden="false" customHeight="true" outlineLevel="0" collapsed="false">
      <c r="A3" s="3" t="s">
        <v>19</v>
      </c>
    </row>
    <row r="4" customFormat="false" ht="22" hidden="false" customHeight="true" outlineLevel="0" collapsed="false">
      <c r="A4" s="12" t="n">
        <f aca="false">Inputs!B25</f>
        <v>0.065</v>
      </c>
    </row>
    <row r="5" customFormat="false" ht="25" hidden="false" customHeight="true" outlineLevel="0" collapsed="false">
      <c r="A5" s="2" t="s">
        <v>54</v>
      </c>
    </row>
    <row r="6" customFormat="false" ht="22" hidden="false" customHeight="true" outlineLevel="0" collapsed="false">
      <c r="A6" s="9" t="n">
        <f aca="false">Underwriting!A38/A4</f>
        <v>7805343.50769231</v>
      </c>
    </row>
    <row r="7" customFormat="false" ht="22" hidden="false" customHeight="true" outlineLevel="0" collapsed="false">
      <c r="A7" s="3" t="s">
        <v>55</v>
      </c>
    </row>
    <row r="8" customFormat="false" ht="22" hidden="false" customHeight="true" outlineLevel="0" collapsed="false">
      <c r="A8" s="9" t="n">
        <f aca="false">0.65*A6</f>
        <v>5073473.28</v>
      </c>
    </row>
    <row r="10" customFormat="false" ht="22" hidden="false" customHeight="true" outlineLevel="0" collapsed="false">
      <c r="A10" s="3" t="s">
        <v>20</v>
      </c>
    </row>
    <row r="11" customFormat="false" ht="22" hidden="false" customHeight="true" outlineLevel="0" collapsed="false">
      <c r="A11" s="12" t="n">
        <f aca="false">Inputs!B26</f>
        <v>0.09</v>
      </c>
    </row>
    <row r="12" customFormat="false" ht="22" hidden="false" customHeight="true" outlineLevel="0" collapsed="false">
      <c r="A12" s="3" t="s">
        <v>56</v>
      </c>
    </row>
    <row r="13" customFormat="false" ht="22" hidden="false" customHeight="true" outlineLevel="0" collapsed="false">
      <c r="A13" s="9" t="n">
        <f aca="false">Underwriting!A38/A11</f>
        <v>5637192.53333333</v>
      </c>
    </row>
    <row r="15" customFormat="false" ht="22" hidden="false" customHeight="true" outlineLevel="0" collapsed="false">
      <c r="A15" s="3" t="s">
        <v>22</v>
      </c>
    </row>
    <row r="16" customFormat="false" ht="22" hidden="false" customHeight="true" outlineLevel="0" collapsed="false">
      <c r="A16" s="12" t="n">
        <f aca="false">Inputs!B28</f>
        <v>0.065</v>
      </c>
    </row>
    <row r="17" customFormat="false" ht="22" hidden="false" customHeight="true" outlineLevel="0" collapsed="false">
      <c r="A17" s="3" t="s">
        <v>23</v>
      </c>
    </row>
    <row r="18" customFormat="false" ht="22" hidden="false" customHeight="true" outlineLevel="0" collapsed="false">
      <c r="A18" s="15" t="n">
        <f aca="false">Inputs!B29</f>
        <v>25</v>
      </c>
    </row>
    <row r="19" customFormat="false" ht="22" hidden="false" customHeight="true" outlineLevel="0" collapsed="false">
      <c r="A19" s="3" t="s">
        <v>57</v>
      </c>
    </row>
    <row r="20" customFormat="false" ht="22" hidden="false" customHeight="true" outlineLevel="0" collapsed="false">
      <c r="A20" s="16" t="n">
        <f aca="false">-12*PMT(A16/12,A18*12,1)</f>
        <v>0.0810248593617168</v>
      </c>
    </row>
    <row r="22" customFormat="false" ht="22" hidden="false" customHeight="true" outlineLevel="0" collapsed="false">
      <c r="A22" s="3" t="s">
        <v>46</v>
      </c>
    </row>
    <row r="23" customFormat="false" ht="22" hidden="false" customHeight="true" outlineLevel="0" collapsed="false">
      <c r="A23" s="9" t="n">
        <f aca="false">Underwriting!A46</f>
        <v>502747.328</v>
      </c>
    </row>
    <row r="24" customFormat="false" ht="22" hidden="false" customHeight="true" outlineLevel="0" collapsed="false">
      <c r="A24" s="3" t="s">
        <v>58</v>
      </c>
    </row>
    <row r="25" customFormat="false" ht="22" hidden="false" customHeight="true" outlineLevel="0" collapsed="false">
      <c r="A25" s="3" t="n">
        <v>1.25</v>
      </c>
    </row>
    <row r="26" customFormat="false" ht="22" hidden="false" customHeight="true" outlineLevel="0" collapsed="false">
      <c r="A26" s="3" t="s">
        <v>59</v>
      </c>
    </row>
    <row r="27" customFormat="false" ht="22" hidden="false" customHeight="true" outlineLevel="0" collapsed="false">
      <c r="A27" s="9" t="n">
        <f aca="false">A23/(A25*A20)</f>
        <v>4963882.26487973</v>
      </c>
    </row>
    <row r="29" customFormat="false" ht="25" hidden="false" customHeight="true" outlineLevel="0" collapsed="false">
      <c r="A29" s="2" t="s">
        <v>60</v>
      </c>
    </row>
    <row r="30" customFormat="false" ht="22" hidden="false" customHeight="true" outlineLevel="0" collapsed="false">
      <c r="A30" s="9" t="n">
        <f aca="false">MIN(A8,A13,A27)</f>
        <v>4963882.26487973</v>
      </c>
    </row>
    <row r="31" customFormat="false" ht="22" hidden="false" customHeight="true" outlineLevel="0" collapsed="false">
      <c r="A31" s="3" t="s">
        <v>61</v>
      </c>
    </row>
    <row r="32" customFormat="false" ht="22" hidden="false" customHeight="true" outlineLevel="0" collapsed="false">
      <c r="A32" s="17" t="str">
        <f aca="false">IF(A30=A27,"DSCR",IF(A30=A8,"LTV","Debt yield"))</f>
        <v>DSCR</v>
      </c>
    </row>
    <row r="34" customFormat="false" ht="22" hidden="false" customHeight="true" outlineLevel="0" collapsed="false">
      <c r="A34" s="3" t="s">
        <v>62</v>
      </c>
    </row>
    <row r="35" customFormat="false" ht="22" hidden="false" customHeight="true" outlineLevel="0" collapsed="false">
      <c r="A35" s="9" t="n">
        <f aca="false">A20*A30</f>
        <v>402197.8624</v>
      </c>
    </row>
    <row r="36" customFormat="false" ht="22" hidden="false" customHeight="true" outlineLevel="0" collapsed="false">
      <c r="A36" s="3" t="s">
        <v>63</v>
      </c>
    </row>
    <row r="37" customFormat="false" ht="22" hidden="false" customHeight="true" outlineLevel="0" collapsed="false">
      <c r="A37" s="18" t="n">
        <f aca="false">A23/A35</f>
        <v>1.25</v>
      </c>
    </row>
    <row r="38" customFormat="false" ht="22" hidden="false" customHeight="true" outlineLevel="0" collapsed="false">
      <c r="A38" s="3" t="s">
        <v>64</v>
      </c>
    </row>
    <row r="39" customFormat="false" ht="22" hidden="false" customHeight="true" outlineLevel="0" collapsed="false">
      <c r="A39" s="19" t="n">
        <f aca="false">Underwriting!A38/A30</f>
        <v>0.102207768219961</v>
      </c>
    </row>
    <row r="41" customFormat="false" ht="22" hidden="false" customHeight="true" outlineLevel="0" collapsed="false">
      <c r="A41" s="3" t="s">
        <v>21</v>
      </c>
    </row>
    <row r="42" customFormat="false" ht="22" hidden="false" customHeight="true" outlineLevel="0" collapsed="false">
      <c r="A42" s="12" t="n">
        <f aca="false">Inputs!B27</f>
        <v>0.0625</v>
      </c>
    </row>
    <row r="43" customFormat="false" ht="22" hidden="false" customHeight="true" outlineLevel="0" collapsed="false">
      <c r="A43" s="3" t="s">
        <v>65</v>
      </c>
    </row>
    <row r="44" customFormat="false" ht="22" hidden="false" customHeight="true" outlineLevel="0" collapsed="false">
      <c r="A44" s="9" t="n">
        <f aca="false">-12*PMT(A42/12,A18*12,A30)</f>
        <v>392942.535324273</v>
      </c>
    </row>
    <row r="46" customFormat="false" ht="25" hidden="false" customHeight="true" outlineLevel="0" collapsed="false">
      <c r="A46" s="2" t="s">
        <v>66</v>
      </c>
    </row>
    <row r="47" customFormat="false" ht="22" hidden="false" customHeight="true" outlineLevel="0" collapsed="false">
      <c r="A47" s="3" t="s">
        <v>28</v>
      </c>
    </row>
    <row r="48" customFormat="false" ht="22" hidden="false" customHeight="true" outlineLevel="0" collapsed="false">
      <c r="A48" s="12" t="n">
        <f aca="false">Inputs!B35</f>
        <v>0.01</v>
      </c>
    </row>
    <row r="49" customFormat="false" ht="22" hidden="false" customHeight="true" outlineLevel="0" collapsed="false">
      <c r="A49" s="3" t="s">
        <v>26</v>
      </c>
    </row>
    <row r="50" customFormat="false" ht="22" hidden="false" customHeight="true" outlineLevel="0" collapsed="false">
      <c r="A50" s="11" t="n">
        <f aca="false">Inputs!B33</f>
        <v>3400000</v>
      </c>
    </row>
    <row r="51" customFormat="false" ht="22" hidden="false" customHeight="true" outlineLevel="0" collapsed="false">
      <c r="A51" s="3" t="s">
        <v>27</v>
      </c>
    </row>
    <row r="52" customFormat="false" ht="22" hidden="false" customHeight="true" outlineLevel="0" collapsed="false">
      <c r="A52" s="11" t="n">
        <f aca="false">Inputs!B34</f>
        <v>48000</v>
      </c>
    </row>
    <row r="53" customFormat="false" ht="22" hidden="false" customHeight="true" outlineLevel="0" collapsed="false">
      <c r="A53" s="3" t="s">
        <v>67</v>
      </c>
    </row>
    <row r="54" customFormat="false" ht="22" hidden="false" customHeight="true" outlineLevel="0" collapsed="false">
      <c r="A54" s="9" t="n">
        <f aca="false">A30*(1-A48)-A50-A52</f>
        <v>1466243.44223093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68</v>
      </c>
    </row>
    <row r="3" customFormat="false" ht="22" hidden="false" customHeight="true" outlineLevel="0" collapsed="false">
      <c r="A3" s="3" t="s">
        <v>69</v>
      </c>
      <c r="B3" s="11" t="n">
        <f aca="false">Underwriting!A10</f>
        <v>729736.8</v>
      </c>
    </row>
    <row r="4" customFormat="false" ht="22" hidden="false" customHeight="true" outlineLevel="0" collapsed="false">
      <c r="A4" s="3" t="s">
        <v>70</v>
      </c>
      <c r="B4" s="10" t="n">
        <f aca="false">B3*0.95</f>
        <v>693249.96</v>
      </c>
    </row>
    <row r="6" customFormat="false" ht="22" hidden="false" customHeight="true" outlineLevel="0" collapsed="false">
      <c r="A6" s="3" t="s">
        <v>71</v>
      </c>
      <c r="B6" s="12" t="n">
        <f aca="false">Inputs!B10</f>
        <v>0.04</v>
      </c>
    </row>
    <row r="7" customFormat="false" ht="22" hidden="false" customHeight="true" outlineLevel="0" collapsed="false">
      <c r="A7" s="3" t="s">
        <v>72</v>
      </c>
      <c r="B7" s="11" t="n">
        <f aca="false">Inputs!B9</f>
        <v>24000</v>
      </c>
    </row>
    <row r="8" customFormat="false" ht="22" hidden="false" customHeight="true" outlineLevel="0" collapsed="false">
      <c r="A8" s="3" t="s">
        <v>73</v>
      </c>
      <c r="B8" s="11" t="n">
        <f aca="false">Underwriting!A26</f>
        <v>193200</v>
      </c>
    </row>
    <row r="9" customFormat="false" ht="22" hidden="false" customHeight="true" outlineLevel="0" collapsed="false">
      <c r="A9" s="3" t="s">
        <v>74</v>
      </c>
      <c r="B9" s="10" t="n">
        <f aca="false">MAX(B7,B6*B4)</f>
        <v>27729.9984</v>
      </c>
    </row>
    <row r="10" customFormat="false" ht="22" hidden="false" customHeight="true" outlineLevel="0" collapsed="false">
      <c r="A10" s="3" t="s">
        <v>75</v>
      </c>
      <c r="B10" s="10" t="n">
        <f aca="false">B4-(B8+B9)</f>
        <v>472319.9616</v>
      </c>
    </row>
    <row r="11" customFormat="false" ht="22" hidden="false" customHeight="true" outlineLevel="0" collapsed="false">
      <c r="A11" s="3" t="s">
        <v>76</v>
      </c>
      <c r="B11" s="11" t="n">
        <f aca="false">Underwriting!A44</f>
        <v>4600</v>
      </c>
    </row>
    <row r="12" customFormat="false" ht="22" hidden="false" customHeight="true" outlineLevel="0" collapsed="false">
      <c r="A12" s="3" t="s">
        <v>77</v>
      </c>
      <c r="B12" s="10" t="n">
        <f aca="false">B10-B11</f>
        <v>467719.9616</v>
      </c>
    </row>
    <row r="14" customFormat="false" ht="22" hidden="false" customHeight="true" outlineLevel="0" collapsed="false">
      <c r="A14" s="3" t="s">
        <v>19</v>
      </c>
      <c r="B14" s="12" t="n">
        <f aca="false">Inputs!B25</f>
        <v>0.065</v>
      </c>
    </row>
    <row r="15" customFormat="false" ht="22" hidden="false" customHeight="true" outlineLevel="0" collapsed="false">
      <c r="A15" s="3" t="s">
        <v>78</v>
      </c>
      <c r="B15" s="10" t="n">
        <f aca="false">B10/B14</f>
        <v>7266460.94769231</v>
      </c>
    </row>
    <row r="16" customFormat="false" ht="22" hidden="false" customHeight="true" outlineLevel="0" collapsed="false">
      <c r="A16" s="3" t="s">
        <v>55</v>
      </c>
      <c r="B16" s="10" t="n">
        <f aca="false">0.65*B15</f>
        <v>4723199.616</v>
      </c>
    </row>
    <row r="18" customFormat="false" ht="22" hidden="false" customHeight="true" outlineLevel="0" collapsed="false">
      <c r="A18" s="3" t="s">
        <v>20</v>
      </c>
      <c r="B18" s="12" t="n">
        <f aca="false">Inputs!B26</f>
        <v>0.09</v>
      </c>
    </row>
    <row r="19" customFormat="false" ht="22" hidden="false" customHeight="true" outlineLevel="0" collapsed="false">
      <c r="A19" s="3" t="s">
        <v>79</v>
      </c>
      <c r="B19" s="10" t="n">
        <f aca="false">B10/B18</f>
        <v>5247999.57333333</v>
      </c>
    </row>
    <row r="21" customFormat="false" ht="22" hidden="false" customHeight="true" outlineLevel="0" collapsed="false">
      <c r="A21" s="3" t="s">
        <v>80</v>
      </c>
      <c r="B21" s="12" t="n">
        <f aca="false">Inputs!B28+0.01</f>
        <v>0.075</v>
      </c>
    </row>
    <row r="22" customFormat="false" ht="22" hidden="false" customHeight="true" outlineLevel="0" collapsed="false">
      <c r="A22" s="3" t="s">
        <v>81</v>
      </c>
      <c r="B22" s="20" t="n">
        <f aca="false">-12*PMT(B21/12,Inputs!B29*12,1)</f>
        <v>0.0886789413356951</v>
      </c>
    </row>
    <row r="23" customFormat="false" ht="22" hidden="false" customHeight="true" outlineLevel="0" collapsed="false">
      <c r="A23" s="3" t="s">
        <v>58</v>
      </c>
      <c r="B23" s="3" t="n">
        <v>1.25</v>
      </c>
    </row>
    <row r="24" customFormat="false" ht="22" hidden="false" customHeight="true" outlineLevel="0" collapsed="false">
      <c r="A24" s="3" t="s">
        <v>82</v>
      </c>
      <c r="B24" s="10" t="n">
        <f aca="false">B12/(B23*B22)</f>
        <v>4219445.60505693</v>
      </c>
    </row>
    <row r="26" customFormat="false" ht="22" hidden="false" customHeight="true" outlineLevel="0" collapsed="false">
      <c r="A26" s="2" t="s">
        <v>83</v>
      </c>
      <c r="B26" s="10" t="n">
        <f aca="false">MIN(B16,B19,B24)</f>
        <v>4219445.60505693</v>
      </c>
    </row>
    <row r="28" customFormat="false" ht="22" hidden="false" customHeight="true" outlineLevel="0" collapsed="false">
      <c r="A28" s="3" t="s">
        <v>84</v>
      </c>
      <c r="B28" s="11" t="n">
        <f aca="false">Underwriting!A38/(Inputs!B25+0.005)</f>
        <v>7247818.97142857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