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T12" sheetId="3" state="visible" r:id="rId5"/>
    <sheet name="Underwriting" sheetId="4" state="visible" r:id="rId6"/>
    <sheet name="Sizing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<sst xmlns="http://schemas.openxmlformats.org/spreadsheetml/2006/main" count="134" uniqueCount="105">
  <si>
    <t xml:space="preserve">Stonebridge Logistics | Underwriting inputs</t>
  </si>
  <si>
    <t xml:space="preserve">Cap rate</t>
  </si>
  <si>
    <t xml:space="preserve">Change B2, B3 and B6/B8 to test value and sizing; EGI scales with loss % held constant.</t>
  </si>
  <si>
    <t xml:space="preserve">Sizing rate</t>
  </si>
  <si>
    <t xml:space="preserve">Contract rate (IO year)</t>
  </si>
  <si>
    <t xml:space="preserve">Total rentable SF</t>
  </si>
  <si>
    <t xml:space="preserve">UW gross potential base rent</t>
  </si>
  <si>
    <t xml:space="preserve">All dollars are annual unless noted. Rates are decimals.</t>
  </si>
  <si>
    <t xml:space="preserve">Combined revenue loss %</t>
  </si>
  <si>
    <t xml:space="preserve">Other income / recoveries</t>
  </si>
  <si>
    <t xml:space="preserve">Mgmt fee minimum % of EGI</t>
  </si>
  <si>
    <t xml:space="preserve">T12 management fee (actual)</t>
  </si>
  <si>
    <t xml:space="preserve">UW real estate taxes</t>
  </si>
  <si>
    <t xml:space="preserve">UW insurance (renewal)</t>
  </si>
  <si>
    <t xml:space="preserve">UW utilities</t>
  </si>
  <si>
    <t xml:space="preserve">UW repairs &amp; maintenance</t>
  </si>
  <si>
    <t xml:space="preserve">UW payroll / contract labor</t>
  </si>
  <si>
    <t xml:space="preserve">UW administrative / legal</t>
  </si>
  <si>
    <t xml:space="preserve">Replacement reserves $/SF/yr</t>
  </si>
  <si>
    <t xml:space="preserve">Existing debt payoff</t>
  </si>
  <si>
    <t xml:space="preserve">Fixed closing costs</t>
  </si>
  <si>
    <t xml:space="preserve">Origination fee rate</t>
  </si>
  <si>
    <t xml:space="preserve">Cap rate +50 bps</t>
  </si>
  <si>
    <t xml:space="preserve">Debt yield minimum</t>
  </si>
  <si>
    <t xml:space="preserve">DSCR minimum</t>
  </si>
  <si>
    <t xml:space="preserve">LTV maximum</t>
  </si>
  <si>
    <t xml:space="preserve">Amortization (years)</t>
  </si>
  <si>
    <t xml:space="preserve">Interest-only months (YR1)</t>
  </si>
  <si>
    <t xml:space="preserve">Stonebridge Logistics | Rent roll as of 2026-08-31</t>
  </si>
  <si>
    <t xml:space="preserve">Unit/suite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</si>
  <si>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</si>
  <si>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</si>
  <si>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</si>
  <si>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</si>
  <si>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</si>
  <si>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</si>
  <si>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</si>
  <si>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</si>
  <si>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</si>
  <si>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</si>
  <si>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</si>
  <si>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</si>
  <si>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</si>
  <si>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</si>
  <si>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</si>
  <si>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</si>
  <si>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</si>
  <si>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</si>
  <si>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Total space count</t>
  </si>
  <si>
    <t xml:space="preserve">Occupied count</t>
  </si>
  <si>
    <t xml:space="preserve">Occupied rentable SF</t>
  </si>
  <si>
    <t xml:space="preserve">Physical occupancy by count %</t>
  </si>
  <si>
    <t xml:space="preserve">Occupancy by area %</t>
  </si>
  <si>
    <t xml:space="preserve">Monthly base rent (printed)</t>
  </si>
  <si>
    <t xml:space="preserve">Stonebridge Logistics | Historical T12 (Sep-2025 to Aug-2026)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</si>
  <si>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</si>
  <si>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</si>
  <si>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</si>
  <si>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</si>
  <si>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</si>
  <si>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</si>
  <si>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</si>
  <si>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</si>
  <si>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</si>
  <si>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</si>
  <si>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</si>
  <si>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</si>
  <si>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before reserves</t>
  </si>
  <si>
    <t xml:space="preserve">NOI before reserves</t>
  </si>
  <si>
    <t xml:space="preserve">Replacement reserves</t>
  </si>
  <si>
    <t xml:space="preserve">NCF after reserves</t>
  </si>
  <si>
    <t xml:space="preserve">Stonebridge Logistics | Underwriting (annual)</t>
  </si>
  <si>
    <t xml:space="preserve">Underwritten GP base rent</t>
  </si>
  <si>
    <t xml:space="preserve">Underwritten management fee</t>
  </si>
  <si>
    <t xml:space="preserve">Insurance (renewal)</t>
  </si>
  <si>
    <t xml:space="preserve">Repairs &amp; maintenance</t>
  </si>
  <si>
    <t xml:space="preserve">Rentable SF</t>
  </si>
  <si>
    <t xml:space="preserve">Reserves $/SF</t>
  </si>
  <si>
    <t xml:space="preserve">Capitalization value</t>
  </si>
  <si>
    <t xml:space="preserve">Value at cap+50 bps</t>
  </si>
  <si>
    <t xml:space="preserve">Stonebridge Logistics | Loan sizing and proceeds</t>
  </si>
  <si>
    <t xml:space="preserve">Inputs: Sizing rate and cap rate on Inputs tab; EGI controlled by GP rent and Other income. Management fee uses greater of T12 or % of EGI.</t>
  </si>
  <si>
    <t xml:space="preserve">Annual debt constant (at sizing rate)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</si>
  <si>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</si>
  <si>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</si>
  <si>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</si>
  <si>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</si>
  <si>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</si>
  <si>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</si>
  <si>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</si>
  <si>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</si>
  <si>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debt service (IO)</t>
  </si>
  <si>
    <t xml:space="preserve">Origination fee $</t>
  </si>
  <si>
    <t xml:space="preserve">Net cash to borrower (cash-out if +)</t>
  </si>
  <si>
    <t xml:space="preserve">Stress: EGI (-5%)</t>
  </si>
  <si>
    <t xml:space="preserve">Stress: management fee</t>
  </si>
  <si>
    <t xml:space="preserve">Stress: other op ex before mgmt</t>
  </si>
  <si>
    <t xml:space="preserve">Stress: NOI before reserves</t>
  </si>
  <si>
    <t xml:space="preserve">Stress: NCF after reserves</t>
  </si>
  <si>
    <t xml:space="preserve">Stress: sizing rate (+100 bps)</t>
  </si>
  <si>
    <t xml:space="preserve">Stress: annual debt constant</t>
  </si>
  <si>
    <t xml:space="preserve">Stress: LTV limit</t>
  </si>
  <si>
    <t xml:space="preserve">Stress: DSCR limit</t>
  </si>
  <si>
    <t xml:space="preserve">Stress: Debt yield limit</t>
  </si>
  <si>
    <t xml:space="preserve">Stress: maximum loan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</si>
</sst>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\$#,##0"/>
    <numFmt numFmtId="167" formatCode="\$#,##0;&quot;($&quot;#,##0\)"/>
    <numFmt numFmtId="168" formatCode="#,##0"/>
    <numFmt numFmtId="169" formatCode="\$0.00"/>
    <numFmt numFmtId="170" formatCode="0.000000000"/>
    <numFmt numFmtId="171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sz val="10"/>
      <color rgb="FF171717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4"/>
  </cols>
  <sheetData>
    <row r="1" customFormat="false" ht="27" hidden="false" customHeight="tru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3" t="n">
        <v>0.0675</v>
      </c>
      <c r="D2" s="4" t="s">
        <v>2</v>
      </c>
    </row>
    <row r="3" customFormat="false" ht="22" hidden="false" customHeight="true" outlineLevel="0" collapsed="false">
      <c r="A3" s="2" t="s">
        <v>3</v>
      </c>
      <c r="B3" s="3" t="n">
        <v>0.0825</v>
      </c>
    </row>
    <row r="4" customFormat="false" ht="22" hidden="false" customHeight="true" outlineLevel="0" collapsed="false">
      <c r="A4" s="2" t="s">
        <v>4</v>
      </c>
      <c r="B4" s="3" t="n">
        <v>0.0675</v>
      </c>
    </row>
    <row r="5" customFormat="false" ht="22" hidden="false" customHeight="true" outlineLevel="0" collapsed="false">
      <c r="A5" s="2" t="s">
        <v>5</v>
      </c>
      <c r="B5" s="3" t="n">
        <v>85000</v>
      </c>
    </row>
    <row r="6" customFormat="false" ht="36" hidden="false" customHeight="true" outlineLevel="0" collapsed="false">
      <c r="A6" s="2" t="s">
        <v>6</v>
      </c>
      <c r="B6" s="3" t="n">
        <v>900000</v>
      </c>
      <c r="D6" s="4" t="s">
        <v>7</v>
      </c>
    </row>
    <row r="7" customFormat="false" ht="22" hidden="false" customHeight="true" outlineLevel="0" collapsed="false">
      <c r="A7" s="2" t="s">
        <v>8</v>
      </c>
      <c r="B7" s="3" t="n">
        <v>0.08</v>
      </c>
    </row>
    <row r="8" customFormat="false" ht="22" hidden="false" customHeight="true" outlineLevel="0" collapsed="false">
      <c r="A8" s="2" t="s">
        <v>9</v>
      </c>
      <c r="B8" s="3" t="n">
        <v>195000</v>
      </c>
    </row>
    <row r="9" customFormat="false" ht="22" hidden="false" customHeight="true" outlineLevel="0" collapsed="false">
      <c r="A9" s="2" t="s">
        <v>10</v>
      </c>
      <c r="B9" s="3" t="n">
        <v>0.03</v>
      </c>
    </row>
    <row r="10" customFormat="false" ht="22" hidden="false" customHeight="true" outlineLevel="0" collapsed="false">
      <c r="A10" s="2" t="s">
        <v>11</v>
      </c>
      <c r="B10" s="3" t="n">
        <v>25200</v>
      </c>
    </row>
    <row r="11" customFormat="false" ht="22" hidden="false" customHeight="true" outlineLevel="0" collapsed="false">
      <c r="A11" s="2" t="s">
        <v>12</v>
      </c>
      <c r="B11" s="3" t="n">
        <v>132000</v>
      </c>
    </row>
    <row r="12" customFormat="false" ht="22" hidden="false" customHeight="true" outlineLevel="0" collapsed="false">
      <c r="A12" s="2" t="s">
        <v>13</v>
      </c>
      <c r="B12" s="3" t="n">
        <v>33600</v>
      </c>
    </row>
    <row r="13" customFormat="false" ht="22" hidden="false" customHeight="true" outlineLevel="0" collapsed="false">
      <c r="A13" s="2" t="s">
        <v>14</v>
      </c>
      <c r="B13" s="3" t="n">
        <v>12000</v>
      </c>
    </row>
    <row r="14" customFormat="false" ht="22" hidden="false" customHeight="true" outlineLevel="0" collapsed="false">
      <c r="A14" s="2" t="s">
        <v>15</v>
      </c>
      <c r="B14" s="3" t="n">
        <v>18000</v>
      </c>
    </row>
    <row r="15" customFormat="false" ht="22" hidden="false" customHeight="true" outlineLevel="0" collapsed="false">
      <c r="A15" s="2" t="s">
        <v>16</v>
      </c>
      <c r="B15" s="3" t="n">
        <v>18000</v>
      </c>
    </row>
    <row r="16" customFormat="false" ht="22" hidden="false" customHeight="true" outlineLevel="0" collapsed="false">
      <c r="A16" s="2" t="s">
        <v>17</v>
      </c>
      <c r="B16" s="3" t="n">
        <v>18000</v>
      </c>
    </row>
    <row r="17" customFormat="false" ht="22" hidden="false" customHeight="true" outlineLevel="0" collapsed="false">
      <c r="A17" s="2" t="s">
        <v>18</v>
      </c>
      <c r="B17" s="3" t="n">
        <v>0.2</v>
      </c>
    </row>
    <row r="19" customFormat="false" ht="22" hidden="false" customHeight="true" outlineLevel="0" collapsed="false">
      <c r="A19" s="2" t="s">
        <v>19</v>
      </c>
      <c r="B19" s="3" t="n">
        <v>4200000</v>
      </c>
    </row>
    <row r="20" customFormat="false" ht="22" hidden="false" customHeight="true" outlineLevel="0" collapsed="false">
      <c r="A20" s="2" t="s">
        <v>20</v>
      </c>
      <c r="B20" s="3" t="n">
        <v>70000</v>
      </c>
    </row>
    <row r="21" customFormat="false" ht="22" hidden="false" customHeight="true" outlineLevel="0" collapsed="false">
      <c r="A21" s="2" t="s">
        <v>21</v>
      </c>
      <c r="B21" s="3" t="n">
        <v>0.0125</v>
      </c>
    </row>
    <row r="22" customFormat="false" ht="22" hidden="false" customHeight="true" outlineLevel="0" collapsed="false">
      <c r="A22" s="2" t="s">
        <v>22</v>
      </c>
      <c r="B22" s="5" t="n">
        <f aca="false">B2+0.005</f>
        <v>0.0725</v>
      </c>
    </row>
    <row r="23" customFormat="false" ht="22" hidden="false" customHeight="true" outlineLevel="0" collapsed="false">
      <c r="A23" s="2" t="s">
        <v>23</v>
      </c>
      <c r="B23" s="3" t="n">
        <v>0.1</v>
      </c>
    </row>
    <row r="24" customFormat="false" ht="22" hidden="false" customHeight="true" outlineLevel="0" collapsed="false">
      <c r="A24" s="2" t="s">
        <v>24</v>
      </c>
      <c r="B24" s="3" t="n">
        <v>1.3</v>
      </c>
    </row>
    <row r="25" customFormat="false" ht="22" hidden="false" customHeight="true" outlineLevel="0" collapsed="false">
      <c r="A25" s="2" t="s">
        <v>25</v>
      </c>
      <c r="B25" s="3" t="n">
        <v>0.6</v>
      </c>
    </row>
    <row r="26" customFormat="false" ht="22" hidden="false" customHeight="true" outlineLevel="0" collapsed="false">
      <c r="A26" s="2" t="s">
        <v>26</v>
      </c>
      <c r="B26" s="3" t="n">
        <v>25</v>
      </c>
    </row>
    <row r="27" customFormat="false" ht="22" hidden="false" customHeight="true" outlineLevel="0" collapsed="false">
      <c r="A27" s="2" t="s">
        <v>27</v>
      </c>
      <c r="B27" s="3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28</v>
      </c>
    </row>
    <row r="3" customFormat="false" ht="25" hidden="false" customHeight="tru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</row>
    <row r="4" customFormat="false" ht="22" hidden="false" customHeight="true" outlineLevel="0" collapsed="false">
      <c r="A4" s="5" t="s">
        <v>36</v>
      </c>
      <c r="B4" s="5" t="s">
        <v>37</v>
      </c>
      <c r="C4" s="5" t="n">
        <v>18000</v>
      </c>
      <c r="D4" s="5" t="s">
        <v>38</v>
      </c>
      <c r="E4" s="5" t="n">
        <v>15000</v>
      </c>
      <c r="F4" s="5" t="n">
        <v>15000</v>
      </c>
      <c r="G4" s="5" t="s">
        <v>39</v>
      </c>
    </row>
    <row r="5" customFormat="false" ht="22" hidden="false" customHeight="true" outlineLevel="0" collapsed="false">
      <c r="A5" s="5" t="s">
        <v>40</v>
      </c>
      <c r="B5" s="5" t="s">
        <v>41</v>
      </c>
      <c r="C5" s="5" t="n">
        <v>22000</v>
      </c>
      <c r="D5" s="5" t="s">
        <v>38</v>
      </c>
      <c r="E5" s="5" t="n">
        <v>18700</v>
      </c>
      <c r="F5" s="5" t="n">
        <v>18700</v>
      </c>
      <c r="G5" s="5" t="s">
        <v>42</v>
      </c>
    </row>
    <row r="6" customFormat="false" ht="22" hidden="false" customHeight="true" outlineLevel="0" collapsed="false">
      <c r="A6" s="5" t="s">
        <v>43</v>
      </c>
      <c r="B6" s="5" t="s">
        <v>44</v>
      </c>
      <c r="C6" s="5" t="n">
        <v>30000</v>
      </c>
      <c r="D6" s="5" t="s">
        <v>38</v>
      </c>
      <c r="E6" s="5" t="n">
        <v>27000</v>
      </c>
      <c r="F6" s="5" t="n">
        <v>27000</v>
      </c>
      <c r="G6" s="5" t="s">
        <v>45</v>
      </c>
    </row>
    <row r="7" customFormat="false" ht="22" hidden="false" customHeight="true" outlineLevel="0" collapsed="false">
      <c r="A7" s="5" t="s">
        <v>46</v>
      </c>
      <c r="B7" s="5" t="s">
        <v>47</v>
      </c>
      <c r="C7" s="5" t="n">
        <v>15000</v>
      </c>
      <c r="D7" s="5" t="s">
        <v>47</v>
      </c>
      <c r="E7" s="5" t="n">
        <v>0</v>
      </c>
      <c r="F7" s="5" t="n">
        <v>12500</v>
      </c>
      <c r="G7" s="5"/>
    </row>
    <row r="9" customFormat="false" ht="22" hidden="false" customHeight="true" outlineLevel="0" collapsed="false">
      <c r="A9" s="2" t="s">
        <v>48</v>
      </c>
      <c r="B9" s="6" t="n">
        <f aca="false">COUNTA(A4:A7)</f>
        <v>4</v>
      </c>
    </row>
    <row r="10" customFormat="false" ht="22" hidden="false" customHeight="true" outlineLevel="0" collapsed="false">
      <c r="A10" s="2" t="s">
        <v>49</v>
      </c>
      <c r="B10" s="6" t="n">
        <f aca="false">COUNTIF(D4:D7,"Occupied")</f>
        <v>3</v>
      </c>
    </row>
    <row r="11" customFormat="false" ht="22" hidden="false" customHeight="true" outlineLevel="0" collapsed="false">
      <c r="A11" s="2" t="s">
        <v>5</v>
      </c>
      <c r="B11" s="6" t="n">
        <f aca="false">SUM(C4:C7)</f>
        <v>85000</v>
      </c>
    </row>
    <row r="12" customFormat="false" ht="22" hidden="false" customHeight="true" outlineLevel="0" collapsed="false">
      <c r="A12" s="2" t="s">
        <v>50</v>
      </c>
      <c r="B12" s="6" t="n">
        <f aca="false">SUMIF(D4:D7,"Occupied",C4:C7)</f>
        <v>70000</v>
      </c>
    </row>
    <row r="13" customFormat="false" ht="22" hidden="false" customHeight="true" outlineLevel="0" collapsed="false">
      <c r="A13" s="2" t="s">
        <v>51</v>
      </c>
      <c r="B13" s="7" t="n">
        <f aca="false">IF(B9=0,NA(),B10/B9)</f>
        <v>0.75</v>
      </c>
    </row>
    <row r="14" customFormat="false" ht="22" hidden="false" customHeight="true" outlineLevel="0" collapsed="false">
      <c r="A14" s="2" t="s">
        <v>52</v>
      </c>
      <c r="B14" s="7" t="n">
        <f aca="false">IF(B11=0,NA(),B12/B11)</f>
        <v>0.823529411764706</v>
      </c>
    </row>
    <row r="15" customFormat="false" ht="22" hidden="false" customHeight="true" outlineLevel="0" collapsed="false">
      <c r="A15" s="2" t="s">
        <v>53</v>
      </c>
      <c r="B15" s="8" t="n">
        <f aca="false">SUM(E4:E7)</f>
        <v>60700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27" hidden="false" customHeight="true" outlineLevel="0" collapsed="false">
      <c r="A1" s="1" t="s">
        <v>54</v>
      </c>
    </row>
    <row r="3" customFormat="false" ht="22" hidden="false" customHeight="true" outlineLevel="0" collapsed="false">
      <c r="A3" s="2" t="s">
        <v>55</v>
      </c>
      <c r="B3" s="8" t="n">
        <v>852000</v>
      </c>
    </row>
    <row r="4" customFormat="false" ht="22" hidden="false" customHeight="true" outlineLevel="0" collapsed="false">
      <c r="A4" s="2" t="s">
        <v>56</v>
      </c>
      <c r="B4" s="9" t="n">
        <v>-150000</v>
      </c>
    </row>
    <row r="5" customFormat="false" ht="22" hidden="false" customHeight="true" outlineLevel="0" collapsed="false">
      <c r="A5" s="2" t="s">
        <v>57</v>
      </c>
      <c r="B5" s="9" t="n">
        <v>-36000</v>
      </c>
    </row>
    <row r="6" customFormat="false" ht="22" hidden="false" customHeight="true" outlineLevel="0" collapsed="false">
      <c r="A6" s="2" t="s">
        <v>58</v>
      </c>
      <c r="B6" s="9" t="n">
        <v>-6000</v>
      </c>
    </row>
    <row r="7" customFormat="false" ht="22" hidden="false" customHeight="true" outlineLevel="0" collapsed="false">
      <c r="A7" s="2" t="s">
        <v>9</v>
      </c>
      <c r="B7" s="8" t="n">
        <v>186000</v>
      </c>
    </row>
    <row r="8" customFormat="false" ht="22" hidden="false" customHeight="true" outlineLevel="0" collapsed="false">
      <c r="A8" s="2" t="s">
        <v>59</v>
      </c>
      <c r="B8" s="8" t="n">
        <f aca="false">B3+B4+B5+B6+B7</f>
        <v>846000</v>
      </c>
    </row>
    <row r="10" customFormat="false" ht="22" hidden="false" customHeight="true" outlineLevel="0" collapsed="false">
      <c r="A10" s="2" t="s">
        <v>60</v>
      </c>
      <c r="B10" s="8" t="n">
        <v>126000</v>
      </c>
    </row>
    <row r="11" customFormat="false" ht="22" hidden="false" customHeight="true" outlineLevel="0" collapsed="false">
      <c r="A11" s="2" t="s">
        <v>61</v>
      </c>
      <c r="B11" s="8" t="n">
        <v>30000</v>
      </c>
    </row>
    <row r="12" customFormat="false" ht="22" hidden="false" customHeight="true" outlineLevel="0" collapsed="false">
      <c r="A12" s="2" t="s">
        <v>62</v>
      </c>
      <c r="B12" s="8" t="n">
        <v>12000</v>
      </c>
    </row>
    <row r="13" customFormat="false" ht="22" hidden="false" customHeight="true" outlineLevel="0" collapsed="false">
      <c r="A13" s="2" t="s">
        <v>63</v>
      </c>
      <c r="B13" s="8" t="n">
        <v>24000</v>
      </c>
    </row>
    <row r="14" customFormat="false" ht="22" hidden="false" customHeight="true" outlineLevel="0" collapsed="false">
      <c r="A14" s="2" t="s">
        <v>64</v>
      </c>
      <c r="B14" s="8" t="n">
        <v>18000</v>
      </c>
    </row>
    <row r="15" customFormat="false" ht="22" hidden="false" customHeight="true" outlineLevel="0" collapsed="false">
      <c r="A15" s="2" t="s">
        <v>65</v>
      </c>
      <c r="B15" s="8" t="n">
        <v>18000</v>
      </c>
    </row>
    <row r="16" customFormat="false" ht="22" hidden="false" customHeight="true" outlineLevel="0" collapsed="false">
      <c r="A16" s="2" t="s">
        <v>66</v>
      </c>
      <c r="B16" s="8" t="n">
        <v>25200</v>
      </c>
    </row>
    <row r="17" customFormat="false" ht="22" hidden="false" customHeight="true" outlineLevel="0" collapsed="false">
      <c r="A17" s="2" t="s">
        <v>67</v>
      </c>
      <c r="B17" s="8" t="n">
        <f aca="false">SUM(B10:B16)</f>
        <v>253200</v>
      </c>
    </row>
    <row r="19" customFormat="false" ht="22" hidden="false" customHeight="true" outlineLevel="0" collapsed="false">
      <c r="A19" s="2" t="s">
        <v>68</v>
      </c>
      <c r="B19" s="8" t="n">
        <f aca="false">B8-B17</f>
        <v>592800</v>
      </c>
    </row>
    <row r="21" customFormat="false" ht="22" hidden="false" customHeight="true" outlineLevel="0" collapsed="false">
      <c r="A21" s="2" t="s">
        <v>69</v>
      </c>
      <c r="B21" s="8" t="n">
        <v>17000</v>
      </c>
    </row>
    <row r="22" customFormat="false" ht="22" hidden="false" customHeight="true" outlineLevel="0" collapsed="false">
      <c r="A22" s="2" t="s">
        <v>70</v>
      </c>
      <c r="B22" s="8" t="n">
        <f aca="false">B19-B21</f>
        <v>575800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71</v>
      </c>
    </row>
    <row r="2" customFormat="false" ht="22" hidden="false" customHeight="true" outlineLevel="0" collapsed="false">
      <c r="A2" s="2" t="s">
        <v>72</v>
      </c>
      <c r="B2" s="10" t="n">
        <f aca="false">Inputs!B6</f>
        <v>900000</v>
      </c>
    </row>
    <row r="3" customFormat="false" ht="22" hidden="false" customHeight="true" outlineLevel="0" collapsed="false">
      <c r="A3" s="2" t="s">
        <v>8</v>
      </c>
      <c r="B3" s="11" t="n">
        <f aca="false">Inputs!B7</f>
        <v>0.08</v>
      </c>
    </row>
    <row r="4" customFormat="false" ht="22" hidden="false" customHeight="true" outlineLevel="0" collapsed="false">
      <c r="A4" s="2" t="s">
        <v>9</v>
      </c>
      <c r="B4" s="10" t="n">
        <f aca="false">Inputs!B8</f>
        <v>195000</v>
      </c>
    </row>
    <row r="6" customFormat="false" ht="22" hidden="false" customHeight="true" outlineLevel="0" collapsed="false">
      <c r="A6" s="2" t="s">
        <v>59</v>
      </c>
      <c r="B6" s="8" t="n">
        <f aca="false">B2*(1-B3)+B4</f>
        <v>1023000</v>
      </c>
    </row>
    <row r="8" customFormat="false" ht="22" hidden="false" customHeight="true" outlineLevel="0" collapsed="false">
      <c r="A8" s="2" t="s">
        <v>10</v>
      </c>
      <c r="B8" s="11" t="n">
        <f aca="false">Inputs!B9</f>
        <v>0.03</v>
      </c>
    </row>
    <row r="9" customFormat="false" ht="22" hidden="false" customHeight="true" outlineLevel="0" collapsed="false">
      <c r="A9" s="2" t="s">
        <v>11</v>
      </c>
      <c r="B9" s="10" t="n">
        <f aca="false">Inputs!B10</f>
        <v>25200</v>
      </c>
    </row>
    <row r="10" customFormat="false" ht="22" hidden="false" customHeight="true" outlineLevel="0" collapsed="false">
      <c r="A10" s="2" t="s">
        <v>73</v>
      </c>
      <c r="B10" s="8" t="n">
        <f aca="false">MAX(B9,B8*B6)</f>
        <v>30690</v>
      </c>
    </row>
    <row r="12" customFormat="false" ht="22" hidden="false" customHeight="true" outlineLevel="0" collapsed="false">
      <c r="A12" s="2" t="s">
        <v>60</v>
      </c>
      <c r="B12" s="10" t="n">
        <f aca="false">Inputs!B11</f>
        <v>132000</v>
      </c>
    </row>
    <row r="13" customFormat="false" ht="22" hidden="false" customHeight="true" outlineLevel="0" collapsed="false">
      <c r="A13" s="2" t="s">
        <v>74</v>
      </c>
      <c r="B13" s="10" t="n">
        <f aca="false">Inputs!B12</f>
        <v>33600</v>
      </c>
    </row>
    <row r="14" customFormat="false" ht="22" hidden="false" customHeight="true" outlineLevel="0" collapsed="false">
      <c r="A14" s="2" t="s">
        <v>62</v>
      </c>
      <c r="B14" s="10" t="n">
        <f aca="false">Inputs!B13</f>
        <v>12000</v>
      </c>
    </row>
    <row r="15" customFormat="false" ht="22" hidden="false" customHeight="true" outlineLevel="0" collapsed="false">
      <c r="A15" s="2" t="s">
        <v>75</v>
      </c>
      <c r="B15" s="10" t="n">
        <f aca="false">Inputs!B14</f>
        <v>18000</v>
      </c>
    </row>
    <row r="16" customFormat="false" ht="22" hidden="false" customHeight="true" outlineLevel="0" collapsed="false">
      <c r="A16" s="2" t="s">
        <v>64</v>
      </c>
      <c r="B16" s="10" t="n">
        <f aca="false">Inputs!B15</f>
        <v>18000</v>
      </c>
    </row>
    <row r="17" customFormat="false" ht="22" hidden="false" customHeight="true" outlineLevel="0" collapsed="false">
      <c r="A17" s="2" t="s">
        <v>65</v>
      </c>
      <c r="B17" s="10" t="n">
        <f aca="false">Inputs!B16</f>
        <v>18000</v>
      </c>
    </row>
    <row r="18" customFormat="false" ht="22" hidden="false" customHeight="true" outlineLevel="0" collapsed="false">
      <c r="A18" s="2" t="s">
        <v>67</v>
      </c>
      <c r="B18" s="8" t="n">
        <f aca="false">SUM(B10,B12:B17)</f>
        <v>262290</v>
      </c>
    </row>
    <row r="20" customFormat="false" ht="22" hidden="false" customHeight="true" outlineLevel="0" collapsed="false">
      <c r="A20" s="2" t="s">
        <v>68</v>
      </c>
      <c r="B20" s="8" t="n">
        <f aca="false">B6-B18</f>
        <v>760710</v>
      </c>
    </row>
    <row r="22" customFormat="false" ht="22" hidden="false" customHeight="true" outlineLevel="0" collapsed="false">
      <c r="A22" s="2" t="s">
        <v>76</v>
      </c>
      <c r="B22" s="12" t="n">
        <f aca="false">Inputs!B5</f>
        <v>85000</v>
      </c>
    </row>
    <row r="23" customFormat="false" ht="22" hidden="false" customHeight="true" outlineLevel="0" collapsed="false">
      <c r="A23" s="2" t="s">
        <v>77</v>
      </c>
      <c r="B23" s="13" t="n">
        <f aca="false">Inputs!B17</f>
        <v>0.2</v>
      </c>
    </row>
    <row r="24" customFormat="false" ht="22" hidden="false" customHeight="true" outlineLevel="0" collapsed="false">
      <c r="A24" s="2" t="s">
        <v>69</v>
      </c>
      <c r="B24" s="8" t="n">
        <f aca="false">B22*B23</f>
        <v>17000</v>
      </c>
    </row>
    <row r="26" customFormat="false" ht="22" hidden="false" customHeight="true" outlineLevel="0" collapsed="false">
      <c r="A26" s="2" t="s">
        <v>70</v>
      </c>
      <c r="B26" s="8" t="n">
        <f aca="false">B20-B24</f>
        <v>743710</v>
      </c>
    </row>
    <row r="28" customFormat="false" ht="22" hidden="false" customHeight="true" outlineLevel="0" collapsed="false">
      <c r="A28" s="2" t="s">
        <v>1</v>
      </c>
      <c r="B28" s="11" t="n">
        <f aca="false">Inputs!B2</f>
        <v>0.0675</v>
      </c>
    </row>
    <row r="29" customFormat="false" ht="22" hidden="false" customHeight="true" outlineLevel="0" collapsed="false">
      <c r="A29" s="2" t="s">
        <v>78</v>
      </c>
      <c r="B29" s="8" t="n">
        <f aca="false">B20/B28</f>
        <v>11269777.7777778</v>
      </c>
    </row>
    <row r="30" customFormat="false" ht="22" hidden="false" customHeight="true" outlineLevel="0" collapsed="false">
      <c r="A30" s="2" t="s">
        <v>22</v>
      </c>
      <c r="B30" s="11" t="n">
        <f aca="false">Inputs!B22</f>
        <v>0.0725</v>
      </c>
    </row>
    <row r="31" customFormat="false" ht="22" hidden="false" customHeight="true" outlineLevel="0" collapsed="false">
      <c r="A31" s="2" t="s">
        <v>79</v>
      </c>
      <c r="B31" s="8" t="n">
        <f aca="false">B20/B30</f>
        <v>10492551.7241379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4"/>
  </cols>
  <sheetData>
    <row r="1" customFormat="false" ht="27" hidden="false" customHeight="true" outlineLevel="0" collapsed="false">
      <c r="A1" s="1" t="s">
        <v>80</v>
      </c>
    </row>
    <row r="2" customFormat="false" ht="48" hidden="false" customHeight="true" outlineLevel="0" collapsed="false">
      <c r="A2" s="2" t="s">
        <v>3</v>
      </c>
      <c r="B2" s="11" t="n">
        <f aca="false">Inputs!B3</f>
        <v>0.0825</v>
      </c>
      <c r="D2" s="4" t="s">
        <v>81</v>
      </c>
    </row>
    <row r="3" customFormat="false" ht="22" hidden="false" customHeight="true" outlineLevel="0" collapsed="false">
      <c r="A3" s="2" t="s">
        <v>26</v>
      </c>
      <c r="B3" s="14" t="n">
        <f aca="false">Inputs!B26</f>
        <v>25</v>
      </c>
    </row>
    <row r="4" customFormat="false" ht="22" hidden="false" customHeight="true" outlineLevel="0" collapsed="false">
      <c r="A4" s="2" t="s">
        <v>82</v>
      </c>
      <c r="B4" s="15" t="n">
        <f aca="false">ABS(12*PMT(B2/12,B3*12,1))</f>
        <v>0.0946140161623425</v>
      </c>
    </row>
    <row r="6" customFormat="false" ht="22" hidden="false" customHeight="true" outlineLevel="0" collapsed="false">
      <c r="A6" s="2" t="s">
        <v>24</v>
      </c>
      <c r="B6" s="14" t="n">
        <f aca="false">Inputs!B24</f>
        <v>1.3</v>
      </c>
    </row>
    <row r="7" customFormat="false" ht="22" hidden="false" customHeight="true" outlineLevel="0" collapsed="false">
      <c r="A7" s="2" t="s">
        <v>23</v>
      </c>
      <c r="B7" s="11" t="n">
        <f aca="false">Inputs!B23</f>
        <v>0.1</v>
      </c>
    </row>
    <row r="8" customFormat="false" ht="22" hidden="false" customHeight="true" outlineLevel="0" collapsed="false">
      <c r="A8" s="2" t="s">
        <v>25</v>
      </c>
      <c r="B8" s="11" t="n">
        <f aca="false">Inputs!B25</f>
        <v>0.6</v>
      </c>
    </row>
    <row r="10" customFormat="false" ht="22" hidden="false" customHeight="true" outlineLevel="0" collapsed="false">
      <c r="A10" s="2" t="s">
        <v>83</v>
      </c>
      <c r="B10" s="8" t="n">
        <f aca="false">B8*Underwriting!B29</f>
        <v>6761866.66666667</v>
      </c>
    </row>
    <row r="11" customFormat="false" ht="22" hidden="false" customHeight="true" outlineLevel="0" collapsed="false">
      <c r="A11" s="2" t="s">
        <v>84</v>
      </c>
      <c r="B11" s="8" t="n">
        <f aca="false">Underwriting!B26/(B6*B4)</f>
        <v>6046510.21686903</v>
      </c>
    </row>
    <row r="12" customFormat="false" ht="22" hidden="false" customHeight="true" outlineLevel="0" collapsed="false">
      <c r="A12" s="2" t="s">
        <v>85</v>
      </c>
      <c r="B12" s="8" t="n">
        <f aca="false">Underwriting!B26/B7</f>
        <v>7437100</v>
      </c>
    </row>
    <row r="14" customFormat="false" ht="22" hidden="false" customHeight="true" outlineLevel="0" collapsed="false">
      <c r="A14" s="2" t="s">
        <v>86</v>
      </c>
      <c r="B14" s="8" t="n">
        <f aca="false">MIN(B10,B11,B12)</f>
        <v>6046510.21686903</v>
      </c>
    </row>
    <row r="15" customFormat="false" ht="22" hidden="false" customHeight="true" outlineLevel="0" collapsed="false">
      <c r="A15" s="2" t="s">
        <v>87</v>
      </c>
      <c r="B15" s="6" t="str">
        <f aca="false">IF(B14=B11,"DSCR",IF(B14=B10,"LTV","Debt yield"))</f>
        <v>DSCR</v>
      </c>
    </row>
    <row r="17" customFormat="false" ht="22" hidden="false" customHeight="true" outlineLevel="0" collapsed="false">
      <c r="A17" s="2" t="s">
        <v>88</v>
      </c>
      <c r="B17" s="8" t="n">
        <f aca="false">B14*B4</f>
        <v>572084.615384615</v>
      </c>
    </row>
    <row r="18" customFormat="false" ht="22" hidden="false" customHeight="true" outlineLevel="0" collapsed="false">
      <c r="A18" s="2" t="s">
        <v>89</v>
      </c>
      <c r="B18" s="16" t="n">
        <f aca="false">Underwriting!B26/B17</f>
        <v>1.3</v>
      </c>
    </row>
    <row r="19" customFormat="false" ht="22" hidden="false" customHeight="true" outlineLevel="0" collapsed="false">
      <c r="A19" s="2" t="s">
        <v>90</v>
      </c>
      <c r="B19" s="15" t="n">
        <f aca="false">Underwriting!B26/B14</f>
        <v>0.122998221011045</v>
      </c>
    </row>
    <row r="21" customFormat="false" ht="22" hidden="false" customHeight="true" outlineLevel="0" collapsed="false">
      <c r="A21" s="2" t="s">
        <v>4</v>
      </c>
      <c r="B21" s="11" t="n">
        <f aca="false">Inputs!B4</f>
        <v>0.0675</v>
      </c>
    </row>
    <row r="22" customFormat="false" ht="22" hidden="false" customHeight="true" outlineLevel="0" collapsed="false">
      <c r="A22" s="2" t="s">
        <v>91</v>
      </c>
      <c r="B22" s="8" t="n">
        <f aca="false">B14*B21</f>
        <v>408139.439638659</v>
      </c>
    </row>
    <row r="24" customFormat="false" ht="22" hidden="false" customHeight="true" outlineLevel="0" collapsed="false">
      <c r="A24" s="2" t="s">
        <v>19</v>
      </c>
      <c r="B24" s="10" t="n">
        <f aca="false">Inputs!B19</f>
        <v>4200000</v>
      </c>
    </row>
    <row r="25" customFormat="false" ht="22" hidden="false" customHeight="true" outlineLevel="0" collapsed="false">
      <c r="A25" s="2" t="s">
        <v>20</v>
      </c>
      <c r="B25" s="10" t="n">
        <f aca="false">Inputs!B20</f>
        <v>70000</v>
      </c>
    </row>
    <row r="26" customFormat="false" ht="22" hidden="false" customHeight="true" outlineLevel="0" collapsed="false">
      <c r="A26" s="2" t="s">
        <v>21</v>
      </c>
      <c r="B26" s="11" t="n">
        <f aca="false">Inputs!B21</f>
        <v>0.0125</v>
      </c>
    </row>
    <row r="27" customFormat="false" ht="22" hidden="false" customHeight="true" outlineLevel="0" collapsed="false">
      <c r="A27" s="2" t="s">
        <v>92</v>
      </c>
      <c r="B27" s="8" t="n">
        <f aca="false">B26*B14</f>
        <v>75581.3777108628</v>
      </c>
    </row>
    <row r="28" customFormat="false" ht="22" hidden="false" customHeight="true" outlineLevel="0" collapsed="false">
      <c r="A28" s="2" t="s">
        <v>93</v>
      </c>
      <c r="B28" s="8" t="n">
        <f aca="false">B14-B24-B25-B27</f>
        <v>1700928.83915816</v>
      </c>
    </row>
    <row r="30" customFormat="false" ht="22" hidden="false" customHeight="true" outlineLevel="0" collapsed="false">
      <c r="A30" s="2" t="s">
        <v>94</v>
      </c>
      <c r="B30" s="8" t="n">
        <f aca="false">Underwriting!B6*0.95</f>
        <v>971850</v>
      </c>
    </row>
    <row r="31" customFormat="false" ht="22" hidden="false" customHeight="true" outlineLevel="0" collapsed="false">
      <c r="A31" s="2" t="s">
        <v>95</v>
      </c>
      <c r="B31" s="8" t="n">
        <f aca="false">MAX(Inputs!B10,Inputs!B9*B30)</f>
        <v>29155.5</v>
      </c>
    </row>
    <row r="32" customFormat="false" ht="22" hidden="false" customHeight="true" outlineLevel="0" collapsed="false">
      <c r="A32" s="2" t="s">
        <v>96</v>
      </c>
      <c r="B32" s="8" t="n">
        <f aca="false">Underwriting!B18-Underwriting!B10</f>
        <v>231600</v>
      </c>
    </row>
    <row r="33" customFormat="false" ht="22" hidden="false" customHeight="true" outlineLevel="0" collapsed="false">
      <c r="A33" s="2" t="s">
        <v>97</v>
      </c>
      <c r="B33" s="8" t="n">
        <f aca="false">B30-(B31+B32)</f>
        <v>711094.5</v>
      </c>
    </row>
    <row r="34" customFormat="false" ht="22" hidden="false" customHeight="true" outlineLevel="0" collapsed="false">
      <c r="A34" s="2" t="s">
        <v>98</v>
      </c>
      <c r="B34" s="8" t="n">
        <f aca="false">B33-Underwriting!B24</f>
        <v>694094.5</v>
      </c>
    </row>
    <row r="35" customFormat="false" ht="22" hidden="false" customHeight="true" outlineLevel="0" collapsed="false">
      <c r="A35" s="2" t="s">
        <v>99</v>
      </c>
      <c r="B35" s="7" t="n">
        <f aca="false">B2+0.01</f>
        <v>0.0925</v>
      </c>
    </row>
    <row r="36" customFormat="false" ht="22" hidden="false" customHeight="true" outlineLevel="0" collapsed="false">
      <c r="A36" s="2" t="s">
        <v>100</v>
      </c>
      <c r="B36" s="15" t="n">
        <f aca="false">ABS(12*PMT(B35/12,B3*12,1))</f>
        <v>0.102765821128915</v>
      </c>
    </row>
    <row r="37" customFormat="false" ht="22" hidden="false" customHeight="true" outlineLevel="0" collapsed="false">
      <c r="A37" s="2" t="s">
        <v>101</v>
      </c>
      <c r="B37" s="8" t="n">
        <f aca="false">B8*(B33/Underwriting!B28)</f>
        <v>6320840</v>
      </c>
    </row>
    <row r="38" customFormat="false" ht="22" hidden="false" customHeight="true" outlineLevel="0" collapsed="false">
      <c r="A38" s="2" t="s">
        <v>102</v>
      </c>
      <c r="B38" s="8" t="n">
        <f aca="false">B34/(B6*B36)</f>
        <v>5195490.4878741</v>
      </c>
    </row>
    <row r="39" customFormat="false" ht="22" hidden="false" customHeight="true" outlineLevel="0" collapsed="false">
      <c r="A39" s="2" t="s">
        <v>103</v>
      </c>
      <c r="B39" s="8" t="n">
        <f aca="false">B34/B7</f>
        <v>6940945</v>
      </c>
    </row>
    <row r="40" customFormat="false" ht="22" hidden="false" customHeight="true" outlineLevel="0" collapsed="false">
      <c r="A40" s="2" t="s">
        <v>104</v>
      </c>
      <c r="B40" s="8" t="n">
        <f aca="false">MIN(B37,B38,B39)</f>
        <v>5195490.4878741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