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8612993e447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bcc745eac2e4ee8"/>
    <x:sheet xmlns:r="http://schemas.openxmlformats.org/officeDocument/2006/relationships" name="Rent Roll" sheetId="2" r:id="R95de8dbf200443d8"/>
    <x:sheet xmlns:r="http://schemas.openxmlformats.org/officeDocument/2006/relationships" name="T12" sheetId="3" r:id="R6aba86917c35414a"/>
    <x:sheet xmlns:r="http://schemas.openxmlformats.org/officeDocument/2006/relationships" name="Underwriting" sheetId="4" r:id="R39fee117b2e64c37"/>
    <x:sheet xmlns:r="http://schemas.openxmlformats.org/officeDocument/2006/relationships" name="Sizing" sheetId="5" r:id="R5db3cef5ad7d4b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$#,##0"/>
    <x:numFmt numFmtId="202" formatCode="$#,##0;($#,##0)"/>
    <x:numFmt numFmtId="203" formatCode="#,##0"/>
    <x:numFmt numFmtId="204" formatCode="$0.00"/>
    <x:numFmt numFmtId="205" formatCode="0.000000000"/>
    <x:numFmt numFmtId="206" formatCode="0.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9"/>
      <x:color rgb="FF526258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1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200" fontId="7" fillId="0" borderId="0" xfId="0" applyNumberFormat="1" applyFont="1" applyFill="1" applyBorder="1"/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5" fontId="1" fillId="0" borderId="0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6" fontId="7" fillId="0" borderId="0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5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a5ef81078d4ed0" /><Relationship Type="http://schemas.openxmlformats.org/officeDocument/2006/relationships/theme" Target="/xl/theme/theme1.xml" Id="Rdaa9384940b144a9" /><Relationship Type="http://schemas.openxmlformats.org/officeDocument/2006/relationships/sharedStrings" Target="/xl/sharedStrings.xml" Id="R19fd9391185e4029" /><Relationship Type="http://schemas.openxmlformats.org/officeDocument/2006/relationships/worksheet" Target="/xl/worksheets/sheet1.xml" Id="R8bcc745eac2e4ee8" /><Relationship Type="http://schemas.openxmlformats.org/officeDocument/2006/relationships/worksheet" Target="/xl/worksheets/sheet2.xml" Id="R95de8dbf200443d8" /><Relationship Type="http://schemas.openxmlformats.org/officeDocument/2006/relationships/worksheet" Target="/xl/worksheets/sheet3.xml" Id="R6aba86917c35414a" /><Relationship Type="http://schemas.openxmlformats.org/officeDocument/2006/relationships/worksheet" Target="/xl/worksheets/sheet4.xml" Id="R39fee117b2e64c37" /><Relationship Type="http://schemas.openxmlformats.org/officeDocument/2006/relationships/worksheet" Target="/xl/worksheets/sheet5.xml" Id="R5db3cef5ad7d4b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2" hidden="0" customWidth="1"/>
    <x:col min="4" max="4" width="64" hidden="0" customWidth="1"/>
  </x:cols>
  <x:sheetData>
    <x:row r="1" ht="27" customHeight="1">
      <x:c r="A1" s="2" t="str">
        <x:v>Stonebridge Logistics | Underwriting inputs</x:v>
      </x:c>
    </x:row>
    <x:row r="2" ht="48" customHeight="1">
      <x:c r="A2" s="4" t="str">
        <x:v>Cap rate</x:v>
      </x:c>
      <x:c r="B2" s="5" t="n">
        <x:v>0.0675</x:v>
      </x:c>
      <x:c r="D2" s="7" t="str">
        <x:v>Change B2, B3 and B6/B8 to test value and sizing; EGI scales with loss % held constant.</x:v>
      </x:c>
    </x:row>
    <x:row r="3" ht="22" customHeight="1">
      <x:c r="A3" s="4" t="str">
        <x:v>Sizing rate</x:v>
      </x:c>
      <x:c r="B3" s="5" t="n">
        <x:v>0.08249999999999999</x:v>
      </x:c>
    </x:row>
    <x:row r="4" ht="22" customHeight="1">
      <x:c r="A4" s="4" t="str">
        <x:v>Contract rate (IO year)</x:v>
      </x:c>
      <x:c r="B4" s="5" t="n">
        <x:v>0.0675</x:v>
      </x:c>
    </x:row>
    <x:row r="5" ht="22" customHeight="1">
      <x:c r="A5" s="4" t="str">
        <x:v>Total rentable SF</x:v>
      </x:c>
      <x:c r="B5" s="5" t="n">
        <x:v>85000</x:v>
      </x:c>
    </x:row>
    <x:row r="6" ht="36" customHeight="1">
      <x:c r="A6" s="4" t="str">
        <x:v>UW gross potential base rent</x:v>
      </x:c>
      <x:c r="B6" s="5" t="n">
        <x:v>900000</x:v>
      </x:c>
      <x:c r="D6" s="7" t="str">
        <x:v>All dollars are annual unless noted. Rates are decimals.</x:v>
      </x:c>
    </x:row>
    <x:row r="7" ht="22" customHeight="1">
      <x:c r="A7" s="4" t="str">
        <x:v>Combined revenue loss %</x:v>
      </x:c>
      <x:c r="B7" s="5" t="n">
        <x:v>0.08</x:v>
      </x:c>
    </x:row>
    <x:row r="8" ht="22" customHeight="1">
      <x:c r="A8" s="4" t="str">
        <x:v>Other income / recoveries</x:v>
      </x:c>
      <x:c r="B8" s="5" t="n">
        <x:v>195000</x:v>
      </x:c>
    </x:row>
    <x:row r="9" ht="22" customHeight="1">
      <x:c r="A9" s="4" t="str">
        <x:v>Mgmt fee minimum % of EGI</x:v>
      </x:c>
      <x:c r="B9" s="5" t="n">
        <x:v>0.03</x:v>
      </x:c>
    </x:row>
    <x:row r="10" ht="22" customHeight="1">
      <x:c r="A10" s="4" t="str">
        <x:v>T12 management fee (actual)</x:v>
      </x:c>
      <x:c r="B10" s="5" t="n">
        <x:v>25200</x:v>
      </x:c>
    </x:row>
    <x:row r="11" ht="22" customHeight="1">
      <x:c r="A11" s="4" t="str">
        <x:v>UW real estate taxes</x:v>
      </x:c>
      <x:c r="B11" s="5" t="n">
        <x:v>132000</x:v>
      </x:c>
    </x:row>
    <x:row r="12" ht="22" customHeight="1">
      <x:c r="A12" s="4" t="str">
        <x:v>UW insurance (renewal)</x:v>
      </x:c>
      <x:c r="B12" s="5" t="n">
        <x:v>33600</x:v>
      </x:c>
    </x:row>
    <x:row r="13" ht="22" customHeight="1">
      <x:c r="A13" s="4" t="str">
        <x:v>UW utilities</x:v>
      </x:c>
      <x:c r="B13" s="5" t="n">
        <x:v>12000</x:v>
      </x:c>
    </x:row>
    <x:row r="14" ht="22" customHeight="1">
      <x:c r="A14" s="4" t="str">
        <x:v>UW repairs &amp; maintenance</x:v>
      </x:c>
      <x:c r="B14" s="5" t="n">
        <x:v>18000</x:v>
      </x:c>
    </x:row>
    <x:row r="15" ht="22" customHeight="1">
      <x:c r="A15" s="4" t="str">
        <x:v>UW payroll / contract labor</x:v>
      </x:c>
      <x:c r="B15" s="5" t="n">
        <x:v>18000</x:v>
      </x:c>
    </x:row>
    <x:row r="16" ht="22" customHeight="1">
      <x:c r="A16" s="4" t="str">
        <x:v>UW administrative / legal</x:v>
      </x:c>
      <x:c r="B16" s="5" t="n">
        <x:v>18000</x:v>
      </x:c>
    </x:row>
    <x:row r="17" ht="22" customHeight="1">
      <x:c r="A17" s="4" t="str">
        <x:v>Replacement reserves $/SF/yr</x:v>
      </x:c>
      <x:c r="B17" s="5" t="n">
        <x:v>0.2</x:v>
      </x:c>
    </x:row>
    <x:row r="19" ht="22" customHeight="1">
      <x:c r="A19" s="4" t="str">
        <x:v>Existing debt payoff</x:v>
      </x:c>
      <x:c r="B19" s="5" t="n">
        <x:v>4200000</x:v>
      </x:c>
    </x:row>
    <x:row r="20" ht="22" customHeight="1">
      <x:c r="A20" s="4" t="str">
        <x:v>Fixed closing costs</x:v>
      </x:c>
      <x:c r="B20" s="5" t="n">
        <x:v>70000</x:v>
      </x:c>
    </x:row>
    <x:row r="21" ht="22" customHeight="1">
      <x:c r="A21" s="4" t="str">
        <x:v>Origination fee rate</x:v>
      </x:c>
      <x:c r="B21" s="5" t="n">
        <x:v>0.0125</x:v>
      </x:c>
    </x:row>
    <x:row r="22" ht="22" customHeight="1">
      <x:c r="A22" s="4" t="str">
        <x:v>Cap rate +50 bps</x:v>
      </x:c>
      <x:c r="B22" s="1" t="n">
        <x:f>B2+0.005</x:f>
        <x:v>0.07250000000000001</x:v>
      </x:c>
    </x:row>
    <x:row r="23" ht="22" customHeight="1">
      <x:c r="A23" s="4" t="str">
        <x:v>Debt yield minimum</x:v>
      </x:c>
      <x:c r="B23" s="5" t="n">
        <x:v>0.1</x:v>
      </x:c>
    </x:row>
    <x:row r="24" ht="22" customHeight="1">
      <x:c r="A24" s="4" t="str">
        <x:v>DSCR minimum</x:v>
      </x:c>
      <x:c r="B24" s="5" t="n">
        <x:v>1.3</x:v>
      </x:c>
    </x:row>
    <x:row r="25" ht="22" customHeight="1">
      <x:c r="A25" s="4" t="str">
        <x:v>LTV maximum</x:v>
      </x:c>
      <x:c r="B25" s="5" t="n">
        <x:v>0.6</x:v>
      </x:c>
    </x:row>
    <x:row r="26" ht="22" customHeight="1">
      <x:c r="A26" s="4" t="str">
        <x:v>Amortization (years)</x:v>
      </x:c>
      <x:c r="B26" s="5" t="n">
        <x:v>25</x:v>
      </x:c>
    </x:row>
    <x:row r="27" ht="22" customHeight="1">
      <x:c r="A27" s="4" t="str">
        <x:v>Interest-only months (YR1)</x:v>
      </x:c>
      <x:c r="B27" s="5" t="n"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14" hidden="0" customWidth="1"/>
    <x:col min="4" max="4" width="12" hidden="0" customWidth="1"/>
    <x:col min="5" max="5" width="18" hidden="0" customWidth="1"/>
    <x:col min="6" max="6" width="20" hidden="0" customWidth="1"/>
    <x:col min="7" max="7" width="16" hidden="0" customWidth="1"/>
  </x:cols>
  <x:sheetData>
    <x:row r="1" ht="27" customHeight="1">
      <x:c r="A1" s="2" t="str">
        <x:v>Stonebridge Logistics | Rent roll as of 2026-08-31</x:v>
      </x:c>
    </x:row>
    <x:row r="3" ht="25" customHeight="1">
      <x:c r="A3" s="4" t="str">
        <x:v>Unit/suite</x:v>
      </x:c>
      <x:c r="B3" s="4" t="str">
        <x:v>Tenant</x:v>
      </x:c>
      <x:c r="C3" s="4" t="str">
        <x:v>Area SF</x:v>
      </x:c>
      <x:c r="D3" s="4" t="str">
        <x:v>Status</x:v>
      </x:c>
      <x:c r="E3" s="4" t="str">
        <x:v>Monthly base rent</x:v>
      </x:c>
      <x:c r="F3" s="4" t="str">
        <x:v>Market monthly rent</x:v>
      </x:c>
      <x:c r="G3" s="4" t="str">
        <x:v>Lease expiry</x:v>
      </x:c>
    </x:row>
    <x:row r="4" ht="22" customHeight="1">
      <x:c r="A4" s="1" t="str">
        <x:v>101</x:v>
      </x:c>
      <x:c r="B4" s="1" t="str">
        <x:v>Tenant A LLC</x:v>
      </x:c>
      <x:c r="C4" s="1" t="n">
        <x:v>18000</x:v>
      </x:c>
      <x:c r="D4" s="1" t="str">
        <x:v>Occupied</x:v>
      </x:c>
      <x:c r="E4" s="1" t="n">
        <x:v>15000</x:v>
      </x:c>
      <x:c r="F4" s="1" t="n">
        <x:v>15000</x:v>
      </x:c>
      <x:c r="G4" s="1" t="str">
        <x:v>2030-08-31</x:v>
      </x:c>
    </x:row>
    <x:row r="5" ht="22" customHeight="1">
      <x:c r="A5" s="1" t="str">
        <x:v>102</x:v>
      </x:c>
      <x:c r="B5" s="1" t="str">
        <x:v>Tenant B LLC</x:v>
      </x:c>
      <x:c r="C5" s="1" t="n">
        <x:v>22000</x:v>
      </x:c>
      <x:c r="D5" s="1" t="str">
        <x:v>Occupied</x:v>
      </x:c>
      <x:c r="E5" s="1" t="n">
        <x:v>18700</x:v>
      </x:c>
      <x:c r="F5" s="1" t="n">
        <x:v>18700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" t="n">
        <x:v>30000</x:v>
      </x:c>
      <x:c r="D6" s="1" t="str">
        <x:v>Occupied</x:v>
      </x:c>
      <x:c r="E6" s="1" t="n">
        <x:v>27000</x:v>
      </x:c>
      <x:c r="F6" s="1" t="n">
        <x:v>27000</x:v>
      </x:c>
      <x:c r="G6" s="1" t="str">
        <x:v>2029-08-31</x:v>
      </x:c>
    </x:row>
    <x:row r="7" ht="22" customHeight="1">
      <x:c r="A7" s="1" t="str">
        <x:v>104</x:v>
      </x:c>
      <x:c r="B7" s="1" t="str">
        <x:v>Vacant</x:v>
      </x:c>
      <x:c r="C7" s="1" t="n">
        <x:v>15000</x:v>
      </x:c>
      <x:c r="D7" s="1" t="str">
        <x:v>Vacant</x:v>
      </x:c>
      <x:c r="E7" s="1" t="n">
        <x:v>0</x:v>
      </x:c>
      <x:c r="F7" s="1" t="n">
        <x:v>12500</x:v>
      </x:c>
      <x:c r="G7" s="1" t="str"/>
    </x:row>
    <x:row r="9" ht="22" customHeight="1">
      <x:c r="A9" s="4" t="str">
        <x:v>Total space count</x:v>
      </x:c>
      <x:c r="B9" s="9" t="n">
        <x:f>COUNTA(A4:A7)</x:f>
        <x:v>4</x:v>
      </x:c>
    </x:row>
    <x:row r="10" ht="22" customHeight="1">
      <x:c r="A10" s="4" t="str">
        <x:v>Occupied count</x:v>
      </x:c>
      <x:c r="B10" s="9" t="n">
        <x:f>COUNTIF(D4:D7,"Occupied")</x:f>
        <x:v>3</x:v>
      </x:c>
    </x:row>
    <x:row r="11" ht="22" customHeight="1">
      <x:c r="A11" s="4" t="str">
        <x:v>Total rentable SF</x:v>
      </x:c>
      <x:c r="B11" s="9" t="n">
        <x:f>SUM(C4:C7)</x:f>
        <x:v>85000</x:v>
      </x:c>
    </x:row>
    <x:row r="12" ht="22" customHeight="1">
      <x:c r="A12" s="4" t="str">
        <x:v>Occupied rentable SF</x:v>
      </x:c>
      <x:c r="B12" s="9" t="n">
        <x:f>SUMIF(D4:D7,"Occupied",C4:C7)</x:f>
        <x:v>70000</x:v>
      </x:c>
    </x:row>
    <x:row r="13" ht="22" customHeight="1">
      <x:c r="A13" s="4" t="str">
        <x:v>Physical occupancy by count %</x:v>
      </x:c>
      <x:c r="B13" s="12" t="n">
        <x:f>IF(B9=0,NA(),B10/B9)</x:f>
        <x:v>0.75</x:v>
      </x:c>
    </x:row>
    <x:row r="14" ht="22" customHeight="1">
      <x:c r="A14" s="4" t="str">
        <x:v>Occupancy by area %</x:v>
      </x:c>
      <x:c r="B14" s="12" t="n">
        <x:f>IF(B11=0,NA(),B12/B11)</x:f>
        <x:v>0.8235294117647058</x:v>
      </x:c>
    </x:row>
    <x:row r="15" ht="22" customHeight="1">
      <x:c r="A15" s="4" t="str">
        <x:v>Monthly base rent (printed)</x:v>
      </x:c>
      <x:c r="B15" s="15" t="n">
        <x:f>SUM(E4:E7)</x:f>
        <x:v>60700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</x:cols>
  <x:sheetData>
    <x:row r="1" ht="27" customHeight="1">
      <x:c r="A1" s="2" t="str">
        <x:v>Stonebridge Logistics | Historical T12 (Sep-2025 to Aug-2026)</x:v>
      </x:c>
    </x:row>
    <x:row r="3" ht="22" customHeight="1">
      <x:c r="A3" s="4" t="str">
        <x:v>Gross potential base rent</x:v>
      </x:c>
      <x:c r="B3" s="15" t="n">
        <x:v>852000</x:v>
      </x:c>
    </x:row>
    <x:row r="4" ht="22" customHeight="1">
      <x:c r="A4" s="4" t="str">
        <x:v>Vacancy loss</x:v>
      </x:c>
      <x:c r="B4" s="18" t="n">
        <x:v>-150000</x:v>
      </x:c>
    </x:row>
    <x:row r="5" ht="22" customHeight="1">
      <x:c r="A5" s="4" t="str">
        <x:v>Concessions</x:v>
      </x:c>
      <x:c r="B5" s="18" t="n">
        <x:v>-36000</x:v>
      </x:c>
    </x:row>
    <x:row r="6" ht="22" customHeight="1">
      <x:c r="A6" s="4" t="str">
        <x:v>Bad debt</x:v>
      </x:c>
      <x:c r="B6" s="18" t="n">
        <x:v>-6000</x:v>
      </x:c>
    </x:row>
    <x:row r="7" ht="22" customHeight="1">
      <x:c r="A7" s="4" t="str">
        <x:v>Other income / recoveries</x:v>
      </x:c>
      <x:c r="B7" s="15" t="n">
        <x:v>186000</x:v>
      </x:c>
    </x:row>
    <x:row r="8" ht="22" customHeight="1">
      <x:c r="A8" s="4" t="str">
        <x:v>Effective gross income (EGI)</x:v>
      </x:c>
      <x:c r="B8" s="15" t="n">
        <x:f>B3+B4+B5+B6+B7</x:f>
        <x:v>846000</x:v>
      </x:c>
    </x:row>
    <x:row r="10" ht="22" customHeight="1">
      <x:c r="A10" s="4" t="str">
        <x:v>Real estate taxes</x:v>
      </x:c>
      <x:c r="B10" s="15" t="n">
        <x:v>126000</x:v>
      </x:c>
    </x:row>
    <x:row r="11" ht="22" customHeight="1">
      <x:c r="A11" s="4" t="str">
        <x:v>Property insurance</x:v>
      </x:c>
      <x:c r="B11" s="15" t="n">
        <x:v>30000</x:v>
      </x:c>
    </x:row>
    <x:row r="12" ht="22" customHeight="1">
      <x:c r="A12" s="4" t="str">
        <x:v>Utilities</x:v>
      </x:c>
      <x:c r="B12" s="15" t="n">
        <x:v>12000</x:v>
      </x:c>
    </x:row>
    <x:row r="13" ht="22" customHeight="1">
      <x:c r="A13" s="4" t="str">
        <x:v>Repairs and maintenance</x:v>
      </x:c>
      <x:c r="B13" s="15" t="n">
        <x:v>24000</x:v>
      </x:c>
    </x:row>
    <x:row r="14" ht="22" customHeight="1">
      <x:c r="A14" s="4" t="str">
        <x:v>Payroll / contract labor</x:v>
      </x:c>
      <x:c r="B14" s="15" t="n">
        <x:v>18000</x:v>
      </x:c>
    </x:row>
    <x:row r="15" ht="22" customHeight="1">
      <x:c r="A15" s="4" t="str">
        <x:v>Administrative / legal</x:v>
      </x:c>
      <x:c r="B15" s="15" t="n">
        <x:v>18000</x:v>
      </x:c>
    </x:row>
    <x:row r="16" ht="22" customHeight="1">
      <x:c r="A16" s="4" t="str">
        <x:v>Management fee</x:v>
      </x:c>
      <x:c r="B16" s="15" t="n">
        <x:v>25200</x:v>
      </x:c>
    </x:row>
    <x:row r="17" ht="22" customHeight="1">
      <x:c r="A17" s="4" t="str">
        <x:v>Operating expenses before reserves</x:v>
      </x:c>
      <x:c r="B17" s="15" t="n">
        <x:f>SUM(B10:B16)</x:f>
        <x:v>253200</x:v>
      </x:c>
    </x:row>
    <x:row r="19" ht="22" customHeight="1">
      <x:c r="A19" s="4" t="str">
        <x:v>NOI before reserves</x:v>
      </x:c>
      <x:c r="B19" s="15" t="n">
        <x:f>B8-B17</x:f>
        <x:v>592800</x:v>
      </x:c>
    </x:row>
    <x:row r="21" ht="22" customHeight="1">
      <x:c r="A21" s="4" t="str">
        <x:v>Replacement reserves</x:v>
      </x:c>
      <x:c r="B21" s="15" t="n">
        <x:v>17000</x:v>
      </x:c>
    </x:row>
    <x:row r="22" ht="22" customHeight="1">
      <x:c r="A22" s="4" t="str">
        <x:v>NCF after reserves</x:v>
      </x:c>
      <x:c r="B22" s="15" t="n">
        <x:f>B19-B21</x:f>
        <x:v>575800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</x:cols>
  <x:sheetData>
    <x:row r="1" ht="27" customHeight="1">
      <x:c r="A1" s="2" t="str">
        <x:v>Stonebridge Logistics | Underwriting (annual)</x:v>
      </x:c>
    </x:row>
    <x:row r="2" ht="22" customHeight="1">
      <x:c r="A2" s="4" t="str">
        <x:v>Underwritten GP base rent</x:v>
      </x:c>
      <x:c r="B2" s="20" t="n">
        <x:f>'Inputs'!B6</x:f>
        <x:v>900000</x:v>
      </x:c>
    </x:row>
    <x:row r="3" ht="22" customHeight="1">
      <x:c r="A3" s="4" t="str">
        <x:v>Combined revenue loss %</x:v>
      </x:c>
      <x:c r="B3" s="21" t="n">
        <x:f>'Inputs'!B7</x:f>
        <x:v>0.08</x:v>
      </x:c>
    </x:row>
    <x:row r="4" ht="22" customHeight="1">
      <x:c r="A4" s="4" t="str">
        <x:v>Other income / recoveries</x:v>
      </x:c>
      <x:c r="B4" s="20" t="n">
        <x:f>'Inputs'!B8</x:f>
        <x:v>195000</x:v>
      </x:c>
    </x:row>
    <x:row r="6" ht="22" customHeight="1">
      <x:c r="A6" s="4" t="str">
        <x:v>Effective gross income (EGI)</x:v>
      </x:c>
      <x:c r="B6" s="15" t="n">
        <x:f>B2*(1-B3)+B4</x:f>
        <x:v>1023000</x:v>
      </x:c>
    </x:row>
    <x:row r="8" ht="22" customHeight="1">
      <x:c r="A8" s="4" t="str">
        <x:v>Mgmt fee minimum % of EGI</x:v>
      </x:c>
      <x:c r="B8" s="21" t="n">
        <x:f>'Inputs'!B9</x:f>
        <x:v>0.03</x:v>
      </x:c>
    </x:row>
    <x:row r="9" ht="22" customHeight="1">
      <x:c r="A9" s="4" t="str">
        <x:v>T12 management fee (actual)</x:v>
      </x:c>
      <x:c r="B9" s="20" t="n">
        <x:f>'Inputs'!B10</x:f>
        <x:v>25200</x:v>
      </x:c>
    </x:row>
    <x:row r="10" ht="22" customHeight="1">
      <x:c r="A10" s="4" t="str">
        <x:v>Underwritten management fee</x:v>
      </x:c>
      <x:c r="B10" s="15" t="n">
        <x:f>MAX(B9,B8*B6)</x:f>
        <x:v>30690</x:v>
      </x:c>
    </x:row>
    <x:row r="12" ht="22" customHeight="1">
      <x:c r="A12" s="4" t="str">
        <x:v>Real estate taxes</x:v>
      </x:c>
      <x:c r="B12" s="20" t="n">
        <x:f>'Inputs'!B11</x:f>
        <x:v>132000</x:v>
      </x:c>
    </x:row>
    <x:row r="13" ht="22" customHeight="1">
      <x:c r="A13" s="4" t="str">
        <x:v>Insurance (renewal)</x:v>
      </x:c>
      <x:c r="B13" s="20" t="n">
        <x:f>'Inputs'!B12</x:f>
        <x:v>33600</x:v>
      </x:c>
    </x:row>
    <x:row r="14" ht="22" customHeight="1">
      <x:c r="A14" s="4" t="str">
        <x:v>Utilities</x:v>
      </x:c>
      <x:c r="B14" s="20" t="n">
        <x:f>'Inputs'!B13</x:f>
        <x:v>12000</x:v>
      </x:c>
    </x:row>
    <x:row r="15" ht="22" customHeight="1">
      <x:c r="A15" s="4" t="str">
        <x:v>Repairs &amp; maintenance</x:v>
      </x:c>
      <x:c r="B15" s="20" t="n">
        <x:f>'Inputs'!B14</x:f>
        <x:v>18000</x:v>
      </x:c>
    </x:row>
    <x:row r="16" ht="22" customHeight="1">
      <x:c r="A16" s="4" t="str">
        <x:v>Payroll / contract labor</x:v>
      </x:c>
      <x:c r="B16" s="20" t="n">
        <x:f>'Inputs'!B15</x:f>
        <x:v>18000</x:v>
      </x:c>
    </x:row>
    <x:row r="17" ht="22" customHeight="1">
      <x:c r="A17" s="4" t="str">
        <x:v>Administrative / legal</x:v>
      </x:c>
      <x:c r="B17" s="20" t="n">
        <x:f>'Inputs'!B16</x:f>
        <x:v>18000</x:v>
      </x:c>
    </x:row>
    <x:row r="18" ht="22" customHeight="1">
      <x:c r="A18" s="4" t="str">
        <x:v>Operating expenses before reserves</x:v>
      </x:c>
      <x:c r="B18" s="15" t="n">
        <x:f>SUM(B10,B12:B17)</x:f>
        <x:v>262290</x:v>
      </x:c>
    </x:row>
    <x:row r="20" ht="22" customHeight="1">
      <x:c r="A20" s="4" t="str">
        <x:v>NOI before reserves</x:v>
      </x:c>
      <x:c r="B20" s="15" t="n">
        <x:f>B6-B18</x:f>
        <x:v>760710</x:v>
      </x:c>
    </x:row>
    <x:row r="22" ht="22" customHeight="1">
      <x:c r="A22" s="4" t="str">
        <x:v>Rentable SF</x:v>
      </x:c>
      <x:c r="B22" s="22" t="n">
        <x:f>'Inputs'!B5</x:f>
        <x:v>85000</x:v>
      </x:c>
    </x:row>
    <x:row r="23" ht="22" customHeight="1">
      <x:c r="A23" s="4" t="str">
        <x:v>Reserves $/SF</x:v>
      </x:c>
      <x:c r="B23" s="23" t="n">
        <x:f>'Inputs'!B17</x:f>
        <x:v>0.2</x:v>
      </x:c>
    </x:row>
    <x:row r="24" ht="22" customHeight="1">
      <x:c r="A24" s="4" t="str">
        <x:v>Replacement reserves</x:v>
      </x:c>
      <x:c r="B24" s="15" t="n">
        <x:f>B22*B23</x:f>
        <x:v>17000</x:v>
      </x:c>
    </x:row>
    <x:row r="26" ht="22" customHeight="1">
      <x:c r="A26" s="4" t="str">
        <x:v>NCF after reserves</x:v>
      </x:c>
      <x:c r="B26" s="15" t="n">
        <x:f>B20-B24</x:f>
        <x:v>743710</x:v>
      </x:c>
    </x:row>
    <x:row r="28" ht="22" customHeight="1">
      <x:c r="A28" s="4" t="str">
        <x:v>Cap rate</x:v>
      </x:c>
      <x:c r="B28" s="21" t="n">
        <x:f>'Inputs'!B2</x:f>
        <x:v>0.0675</x:v>
      </x:c>
    </x:row>
    <x:row r="29" ht="22" customHeight="1">
      <x:c r="A29" s="4" t="str">
        <x:v>Capitalization value</x:v>
      </x:c>
      <x:c r="B29" s="15" t="n">
        <x:f>B20/B28</x:f>
        <x:v>11269777.777777776</x:v>
      </x:c>
    </x:row>
    <x:row r="30" ht="22" customHeight="1">
      <x:c r="A30" s="4" t="str">
        <x:v>Cap rate +50 bps</x:v>
      </x:c>
      <x:c r="B30" s="21" t="n">
        <x:f>'Inputs'!B22</x:f>
        <x:v>0.07250000000000001</x:v>
      </x:c>
    </x:row>
    <x:row r="31" ht="22" customHeight="1">
      <x:c r="A31" s="4" t="str">
        <x:v>Value at cap+50 bps</x:v>
      </x:c>
      <x:c r="B31" s="15" t="n">
        <x:f>B20/B30</x:f>
        <x:v>10492551.72413793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64" hidden="0" customWidth="1"/>
  </x:cols>
  <x:sheetData>
    <x:row r="1" ht="27" customHeight="1">
      <x:c r="A1" s="2" t="str">
        <x:v>Stonebridge Logistics | Loan sizing and proceeds</x:v>
      </x:c>
    </x:row>
    <x:row r="2" ht="48" customHeight="1">
      <x:c r="A2" s="4" t="str">
        <x:v>Sizing rate</x:v>
      </x:c>
      <x:c r="B2" s="21" t="n">
        <x:f>'Inputs'!B3</x:f>
        <x:v>0.08249999999999999</x:v>
      </x:c>
      <x:c r="D2" s="7" t="str">
        <x:v>Inputs: Sizing rate and cap rate on Inputs tab; EGI controlled by GP rent and Other income. Management fee uses greater of T12 or % of EGI.</x:v>
      </x:c>
    </x:row>
    <x:row r="3" ht="22" customHeight="1">
      <x:c r="A3" s="4" t="str">
        <x:v>Amortization (years)</x:v>
      </x:c>
      <x:c r="B3" s="19" t="n">
        <x:f>'Inputs'!B26</x:f>
        <x:v>25</x:v>
      </x:c>
    </x:row>
    <x:row r="4" ht="22" customHeight="1">
      <x:c r="A4" s="4" t="str">
        <x:v>Annual debt constant (at sizing rate)</x:v>
      </x:c>
      <x:c r="B4" s="26" t="n">
        <x:f>ABS(12*PMT(B2/12,B3*12,1))</x:f>
        <x:v>0.09461401616234252</x:v>
      </x:c>
    </x:row>
    <x:row r="6" ht="22" customHeight="1">
      <x:c r="A6" s="4" t="str">
        <x:v>DSCR minimum</x:v>
      </x:c>
      <x:c r="B6" s="19" t="n">
        <x:f>'Inputs'!B24</x:f>
        <x:v>1.3</x:v>
      </x:c>
    </x:row>
    <x:row r="7" ht="22" customHeight="1">
      <x:c r="A7" s="4" t="str">
        <x:v>Debt yield minimum</x:v>
      </x:c>
      <x:c r="B7" s="21" t="n">
        <x:f>'Inputs'!B23</x:f>
        <x:v>0.1</x:v>
      </x:c>
    </x:row>
    <x:row r="8" ht="22" customHeight="1">
      <x:c r="A8" s="4" t="str">
        <x:v>LTV maximum</x:v>
      </x:c>
      <x:c r="B8" s="21" t="n">
        <x:f>'Inputs'!B25</x:f>
        <x:v>0.6</x:v>
      </x:c>
    </x:row>
    <x:row r="10" ht="22" customHeight="1">
      <x:c r="A10" s="4" t="str">
        <x:v>LTV limit</x:v>
      </x:c>
      <x:c r="B10" s="15" t="n">
        <x:f>B8*'Underwriting'!B29</x:f>
        <x:v>6761866.666666665</x:v>
      </x:c>
    </x:row>
    <x:row r="11" ht="22" customHeight="1">
      <x:c r="A11" s="4" t="str">
        <x:v>DSCR limit</x:v>
      </x:c>
      <x:c r="B11" s="15" t="n">
        <x:f>'Underwriting'!B26/(B6*B4)</x:f>
        <x:v>6046510.216869027</x:v>
      </x:c>
    </x:row>
    <x:row r="12" ht="22" customHeight="1">
      <x:c r="A12" s="4" t="str">
        <x:v>Debt yield limit</x:v>
      </x:c>
      <x:c r="B12" s="15" t="n">
        <x:f>'Underwriting'!B26/B7</x:f>
        <x:v>7437100</x:v>
      </x:c>
    </x:row>
    <x:row r="14" ht="22" customHeight="1">
      <x:c r="A14" s="4" t="str">
        <x:v>Maximum loan</x:v>
      </x:c>
      <x:c r="B14" s="15" t="n">
        <x:f>MIN(B10,B11,B12)</x:f>
        <x:v>6046510.216869027</x:v>
      </x:c>
    </x:row>
    <x:row r="15" ht="22" customHeight="1">
      <x:c r="A15" s="4" t="str">
        <x:v>Binding constraint</x:v>
      </x:c>
      <x:c r="B15" s="9" t="str">
        <x:f>IF(B14=B11,"DSCR",IF(B14=B10,"LTV","Debt yield"))</x:f>
        <x:v>DSCR</x:v>
      </x:c>
    </x:row>
    <x:row r="17" ht="22" customHeight="1">
      <x:c r="A17" s="4" t="str">
        <x:v>Sizing annual debt service</x:v>
      </x:c>
      <x:c r="B17" s="15" t="n">
        <x:f>B14*B4</x:f>
        <x:v>572084.6153846154</x:v>
      </x:c>
    </x:row>
    <x:row r="18" ht="22" customHeight="1">
      <x:c r="A18" s="4" t="str">
        <x:v>Sizing DSCR</x:v>
      </x:c>
      <x:c r="B18" s="29" t="n">
        <x:f>'Underwriting'!B26/B17</x:f>
        <x:v>1.3</x:v>
      </x:c>
    </x:row>
    <x:row r="19" ht="22" customHeight="1">
      <x:c r="A19" s="4" t="str">
        <x:v>Sizing debt yield</x:v>
      </x:c>
      <x:c r="B19" s="26" t="n">
        <x:f>'Underwriting'!B26/B14</x:f>
        <x:v>0.1229982210110453</x:v>
      </x:c>
    </x:row>
    <x:row r="21" ht="22" customHeight="1">
      <x:c r="A21" s="4" t="str">
        <x:v>Contract rate (IO year)</x:v>
      </x:c>
      <x:c r="B21" s="21" t="n">
        <x:f>'Inputs'!B4</x:f>
        <x:v>0.0675</x:v>
      </x:c>
    </x:row>
    <x:row r="22" ht="22" customHeight="1">
      <x:c r="A22" s="4" t="str">
        <x:v>First-year debt service (IO)</x:v>
      </x:c>
      <x:c r="B22" s="15" t="n">
        <x:f>B14*B21</x:f>
        <x:v>408139.43963865936</x:v>
      </x:c>
    </x:row>
    <x:row r="24" ht="22" customHeight="1">
      <x:c r="A24" s="4" t="str">
        <x:v>Existing debt payoff</x:v>
      </x:c>
      <x:c r="B24" s="20" t="n">
        <x:f>'Inputs'!B19</x:f>
        <x:v>4200000</x:v>
      </x:c>
    </x:row>
    <x:row r="25" ht="22" customHeight="1">
      <x:c r="A25" s="4" t="str">
        <x:v>Fixed closing costs</x:v>
      </x:c>
      <x:c r="B25" s="20" t="n">
        <x:f>'Inputs'!B20</x:f>
        <x:v>70000</x:v>
      </x:c>
    </x:row>
    <x:row r="26" ht="22" customHeight="1">
      <x:c r="A26" s="4" t="str">
        <x:v>Origination fee rate</x:v>
      </x:c>
      <x:c r="B26" s="21" t="n">
        <x:f>'Inputs'!B21</x:f>
        <x:v>0.0125</x:v>
      </x:c>
    </x:row>
    <x:row r="27" ht="22" customHeight="1">
      <x:c r="A27" s="4" t="str">
        <x:v>Origination fee $</x:v>
      </x:c>
      <x:c r="B27" s="15" t="n">
        <x:f>B26*B14</x:f>
        <x:v>75581.37771086284</x:v>
      </x:c>
    </x:row>
    <x:row r="28" ht="22" customHeight="1">
      <x:c r="A28" s="4" t="str">
        <x:v>Net cash to borrower (cash-out if +)</x:v>
      </x:c>
      <x:c r="B28" s="15" t="n">
        <x:f>B14-B24-B25-B27</x:f>
        <x:v>1700928.8391581646</x:v>
      </x:c>
    </x:row>
    <x:row r="30" ht="22" customHeight="1">
      <x:c r="A30" s="4" t="str">
        <x:v>Stress: EGI (-5%)</x:v>
      </x:c>
      <x:c r="B30" s="15" t="n">
        <x:f>'Underwriting'!B6*0.95</x:f>
        <x:v>971850</x:v>
      </x:c>
    </x:row>
    <x:row r="31" ht="22" customHeight="1">
      <x:c r="A31" s="4" t="str">
        <x:v>Stress: management fee</x:v>
      </x:c>
      <x:c r="B31" s="15" t="n">
        <x:f>MAX('Inputs'!B10,'Inputs'!B9*B30)</x:f>
        <x:v>29155.5</x:v>
      </x:c>
    </x:row>
    <x:row r="32" ht="22" customHeight="1">
      <x:c r="A32" s="4" t="str">
        <x:v>Stress: other op ex before mgmt</x:v>
      </x:c>
      <x:c r="B32" s="15" t="n">
        <x:f>'Underwriting'!B18-'Underwriting'!B10</x:f>
        <x:v>231600</x:v>
      </x:c>
    </x:row>
    <x:row r="33" ht="22" customHeight="1">
      <x:c r="A33" s="4" t="str">
        <x:v>Stress: NOI before reserves</x:v>
      </x:c>
      <x:c r="B33" s="15" t="n">
        <x:f>B30-(B31+B32)</x:f>
        <x:v>711094.5</x:v>
      </x:c>
    </x:row>
    <x:row r="34" ht="22" customHeight="1">
      <x:c r="A34" s="4" t="str">
        <x:v>Stress: NCF after reserves</x:v>
      </x:c>
      <x:c r="B34" s="15" t="n">
        <x:f>B33-'Underwriting'!B24</x:f>
        <x:v>694094.5</x:v>
      </x:c>
    </x:row>
    <x:row r="35" ht="22" customHeight="1">
      <x:c r="A35" s="4" t="str">
        <x:v>Stress: sizing rate (+100 bps)</x:v>
      </x:c>
      <x:c r="B35" s="12" t="n">
        <x:f>B2+0.01</x:f>
        <x:v>0.09249999999999999</x:v>
      </x:c>
    </x:row>
    <x:row r="36" ht="22" customHeight="1">
      <x:c r="A36" s="4" t="str">
        <x:v>Stress: annual debt constant</x:v>
      </x:c>
      <x:c r="B36" s="26" t="n">
        <x:f>ABS(12*PMT(B35/12,B3*12,1))</x:f>
        <x:v>0.1027658211289145</x:v>
      </x:c>
    </x:row>
    <x:row r="37" ht="22" customHeight="1">
      <x:c r="A37" s="4" t="str">
        <x:v>Stress: LTV limit</x:v>
      </x:c>
      <x:c r="B37" s="15" t="n">
        <x:f>B8*(B33/'Underwriting'!B28)</x:f>
        <x:v>6320839.999999999</x:v>
      </x:c>
    </x:row>
    <x:row r="38" ht="22" customHeight="1">
      <x:c r="A38" s="4" t="str">
        <x:v>Stress: DSCR limit</x:v>
      </x:c>
      <x:c r="B38" s="15" t="n">
        <x:f>B34/(B6*B36)</x:f>
        <x:v>5195490.487874096</x:v>
      </x:c>
    </x:row>
    <x:row r="39" ht="22" customHeight="1">
      <x:c r="A39" s="4" t="str">
        <x:v>Stress: Debt yield limit</x:v>
      </x:c>
      <x:c r="B39" s="15" t="n">
        <x:f>B34/B7</x:f>
        <x:v>6940945</x:v>
      </x:c>
    </x:row>
    <x:row r="40" ht="22" customHeight="1">
      <x:c r="A40" s="4" t="str">
        <x:v>Stress: maximum loan</x:v>
      </x:c>
      <x:c r="B40" s="15" t="n">
        <x:f>MIN(B37,B38,B39)</x:f>
        <x:v>5195490.487874096</x:v>
      </x:c>
    </x:row>
  </x:sheetData>
  <x:pageMargins left="0.7" right="0.7" top="0.75" bottom="0.75" header="0.3" footer="0.3"/>
</x:worksheet>
</file>