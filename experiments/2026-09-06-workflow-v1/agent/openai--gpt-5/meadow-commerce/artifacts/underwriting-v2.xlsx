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16d5a7a29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 &amp; Outputs" sheetId="1" r:id="R63459c5e27bb4369"/>
    <x:sheet xmlns:r="http://schemas.openxmlformats.org/officeDocument/2006/relationships" name="T12" sheetId="2" r:id="Rd30c8a6962af4cce"/>
    <x:sheet xmlns:r="http://schemas.openxmlformats.org/officeDocument/2006/relationships" name="Rent Roll" sheetId="3" r:id="R4ec02aac45c04c9f"/>
    <x:sheet xmlns:r="http://schemas.openxmlformats.org/officeDocument/2006/relationships" name="Sizing Sources Uses" sheetId="4" r:id="R900eea2e4363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858cf2f0f444a" /><Relationship Type="http://schemas.openxmlformats.org/officeDocument/2006/relationships/theme" Target="/xl/theme/theme1.xml" Id="Rb40e2687edba476d" /><Relationship Type="http://schemas.openxmlformats.org/officeDocument/2006/relationships/sharedStrings" Target="/xl/sharedStrings.xml" Id="Ra3f7aa9b8333429c" /><Relationship Type="http://schemas.openxmlformats.org/officeDocument/2006/relationships/worksheet" Target="/xl/worksheets/sheet1.xml" Id="R63459c5e27bb4369" /><Relationship Type="http://schemas.openxmlformats.org/officeDocument/2006/relationships/worksheet" Target="/xl/worksheets/sheet2.xml" Id="Rd30c8a6962af4cce" /><Relationship Type="http://schemas.openxmlformats.org/officeDocument/2006/relationships/worksheet" Target="/xl/worksheets/sheet3.xml" Id="R4ec02aac45c04c9f" /><Relationship Type="http://schemas.openxmlformats.org/officeDocument/2006/relationships/worksheet" Target="/xl/worksheets/sheet4.xml" Id="R900eea2e43634e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0" hidden="0" customWidth="1"/>
    <x:col min="4" max="4" width="44" hidden="0" customWidth="1"/>
    <x:col min="5" max="5" width="22" hidden="0" customWidth="1"/>
    <x:col min="7" max="7" width="32" hidden="0" customWidth="1"/>
    <x:col min="8" max="8" width="22" hidden="0" customWidth="1"/>
  </x:cols>
  <x:sheetData>
    <x:row r="1" ht="25" customHeight="1">
      <x:c r="A1" s="2" t="str">
        <x:v>Inputs (edit yellow cells)</x:v>
      </x:c>
      <x:c r="D1" s="5" t="str">
        <x:v>Sensitivity inputs</x:v>
      </x:c>
      <x:c r="G1" s="5" t="str">
        <x:v>Cap rate +50 bps sensitivity</x:v>
      </x:c>
    </x:row>
    <x:row r="3" ht="22" customHeight="1">
      <x:c r="A3" s="1" t="str">
        <x:v>Cap rate</x:v>
      </x:c>
      <x:c r="B3" s="3" t="n">
        <x:v>0.065</x:v>
      </x:c>
      <x:c r="D3" s="1" t="str">
        <x:v>EGI downside -5% (auto)</x:v>
      </x:c>
      <x:c r="E3" s="7" t="n">
        <x:f>B24*0.95</x:f>
        <x:v>850554</x:v>
      </x:c>
      <x:c r="G3" s="1" t="str">
        <x:v>Cap rate +50 bps</x:v>
      </x:c>
      <x:c r="H3" s="7" t="n">
        <x:f>B3+0.005</x:f>
        <x:v>0.07</x:v>
      </x:c>
    </x:row>
    <x:row r="4" ht="22" customHeight="1">
      <x:c r="A4" s="1" t="str">
        <x:v>Sizing rate (annual)</x:v>
      </x:c>
      <x:c r="B4" s="3" t="n">
        <x:v>0.065</x:v>
      </x:c>
      <x:c r="D4" s="1" t="str">
        <x:v>Sizing rate downside +100 bps</x:v>
      </x:c>
      <x:c r="E4" s="7" t="n">
        <x:f>B4+0.01</x:f>
        <x:v>0.075</x:v>
      </x:c>
      <x:c r="G4" s="1" t="str">
        <x:v>Value at cap +50 bps</x:v>
      </x:c>
      <x:c r="H4" s="7" t="n">
        <x:f>B27/H3</x:f>
        <x:v>9526577.142857142</x:v>
      </x:c>
    </x:row>
    <x:row r="5" ht="22" customHeight="1">
      <x:c r="A5" s="1" t="str">
        <x:v>EGI (underwritten)</x:v>
      </x:c>
      <x:c r="B5" s="3" t="n">
        <x:v>895320</x:v>
      </x:c>
    </x:row>
    <x:row r="6" ht="22" customHeight="1">
      <x:c r="A6" s="1" t="str">
        <x:v>Other income (underwritten)</x:v>
      </x:c>
      <x:c r="B6" s="3" t="n">
        <x:v>162000</x:v>
      </x:c>
      <x:c r="D6" s="1" t="str">
        <x:v>Mgmt fee under downside (max of T12 and 3%)</x:v>
      </x:c>
      <x:c r="E6" s="7" t="n">
        <x:f>MAX(B10, 0.03*E3)</x:f>
        <x:v>26400</x:v>
      </x:c>
    </x:row>
    <x:row r="7" ht="22" customHeight="1">
      <x:c r="A7" s="1" t="str">
        <x:v>GPR (underwritten)</x:v>
      </x:c>
      <x:c r="B7" s="3" t="n">
        <x:v>756000</x:v>
      </x:c>
      <x:c r="D7" s="1" t="str">
        <x:v>Other opex base (excl mgmt)</x:v>
      </x:c>
      <x:c r="E7" s="7" t="n">
        <x:f>B13+B14+B15+B16+B17+B18</x:f>
        <x:v>201600</x:v>
      </x:c>
    </x:row>
    <x:row r="8" ht="22" customHeight="1">
      <x:c r="A8" s="1" t="str">
        <x:v>Revenue loss % of GPR</x:v>
      </x:c>
      <x:c r="B8" s="3" t="n">
        <x:v>0.03</x:v>
      </x:c>
      <x:c r="D8" s="1" t="str">
        <x:v>Total opex under downside</x:v>
      </x:c>
      <x:c r="E8" s="7" t="n">
        <x:f>E7+E6</x:f>
        <x:v>228000</x:v>
      </x:c>
    </x:row>
    <x:row r="9" ht="22" customHeight="1">
      <x:c r="A9" s="1" t="str">
        <x:v>Mgmt fee min % of EGI</x:v>
      </x:c>
      <x:c r="B9" s="3" t="n">
        <x:v>0.03</x:v>
      </x:c>
      <x:c r="D9" s="1" t="str">
        <x:v>NOI before reserves under downside</x:v>
      </x:c>
      <x:c r="E9" s="7" t="n">
        <x:f>E3-E8</x:f>
        <x:v>622554</x:v>
      </x:c>
    </x:row>
    <x:row r="10" ht="22" customHeight="1">
      <x:c r="A10" s="1" t="str">
        <x:v>Mgmt fee T12 actual $</x:v>
      </x:c>
      <x:c r="B10" s="3" t="n">
        <x:v>26400</x:v>
      </x:c>
      <x:c r="D10" s="1" t="str">
        <x:v>NCF under downside</x:v>
      </x:c>
      <x:c r="E10" s="7" t="n">
        <x:f>E9-B28</x:f>
        <x:v>608154</x:v>
      </x:c>
    </x:row>
    <x:row r="11" ht="22" customHeight="1">
      <x:c r="A11" s="1" t="str">
        <x:v>Reserves $/SF/yr</x:v>
      </x:c>
      <x:c r="B11" s="3" t="n">
        <x:v>0.2</x:v>
      </x:c>
      <x:c r="D11" s="1" t="str">
        <x:v>Value under downside (cap unchanged)</x:v>
      </x:c>
      <x:c r="E11" s="7" t="n">
        <x:f>E9/B3</x:f>
        <x:v>9577753.846153846</x:v>
      </x:c>
    </x:row>
    <x:row r="12" ht="22" customHeight="1">
      <x:c r="A12" s="1" t="str">
        <x:v>Rentable SF</x:v>
      </x:c>
      <x:c r="B12" s="3" t="n">
        <x:v>72000</x:v>
      </x:c>
      <x:c r="D12" s="1" t="str">
        <x:v>LTV limit (downside)</x:v>
      </x:c>
      <x:c r="E12" s="7" t="n">
        <x:f>0.60*E11</x:f>
        <x:v>5746652.307692307</x:v>
      </x:c>
    </x:row>
    <x:row r="13" ht="22" customHeight="1">
      <x:c r="A13" s="1" t="str">
        <x:v>Taxes (UW)</x:v>
      </x:c>
      <x:c r="B13" s="3" t="n">
        <x:v>108000</x:v>
      </x:c>
      <x:c r="D13" s="1" t="str">
        <x:v>Annual constant at stressed sizing rate</x:v>
      </x:c>
      <x:c r="E13" s="7" t="n">
        <x:f>ABS(12*PMT(E4/12,360,1))</x:f>
        <x:v>0.0839057410263335</x:v>
      </x:c>
    </x:row>
    <x:row r="14" ht="22" customHeight="1">
      <x:c r="A14" s="1" t="str">
        <x:v>Insurance (UW provisional)</x:v>
      </x:c>
      <x:c r="B14" s="3" t="n">
        <x:v>36000</x:v>
      </x:c>
      <x:c r="D14" s="1" t="str">
        <x:v>DSCR limit (downside)</x:v>
      </x:c>
      <x:c r="E14" s="7" t="n">
        <x:f>(E10/1.30)/E13</x:f>
        <x:v>5575432.187458407</x:v>
      </x:c>
    </x:row>
    <x:row r="15" ht="22" customHeight="1">
      <x:c r="A15" s="1" t="str">
        <x:v>Utilities (UW)</x:v>
      </x:c>
      <x:c r="B15" s="3" t="n">
        <x:v>9600</x:v>
      </x:c>
      <x:c r="D15" s="1" t="str">
        <x:v>Debt yield limit (downside)</x:v>
      </x:c>
      <x:c r="E15" s="7" t="n">
        <x:f>E10/0.095</x:f>
        <x:v>6401621.052631578</x:v>
      </x:c>
    </x:row>
    <x:row r="16" ht="22" customHeight="1">
      <x:c r="A16" s="1" t="str">
        <x:v>Repairs &amp; Maint (UW)</x:v>
      </x:c>
      <x:c r="B16" s="3" t="n">
        <x:v>19200</x:v>
      </x:c>
      <x:c r="D16" s="1" t="str">
        <x:v>Maximum loan (downside)</x:v>
      </x:c>
      <x:c r="E16" s="7" t="n">
        <x:f>MIN(E12,E14,E15)</x:f>
        <x:v>5575432.187458407</x:v>
      </x:c>
    </x:row>
    <x:row r="17" ht="22" customHeight="1">
      <x:c r="A17" s="1" t="str">
        <x:v>Payroll / Contract (UW)</x:v>
      </x:c>
      <x:c r="B17" s="3" t="n">
        <x:v>12000</x:v>
      </x:c>
    </x:row>
    <x:row r="18" ht="22" customHeight="1">
      <x:c r="A18" s="1" t="str">
        <x:v>Admin / Legal (UW)</x:v>
      </x:c>
      <x:c r="B18" s="3" t="n">
        <x:v>16800</x:v>
      </x:c>
    </x:row>
    <x:row r="19" ht="22" customHeight="1">
      <x:c r="A19" s="1" t="str">
        <x:v>Existing payoff</x:v>
      </x:c>
      <x:c r="B19" s="3" t="n">
        <x:v>3600000</x:v>
      </x:c>
    </x:row>
    <x:row r="20" ht="22" customHeight="1">
      <x:c r="A20" s="1" t="str">
        <x:v>Fixed closing costs</x:v>
      </x:c>
      <x:c r="B20" s="3" t="n">
        <x:v>55000</x:v>
      </x:c>
    </x:row>
    <x:row r="21" ht="22" customHeight="1">
      <x:c r="A21" s="1" t="str">
        <x:v>Contract rate (annual)</x:v>
      </x:c>
      <x:c r="B21" s="3" t="n">
        <x:v>0.061</x:v>
      </x:c>
    </x:row>
    <x:row r="23" ht="25" customHeight="1">
      <x:c r="A23" s="5" t="str">
        <x:v>Outputs</x:v>
      </x:c>
    </x:row>
    <x:row r="24" ht="22" customHeight="1">
      <x:c r="A24" s="1" t="str">
        <x:v>UW EGI</x:v>
      </x:c>
      <x:c r="B24" s="7" t="n">
        <x:f>B7 - (B7*B8) + B6</x:f>
        <x:v>895320</x:v>
      </x:c>
    </x:row>
    <x:row r="25" ht="22" customHeight="1">
      <x:c r="A25" s="1" t="str">
        <x:v>Mgmt fee (UW)</x:v>
      </x:c>
      <x:c r="B25" s="7" t="n">
        <x:f>MAX(B10, B9*B24)</x:f>
        <x:v>26859.6</x:v>
      </x:c>
    </x:row>
    <x:row r="26" ht="22" customHeight="1">
      <x:c r="A26" s="1" t="str">
        <x:v>UW Operating Expenses before reserves</x:v>
      </x:c>
      <x:c r="B26" s="7" t="n">
        <x:f>B13+B14+B15+B16+B17+B18+B25</x:f>
        <x:v>228459.6</x:v>
      </x:c>
    </x:row>
    <x:row r="27" ht="22" customHeight="1">
      <x:c r="A27" s="1" t="str">
        <x:v>UW NOI before reserves</x:v>
      </x:c>
      <x:c r="B27" s="7" t="n">
        <x:f>B24-B26</x:f>
        <x:v>666860.4</x:v>
      </x:c>
    </x:row>
    <x:row r="28" ht="22" customHeight="1">
      <x:c r="A28" s="1" t="str">
        <x:v>UW Reserves</x:v>
      </x:c>
      <x:c r="B28" s="7" t="n">
        <x:f>B11*B12</x:f>
        <x:v>14400</x:v>
      </x:c>
    </x:row>
    <x:row r="29" ht="22" customHeight="1">
      <x:c r="A29" s="1" t="str">
        <x:v>UW NCF after reserves</x:v>
      </x:c>
      <x:c r="B29" s="7" t="n">
        <x:f>B27-B28</x:f>
        <x:v>652460.4</x:v>
      </x:c>
    </x:row>
    <x:row r="31" ht="22" customHeight="1">
      <x:c r="A31" s="1" t="str">
        <x:v>Capitalization value</x:v>
      </x:c>
      <x:c r="B31" s="7" t="n">
        <x:f>B27/B3</x:f>
        <x:v>10259390.76923077</x:v>
      </x:c>
    </x:row>
    <x:row r="32" ht="22" customHeight="1">
      <x:c r="A32" s="1" t="str">
        <x:v>LTV limit (60%)</x:v>
      </x:c>
      <x:c r="B32" s="7" t="n">
        <x:f>0.60*B31</x:f>
        <x:v>6155634.461538462</x:v>
      </x:c>
    </x:row>
    <x:row r="33" ht="22" customHeight="1">
      <x:c r="A33" s="1" t="str">
        <x:v>Annual debt constant at sizing rate</x:v>
      </x:c>
      <x:c r="B33" s="7" t="n">
        <x:f>12*PMT(B4/12,360,1)</x:f>
        <x:v>-0.07584816281915566</x:v>
      </x:c>
    </x:row>
    <x:row r="34" ht="22" customHeight="1">
      <x:c r="A34" s="1" t="str">
        <x:v>DSCR limit (1.30x)</x:v>
      </x:c>
      <x:c r="B34" s="7" t="n">
        <x:f>(B29/1.30)/ABS(B33)</x:f>
        <x:v>6617070.166633766</x:v>
      </x:c>
    </x:row>
    <x:row r="35" ht="22" customHeight="1">
      <x:c r="A35" s="1" t="str">
        <x:v>Debt yield limit (9.50%)</x:v>
      </x:c>
      <x:c r="B35" s="7" t="n">
        <x:f>B29/0.095</x:f>
        <x:v>6868004.2105263155</x:v>
      </x:c>
    </x:row>
    <x:row r="36" ht="22" customHeight="1">
      <x:c r="A36" s="1" t="str">
        <x:v>Maximum loan (min of 3)</x:v>
      </x:c>
      <x:c r="B36" s="7" t="n">
        <x:f>MIN(B32,B34,B35)</x:f>
        <x:v>6155634.461538462</x:v>
      </x:c>
    </x:row>
    <x:row r="37" ht="22" customHeight="1">
      <x:c r="A37" s="1" t="str">
        <x:v>Annual amortizing debt service at sizing rate</x:v>
      </x:c>
      <x:c r="B37" s="7" t="n">
        <x:f>B36*ABS(B33)</x:f>
        <x:v>466893.5648939748</x:v>
      </x:c>
    </x:row>
    <x:row r="38" ht="22" customHeight="1">
      <x:c r="A38" s="1" t="str">
        <x:v>Sizing DSCR (UW NCF / sizing debt svc)</x:v>
      </x:c>
      <x:c r="B38" s="7" t="n">
        <x:f>B29/B37</x:f>
        <x:v>1.3974499737390147</x:v>
      </x:c>
    </x:row>
    <x:row r="39" ht="22" customHeight="1">
      <x:c r="A39" s="1" t="str">
        <x:v>Sizing debt yield (UW NCF / loan)</x:v>
      </x:c>
      <x:c r="B39" s="7" t="n">
        <x:f>B29/B36</x:f>
        <x:v>0.10599401313978157</x:v>
      </x:c>
    </x:row>
    <x:row r="40" ht="22" customHeight="1">
      <x:c r="A40" s="1" t="str">
        <x:v>First-year contractual debt service (IO year 1)</x:v>
      </x:c>
      <x:c r="B40" s="7" t="n">
        <x:f>B21*B36</x:f>
        <x:v>375493.70215384616</x:v>
      </x:c>
    </x:row>
    <x:row r="41" ht="22" customHeight="1">
      <x:c r="A41" s="1" t="str">
        <x:v>Origination fee (1%)</x:v>
      </x:c>
      <x:c r="B41" s="7" t="n">
        <x:f>0.01*B36</x:f>
        <x:v>61556.34461538462</x:v>
      </x:c>
    </x:row>
    <x:row r="42" ht="22" customHeight="1">
      <x:c r="A42" s="1" t="str">
        <x:v>Cash to borrower (neg = cash in)</x:v>
      </x:c>
      <x:c r="B42" s="7" t="n">
        <x:f>B36-B19-B41-B20</x:f>
        <x:v>2439078.1169230775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Trailing 12-month actuals (Sep 2025 - Aug 2026)</x:v>
      </x:c>
    </x:row>
    <x:row r="3" ht="22" customHeight="1">
      <x:c r="A3" s="1" t="str">
        <x:v>Gross potential base rent</x:v>
      </x:c>
      <x:c r="B3" s="7" t="n">
        <x:v>744000</x:v>
      </x:c>
    </x:row>
    <x:row r="4" ht="22" customHeight="1">
      <x:c r="A4" s="1" t="str">
        <x:v>Concessions</x:v>
      </x:c>
      <x:c r="B4" s="7" t="n">
        <x:v>-18000</x:v>
      </x:c>
    </x:row>
    <x:row r="5" ht="22" customHeight="1">
      <x:c r="A5" s="1" t="str">
        <x:v>Bad debt</x:v>
      </x:c>
      <x:c r="B5" s="7" t="n">
        <x:v>-2400</x:v>
      </x:c>
    </x:row>
    <x:row r="6" ht="22" customHeight="1">
      <x:c r="A6" s="1" t="str">
        <x:v>Other income / recoveries</x:v>
      </x:c>
      <x:c r="B6" s="7" t="n">
        <x:v>158400</x:v>
      </x:c>
    </x:row>
    <x:row r="7" ht="22" customHeight="1">
      <x:c r="A7" s="1" t="str">
        <x:v>Effective gross income (EGI)</x:v>
      </x:c>
      <x:c r="B7" s="7" t="n">
        <x:f>B3+B4+B5+B6</x:f>
        <x:v>882000</x:v>
      </x:c>
    </x:row>
    <x:row r="9" ht="22" customHeight="1">
      <x:c r="A9" s="1" t="str">
        <x:v>Real estate taxes</x:v>
      </x:c>
      <x:c r="B9" s="7" t="n">
        <x:v>102000</x:v>
      </x:c>
    </x:row>
    <x:row r="10" ht="22" customHeight="1">
      <x:c r="A10" s="1" t="str">
        <x:v>Property insurance</x:v>
      </x:c>
      <x:c r="B10" s="7" t="n">
        <x:v>26400</x:v>
      </x:c>
    </x:row>
    <x:row r="11" ht="22" customHeight="1">
      <x:c r="A11" s="1" t="str">
        <x:v>Utilities</x:v>
      </x:c>
      <x:c r="B11" s="7" t="n">
        <x:v>9600</x:v>
      </x:c>
    </x:row>
    <x:row r="12" ht="22" customHeight="1">
      <x:c r="A12" s="1" t="str">
        <x:v>Repairs and maintenance</x:v>
      </x:c>
      <x:c r="B12" s="7" t="n">
        <x:v>19200</x:v>
      </x:c>
    </x:row>
    <x:row r="13" ht="22" customHeight="1">
      <x:c r="A13" s="1" t="str">
        <x:v>Payroll / contract labor</x:v>
      </x:c>
      <x:c r="B13" s="7" t="n">
        <x:v>12000</x:v>
      </x:c>
    </x:row>
    <x:row r="14" ht="22" customHeight="1">
      <x:c r="A14" s="1" t="str">
        <x:v>Administrative / legal</x:v>
      </x:c>
      <x:c r="B14" s="7" t="n">
        <x:v>16800</x:v>
      </x:c>
    </x:row>
    <x:row r="15" ht="22" customHeight="1">
      <x:c r="A15" s="1" t="str">
        <x:v>Management fee</x:v>
      </x:c>
      <x:c r="B15" s="7" t="n">
        <x:v>26400</x:v>
      </x:c>
    </x:row>
    <x:row r="16" ht="22" customHeight="1">
      <x:c r="A16" s="1" t="str">
        <x:v>Operating expenses before reserves</x:v>
      </x:c>
      <x:c r="B16" s="7" t="n">
        <x:f>SUM(B9:B15)</x:f>
        <x:v>212400</x:v>
      </x:c>
    </x:row>
    <x:row r="17" ht="22" customHeight="1">
      <x:c r="A17" s="1" t="str">
        <x:v>NOI before reserves</x:v>
      </x:c>
      <x:c r="B17" s="7" t="n">
        <x:f>B7-B16</x:f>
        <x:v>669600</x:v>
      </x:c>
    </x:row>
    <x:row r="18" ht="22" customHeight="1">
      <x:c r="A18" s="1" t="str">
        <x:v>Replacement reserves (below NOI)</x:v>
      </x:c>
      <x:c r="B18" s="7" t="n">
        <x:v>14400</x:v>
      </x:c>
    </x:row>
    <x:row r="19" ht="22" customHeight="1">
      <x:c r="A19" s="1" t="str">
        <x:v>NCF after reserves</x:v>
      </x:c>
      <x:c r="B19" s="7" t="n">
        <x:f>B17-B18</x:f>
        <x:v>655200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22" hidden="0" customWidth="1"/>
    <x:col min="7" max="7" width="16" hidden="0" customWidth="1"/>
  </x:cols>
  <x:sheetData>
    <x:row r="1" ht="27" customHeight="1">
      <x:c r="A1" s="2" t="str">
        <x:v>Rent roll as of 2026-08-31</x:v>
      </x:c>
    </x:row>
    <x:row r="3" ht="22" customHeight="1">
      <x:c r="A3" s="1" t="str">
        <x:v>Unit</x:v>
      </x:c>
      <x:c r="B3" s="1" t="str">
        <x:v>Tenant</x:v>
      </x:c>
      <x:c r="C3" s="1" t="str">
        <x:v>Area SF</x:v>
      </x:c>
      <x:c r="D3" s="1" t="str">
        <x:v>Status</x:v>
      </x:c>
      <x:c r="E3" s="1" t="str">
        <x:v>Monthly base rent</x:v>
      </x:c>
      <x:c r="F3" s="1" t="str">
        <x:v>Market monthly rent</x:v>
      </x:c>
      <x:c r="G3" s="1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7" t="n">
        <x:v>16000</x:v>
      </x:c>
      <x:c r="D4" s="1" t="str">
        <x:v>Occupied</x:v>
      </x:c>
      <x:c r="E4" s="7" t="n">
        <x:v>12800</x:v>
      </x:c>
      <x:c r="F4" s="7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7" t="n">
        <x:v>24000</x:v>
      </x:c>
      <x:c r="D5" s="1" t="str">
        <x:v>Occupied</x:v>
      </x:c>
      <x:c r="E5" s="7" t="n">
        <x:v>20400</x:v>
      </x:c>
      <x:c r="F5" s="7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7" t="n">
        <x:v>32000</x:v>
      </x:c>
      <x:c r="D6" s="1" t="str">
        <x:v>Occupied</x:v>
      </x:c>
      <x:c r="E6" s="7" t="n">
        <x:v>28800</x:v>
      </x:c>
      <x:c r="F6" s="7" t="n">
        <x:v>28800</x:v>
      </x:c>
      <x:c r="G6" s="1" t="str">
        <x:v>2029-08-31</x:v>
      </x:c>
    </x:row>
    <x:row r="8" ht="22" customHeight="1">
      <x:c r="A8" s="1" t="str">
        <x:v>Totals</x:v>
      </x:c>
      <x:c r="C8" s="7" t="n">
        <x:f>SUM(C4:C6)</x:f>
        <x:v>72000</x:v>
      </x:c>
      <x:c r="E8" s="7" t="n">
        <x:f>SUM(E4:E6)</x:f>
        <x:v>62000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4" max="4" width="32" hidden="0" customWidth="1"/>
    <x:col min="5" max="5" width="22" hidden="0" customWidth="1"/>
  </x:cols>
  <x:sheetData>
    <x:row r="1" ht="27" customHeight="1">
      <x:c r="A1" s="2" t="str">
        <x:v>Loan sizing and sources/uses</x:v>
      </x:c>
    </x:row>
    <x:row r="3" ht="22" customHeight="1">
      <x:c r="A3" s="1" t="str">
        <x:v>LTV limit</x:v>
      </x:c>
      <x:c r="B3" s="7" t="n">
        <x:f>'Inputs &amp; Outputs'!B32</x:f>
        <x:v>6155634.461538462</x:v>
      </x:c>
      <x:c r="D3" s="1" t="str">
        <x:v>Downside maximum loan</x:v>
      </x:c>
      <x:c r="E3" s="7" t="n">
        <x:f>'Inputs &amp; Outputs'!E16</x:f>
        <x:v>5575432.187458407</x:v>
      </x:c>
    </x:row>
    <x:row r="4" ht="22" customHeight="1">
      <x:c r="A4" s="1" t="str">
        <x:v>DSCR limit</x:v>
      </x:c>
      <x:c r="B4" s="7" t="n">
        <x:f>'Inputs &amp; Outputs'!B34</x:f>
        <x:v>6617070.166633766</x:v>
      </x:c>
    </x:row>
    <x:row r="5" ht="22" customHeight="1">
      <x:c r="A5" s="1" t="str">
        <x:v>Debt yield limit</x:v>
      </x:c>
      <x:c r="B5" s="7" t="n">
        <x:f>'Inputs &amp; Outputs'!B35</x:f>
        <x:v>6868004.2105263155</x:v>
      </x:c>
    </x:row>
    <x:row r="6" ht="22" customHeight="1">
      <x:c r="A6" s="1" t="str">
        <x:v>Maximum loan (binding)</x:v>
      </x:c>
      <x:c r="B6" s="7" t="n">
        <x:f>'Inputs &amp; Outputs'!B36</x:f>
        <x:v>6155634.461538462</x:v>
      </x:c>
    </x:row>
    <x:row r="8" ht="22" customHeight="1">
      <x:c r="A8" s="1" t="str">
        <x:v>Annual amortizing debt service</x:v>
      </x:c>
      <x:c r="B8" s="7" t="n">
        <x:f>'Inputs &amp; Outputs'!B37</x:f>
        <x:v>466893.5648939748</x:v>
      </x:c>
    </x:row>
    <x:row r="9" ht="22" customHeight="1">
      <x:c r="A9" s="1" t="str">
        <x:v>First-year contractual debt service (IO)</x:v>
      </x:c>
      <x:c r="B9" s="7" t="n">
        <x:f>'Inputs &amp; Outputs'!B40</x:f>
        <x:v>375493.70215384616</x:v>
      </x:c>
    </x:row>
    <x:row r="11" ht="22" customHeight="1">
      <x:c r="A11" s="1" t="str">
        <x:v>Origination fee (1%)</x:v>
      </x:c>
      <x:c r="B11" s="7" t="n">
        <x:f>'Inputs &amp; Outputs'!B41</x:f>
        <x:v>61556.34461538462</x:v>
      </x:c>
    </x:row>
    <x:row r="12" ht="22" customHeight="1">
      <x:c r="A12" s="1" t="str">
        <x:v>Existing payoff</x:v>
      </x:c>
      <x:c r="B12" s="7" t="n">
        <x:f>'Inputs &amp; Outputs'!B19</x:f>
        <x:v>3600000</x:v>
      </x:c>
    </x:row>
    <x:row r="13" ht="22" customHeight="1">
      <x:c r="A13" s="1" t="str">
        <x:v>Fixed closing costs</x:v>
      </x:c>
      <x:c r="B13" s="7" t="n">
        <x:f>'Inputs &amp; Outputs'!B20</x:f>
        <x:v>55000</x:v>
      </x:c>
    </x:row>
    <x:row r="14" ht="22" customHeight="1">
      <x:c r="A14" s="1" t="str">
        <x:v>Cash to borrower (neg = cash in)</x:v>
      </x:c>
      <x:c r="B14" s="7" t="n">
        <x:f>'Inputs &amp; Outputs'!B42</x:f>
        <x:v>2439078.1169230775</x:v>
      </x:c>
    </x:row>
  </x:sheetData>
  <x:pageMargins left="0.7" right="0.7" top="0.75" bottom="0.75" header="0.3" footer="0.3"/>
</x:worksheet>
</file>