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 &amp; Outputs" sheetId="1" state="visible" r:id="rId3"/>
    <sheet name="T12" sheetId="2" state="visible" r:id="rId4"/>
    <sheet name="Rent Roll" sheetId="3" state="visible" r:id="rId5"/>
    <sheet name="Sizing Sources Us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<sst xmlns="http://schemas.openxmlformats.org/spreadsheetml/2006/main" count="106" uniqueCount="99">
  <si>
    <t xml:space="preserve">Inputs (edit yellow cells)</t>
  </si>
  <si>
    <t xml:space="preserve">Sensitivity inputs</t>
  </si>
  <si>
    <t xml:space="preserve">Cap rate +50 bps sensitivity</t>
  </si>
  <si>
    <t xml:space="preserve">Cap rate</t>
  </si>
  <si>
    <t xml:space="preserve">EGI downside -5% (auto)</t>
  </si>
  <si>
    <t xml:space="preserve">Cap rate +50 bps</t>
  </si>
  <si>
    <t xml:space="preserve">Sizing rate (annual)</t>
  </si>
  <si>
    <t xml:space="preserve">Sizing rate downside +100 bps</t>
  </si>
  <si>
    <t xml:space="preserve">Value at cap +50 bps</t>
  </si>
  <si>
    <t xml:space="preserve">EGI (underwritten)</t>
  </si>
  <si>
    <t xml:space="preserve">Other income (underwritten)</t>
  </si>
  <si>
    <t xml:space="preserve">Mgmt fee under downside (max of T12 and 3%)</t>
  </si>
  <si>
    <t xml:space="preserve">GPR (underwritten)</t>
  </si>
  <si>
    <t xml:space="preserve">Other opex base (excl mgmt)</t>
  </si>
  <si>
    <t xml:space="preserve">Revenue loss % of GPR</t>
  </si>
  <si>
    <t xml:space="preserve">Total opex under downside</t>
  </si>
  <si>
    <t xml:space="preserve">Mgmt fee min % of EGI</t>
  </si>
  <si>
    <t xml:space="preserve">NOI before reserves under downside</t>
  </si>
  <si>
    <t xml:space="preserve">Mgmt fee T12 actual $</t>
  </si>
  <si>
    <t xml:space="preserve">NCF under downside</t>
  </si>
  <si>
    <t xml:space="preserve">Reserves $/SF/yr</t>
  </si>
  <si>
    <t xml:space="preserve">Value under downside (cap unchanged)</t>
  </si>
  <si>
    <t xml:space="preserve">Rentable SF</t>
  </si>
  <si>
    <t xml:space="preserve">LTV limit (downside)</t>
  </si>
  <si>
    <t xml:space="preserve">Taxes (UW)</t>
  </si>
  <si>
    <t xml:space="preserve">Annual constant at stressed sizing rate</t>
  </si>
  <si>
    <t xml:space="preserve">Insurance (UW provisional)</t>
  </si>
  <si>
    <t xml:space="preserve">DSCR limit (downside)</t>
  </si>
  <si>
    <t xml:space="preserve">Utilities (UW)</t>
  </si>
  <si>
    <t xml:space="preserve">Debt yield limit (downside)</t>
  </si>
  <si>
    <t xml:space="preserve">Repairs &amp; Maint (UW)</t>
  </si>
  <si>
    <t xml:space="preserve">Maximum loan (downside)</t>
  </si>
  <si>
    <t xml:space="preserve">Payroll / Contract (UW)</t>
  </si>
  <si>
    <t xml:space="preserve">Admin / Legal (UW)</t>
  </si>
  <si>
    <t xml:space="preserve">Existing payoff</t>
  </si>
  <si>
    <t xml:space="preserve">Fixed closing costs</t>
  </si>
  <si>
    <t xml:space="preserve">Contract rate (annual)</t>
  </si>
  <si>
    <t xml:space="preserve">Outputs</t>
  </si>
  <si>
    <t xml:space="preserve">UW EGI</t>
  </si>
  <si>
    <t xml:space="preserve">Mgmt fee (UW)</t>
  </si>
  <si>
    <t xml:space="preserve">UW Operating Expenses before reserves</t>
  </si>
  <si>
    <t xml:space="preserve">UW NOI before reserves</t>
  </si>
  <si>
    <t xml:space="preserve">UW Reserves</t>
  </si>
  <si>
    <t xml:space="preserve">UW NCF after reserves</t>
  </si>
  <si>
    <t xml:space="preserve">Capitalization value</t>
  </si>
  <si>
    <t xml:space="preserve">LTV limit (60%)</t>
  </si>
  <si>
    <t xml:space="preserve">Annual debt constant at sizing rate</t>
  </si>
  <si>
    <t xml:space="preserve">DSCR limit (1.30x)</t>
  </si>
  <si>
    <t xml:space="preserve">Debt yield limit (9.50%)</t>
  </si>
  <si>
    <t xml:space="preserve">Maximum loan (min of 3)</t>
  </si>
  <si>
    <t xml:space="preserve">Annual amortizing debt service at sizing rate</t>
  </si>
  <si>
    <t xml:space="preserve">Sizing DSCR (UW NCF / sizing debt svc)</t>
  </si>
  <si>
    <t xml:space="preserve">Sizing debt yield (UW NCF / loan)</t>
  </si>
  <si>
    <t xml:space="preserve">First-year contractual debt service (IO year 1)</t>
  </si>
  <si>
    <t xml:space="preserve">Origination fee (1%)</t>
  </si>
  <si>
    <t xml:space="preserve">Cash to borrower (neg = cash in)</t>
  </si>
  <si>
    <t xml:space="preserve">Trailing 12-month actuals (Sep 2025 - Aug 2026)</t>
  </si>
  <si>
    <t xml:space="preserve">Gross potential base rent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</si>
  <si>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</si>
  <si>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</si>
  <si>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</si>
  <si>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</si>
  <si>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</si>
  <si>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</si>
  <si>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</si>
  <si>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</si>
  <si>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</si>
  <si>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</si>
  <si>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</si>
  <si>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</si>
  <si>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</si>
  <si>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 (below NOI)</t>
  </si>
  <si>
    <t xml:space="preserve">NCF after reserves</t>
  </si>
  <si>
    <t xml:space="preserve">Rent roll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</si>
  <si>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</si>
  <si>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</si>
  <si>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</si>
  <si>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</si>
  <si>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</si>
  <si>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</si>
  <si>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</si>
  <si>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</si>
  <si>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</si>
  <si>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</si>
  <si>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</si>
  <si>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</si>
  <si>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</si>
  <si>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</si>
  <si>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</si>
  <si>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</si>
  <si>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Totals</t>
  </si>
  <si>
    <t xml:space="preserve">Loan sizing and sources/uses</t>
  </si>
  <si>
    <t xml:space="preserve">LTV limit</t>
  </si>
  <si>
    <t xml:space="preserve">Downside maximum loan</t>
  </si>
  <si>
    <t xml:space="preserve">DSCR limit</t>
  </si>
  <si>
    <t xml:space="preserve">Debt yield limit</t>
  </si>
  <si>
    <t xml:space="preserve">Maximum loan (binding)</t>
  </si>
  <si>
    <t xml:space="preserve">Annual amortizing debt service</t>
  </si>
  <si>
    <t xml:space="preserve">First-year contractual debt service (IO)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</si>
</sst>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7" style="0" width="32"/>
    <col collapsed="false" customWidth="true" hidden="false" outlineLevel="0" max="8" min="8" style="0" width="22"/>
  </cols>
  <sheetData>
    <row r="1" customFormat="false" ht="25" hidden="false" customHeight="true" outlineLevel="0" collapsed="false">
      <c r="A1" s="1" t="s">
        <v>0</v>
      </c>
      <c r="D1" s="2" t="s">
        <v>1</v>
      </c>
      <c r="G1" s="2" t="s">
        <v>2</v>
      </c>
    </row>
    <row r="3" customFormat="false" ht="22" hidden="false" customHeight="true" outlineLevel="0" collapsed="false">
      <c r="A3" s="3" t="s">
        <v>3</v>
      </c>
      <c r="B3" s="4" t="n">
        <v>0.065</v>
      </c>
      <c r="D3" s="3" t="s">
        <v>4</v>
      </c>
      <c r="E3" s="5" t="n">
        <f aca="false">B24*0.95</f>
        <v>850554</v>
      </c>
      <c r="G3" s="3" t="s">
        <v>5</v>
      </c>
      <c r="H3" s="5" t="n">
        <f aca="false">B3+0.005</f>
        <v>0.07</v>
      </c>
    </row>
    <row r="4" customFormat="false" ht="22" hidden="false" customHeight="true" outlineLevel="0" collapsed="false">
      <c r="A4" s="3" t="s">
        <v>6</v>
      </c>
      <c r="B4" s="4" t="n">
        <v>0.075</v>
      </c>
      <c r="D4" s="3" t="s">
        <v>7</v>
      </c>
      <c r="E4" s="5" t="n">
        <f aca="false">B4+0.01</f>
        <v>0.085</v>
      </c>
      <c r="G4" s="3" t="s">
        <v>8</v>
      </c>
      <c r="H4" s="5" t="n">
        <f aca="false">B27/H3</f>
        <v>9526577.14285714</v>
      </c>
    </row>
    <row r="5" customFormat="false" ht="22" hidden="false" customHeight="true" outlineLevel="0" collapsed="false">
      <c r="A5" s="3" t="s">
        <v>9</v>
      </c>
      <c r="B5" s="4" t="n">
        <v>895320</v>
      </c>
    </row>
    <row r="6" customFormat="false" ht="22" hidden="false" customHeight="true" outlineLevel="0" collapsed="false">
      <c r="A6" s="3" t="s">
        <v>10</v>
      </c>
      <c r="B6" s="4" t="n">
        <v>162000</v>
      </c>
      <c r="D6" s="3" t="s">
        <v>11</v>
      </c>
      <c r="E6" s="5" t="n">
        <f aca="false">MAX(B10, 0.03*E3)</f>
        <v>26400</v>
      </c>
    </row>
    <row r="7" customFormat="false" ht="22" hidden="false" customHeight="true" outlineLevel="0" collapsed="false">
      <c r="A7" s="3" t="s">
        <v>12</v>
      </c>
      <c r="B7" s="4" t="n">
        <v>756000</v>
      </c>
      <c r="D7" s="3" t="s">
        <v>13</v>
      </c>
      <c r="E7" s="5" t="n">
        <f aca="false">B13+B14+B15+B16+B17+B18</f>
        <v>201600</v>
      </c>
    </row>
    <row r="8" customFormat="false" ht="22" hidden="false" customHeight="true" outlineLevel="0" collapsed="false">
      <c r="A8" s="3" t="s">
        <v>14</v>
      </c>
      <c r="B8" s="4" t="n">
        <v>0.03</v>
      </c>
      <c r="D8" s="3" t="s">
        <v>15</v>
      </c>
      <c r="E8" s="5" t="n">
        <f aca="false">E7+E6</f>
        <v>228000</v>
      </c>
    </row>
    <row r="9" customFormat="false" ht="22" hidden="false" customHeight="true" outlineLevel="0" collapsed="false">
      <c r="A9" s="3" t="s">
        <v>16</v>
      </c>
      <c r="B9" s="4" t="n">
        <v>0.03</v>
      </c>
      <c r="D9" s="3" t="s">
        <v>17</v>
      </c>
      <c r="E9" s="5" t="n">
        <f aca="false">E3-E8</f>
        <v>622554</v>
      </c>
    </row>
    <row r="10" customFormat="false" ht="22" hidden="false" customHeight="true" outlineLevel="0" collapsed="false">
      <c r="A10" s="3" t="s">
        <v>18</v>
      </c>
      <c r="B10" s="4" t="n">
        <v>26400</v>
      </c>
      <c r="D10" s="3" t="s">
        <v>19</v>
      </c>
      <c r="E10" s="5" t="n">
        <f aca="false">E9-B28</f>
        <v>608154</v>
      </c>
    </row>
    <row r="11" customFormat="false" ht="22" hidden="false" customHeight="true" outlineLevel="0" collapsed="false">
      <c r="A11" s="3" t="s">
        <v>20</v>
      </c>
      <c r="B11" s="4" t="n">
        <v>0.2</v>
      </c>
      <c r="D11" s="3" t="s">
        <v>21</v>
      </c>
      <c r="E11" s="5" t="n">
        <f aca="false">E9/B3</f>
        <v>9577753.84615385</v>
      </c>
    </row>
    <row r="12" customFormat="false" ht="22" hidden="false" customHeight="true" outlineLevel="0" collapsed="false">
      <c r="A12" s="3" t="s">
        <v>22</v>
      </c>
      <c r="B12" s="4" t="n">
        <v>72000</v>
      </c>
      <c r="D12" s="3" t="s">
        <v>23</v>
      </c>
      <c r="E12" s="5" t="n">
        <f aca="false">0.6*E11</f>
        <v>5746652.30769231</v>
      </c>
    </row>
    <row r="13" customFormat="false" ht="22" hidden="false" customHeight="true" outlineLevel="0" collapsed="false">
      <c r="A13" s="3" t="s">
        <v>24</v>
      </c>
      <c r="B13" s="4" t="n">
        <v>108000</v>
      </c>
      <c r="D13" s="3" t="s">
        <v>25</v>
      </c>
      <c r="E13" s="5" t="n">
        <f aca="false">ABS(12*PMT(E4/12,360,1))</f>
        <v>0.09226961803012</v>
      </c>
    </row>
    <row r="14" customFormat="false" ht="22" hidden="false" customHeight="true" outlineLevel="0" collapsed="false">
      <c r="A14" s="3" t="s">
        <v>26</v>
      </c>
      <c r="B14" s="4" t="n">
        <v>36000</v>
      </c>
      <c r="D14" s="3" t="s">
        <v>27</v>
      </c>
      <c r="E14" s="5" t="n">
        <f aca="false">(E10/1.3)/E13</f>
        <v>5070041.24670874</v>
      </c>
    </row>
    <row r="15" customFormat="false" ht="22" hidden="false" customHeight="true" outlineLevel="0" collapsed="false">
      <c r="A15" s="3" t="s">
        <v>28</v>
      </c>
      <c r="B15" s="4" t="n">
        <v>9600</v>
      </c>
      <c r="D15" s="3" t="s">
        <v>29</v>
      </c>
      <c r="E15" s="5" t="n">
        <f aca="false">E10/0.095</f>
        <v>6401621.05263158</v>
      </c>
    </row>
    <row r="16" customFormat="false" ht="22" hidden="false" customHeight="true" outlineLevel="0" collapsed="false">
      <c r="A16" s="3" t="s">
        <v>30</v>
      </c>
      <c r="B16" s="4" t="n">
        <v>19200</v>
      </c>
      <c r="D16" s="3" t="s">
        <v>31</v>
      </c>
      <c r="E16" s="5" t="n">
        <f aca="false">MIN(E12,E14,E15)</f>
        <v>5070041.24670874</v>
      </c>
    </row>
    <row r="17" customFormat="false" ht="22" hidden="false" customHeight="true" outlineLevel="0" collapsed="false">
      <c r="A17" s="3" t="s">
        <v>32</v>
      </c>
      <c r="B17" s="4" t="n">
        <v>12000</v>
      </c>
    </row>
    <row r="18" customFormat="false" ht="22" hidden="false" customHeight="true" outlineLevel="0" collapsed="false">
      <c r="A18" s="3" t="s">
        <v>33</v>
      </c>
      <c r="B18" s="4" t="n">
        <v>16800</v>
      </c>
    </row>
    <row r="19" customFormat="false" ht="22" hidden="false" customHeight="true" outlineLevel="0" collapsed="false">
      <c r="A19" s="3" t="s">
        <v>34</v>
      </c>
      <c r="B19" s="4" t="n">
        <v>3600000</v>
      </c>
    </row>
    <row r="20" customFormat="false" ht="22" hidden="false" customHeight="true" outlineLevel="0" collapsed="false">
      <c r="A20" s="3" t="s">
        <v>35</v>
      </c>
      <c r="B20" s="4" t="n">
        <v>55000</v>
      </c>
    </row>
    <row r="21" customFormat="false" ht="22" hidden="false" customHeight="true" outlineLevel="0" collapsed="false">
      <c r="A21" s="3" t="s">
        <v>36</v>
      </c>
      <c r="B21" s="4" t="n">
        <v>0.061</v>
      </c>
    </row>
    <row r="23" customFormat="false" ht="25" hidden="false" customHeight="true" outlineLevel="0" collapsed="false">
      <c r="A23" s="2" t="s">
        <v>37</v>
      </c>
    </row>
    <row r="24" customFormat="false" ht="22" hidden="false" customHeight="true" outlineLevel="0" collapsed="false">
      <c r="A24" s="3" t="s">
        <v>38</v>
      </c>
      <c r="B24" s="5" t="n">
        <f aca="false">B7 - (B7*B8) + B6</f>
        <v>895320</v>
      </c>
    </row>
    <row r="25" customFormat="false" ht="22" hidden="false" customHeight="true" outlineLevel="0" collapsed="false">
      <c r="A25" s="3" t="s">
        <v>39</v>
      </c>
      <c r="B25" s="5" t="n">
        <f aca="false">MAX(B10, B9*B24)</f>
        <v>26859.6</v>
      </c>
    </row>
    <row r="26" customFormat="false" ht="22" hidden="false" customHeight="true" outlineLevel="0" collapsed="false">
      <c r="A26" s="3" t="s">
        <v>40</v>
      </c>
      <c r="B26" s="5" t="n">
        <f aca="false">B13+B14+B15+B16+B17+B18+B25</f>
        <v>228459.6</v>
      </c>
    </row>
    <row r="27" customFormat="false" ht="22" hidden="false" customHeight="true" outlineLevel="0" collapsed="false">
      <c r="A27" s="3" t="s">
        <v>41</v>
      </c>
      <c r="B27" s="5" t="n">
        <f aca="false">B24-B26</f>
        <v>666860.4</v>
      </c>
    </row>
    <row r="28" customFormat="false" ht="22" hidden="false" customHeight="true" outlineLevel="0" collapsed="false">
      <c r="A28" s="3" t="s">
        <v>42</v>
      </c>
      <c r="B28" s="5" t="n">
        <f aca="false">B11*B12</f>
        <v>14400</v>
      </c>
    </row>
    <row r="29" customFormat="false" ht="22" hidden="false" customHeight="true" outlineLevel="0" collapsed="false">
      <c r="A29" s="3" t="s">
        <v>43</v>
      </c>
      <c r="B29" s="5" t="n">
        <f aca="false">B27-B28</f>
        <v>652460.4</v>
      </c>
    </row>
    <row r="31" customFormat="false" ht="22" hidden="false" customHeight="true" outlineLevel="0" collapsed="false">
      <c r="A31" s="3" t="s">
        <v>44</v>
      </c>
      <c r="B31" s="5" t="n">
        <f aca="false">B27/B3</f>
        <v>10259390.7692308</v>
      </c>
    </row>
    <row r="32" customFormat="false" ht="22" hidden="false" customHeight="true" outlineLevel="0" collapsed="false">
      <c r="A32" s="3" t="s">
        <v>45</v>
      </c>
      <c r="B32" s="5" t="n">
        <f aca="false">0.6*B31</f>
        <v>6155634.46153846</v>
      </c>
    </row>
    <row r="33" customFormat="false" ht="22" hidden="false" customHeight="true" outlineLevel="0" collapsed="false">
      <c r="A33" s="3" t="s">
        <v>46</v>
      </c>
      <c r="B33" s="5" t="n">
        <f aca="false">12*PMT(B4/12,360,1)</f>
        <v>-0.0839057410263335</v>
      </c>
    </row>
    <row r="34" customFormat="false" ht="22" hidden="false" customHeight="true" outlineLevel="0" collapsed="false">
      <c r="A34" s="3" t="s">
        <v>47</v>
      </c>
      <c r="B34" s="5" t="n">
        <f aca="false">(B29/1.3)/ABS(B33)</f>
        <v>5981624.25175529</v>
      </c>
    </row>
    <row r="35" customFormat="false" ht="22" hidden="false" customHeight="true" outlineLevel="0" collapsed="false">
      <c r="A35" s="3" t="s">
        <v>48</v>
      </c>
      <c r="B35" s="5" t="n">
        <f aca="false">B29/0.095</f>
        <v>6868004.21052632</v>
      </c>
    </row>
    <row r="36" customFormat="false" ht="22" hidden="false" customHeight="true" outlineLevel="0" collapsed="false">
      <c r="A36" s="3" t="s">
        <v>49</v>
      </c>
      <c r="B36" s="5" t="n">
        <f aca="false">MIN(B32,B34,B35)</f>
        <v>5981624.25175529</v>
      </c>
    </row>
    <row r="37" customFormat="false" ht="22" hidden="false" customHeight="true" outlineLevel="0" collapsed="false">
      <c r="A37" s="3" t="s">
        <v>50</v>
      </c>
      <c r="B37" s="5" t="n">
        <f aca="false">B36*ABS(B33)</f>
        <v>501892.615384615</v>
      </c>
    </row>
    <row r="38" customFormat="false" ht="22" hidden="false" customHeight="true" outlineLevel="0" collapsed="false">
      <c r="A38" s="3" t="s">
        <v>51</v>
      </c>
      <c r="B38" s="5" t="n">
        <f aca="false">B29/B37</f>
        <v>1.3</v>
      </c>
    </row>
    <row r="39" customFormat="false" ht="22" hidden="false" customHeight="true" outlineLevel="0" collapsed="false">
      <c r="A39" s="3" t="s">
        <v>52</v>
      </c>
      <c r="B39" s="5" t="n">
        <f aca="false">B29/B36</f>
        <v>0.109077463334234</v>
      </c>
    </row>
    <row r="40" customFormat="false" ht="22" hidden="false" customHeight="true" outlineLevel="0" collapsed="false">
      <c r="A40" s="3" t="s">
        <v>53</v>
      </c>
      <c r="B40" s="5" t="n">
        <f aca="false">B21*B36</f>
        <v>364879.079357073</v>
      </c>
    </row>
    <row r="41" customFormat="false" ht="22" hidden="false" customHeight="true" outlineLevel="0" collapsed="false">
      <c r="A41" s="3" t="s">
        <v>54</v>
      </c>
      <c r="B41" s="5" t="n">
        <f aca="false">0.01*B36</f>
        <v>59816.2425175529</v>
      </c>
    </row>
    <row r="42" customFormat="false" ht="22" hidden="false" customHeight="true" outlineLevel="0" collapsed="false">
      <c r="A42" s="3" t="s">
        <v>55</v>
      </c>
      <c r="B42" s="5" t="n">
        <f aca="false">B36-B19-B41-B20</f>
        <v>2266808.00923774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56</v>
      </c>
    </row>
    <row r="3" customFormat="false" ht="22" hidden="false" customHeight="true" outlineLevel="0" collapsed="false">
      <c r="A3" s="3" t="s">
        <v>57</v>
      </c>
      <c r="B3" s="5" t="n">
        <v>744000</v>
      </c>
    </row>
    <row r="4" customFormat="false" ht="22" hidden="false" customHeight="true" outlineLevel="0" collapsed="false">
      <c r="A4" s="3" t="s">
        <v>58</v>
      </c>
      <c r="B4" s="5" t="n">
        <v>-18000</v>
      </c>
    </row>
    <row r="5" customFormat="false" ht="22" hidden="false" customHeight="true" outlineLevel="0" collapsed="false">
      <c r="A5" s="3" t="s">
        <v>59</v>
      </c>
      <c r="B5" s="5" t="n">
        <v>-2400</v>
      </c>
    </row>
    <row r="6" customFormat="false" ht="22" hidden="false" customHeight="true" outlineLevel="0" collapsed="false">
      <c r="A6" s="3" t="s">
        <v>60</v>
      </c>
      <c r="B6" s="5" t="n">
        <v>158400</v>
      </c>
    </row>
    <row r="7" customFormat="false" ht="22" hidden="false" customHeight="true" outlineLevel="0" collapsed="false">
      <c r="A7" s="3" t="s">
        <v>61</v>
      </c>
      <c r="B7" s="5" t="n">
        <f aca="false">B3+B4+B5+B6</f>
        <v>882000</v>
      </c>
    </row>
    <row r="9" customFormat="false" ht="22" hidden="false" customHeight="true" outlineLevel="0" collapsed="false">
      <c r="A9" s="3" t="s">
        <v>62</v>
      </c>
      <c r="B9" s="5" t="n">
        <v>102000</v>
      </c>
    </row>
    <row r="10" customFormat="false" ht="22" hidden="false" customHeight="true" outlineLevel="0" collapsed="false">
      <c r="A10" s="3" t="s">
        <v>63</v>
      </c>
      <c r="B10" s="5" t="n">
        <v>26400</v>
      </c>
    </row>
    <row r="11" customFormat="false" ht="22" hidden="false" customHeight="true" outlineLevel="0" collapsed="false">
      <c r="A11" s="3" t="s">
        <v>64</v>
      </c>
      <c r="B11" s="5" t="n">
        <v>9600</v>
      </c>
    </row>
    <row r="12" customFormat="false" ht="22" hidden="false" customHeight="true" outlineLevel="0" collapsed="false">
      <c r="A12" s="3" t="s">
        <v>65</v>
      </c>
      <c r="B12" s="5" t="n">
        <v>19200</v>
      </c>
    </row>
    <row r="13" customFormat="false" ht="22" hidden="false" customHeight="true" outlineLevel="0" collapsed="false">
      <c r="A13" s="3" t="s">
        <v>66</v>
      </c>
      <c r="B13" s="5" t="n">
        <v>12000</v>
      </c>
    </row>
    <row r="14" customFormat="false" ht="22" hidden="false" customHeight="true" outlineLevel="0" collapsed="false">
      <c r="A14" s="3" t="s">
        <v>67</v>
      </c>
      <c r="B14" s="5" t="n">
        <v>16800</v>
      </c>
    </row>
    <row r="15" customFormat="false" ht="22" hidden="false" customHeight="true" outlineLevel="0" collapsed="false">
      <c r="A15" s="3" t="s">
        <v>68</v>
      </c>
      <c r="B15" s="5" t="n">
        <v>26400</v>
      </c>
    </row>
    <row r="16" customFormat="false" ht="22" hidden="false" customHeight="true" outlineLevel="0" collapsed="false">
      <c r="A16" s="3" t="s">
        <v>69</v>
      </c>
      <c r="B16" s="5" t="n">
        <f aca="false">SUM(B9:B15)</f>
        <v>212400</v>
      </c>
    </row>
    <row r="17" customFormat="false" ht="22" hidden="false" customHeight="true" outlineLevel="0" collapsed="false">
      <c r="A17" s="3" t="s">
        <v>70</v>
      </c>
      <c r="B17" s="5" t="n">
        <f aca="false">B7-B16</f>
        <v>669600</v>
      </c>
    </row>
    <row r="18" customFormat="false" ht="22" hidden="false" customHeight="true" outlineLevel="0" collapsed="false">
      <c r="A18" s="3" t="s">
        <v>71</v>
      </c>
      <c r="B18" s="5" t="n">
        <v>14400</v>
      </c>
    </row>
    <row r="19" customFormat="false" ht="22" hidden="false" customHeight="true" outlineLevel="0" collapsed="false">
      <c r="A19" s="3" t="s">
        <v>72</v>
      </c>
      <c r="B19" s="5" t="n">
        <f aca="false">B17-B18</f>
        <v>655200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73</v>
      </c>
    </row>
    <row r="3" customFormat="false" ht="22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customFormat="false" ht="22" hidden="false" customHeight="true" outlineLevel="0" collapsed="false">
      <c r="A4" s="3" t="s">
        <v>81</v>
      </c>
      <c r="B4" s="3" t="s">
        <v>82</v>
      </c>
      <c r="C4" s="5" t="n">
        <v>16000</v>
      </c>
      <c r="D4" s="3" t="s">
        <v>83</v>
      </c>
      <c r="E4" s="5" t="n">
        <v>12800</v>
      </c>
      <c r="F4" s="5" t="n">
        <v>12800</v>
      </c>
      <c r="G4" s="3" t="s">
        <v>84</v>
      </c>
    </row>
    <row r="5" customFormat="false" ht="22" hidden="false" customHeight="true" outlineLevel="0" collapsed="false">
      <c r="A5" s="3" t="s">
        <v>85</v>
      </c>
      <c r="B5" s="3" t="s">
        <v>86</v>
      </c>
      <c r="C5" s="5" t="n">
        <v>24000</v>
      </c>
      <c r="D5" s="3" t="s">
        <v>83</v>
      </c>
      <c r="E5" s="5" t="n">
        <v>20400</v>
      </c>
      <c r="F5" s="5" t="n">
        <v>20400</v>
      </c>
      <c r="G5" s="3" t="s">
        <v>84</v>
      </c>
    </row>
    <row r="6" customFormat="false" ht="22" hidden="false" customHeight="true" outlineLevel="0" collapsed="false">
      <c r="A6" s="3" t="s">
        <v>87</v>
      </c>
      <c r="B6" s="3" t="s">
        <v>88</v>
      </c>
      <c r="C6" s="5" t="n">
        <v>32000</v>
      </c>
      <c r="D6" s="3" t="s">
        <v>83</v>
      </c>
      <c r="E6" s="5" t="n">
        <v>28800</v>
      </c>
      <c r="F6" s="5" t="n">
        <v>28800</v>
      </c>
      <c r="G6" s="3" t="s">
        <v>89</v>
      </c>
    </row>
    <row r="8" customFormat="false" ht="22" hidden="false" customHeight="true" outlineLevel="0" collapsed="false">
      <c r="A8" s="3" t="s">
        <v>90</v>
      </c>
      <c r="C8" s="5" t="n">
        <f aca="false">SUM(C4:C6)</f>
        <v>72000</v>
      </c>
      <c r="E8" s="5" t="n">
        <f aca="false">SUM(E4:E6)</f>
        <v>62000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4" style="0" width="32"/>
    <col collapsed="false" customWidth="true" hidden="false" outlineLevel="0" max="5" min="5" style="0" width="22"/>
  </cols>
  <sheetData>
    <row r="1" customFormat="false" ht="27" hidden="false" customHeight="true" outlineLevel="0" collapsed="false">
      <c r="A1" s="1" t="s">
        <v>91</v>
      </c>
    </row>
    <row r="3" customFormat="false" ht="22" hidden="false" customHeight="true" outlineLevel="0" collapsed="false">
      <c r="A3" s="3" t="s">
        <v>92</v>
      </c>
      <c r="B3" s="5" t="n">
        <f aca="false">'Inputs &amp; Outputs'!B32</f>
        <v>6155634.46153846</v>
      </c>
      <c r="D3" s="3" t="s">
        <v>93</v>
      </c>
      <c r="E3" s="5" t="n">
        <f aca="false">'Inputs &amp; Outputs'!E16</f>
        <v>5070041.24670874</v>
      </c>
    </row>
    <row r="4" customFormat="false" ht="22" hidden="false" customHeight="true" outlineLevel="0" collapsed="false">
      <c r="A4" s="3" t="s">
        <v>94</v>
      </c>
      <c r="B4" s="5" t="n">
        <f aca="false">'Inputs &amp; Outputs'!B34</f>
        <v>5981624.25175529</v>
      </c>
    </row>
    <row r="5" customFormat="false" ht="22" hidden="false" customHeight="true" outlineLevel="0" collapsed="false">
      <c r="A5" s="3" t="s">
        <v>95</v>
      </c>
      <c r="B5" s="5" t="n">
        <f aca="false">'Inputs &amp; Outputs'!B35</f>
        <v>6868004.21052632</v>
      </c>
    </row>
    <row r="6" customFormat="false" ht="22" hidden="false" customHeight="true" outlineLevel="0" collapsed="false">
      <c r="A6" s="3" t="s">
        <v>96</v>
      </c>
      <c r="B6" s="5" t="n">
        <f aca="false">'Inputs &amp; Outputs'!B36</f>
        <v>5981624.25175529</v>
      </c>
    </row>
    <row r="8" customFormat="false" ht="22" hidden="false" customHeight="true" outlineLevel="0" collapsed="false">
      <c r="A8" s="3" t="s">
        <v>97</v>
      </c>
      <c r="B8" s="5" t="n">
        <f aca="false">'Inputs &amp; Outputs'!B37</f>
        <v>501892.615384615</v>
      </c>
    </row>
    <row r="9" customFormat="false" ht="22" hidden="false" customHeight="true" outlineLevel="0" collapsed="false">
      <c r="A9" s="3" t="s">
        <v>98</v>
      </c>
      <c r="B9" s="5" t="n">
        <f aca="false">'Inputs &amp; Outputs'!B40</f>
        <v>364879.079357073</v>
      </c>
    </row>
    <row r="11" customFormat="false" ht="22" hidden="false" customHeight="true" outlineLevel="0" collapsed="false">
      <c r="A11" s="3" t="s">
        <v>54</v>
      </c>
      <c r="B11" s="5" t="n">
        <f aca="false">'Inputs &amp; Outputs'!B41</f>
        <v>59816.2425175529</v>
      </c>
    </row>
    <row r="12" customFormat="false" ht="22" hidden="false" customHeight="true" outlineLevel="0" collapsed="false">
      <c r="A12" s="3" t="s">
        <v>34</v>
      </c>
      <c r="B12" s="5" t="n">
        <f aca="false">'Inputs &amp; Outputs'!B19</f>
        <v>3600000</v>
      </c>
    </row>
    <row r="13" customFormat="false" ht="22" hidden="false" customHeight="true" outlineLevel="0" collapsed="false">
      <c r="A13" s="3" t="s">
        <v>35</v>
      </c>
      <c r="B13" s="5" t="n">
        <f aca="false">'Inputs &amp; Outputs'!B20</f>
        <v>55000</v>
      </c>
    </row>
    <row r="14" customFormat="false" ht="22" hidden="false" customHeight="true" outlineLevel="0" collapsed="false">
      <c r="A14" s="3" t="s">
        <v>55</v>
      </c>
      <c r="B14" s="5" t="n">
        <f aca="false">'Inputs &amp; Outputs'!B42</f>
        <v>2266808.00923774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