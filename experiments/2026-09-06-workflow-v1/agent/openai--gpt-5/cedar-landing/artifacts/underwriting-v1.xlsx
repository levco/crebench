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0a14c86e4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b587bc684e04f9b"/>
    <x:sheet xmlns:r="http://schemas.openxmlformats.org/officeDocument/2006/relationships" name="T12" sheetId="2" r:id="Rc1576a14b3514ebb"/>
    <x:sheet xmlns:r="http://schemas.openxmlformats.org/officeDocument/2006/relationships" name="UW" sheetId="3" r:id="R1936348212b64546"/>
    <x:sheet xmlns:r="http://schemas.openxmlformats.org/officeDocument/2006/relationships" name="Sizing" sheetId="4" r:id="R7429a26cdb154421"/>
    <x:sheet xmlns:r="http://schemas.openxmlformats.org/officeDocument/2006/relationships" name="Sensitivity" sheetId="5" r:id="R61268b92119e41c7"/>
    <x:sheet xmlns:r="http://schemas.openxmlformats.org/officeDocument/2006/relationships" name="Rent Roll Summary" sheetId="6" r:id="R0cf0140dfd00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52e0f7fa34515" /><Relationship Type="http://schemas.openxmlformats.org/officeDocument/2006/relationships/theme" Target="/xl/theme/theme1.xml" Id="Readcc047f655487c" /><Relationship Type="http://schemas.openxmlformats.org/officeDocument/2006/relationships/sharedStrings" Target="/xl/sharedStrings.xml" Id="R515fa14fd82743bb" /><Relationship Type="http://schemas.openxmlformats.org/officeDocument/2006/relationships/worksheet" Target="/xl/worksheets/sheet1.xml" Id="Reb587bc684e04f9b" /><Relationship Type="http://schemas.openxmlformats.org/officeDocument/2006/relationships/worksheet" Target="/xl/worksheets/sheet2.xml" Id="Rc1576a14b3514ebb" /><Relationship Type="http://schemas.openxmlformats.org/officeDocument/2006/relationships/worksheet" Target="/xl/worksheets/sheet3.xml" Id="R1936348212b64546" /><Relationship Type="http://schemas.openxmlformats.org/officeDocument/2006/relationships/worksheet" Target="/xl/worksheets/sheet4.xml" Id="R7429a26cdb154421" /><Relationship Type="http://schemas.openxmlformats.org/officeDocument/2006/relationships/worksheet" Target="/xl/worksheets/sheet5.xml" Id="R61268b92119e41c7" /><Relationship Type="http://schemas.openxmlformats.org/officeDocument/2006/relationships/worksheet" Target="/xl/worksheets/sheet6.xml" Id="R0cf0140dfd004a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8" hidden="0" customWidth="1"/>
    <x:col min="4" max="4" width="50" hidden="0" customWidth="1"/>
  </x:cols>
  <x:sheetData>
    <x:row r="1" ht="27" customHeight="1">
      <x:c r="A1" s="2" t="str">
        <x:v>Cedar Landing | Underwriting Inputs</x:v>
      </x:c>
    </x:row>
    <x:row r="3" ht="40" customHeight="1">
      <x:c r="A3" s="4" t="str">
        <x:v>As of</x:v>
      </x:c>
      <x:c r="B3" s="5" t="str">
        <x:v>2026-08-31</x:v>
      </x:c>
      <x:c r="D3" s="10" t="str">
        <x:v>Change these inputs to test sensitivities. Key outputs mapped below.</x:v>
      </x:c>
    </x:row>
    <x:row r="4" ht="22" customHeight="1">
      <x:c r="A4" s="4" t="str">
        <x:v>Cap rate</x:v>
      </x:c>
      <x:c r="B4" s="5" t="n">
        <x:v>0.0575</x:v>
      </x:c>
    </x:row>
    <x:row r="5" ht="22" customHeight="1">
      <x:c r="A5" s="4" t="str">
        <x:v>Sizing rate</x:v>
      </x:c>
      <x:c r="B5" s="5" t="n">
        <x:v>0.065</x:v>
      </x:c>
    </x:row>
    <x:row r="6" ht="22" customHeight="1">
      <x:c r="A6" s="4" t="str">
        <x:v>Contract rate</x:v>
      </x:c>
      <x:c r="B6" s="5" t="n">
        <x:v>0.0625</x:v>
      </x:c>
    </x:row>
    <x:row r="7" ht="22" customHeight="1">
      <x:c r="A7" s="4" t="str">
        <x:v>Amortization months</x:v>
      </x:c>
      <x:c r="B7" s="5" t="n">
        <x:v>360</x:v>
      </x:c>
    </x:row>
    <x:row r="8" ht="22" customHeight="1">
      <x:c r="A8" s="4" t="str">
        <x:v>Interest-only months</x:v>
      </x:c>
      <x:c r="B8" s="5" t="n">
        <x:v>36</x:v>
      </x:c>
    </x:row>
    <x:row r="9" ht="22" customHeight="1">
      <x:c r="A9" s="4" t="str">
        <x:v>Unit count</x:v>
      </x:c>
      <x:c r="B9" s="5" t="n">
        <x:v>48</x:v>
      </x:c>
    </x:row>
    <x:row r="10" ht="22" customHeight="1">
      <x:c r="A10" s="4" t="str">
        <x:v>Reserves per unit (annual)</x:v>
      </x:c>
      <x:c r="B10" s="5" t="n">
        <x:v>325</x:v>
      </x:c>
    </x:row>
    <x:row r="11" ht="22" customHeight="1">
      <x:c r="A11" s="4" t="str">
        <x:v>GPR (UW)</x:v>
      </x:c>
      <x:c r="B11" s="5" t="n">
        <x:v>1056000</x:v>
      </x:c>
    </x:row>
    <x:row r="12" ht="22" customHeight="1">
      <x:c r="A12" s="4" t="str">
        <x:v>Revenue loss % (UW)</x:v>
      </x:c>
      <x:c r="B12" s="5" t="n">
        <x:v>0.07</x:v>
      </x:c>
    </x:row>
    <x:row r="13" ht="22" customHeight="1">
      <x:c r="A13" s="4" t="str">
        <x:v>Other income (UW)</x:v>
      </x:c>
      <x:c r="B13" s="5" t="n">
        <x:v>43200</x:v>
      </x:c>
    </x:row>
    <x:row r="14" ht="22" customHeight="1">
      <x:c r="A14" s="4" t="str">
        <x:v>Underwritten EGI</x:v>
      </x:c>
      <x:c r="B14" s="8" t="n">
        <x:f>B11*(1-B12)+B13</x:f>
        <x:v>1025279.9999999999</x:v>
      </x:c>
    </x:row>
    <x:row r="15" ht="22" customHeight="1">
      <x:c r="A15" s="4" t="str">
        <x:v>T12 management fee (actual)</x:v>
      </x:c>
      <x:c r="B15" s="5" t="n">
        <x:v>28000</x:v>
      </x:c>
    </x:row>
    <x:row r="16" ht="22" customHeight="1">
      <x:c r="A16" s="4" t="str">
        <x:v>Mgmt fee % of EGI (min)</x:v>
      </x:c>
      <x:c r="B16" s="5" t="n">
        <x:v>0.035</x:v>
      </x:c>
    </x:row>
    <x:row r="17" ht="22" customHeight="1">
      <x:c r="A17" s="4" t="str">
        <x:v>Existing debt payoff</x:v>
      </x:c>
      <x:c r="B17" s="5" t="n">
        <x:v>4500000</x:v>
      </x:c>
    </x:row>
    <x:row r="18" ht="22" customHeight="1">
      <x:c r="A18" s="4" t="str">
        <x:v>Fixed closing costs</x:v>
      </x:c>
      <x:c r="B18" s="5" t="n">
        <x:v>65000</x:v>
      </x:c>
    </x:row>
    <x:row r="19" ht="22" customHeight="1">
      <x:c r="A19" s="4" t="str">
        <x:v>Origination fee rate</x:v>
      </x:c>
      <x:c r="B19" s="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Cedar Landing | T12 Summary (Sep 2025 - Aug 2026)</x:v>
      </x:c>
    </x:row>
    <x:row r="3" ht="22" customHeight="1">
      <x:c r="A3" s="4" t="str">
        <x:v>Gross potential base rent</x:v>
      </x:c>
      <x:c r="B3" s="6" t="n">
        <x:v>1036800</x:v>
      </x:c>
    </x:row>
    <x:row r="4" ht="22" customHeight="1">
      <x:c r="A4" s="4" t="str">
        <x:v>Vacancy loss</x:v>
      </x:c>
      <x:c r="B4" s="6" t="n">
        <x:v>-302400</x:v>
      </x:c>
    </x:row>
    <x:row r="5" ht="22" customHeight="1">
      <x:c r="A5" s="4" t="str">
        <x:v>Concessions</x:v>
      </x:c>
      <x:c r="B5" s="6" t="n">
        <x:v>-64800</x:v>
      </x:c>
    </x:row>
    <x:row r="6" ht="22" customHeight="1">
      <x:c r="A6" s="4" t="str">
        <x:v>Bad debt</x:v>
      </x:c>
      <x:c r="B6" s="6" t="n">
        <x:v>-8400</x:v>
      </x:c>
    </x:row>
    <x:row r="7" ht="22" customHeight="1">
      <x:c r="A7" s="4" t="str">
        <x:v>Other income / recoveries</x:v>
      </x:c>
      <x:c r="B7" s="6" t="n">
        <x:v>30000</x:v>
      </x:c>
    </x:row>
    <x:row r="8" ht="22" customHeight="1">
      <x:c r="A8" s="4" t="str">
        <x:v>EGI (historical)</x:v>
      </x:c>
      <x:c r="B8" s="8" t="n">
        <x:f>B3+B4+B5+B6+B7</x:f>
        <x:v>691200</x:v>
      </x:c>
    </x:row>
    <x:row r="10" ht="22" customHeight="1">
      <x:c r="A10" s="4" t="str">
        <x:v>Real estate taxes</x:v>
      </x:c>
      <x:c r="B10" s="6" t="n">
        <x:v>132000</x:v>
      </x:c>
    </x:row>
    <x:row r="11" ht="22" customHeight="1">
      <x:c r="A11" s="4" t="str">
        <x:v>Property insurance</x:v>
      </x:c>
      <x:c r="B11" s="6" t="n">
        <x:v>40800</x:v>
      </x:c>
    </x:row>
    <x:row r="12" ht="22" customHeight="1">
      <x:c r="A12" s="4" t="str">
        <x:v>Utilities</x:v>
      </x:c>
      <x:c r="B12" s="6" t="n">
        <x:v>33600</x:v>
      </x:c>
    </x:row>
    <x:row r="13" ht="22" customHeight="1">
      <x:c r="A13" s="4" t="str">
        <x:v>Repairs and maintenance</x:v>
      </x:c>
      <x:c r="B13" s="6" t="n">
        <x:v>54000</x:v>
      </x:c>
    </x:row>
    <x:row r="14" ht="22" customHeight="1">
      <x:c r="A14" s="4" t="str">
        <x:v>Payroll / contract labor</x:v>
      </x:c>
      <x:c r="B14" s="6" t="n">
        <x:v>55200</x:v>
      </x:c>
    </x:row>
    <x:row r="15" ht="22" customHeight="1">
      <x:c r="A15" s="4" t="str">
        <x:v>Administrative / legal</x:v>
      </x:c>
      <x:c r="B15" s="6" t="n">
        <x:v>27600</x:v>
      </x:c>
    </x:row>
    <x:row r="16" ht="22" customHeight="1">
      <x:c r="A16" s="4" t="str">
        <x:v>Management fee</x:v>
      </x:c>
      <x:c r="B16" s="6" t="n">
        <x:v>28000</x:v>
      </x:c>
    </x:row>
    <x:row r="17" ht="22" customHeight="1">
      <x:c r="A17" s="4" t="str">
        <x:v>Operating expenses (before reserves)</x:v>
      </x:c>
      <x:c r="B17" s="8" t="n">
        <x:f>SUM(B10:B16)</x:f>
        <x:v>371200</x:v>
      </x:c>
    </x:row>
    <x:row r="19" ht="22" customHeight="1">
      <x:c r="A19" s="4" t="str">
        <x:v>NOI before reserves</x:v>
      </x:c>
      <x:c r="B19" s="8" t="n">
        <x:f>B8-B17</x:f>
        <x:v>320000</x:v>
      </x:c>
    </x:row>
    <x:row r="20" ht="22" customHeight="1">
      <x:c r="A20" s="4" t="str">
        <x:v>Replacement reserves</x:v>
      </x:c>
      <x:c r="B20" s="6" t="n">
        <x:v>14400</x:v>
      </x:c>
    </x:row>
    <x:row r="21" ht="22" customHeight="1">
      <x:c r="A21" s="4" t="str">
        <x:v>NCF after reserves</x:v>
      </x:c>
      <x:c r="B21" s="8" t="n">
        <x:f>B19-B20</x:f>
        <x:v>305600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2" hidden="0" customWidth="1"/>
  </x:cols>
  <x:sheetData>
    <x:row r="1" ht="27" customHeight="1">
      <x:c r="A1" s="2" t="str">
        <x:v>Underwriting (Scenario)</x:v>
      </x:c>
    </x:row>
    <x:row r="3" ht="22" customHeight="1">
      <x:c r="A3" s="4" t="str">
        <x:v>EGI (from Inputs)</x:v>
      </x:c>
      <x:c r="B3" s="8" t="n">
        <x:f>'Inputs'!B14</x:f>
        <x:v>1025279.9999999999</x:v>
      </x:c>
    </x:row>
    <x:row r="5" ht="22" customHeight="1">
      <x:c r="A5" s="4" t="str">
        <x:v>Real estate taxes</x:v>
      </x:c>
      <x:c r="B5" s="6" t="n">
        <x:v>138000</x:v>
      </x:c>
    </x:row>
    <x:row r="6" ht="22" customHeight="1">
      <x:c r="A6" s="4" t="str">
        <x:v>Property insurance (renewal)</x:v>
      </x:c>
      <x:c r="B6" s="6" t="n">
        <x:v>45600</x:v>
      </x:c>
    </x:row>
    <x:row r="7" ht="22" customHeight="1">
      <x:c r="A7" s="4" t="str">
        <x:v>Utilities</x:v>
      </x:c>
      <x:c r="B7" s="6" t="n">
        <x:v>33600</x:v>
      </x:c>
    </x:row>
    <x:row r="8" ht="22" customHeight="1">
      <x:c r="A8" s="4" t="str">
        <x:v>Repairs and maintenance (excl. $12k casualty)</x:v>
      </x:c>
      <x:c r="B8" s="6" t="n">
        <x:v>42000</x:v>
      </x:c>
    </x:row>
    <x:row r="9" ht="22" customHeight="1">
      <x:c r="A9" s="4" t="str">
        <x:v>Payroll / contract labor</x:v>
      </x:c>
      <x:c r="B9" s="6" t="n">
        <x:v>55200</x:v>
      </x:c>
    </x:row>
    <x:row r="10" ht="22" customHeight="1">
      <x:c r="A10" s="4" t="str">
        <x:v>Administrative / legal</x:v>
      </x:c>
      <x:c r="B10" s="6" t="n">
        <x:v>27600</x:v>
      </x:c>
    </x:row>
    <x:row r="11" ht="22" customHeight="1">
      <x:c r="A11" s="4" t="str">
        <x:v>Management fee (max of T12 actual and % of EGI)</x:v>
      </x:c>
      <x:c r="B11" s="12" t="n">
        <x:f>MAX('Inputs'!B15,'Inputs'!B16*B3)</x:f>
        <x:v>35884.8</x:v>
      </x:c>
    </x:row>
    <x:row r="12" ht="22" customHeight="1">
      <x:c r="A12" s="4" t="str">
        <x:v>Operating expenses (before reserves)</x:v>
      </x:c>
      <x:c r="B12" s="8" t="n">
        <x:f>SUM(B5:B11)</x:f>
        <x:v>377884.8</x:v>
      </x:c>
    </x:row>
    <x:row r="14" ht="22" customHeight="1">
      <x:c r="A14" s="4" t="str">
        <x:v>NOI before reserves</x:v>
      </x:c>
      <x:c r="B14" s="8" t="n">
        <x:f>B3-B12</x:f>
        <x:v>647395.2</x:v>
      </x:c>
    </x:row>
    <x:row r="15" ht="22" customHeight="1">
      <x:c r="A15" s="4" t="str">
        <x:v>Unit count</x:v>
      </x:c>
      <x:c r="B15" s="11" t="n">
        <x:f>'Inputs'!B9</x:f>
        <x:v>48</x:v>
      </x:c>
    </x:row>
    <x:row r="16" ht="22" customHeight="1">
      <x:c r="A16" s="4" t="str">
        <x:v>Reserves per unit (annual)</x:v>
      </x:c>
      <x:c r="B16" s="12" t="n">
        <x:f>'Inputs'!B10</x:f>
        <x:v>325</x:v>
      </x:c>
    </x:row>
    <x:row r="17" ht="22" customHeight="1">
      <x:c r="A17" s="4" t="str">
        <x:v>Replacement reserves</x:v>
      </x:c>
      <x:c r="B17" s="6" t="n">
        <x:f>B15*B16</x:f>
        <x:v>15600</x:v>
      </x:c>
    </x:row>
    <x:row r="18" ht="22" customHeight="1">
      <x:c r="A18" s="4" t="str">
        <x:v>NCF after reserves</x:v>
      </x:c>
      <x:c r="B18" s="8" t="n">
        <x:f>B14-B17</x:f>
        <x:v>631795.2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6" hidden="0" customWidth="1"/>
  </x:cols>
  <x:sheetData>
    <x:row r="1" ht="27" customHeight="1">
      <x:c r="A1" s="2" t="str">
        <x:v>Loan Sizing</x:v>
      </x:c>
    </x:row>
    <x:row r="3" ht="22" customHeight="1">
      <x:c r="A3" s="4" t="str">
        <x:v>Cap rate</x:v>
      </x:c>
      <x:c r="B3" s="11" t="n">
        <x:f>'Inputs'!B4</x:f>
        <x:v>0.0575</x:v>
      </x:c>
    </x:row>
    <x:row r="4" ht="22" customHeight="1">
      <x:c r="A4" s="4" t="str">
        <x:v>Underwritten NOI before reserves</x:v>
      </x:c>
      <x:c r="B4" s="8" t="n">
        <x:f>'UW'!B14</x:f>
        <x:v>647395.2</x:v>
      </x:c>
    </x:row>
    <x:row r="5" ht="22" customHeight="1">
      <x:c r="A5" s="4" t="str">
        <x:v>Indicative value (NOI/cap)</x:v>
      </x:c>
      <x:c r="B5" s="8" t="n">
        <x:f>B4/B3</x:f>
        <x:v>11259046.956521738</x:v>
      </x:c>
    </x:row>
    <x:row r="6" ht="22" customHeight="1">
      <x:c r="A6" s="4" t="str">
        <x:v>LTV limit (60%)</x:v>
      </x:c>
      <x:c r="B6" s="8" t="n">
        <x:f>0.60*B5</x:f>
        <x:v>6755428.173913043</x:v>
      </x:c>
    </x:row>
    <x:row r="8" ht="22" customHeight="1">
      <x:c r="A8" s="4" t="str">
        <x:v>Sizing rate</x:v>
      </x:c>
      <x:c r="B8" s="11" t="n">
        <x:f>'Inputs'!B5</x:f>
        <x:v>0.065</x:v>
      </x:c>
    </x:row>
    <x:row r="9" ht="22" customHeight="1">
      <x:c r="A9" s="4" t="str">
        <x:v>Annual debt constant (30yr amort)</x:v>
      </x:c>
      <x:c r="B9" s="14" t="n">
        <x:f>12*ABS(PMT(B8/12,'Inputs'!B7,1))</x:f>
        <x:v>0.07584816281915566</x:v>
      </x:c>
    </x:row>
    <x:row r="10" ht="22" customHeight="1">
      <x:c r="A10" s="4" t="str">
        <x:v>Underwritten NCF after reserves</x:v>
      </x:c>
      <x:c r="B10" s="8" t="n">
        <x:f>'UW'!B18</x:f>
        <x:v>631795.2</x:v>
      </x:c>
    </x:row>
    <x:row r="11" ht="22" customHeight="1">
      <x:c r="A11" s="4" t="str">
        <x:v>DSCR limit (min 1.30x)</x:v>
      </x:c>
      <x:c r="B11" s="8" t="n">
        <x:f>B10/(1.30*B9)</x:f>
        <x:v>6407489.510999309</x:v>
      </x:c>
    </x:row>
    <x:row r="12" ht="22" customHeight="1">
      <x:c r="A12" s="4" t="str">
        <x:v>Debt yield limit (min 9.00%)</x:v>
      </x:c>
      <x:c r="B12" s="8" t="n">
        <x:f>B10/0.09</x:f>
        <x:v>7019946.666666666</x:v>
      </x:c>
    </x:row>
    <x:row r="14" ht="22" customHeight="1">
      <x:c r="A14" s="4" t="str">
        <x:v>Maximum loan (binding of the three)</x:v>
      </x:c>
      <x:c r="B14" s="8" t="n">
        <x:f>MIN(B6,B11,B12)</x:f>
        <x:v>6407489.510999309</x:v>
      </x:c>
    </x:row>
    <x:row r="15" ht="22" customHeight="1">
      <x:c r="A15" s="4" t="str">
        <x:v>Binding constraint</x:v>
      </x:c>
      <x:c r="B15" s="14" t="str">
        <x:f>IF(B14=B6,"LTV",IF(B14=B11,"DSCR","Debt yield"))</x:f>
        <x:v>DSCR</x:v>
      </x:c>
    </x:row>
    <x:row r="16" ht="22" customHeight="1">
      <x:c r="A16" s="4" t="str">
        <x:v>Sizing annual debt service</x:v>
      </x:c>
      <x:c r="B16" s="8" t="n">
        <x:f>B9*B14</x:f>
        <x:v>485996.30769230763</x:v>
      </x:c>
    </x:row>
    <x:row r="17" ht="22" customHeight="1">
      <x:c r="A17" s="4" t="str">
        <x:v>Sizing DSCR</x:v>
      </x:c>
      <x:c r="B17" s="14" t="n">
        <x:f>B10/B16</x:f>
        <x:v>1.3</x:v>
      </x:c>
    </x:row>
    <x:row r="18" ht="22" customHeight="1">
      <x:c r="A18" s="4" t="str">
        <x:v>Sizing debt yield</x:v>
      </x:c>
      <x:c r="B18" s="14" t="n">
        <x:f>B10/B14</x:f>
        <x:v>0.09860261166490236</x:v>
      </x:c>
    </x:row>
    <x:row r="19" ht="22" customHeight="1">
      <x:c r="A19" s="4" t="str">
        <x:v>First-year contractual debt service (IO applies)</x:v>
      </x:c>
      <x:c r="B19" s="8" t="n">
        <x:f>'Inputs'!B6*B14</x:f>
        <x:v>400468.0944374568</x:v>
      </x:c>
    </x:row>
    <x:row r="21" ht="22" customHeight="1">
      <x:c r="A21" s="4" t="str">
        <x:v>Existing payoff</x:v>
      </x:c>
      <x:c r="B21" s="12" t="n">
        <x:f>'Inputs'!B17</x:f>
        <x:v>4500000</x:v>
      </x:c>
    </x:row>
    <x:row r="22" ht="22" customHeight="1">
      <x:c r="A22" s="4" t="str">
        <x:v>Origination fee (rate x loan)</x:v>
      </x:c>
      <x:c r="B22" s="12" t="n">
        <x:f>'Inputs'!B19*B14</x:f>
        <x:v>64074.89510999309</x:v>
      </x:c>
    </x:row>
    <x:row r="23" ht="22" customHeight="1">
      <x:c r="A23" s="4" t="str">
        <x:v>Fixed closing costs</x:v>
      </x:c>
      <x:c r="B23" s="12" t="n">
        <x:f>'Inputs'!B18</x:f>
        <x:v>65000</x:v>
      </x:c>
    </x:row>
    <x:row r="24" ht="22" customHeight="1">
      <x:c r="A24" s="4" t="str">
        <x:v>Cash to/(from) borrower</x:v>
      </x:c>
      <x:c r="B24" s="8" t="n">
        <x:f>B14-B21-B22-B23</x:f>
        <x:v>1778414.6158893157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28" hidden="0" customWidth="1"/>
  </x:cols>
  <x:sheetData>
    <x:row r="1" ht="27" customHeight="1">
      <x:c r="A1" s="2" t="str">
        <x:v>Sensitivity Analysis</x:v>
      </x:c>
    </x:row>
    <x:row r="3" ht="25" customHeight="1">
      <x:c r="A3" s="4" t="str">
        <x:v>Stress: EGI -5% (recompute mgmt), sizing rate +100 bps; cap unchanged</x:v>
      </x:c>
    </x:row>
    <x:row r="4" ht="22" customHeight="1">
      <x:c r="A4" s="4" t="str">
        <x:v>Stressed EGI</x:v>
      </x:c>
      <x:c r="B4" s="8" t="n">
        <x:f>'Inputs'!B14*0.95</x:f>
        <x:v>974015.9999999999</x:v>
      </x:c>
    </x:row>
    <x:row r="5" ht="22" customHeight="1">
      <x:c r="A5" s="4" t="str">
        <x:v>Mgmt fee stressed (max of T12 or % of stressed EGI)</x:v>
      </x:c>
      <x:c r="B5" s="12" t="n">
        <x:f>MAX('Inputs'!B15,'Inputs'!B16*B4)</x:f>
        <x:v>34090.56</x:v>
      </x:c>
    </x:row>
    <x:row r="6" ht="22" customHeight="1">
      <x:c r="A6" s="4" t="str">
        <x:v>Operating expenses before reserves (stressed)</x:v>
      </x:c>
      <x:c r="B6" s="8" t="n">
        <x:f>'UW'!B5+'UW'!B6+'UW'!B7+'UW'!B8+'UW'!B9+'UW'!B10+B5</x:f>
        <x:v>376090.56</x:v>
      </x:c>
    </x:row>
    <x:row r="7" ht="22" customHeight="1">
      <x:c r="A7" s="4" t="str">
        <x:v>NOI before reserves (stressed)</x:v>
      </x:c>
      <x:c r="B7" s="8" t="n">
        <x:f>B4-B6</x:f>
        <x:v>597925.44</x:v>
      </x:c>
    </x:row>
    <x:row r="8" ht="22" customHeight="1">
      <x:c r="A8" s="4" t="str">
        <x:v>NCF after reserves (stressed)</x:v>
      </x:c>
      <x:c r="B8" s="8" t="n">
        <x:f>B7-('Inputs'!B9*'Inputs'!B10)</x:f>
        <x:v>582325.44</x:v>
      </x:c>
    </x:row>
    <x:row r="10" ht="22" customHeight="1">
      <x:c r="A10" s="4" t="str">
        <x:v>Annual debt constant (stressed sizing rate)</x:v>
      </x:c>
      <x:c r="B10" s="14" t="n">
        <x:f>12*ABS(PMT(('Inputs'!B5+0.01)/12,'Inputs'!B7,1))</x:f>
        <x:v>0.0839057410263335</x:v>
      </x:c>
    </x:row>
    <x:row r="11" ht="22" customHeight="1">
      <x:c r="A11" s="4" t="str">
        <x:v>Indicative value (stressed NOI / current cap)</x:v>
      </x:c>
      <x:c r="B11" s="8" t="n">
        <x:f>B7/'Inputs'!B4</x:f>
        <x:v>10398703.304347824</x:v>
      </x:c>
    </x:row>
    <x:row r="12" ht="22" customHeight="1">
      <x:c r="A12" s="4" t="str">
        <x:v>LTV limit (60%)</x:v>
      </x:c>
      <x:c r="B12" s="8" t="n">
        <x:f>0.60*B11</x:f>
        <x:v>6239221.982608695</x:v>
      </x:c>
    </x:row>
    <x:row r="13" ht="22" customHeight="1">
      <x:c r="A13" s="4" t="str">
        <x:v>DSCR limit (min 1.30x)</x:v>
      </x:c>
      <x:c r="B13" s="8" t="n">
        <x:f>B8/(1.30*B10)</x:f>
        <x:v>5338641.2023136895</x:v>
      </x:c>
    </x:row>
    <x:row r="14" ht="22" customHeight="1">
      <x:c r="A14" s="4" t="str">
        <x:v>Debt yield limit (min 9.00%)</x:v>
      </x:c>
      <x:c r="B14" s="8" t="n">
        <x:f>B8/0.09</x:f>
        <x:v>6470282.666666666</x:v>
      </x:c>
    </x:row>
    <x:row r="15" ht="22" customHeight="1">
      <x:c r="A15" s="4" t="str">
        <x:v>Maximum loan (stressed)</x:v>
      </x:c>
      <x:c r="B15" s="8" t="n">
        <x:f>MIN(B12,B13,B14)</x:f>
        <x:v>5338641.2023136895</x:v>
      </x:c>
    </x:row>
    <x:row r="18" ht="22" customHeight="1">
      <x:c r="A18" s="4" t="str">
        <x:v>Cap rate +50 bps value</x:v>
      </x:c>
      <x:c r="B18" s="8" t="n">
        <x:f>'UW'!B14/('Inputs'!B4+0.005)</x:f>
        <x:v>10358323.2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5" hidden="0" customWidth="1"/>
  </x:cols>
  <x:sheetData>
    <x:row r="1" ht="27" customHeight="1">
      <x:c r="A1" s="2" t="str">
        <x:v>Rent Roll Summary (as of 2026-08-31)</x:v>
      </x:c>
    </x:row>
    <x:row r="3" ht="22" customHeight="1">
      <x:c r="A3" s="4" t="str">
        <x:v>Unit/Suite count</x:v>
      </x:c>
      <x:c r="B3" s="14" t="n">
        <x:v>48</x:v>
      </x:c>
    </x:row>
    <x:row r="4" ht="22" customHeight="1">
      <x:c r="A4" s="4" t="str">
        <x:v>Occupied units</x:v>
      </x:c>
      <x:c r="B4" s="14" t="n">
        <x:v>34</x:v>
      </x:c>
    </x:row>
    <x:row r="5" ht="22" customHeight="1">
      <x:c r="A5" s="4" t="str">
        <x:v>Physical occupancy (count %)</x:v>
      </x:c>
      <x:c r="B5" s="17" t="n">
        <x:f>B4/B3</x:f>
        <x:v>0.7083333333333334</x:v>
      </x:c>
    </x:row>
    <x:row r="6" ht="22" customHeight="1">
      <x:c r="A6" s="4" t="str">
        <x:v>Total rentable area (SF)</x:v>
      </x:c>
      <x:c r="B6" s="14" t="n">
        <x:v>43200</x:v>
      </x:c>
    </x:row>
    <x:row r="7" ht="22" customHeight="1">
      <x:c r="A7" s="4" t="str">
        <x:v>Occupied rentable area (SF)</x:v>
      </x:c>
      <x:c r="B7" s="14" t="n">
        <x:v>27800</x:v>
      </x:c>
    </x:row>
    <x:row r="8" ht="22" customHeight="1">
      <x:c r="A8" s="4" t="str">
        <x:v>Occupancy by area (%)</x:v>
      </x:c>
      <x:c r="B8" s="17" t="n">
        <x:f>B7/B6</x:f>
        <x:v>0.6435185185185185</x:v>
      </x:c>
    </x:row>
    <x:row r="9" ht="22" customHeight="1">
      <x:c r="A9" s="4" t="str">
        <x:v>Monthly base rent (printed roll)</x:v>
      </x:c>
      <x:c r="B9" s="8" t="n">
        <x:v>58050</x:v>
      </x:c>
    </x:row>
  </x:sheetData>
  <x:pageMargins left="0.7" right="0.7" top="0.75" bottom="0.75" header="0.3" footer="0.3"/>
</x:worksheet>
</file>