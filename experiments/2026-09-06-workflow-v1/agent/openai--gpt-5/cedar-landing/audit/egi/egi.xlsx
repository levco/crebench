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W" sheetId="3" state="visible" r:id="rId5"/>
    <sheet name="Sizing" sheetId="4" state="visible" r:id="rId6"/>
    <sheet name="Sensitivity" sheetId="5" state="visible" r:id="rId7"/>
    <sheet name="Rent Roll Summary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<sst xmlns="http://schemas.openxmlformats.org/spreadsheetml/2006/main" count="95" uniqueCount="79">
  <si>
    <t xml:space="preserve">Cedar Landing | Underwriting Inputs</t>
  </si>
  <si>
    <t xml:space="preserve">As of</t>
  </si>
  <si>
    <t xml:space="preserve">2026-08-31</t>
  </si>
  <si>
    <t xml:space="preserve">Change these inputs to test sensitivities. Key outputs mapped below.</t>
  </si>
  <si>
    <t xml:space="preserve">Cap rate</t>
  </si>
  <si>
    <t xml:space="preserve">Sizing rate</t>
  </si>
  <si>
    <t xml:space="preserve">Contract rate</t>
  </si>
  <si>
    <t xml:space="preserve">Amortization months</t>
  </si>
  <si>
    <t xml:space="preserve">Interest-only months</t>
  </si>
  <si>
    <t xml:space="preserve">Unit count</t>
  </si>
  <si>
    <t xml:space="preserve">Reserves per unit (annual)</t>
  </si>
  <si>
    <t xml:space="preserve">GPR (UW)</t>
  </si>
  <si>
    <t xml:space="preserve">Revenue loss % (UW)</t>
  </si>
  <si>
    <t xml:space="preserve">Other income (UW)</t>
  </si>
  <si>
    <t xml:space="preserve">Underwritten EGI</t>
  </si>
  <si>
    <t xml:space="preserve">T12 management fee (actual)</t>
  </si>
  <si>
    <t xml:space="preserve">Mgmt fee % of EGI (min)</t>
  </si>
  <si>
    <t xml:space="preserve">Existing debt payoff</t>
  </si>
  <si>
    <t xml:space="preserve">Fixed closing costs</t>
  </si>
  <si>
    <t xml:space="preserve">Origination fee rate</t>
  </si>
  <si>
    <t xml:space="preserve">Cedar Landing | T12 Summary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</si>
  <si>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</si>
  <si>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</si>
  <si>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</si>
  <si>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</si>
  <si>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</si>
  <si>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EGI (historical)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</si>
  <si>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</si>
  <si>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</si>
  <si>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</si>
  <si>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</si>
  <si>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</si>
  <si>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</si>
  <si>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</si>
  <si>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(before reserves)</t>
  </si>
  <si>
    <t xml:space="preserve">NOI before reserves</t>
  </si>
  <si>
    <t xml:space="preserve">Replacement reserves</t>
  </si>
  <si>
    <t xml:space="preserve">NCF after reserves</t>
  </si>
  <si>
    <t xml:space="preserve">Underwriting (Scenario)</t>
  </si>
  <si>
    <t xml:space="preserve">EGI (from Inputs)</t>
  </si>
  <si>
    <t xml:space="preserve">Property insurance (renewal)</t>
  </si>
  <si>
    <t xml:space="preserve">Repairs and maintenance (excl. $12k casualty)</t>
  </si>
  <si>
    <t xml:space="preserve">Management fee (max of T12 actual and % of EGI)</t>
  </si>
  <si>
    <t xml:space="preserve">Loan Sizing</t>
  </si>
  <si>
    <t xml:space="preserve">Underwritten NOI before reserves</t>
  </si>
  <si>
    <t xml:space="preserve">Indicative value (NOI/cap)</t>
  </si>
  <si>
    <t xml:space="preserve">LTV limit (60%)</t>
  </si>
  <si>
    <t xml:space="preserve">Annual debt constant (30yr amort)</t>
  </si>
  <si>
    <t xml:space="preserve">Underwritten NCF after reserves</t>
  </si>
  <si>
    <t xml:space="preserve">DSCR limit (min 1.30x)</t>
  </si>
  <si>
    <t xml:space="preserve">Debt yield limit (min 9.00%)</t>
  </si>
  <si>
    <t xml:space="preserve">Maximum loan (binding of the three)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</si>
  <si>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</si>
  <si>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</si>
  <si>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</si>
  <si>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</si>
  <si>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contractual debt service (IO applies)</t>
  </si>
  <si>
    <t xml:space="preserve">Existing payoff</t>
  </si>
  <si>
    <t xml:space="preserve">Origination fee (rate x loan)</t>
  </si>
  <si>
    <t xml:space="preserve">Cash to/(from) borrower</t>
  </si>
  <si>
    <t xml:space="preserve">Sensitivity Analysis</t>
  </si>
  <si>
    <t xml:space="preserve">Stress: EGI -5% (recompute mgmt), sizing rate +100 bps; cap unchanged</t>
  </si>
  <si>
    <t xml:space="preserve">Stressed EGI</t>
  </si>
  <si>
    <t xml:space="preserve">Mgmt fee stressed (max of T12 or % of stressed EGI)</t>
  </si>
  <si>
    <t xml:space="preserve">Operating expenses before reserves (stressed)</t>
  </si>
  <si>
    <t xml:space="preserve">NOI before reserves (stressed)</t>
  </si>
  <si>
    <t xml:space="preserve">NCF after reserves (stressed)</t>
  </si>
  <si>
    <t xml:space="preserve">Annual debt constant (stressed sizing rate)</t>
  </si>
  <si>
    <t xml:space="preserve">Indicative value (stressed NOI / current cap)</t>
  </si>
  <si>
    <t xml:space="preserve">Maximum loan (stressed)</t>
  </si>
  <si>
    <t xml:space="preserve">Cap rate +50 bps value</t>
  </si>
  <si>
    <t xml:space="preserve">Rent Roll Summary (as of 2026-08-31)</t>
  </si>
  <si>
    <t xml:space="preserve">Unit/Suite count</t>
  </si>
  <si>
    <t xml:space="preserve">Occupied units</t>
  </si>
  <si>
    <t xml:space="preserve">Physical occupancy (count %)</t>
  </si>
  <si>
    <t xml:space="preserve">Total rentable area (SF)</t>
  </si>
  <si>
    <t xml:space="preserve">Occupied rentable area (SF)</t>
  </si>
  <si>
    <t xml:space="preserve">Occupancy by area (%)</t>
  </si>
  <si>
    <t xml:space="preserve">Monthly base rent (printed roll)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</si>
</sst>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50"/>
  </cols>
  <sheetData>
    <row r="1" customFormat="false" ht="27" hidden="false" customHeight="true" outlineLevel="0" collapsed="false">
      <c r="A1" s="1" t="s">
        <v>0</v>
      </c>
    </row>
    <row r="3" customFormat="false" ht="40" hidden="false" customHeight="true" outlineLevel="0" collapsed="false">
      <c r="A3" s="2" t="s">
        <v>1</v>
      </c>
      <c r="B3" s="3" t="s">
        <v>2</v>
      </c>
      <c r="D3" s="4" t="s">
        <v>3</v>
      </c>
    </row>
    <row r="4" customFormat="false" ht="22" hidden="false" customHeight="true" outlineLevel="0" collapsed="false">
      <c r="A4" s="2" t="s">
        <v>4</v>
      </c>
      <c r="B4" s="3" t="n">
        <v>0.0575</v>
      </c>
    </row>
    <row r="5" customFormat="false" ht="22" hidden="false" customHeight="true" outlineLevel="0" collapsed="false">
      <c r="A5" s="2" t="s">
        <v>5</v>
      </c>
      <c r="B5" s="3" t="n">
        <v>0.065</v>
      </c>
    </row>
    <row r="6" customFormat="false" ht="22" hidden="false" customHeight="true" outlineLevel="0" collapsed="false">
      <c r="A6" s="2" t="s">
        <v>6</v>
      </c>
      <c r="B6" s="3" t="n">
        <v>0.0625</v>
      </c>
    </row>
    <row r="7" customFormat="false" ht="22" hidden="false" customHeight="true" outlineLevel="0" collapsed="false">
      <c r="A7" s="2" t="s">
        <v>7</v>
      </c>
      <c r="B7" s="3" t="n">
        <v>360</v>
      </c>
    </row>
    <row r="8" customFormat="false" ht="22" hidden="false" customHeight="true" outlineLevel="0" collapsed="false">
      <c r="A8" s="2" t="s">
        <v>8</v>
      </c>
      <c r="B8" s="3" t="n">
        <v>36</v>
      </c>
    </row>
    <row r="9" customFormat="false" ht="22" hidden="false" customHeight="true" outlineLevel="0" collapsed="false">
      <c r="A9" s="2" t="s">
        <v>9</v>
      </c>
      <c r="B9" s="3" t="n">
        <v>48</v>
      </c>
    </row>
    <row r="10" customFormat="false" ht="22" hidden="false" customHeight="true" outlineLevel="0" collapsed="false">
      <c r="A10" s="2" t="s">
        <v>10</v>
      </c>
      <c r="B10" s="3" t="n">
        <v>325</v>
      </c>
    </row>
    <row r="11" customFormat="false" ht="22" hidden="false" customHeight="true" outlineLevel="0" collapsed="false">
      <c r="A11" s="2" t="s">
        <v>11</v>
      </c>
      <c r="B11" s="3" t="n">
        <v>1056000</v>
      </c>
    </row>
    <row r="12" customFormat="false" ht="22" hidden="false" customHeight="true" outlineLevel="0" collapsed="false">
      <c r="A12" s="2" t="s">
        <v>12</v>
      </c>
      <c r="B12" s="3" t="n">
        <v>0.07</v>
      </c>
    </row>
    <row r="13" customFormat="false" ht="22" hidden="false" customHeight="true" outlineLevel="0" collapsed="false">
      <c r="A13" s="2" t="s">
        <v>13</v>
      </c>
      <c r="B13" s="3" t="n">
        <v>43200</v>
      </c>
    </row>
    <row r="14" customFormat="false" ht="22" hidden="false" customHeight="true" outlineLevel="0" collapsed="false">
      <c r="A14" s="2" t="s">
        <v>14</v>
      </c>
      <c r="B14" s="5" t="n">
        <v>974016</v>
      </c>
    </row>
    <row r="15" customFormat="false" ht="22" hidden="false" customHeight="true" outlineLevel="0" collapsed="false">
      <c r="A15" s="2" t="s">
        <v>15</v>
      </c>
      <c r="B15" s="3" t="n">
        <v>28000</v>
      </c>
    </row>
    <row r="16" customFormat="false" ht="22" hidden="false" customHeight="true" outlineLevel="0" collapsed="false">
      <c r="A16" s="2" t="s">
        <v>16</v>
      </c>
      <c r="B16" s="3" t="n">
        <v>0.035</v>
      </c>
    </row>
    <row r="17" customFormat="false" ht="22" hidden="false" customHeight="true" outlineLevel="0" collapsed="false">
      <c r="A17" s="2" t="s">
        <v>17</v>
      </c>
      <c r="B17" s="3" t="n">
        <v>4500000</v>
      </c>
    </row>
    <row r="18" customFormat="false" ht="22" hidden="false" customHeight="true" outlineLevel="0" collapsed="false">
      <c r="A18" s="2" t="s">
        <v>18</v>
      </c>
      <c r="B18" s="3" t="n">
        <v>65000</v>
      </c>
    </row>
    <row r="19" customFormat="false" ht="22" hidden="false" customHeight="true" outlineLevel="0" collapsed="false">
      <c r="A19" s="2" t="s">
        <v>19</v>
      </c>
      <c r="B19" s="3" t="n">
        <v>0.01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20</v>
      </c>
    </row>
    <row r="3" customFormat="false" ht="22" hidden="false" customHeight="true" outlineLevel="0" collapsed="false">
      <c r="A3" s="2" t="s">
        <v>21</v>
      </c>
      <c r="B3" s="6" t="n">
        <v>1036800</v>
      </c>
    </row>
    <row r="4" customFormat="false" ht="22" hidden="false" customHeight="true" outlineLevel="0" collapsed="false">
      <c r="A4" s="2" t="s">
        <v>22</v>
      </c>
      <c r="B4" s="6" t="n">
        <v>-302400</v>
      </c>
    </row>
    <row r="5" customFormat="false" ht="22" hidden="false" customHeight="true" outlineLevel="0" collapsed="false">
      <c r="A5" s="2" t="s">
        <v>23</v>
      </c>
      <c r="B5" s="6" t="n">
        <v>-64800</v>
      </c>
    </row>
    <row r="6" customFormat="false" ht="22" hidden="false" customHeight="true" outlineLevel="0" collapsed="false">
      <c r="A6" s="2" t="s">
        <v>24</v>
      </c>
      <c r="B6" s="6" t="n">
        <v>-8400</v>
      </c>
    </row>
    <row r="7" customFormat="false" ht="22" hidden="false" customHeight="true" outlineLevel="0" collapsed="false">
      <c r="A7" s="2" t="s">
        <v>25</v>
      </c>
      <c r="B7" s="6" t="n">
        <v>30000</v>
      </c>
    </row>
    <row r="8" customFormat="false" ht="22" hidden="false" customHeight="true" outlineLevel="0" collapsed="false">
      <c r="A8" s="2" t="s">
        <v>26</v>
      </c>
      <c r="B8" s="5" t="n">
        <f aca="false">B3+B4+B5+B6+B7</f>
        <v>691200</v>
      </c>
    </row>
    <row r="10" customFormat="false" ht="22" hidden="false" customHeight="true" outlineLevel="0" collapsed="false">
      <c r="A10" s="2" t="s">
        <v>27</v>
      </c>
      <c r="B10" s="6" t="n">
        <v>132000</v>
      </c>
    </row>
    <row r="11" customFormat="false" ht="22" hidden="false" customHeight="true" outlineLevel="0" collapsed="false">
      <c r="A11" s="2" t="s">
        <v>28</v>
      </c>
      <c r="B11" s="6" t="n">
        <v>40800</v>
      </c>
    </row>
    <row r="12" customFormat="false" ht="22" hidden="false" customHeight="true" outlineLevel="0" collapsed="false">
      <c r="A12" s="2" t="s">
        <v>29</v>
      </c>
      <c r="B12" s="6" t="n">
        <v>33600</v>
      </c>
    </row>
    <row r="13" customFormat="false" ht="22" hidden="false" customHeight="true" outlineLevel="0" collapsed="false">
      <c r="A13" s="2" t="s">
        <v>30</v>
      </c>
      <c r="B13" s="6" t="n">
        <v>54000</v>
      </c>
    </row>
    <row r="14" customFormat="false" ht="22" hidden="false" customHeight="true" outlineLevel="0" collapsed="false">
      <c r="A14" s="2" t="s">
        <v>31</v>
      </c>
      <c r="B14" s="6" t="n">
        <v>55200</v>
      </c>
    </row>
    <row r="15" customFormat="false" ht="22" hidden="false" customHeight="true" outlineLevel="0" collapsed="false">
      <c r="A15" s="2" t="s">
        <v>32</v>
      </c>
      <c r="B15" s="6" t="n">
        <v>27600</v>
      </c>
    </row>
    <row r="16" customFormat="false" ht="22" hidden="false" customHeight="true" outlineLevel="0" collapsed="false">
      <c r="A16" s="2" t="s">
        <v>33</v>
      </c>
      <c r="B16" s="6" t="n">
        <v>28000</v>
      </c>
    </row>
    <row r="17" customFormat="false" ht="22" hidden="false" customHeight="true" outlineLevel="0" collapsed="false">
      <c r="A17" s="2" t="s">
        <v>34</v>
      </c>
      <c r="B17" s="5" t="n">
        <f aca="false">SUM(B10:B16)</f>
        <v>371200</v>
      </c>
    </row>
    <row r="19" customFormat="false" ht="22" hidden="false" customHeight="true" outlineLevel="0" collapsed="false">
      <c r="A19" s="2" t="s">
        <v>35</v>
      </c>
      <c r="B19" s="5" t="n">
        <f aca="false">B8-B17</f>
        <v>320000</v>
      </c>
    </row>
    <row r="20" customFormat="false" ht="22" hidden="false" customHeight="true" outlineLevel="0" collapsed="false">
      <c r="A20" s="2" t="s">
        <v>36</v>
      </c>
      <c r="B20" s="6" t="n">
        <v>14400</v>
      </c>
    </row>
    <row r="21" customFormat="false" ht="22" hidden="false" customHeight="true" outlineLevel="0" collapsed="false">
      <c r="A21" s="2" t="s">
        <v>37</v>
      </c>
      <c r="B21" s="5" t="n">
        <f aca="false">B19-B20</f>
        <v>305600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38</v>
      </c>
    </row>
    <row r="3" customFormat="false" ht="22" hidden="false" customHeight="true" outlineLevel="0" collapsed="false">
      <c r="A3" s="2" t="s">
        <v>39</v>
      </c>
      <c r="B3" s="5" t="n">
        <f aca="false">Inputs!B14</f>
        <v>974016</v>
      </c>
    </row>
    <row r="5" customFormat="false" ht="22" hidden="false" customHeight="true" outlineLevel="0" collapsed="false">
      <c r="A5" s="2" t="s">
        <v>27</v>
      </c>
      <c r="B5" s="6" t="n">
        <v>138000</v>
      </c>
    </row>
    <row r="6" customFormat="false" ht="22" hidden="false" customHeight="true" outlineLevel="0" collapsed="false">
      <c r="A6" s="2" t="s">
        <v>40</v>
      </c>
      <c r="B6" s="6" t="n">
        <v>45600</v>
      </c>
    </row>
    <row r="7" customFormat="false" ht="22" hidden="false" customHeight="true" outlineLevel="0" collapsed="false">
      <c r="A7" s="2" t="s">
        <v>29</v>
      </c>
      <c r="B7" s="6" t="n">
        <v>33600</v>
      </c>
    </row>
    <row r="8" customFormat="false" ht="22" hidden="false" customHeight="true" outlineLevel="0" collapsed="false">
      <c r="A8" s="2" t="s">
        <v>41</v>
      </c>
      <c r="B8" s="6" t="n">
        <v>42000</v>
      </c>
    </row>
    <row r="9" customFormat="false" ht="22" hidden="false" customHeight="true" outlineLevel="0" collapsed="false">
      <c r="A9" s="2" t="s">
        <v>31</v>
      </c>
      <c r="B9" s="6" t="n">
        <v>55200</v>
      </c>
    </row>
    <row r="10" customFormat="false" ht="22" hidden="false" customHeight="true" outlineLevel="0" collapsed="false">
      <c r="A10" s="2" t="s">
        <v>32</v>
      </c>
      <c r="B10" s="6" t="n">
        <v>27600</v>
      </c>
    </row>
    <row r="11" customFormat="false" ht="22" hidden="false" customHeight="true" outlineLevel="0" collapsed="false">
      <c r="A11" s="2" t="s">
        <v>42</v>
      </c>
      <c r="B11" s="7" t="n">
        <f aca="false">MAX(Inputs!B15,Inputs!B16*B3)</f>
        <v>34090.56</v>
      </c>
    </row>
    <row r="12" customFormat="false" ht="22" hidden="false" customHeight="true" outlineLevel="0" collapsed="false">
      <c r="A12" s="2" t="s">
        <v>34</v>
      </c>
      <c r="B12" s="5" t="n">
        <f aca="false">SUM(B5:B11)</f>
        <v>376090.56</v>
      </c>
    </row>
    <row r="14" customFormat="false" ht="22" hidden="false" customHeight="true" outlineLevel="0" collapsed="false">
      <c r="A14" s="2" t="s">
        <v>35</v>
      </c>
      <c r="B14" s="5" t="n">
        <f aca="false">B3-B12</f>
        <v>597925.44</v>
      </c>
    </row>
    <row r="15" customFormat="false" ht="22" hidden="false" customHeight="true" outlineLevel="0" collapsed="false">
      <c r="A15" s="2" t="s">
        <v>9</v>
      </c>
      <c r="B15" s="8" t="n">
        <f aca="false">Inputs!B9</f>
        <v>48</v>
      </c>
    </row>
    <row r="16" customFormat="false" ht="22" hidden="false" customHeight="true" outlineLevel="0" collapsed="false">
      <c r="A16" s="2" t="s">
        <v>10</v>
      </c>
      <c r="B16" s="7" t="n">
        <f aca="false">Inputs!B10</f>
        <v>325</v>
      </c>
    </row>
    <row r="17" customFormat="false" ht="22" hidden="false" customHeight="true" outlineLevel="0" collapsed="false">
      <c r="A17" s="2" t="s">
        <v>36</v>
      </c>
      <c r="B17" s="6" t="n">
        <f aca="false">B15*B16</f>
        <v>15600</v>
      </c>
    </row>
    <row r="18" customFormat="false" ht="22" hidden="false" customHeight="true" outlineLevel="0" collapsed="false">
      <c r="A18" s="2" t="s">
        <v>37</v>
      </c>
      <c r="B18" s="5" t="n">
        <f aca="false">B14-B17</f>
        <v>582325.44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</cols>
  <sheetData>
    <row r="1" customFormat="false" ht="27" hidden="false" customHeight="true" outlineLevel="0" collapsed="false">
      <c r="A1" s="1" t="s">
        <v>43</v>
      </c>
    </row>
    <row r="3" customFormat="false" ht="22" hidden="false" customHeight="true" outlineLevel="0" collapsed="false">
      <c r="A3" s="2" t="s">
        <v>4</v>
      </c>
      <c r="B3" s="8" t="n">
        <f aca="false">Inputs!B4</f>
        <v>0.0575</v>
      </c>
    </row>
    <row r="4" customFormat="false" ht="22" hidden="false" customHeight="true" outlineLevel="0" collapsed="false">
      <c r="A4" s="2" t="s">
        <v>44</v>
      </c>
      <c r="B4" s="5" t="n">
        <f aca="false">UW!B14</f>
        <v>597925.44</v>
      </c>
    </row>
    <row r="5" customFormat="false" ht="22" hidden="false" customHeight="true" outlineLevel="0" collapsed="false">
      <c r="A5" s="2" t="s">
        <v>45</v>
      </c>
      <c r="B5" s="5" t="n">
        <f aca="false">B4/B3</f>
        <v>10398703.3043478</v>
      </c>
    </row>
    <row r="6" customFormat="false" ht="22" hidden="false" customHeight="true" outlineLevel="0" collapsed="false">
      <c r="A6" s="2" t="s">
        <v>46</v>
      </c>
      <c r="B6" s="5" t="n">
        <f aca="false">0.6*B5</f>
        <v>6239221.9826087</v>
      </c>
    </row>
    <row r="8" customFormat="false" ht="22" hidden="false" customHeight="true" outlineLevel="0" collapsed="false">
      <c r="A8" s="2" t="s">
        <v>5</v>
      </c>
      <c r="B8" s="8" t="n">
        <f aca="false">Inputs!B5</f>
        <v>0.065</v>
      </c>
    </row>
    <row r="9" customFormat="false" ht="22" hidden="false" customHeight="true" outlineLevel="0" collapsed="false">
      <c r="A9" s="2" t="s">
        <v>47</v>
      </c>
      <c r="B9" s="9" t="n">
        <f aca="false">12*ABS(PMT(B8/12,Inputs!B7,1))</f>
        <v>0.0758481628191557</v>
      </c>
    </row>
    <row r="10" customFormat="false" ht="22" hidden="false" customHeight="true" outlineLevel="0" collapsed="false">
      <c r="A10" s="2" t="s">
        <v>48</v>
      </c>
      <c r="B10" s="5" t="n">
        <f aca="false">UW!B18</f>
        <v>582325.44</v>
      </c>
    </row>
    <row r="11" customFormat="false" ht="22" hidden="false" customHeight="true" outlineLevel="0" collapsed="false">
      <c r="A11" s="2" t="s">
        <v>49</v>
      </c>
      <c r="B11" s="5" t="n">
        <f aca="false">B10/(1.3*B9)</f>
        <v>5905781.09613377</v>
      </c>
    </row>
    <row r="12" customFormat="false" ht="22" hidden="false" customHeight="true" outlineLevel="0" collapsed="false">
      <c r="A12" s="2" t="s">
        <v>50</v>
      </c>
      <c r="B12" s="5" t="n">
        <f aca="false">B10/0.09</f>
        <v>6470282.66666667</v>
      </c>
    </row>
    <row r="14" customFormat="false" ht="22" hidden="false" customHeight="true" outlineLevel="0" collapsed="false">
      <c r="A14" s="2" t="s">
        <v>51</v>
      </c>
      <c r="B14" s="5" t="n">
        <f aca="false">MIN(B6,B11,B12)</f>
        <v>5905781.09613377</v>
      </c>
    </row>
    <row r="15" customFormat="false" ht="22" hidden="false" customHeight="true" outlineLevel="0" collapsed="false">
      <c r="A15" s="2" t="s">
        <v>52</v>
      </c>
      <c r="B15" s="9" t="str">
        <f aca="false">IF(B14=B6,"LTV",IF(B14=B11,"DSCR","Debt yield"))</f>
        <v>DSCR</v>
      </c>
    </row>
    <row r="16" customFormat="false" ht="22" hidden="false" customHeight="true" outlineLevel="0" collapsed="false">
      <c r="A16" s="2" t="s">
        <v>53</v>
      </c>
      <c r="B16" s="5" t="n">
        <f aca="false">B9*B14</f>
        <v>447942.646153846</v>
      </c>
    </row>
    <row r="17" customFormat="false" ht="22" hidden="false" customHeight="true" outlineLevel="0" collapsed="false">
      <c r="A17" s="2" t="s">
        <v>54</v>
      </c>
      <c r="B17" s="9" t="n">
        <f aca="false">B10/B16</f>
        <v>1.3</v>
      </c>
    </row>
    <row r="18" customFormat="false" ht="22" hidden="false" customHeight="true" outlineLevel="0" collapsed="false">
      <c r="A18" s="2" t="s">
        <v>55</v>
      </c>
      <c r="B18" s="9" t="n">
        <f aca="false">B10/B14</f>
        <v>0.0986026116649024</v>
      </c>
    </row>
    <row r="19" customFormat="false" ht="22" hidden="false" customHeight="true" outlineLevel="0" collapsed="false">
      <c r="A19" s="2" t="s">
        <v>56</v>
      </c>
      <c r="B19" s="5" t="n">
        <f aca="false">Inputs!B6*B14</f>
        <v>369111.318508361</v>
      </c>
    </row>
    <row r="21" customFormat="false" ht="22" hidden="false" customHeight="true" outlineLevel="0" collapsed="false">
      <c r="A21" s="2" t="s">
        <v>57</v>
      </c>
      <c r="B21" s="7" t="n">
        <f aca="false">Inputs!B17</f>
        <v>4500000</v>
      </c>
    </row>
    <row r="22" customFormat="false" ht="22" hidden="false" customHeight="true" outlineLevel="0" collapsed="false">
      <c r="A22" s="2" t="s">
        <v>58</v>
      </c>
      <c r="B22" s="7" t="n">
        <f aca="false">Inputs!B19*B14</f>
        <v>59057.8109613377</v>
      </c>
    </row>
    <row r="23" customFormat="false" ht="22" hidden="false" customHeight="true" outlineLevel="0" collapsed="false">
      <c r="A23" s="2" t="s">
        <v>18</v>
      </c>
      <c r="B23" s="7" t="n">
        <f aca="false">Inputs!B18</f>
        <v>65000</v>
      </c>
    </row>
    <row r="24" customFormat="false" ht="22" hidden="false" customHeight="true" outlineLevel="0" collapsed="false">
      <c r="A24" s="2" t="s">
        <v>59</v>
      </c>
      <c r="B24" s="5" t="n">
        <f aca="false">B14-B21-B22-B23</f>
        <v>1281723.28517244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8"/>
  </cols>
  <sheetData>
    <row r="1" customFormat="false" ht="27" hidden="false" customHeight="true" outlineLevel="0" collapsed="false">
      <c r="A1" s="1" t="s">
        <v>60</v>
      </c>
    </row>
    <row r="3" customFormat="false" ht="25" hidden="false" customHeight="true" outlineLevel="0" collapsed="false">
      <c r="A3" s="2" t="s">
        <v>61</v>
      </c>
    </row>
    <row r="4" customFormat="false" ht="22" hidden="false" customHeight="true" outlineLevel="0" collapsed="false">
      <c r="A4" s="2" t="s">
        <v>62</v>
      </c>
      <c r="B4" s="5" t="n">
        <f aca="false">Inputs!B14*0.95</f>
        <v>925315.2</v>
      </c>
    </row>
    <row r="5" customFormat="false" ht="22" hidden="false" customHeight="true" outlineLevel="0" collapsed="false">
      <c r="A5" s="2" t="s">
        <v>63</v>
      </c>
      <c r="B5" s="7" t="n">
        <f aca="false">MAX(Inputs!B15,Inputs!B16*B4)</f>
        <v>32386.032</v>
      </c>
    </row>
    <row r="6" customFormat="false" ht="22" hidden="false" customHeight="true" outlineLevel="0" collapsed="false">
      <c r="A6" s="2" t="s">
        <v>64</v>
      </c>
      <c r="B6" s="5" t="n">
        <f aca="false">UW!B5+UW!B6+UW!B7+UW!B8+UW!B9+UW!B10+B5</f>
        <v>374386.032</v>
      </c>
    </row>
    <row r="7" customFormat="false" ht="22" hidden="false" customHeight="true" outlineLevel="0" collapsed="false">
      <c r="A7" s="2" t="s">
        <v>65</v>
      </c>
      <c r="B7" s="5" t="n">
        <f aca="false">B4-B6</f>
        <v>550929.168</v>
      </c>
    </row>
    <row r="8" customFormat="false" ht="22" hidden="false" customHeight="true" outlineLevel="0" collapsed="false">
      <c r="A8" s="2" t="s">
        <v>66</v>
      </c>
      <c r="B8" s="5" t="n">
        <f aca="false">B7-(Inputs!B9*Inputs!B10)</f>
        <v>535329.168</v>
      </c>
    </row>
    <row r="10" customFormat="false" ht="22" hidden="false" customHeight="true" outlineLevel="0" collapsed="false">
      <c r="A10" s="2" t="s">
        <v>67</v>
      </c>
      <c r="B10" s="9" t="n">
        <f aca="false">12*ABS(PMT((Inputs!B5+0.01)/12,Inputs!B7,1))</f>
        <v>0.0839057410263335</v>
      </c>
    </row>
    <row r="11" customFormat="false" ht="22" hidden="false" customHeight="true" outlineLevel="0" collapsed="false">
      <c r="A11" s="2" t="s">
        <v>68</v>
      </c>
      <c r="B11" s="5" t="n">
        <f aca="false">B7/Inputs!B4</f>
        <v>9581376.83478261</v>
      </c>
    </row>
    <row r="12" customFormat="false" ht="22" hidden="false" customHeight="true" outlineLevel="0" collapsed="false">
      <c r="A12" s="2" t="s">
        <v>46</v>
      </c>
      <c r="B12" s="5" t="n">
        <f aca="false">0.6*B11</f>
        <v>5748826.10086956</v>
      </c>
    </row>
    <row r="13" customFormat="false" ht="22" hidden="false" customHeight="true" outlineLevel="0" collapsed="false">
      <c r="A13" s="2" t="s">
        <v>49</v>
      </c>
      <c r="B13" s="5" t="n">
        <f aca="false">B8/(1.3*B10)</f>
        <v>4907788.93857893</v>
      </c>
    </row>
    <row r="14" customFormat="false" ht="22" hidden="false" customHeight="true" outlineLevel="0" collapsed="false">
      <c r="A14" s="2" t="s">
        <v>50</v>
      </c>
      <c r="B14" s="5" t="n">
        <f aca="false">B8/0.09</f>
        <v>5948101.86666667</v>
      </c>
    </row>
    <row r="15" customFormat="false" ht="22" hidden="false" customHeight="true" outlineLevel="0" collapsed="false">
      <c r="A15" s="2" t="s">
        <v>69</v>
      </c>
      <c r="B15" s="5" t="n">
        <f aca="false">MIN(B12,B13,B14)</f>
        <v>4907788.93857893</v>
      </c>
    </row>
    <row r="18" customFormat="false" ht="22" hidden="false" customHeight="true" outlineLevel="0" collapsed="false">
      <c r="A18" s="2" t="s">
        <v>70</v>
      </c>
      <c r="B18" s="5" t="n">
        <f aca="false">UW!B14/(Inputs!B4+0.005)</f>
        <v>9566807.04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5"/>
  </cols>
  <sheetData>
    <row r="1" customFormat="false" ht="27" hidden="false" customHeight="true" outlineLevel="0" collapsed="false">
      <c r="A1" s="1" t="s">
        <v>71</v>
      </c>
    </row>
    <row r="3" customFormat="false" ht="22" hidden="false" customHeight="true" outlineLevel="0" collapsed="false">
      <c r="A3" s="2" t="s">
        <v>72</v>
      </c>
      <c r="B3" s="9" t="n">
        <v>48</v>
      </c>
    </row>
    <row r="4" customFormat="false" ht="22" hidden="false" customHeight="true" outlineLevel="0" collapsed="false">
      <c r="A4" s="2" t="s">
        <v>73</v>
      </c>
      <c r="B4" s="9" t="n">
        <v>34</v>
      </c>
    </row>
    <row r="5" customFormat="false" ht="22" hidden="false" customHeight="true" outlineLevel="0" collapsed="false">
      <c r="A5" s="2" t="s">
        <v>74</v>
      </c>
      <c r="B5" s="10" t="n">
        <f aca="false">B4/B3</f>
        <v>0.708333333333333</v>
      </c>
    </row>
    <row r="6" customFormat="false" ht="22" hidden="false" customHeight="true" outlineLevel="0" collapsed="false">
      <c r="A6" s="2" t="s">
        <v>75</v>
      </c>
      <c r="B6" s="9" t="n">
        <v>43200</v>
      </c>
    </row>
    <row r="7" customFormat="false" ht="22" hidden="false" customHeight="true" outlineLevel="0" collapsed="false">
      <c r="A7" s="2" t="s">
        <v>76</v>
      </c>
      <c r="B7" s="9" t="n">
        <v>27800</v>
      </c>
    </row>
    <row r="8" customFormat="false" ht="22" hidden="false" customHeight="true" outlineLevel="0" collapsed="false">
      <c r="A8" s="2" t="s">
        <v>77</v>
      </c>
      <c r="B8" s="10" t="n">
        <f aca="false">B7/B6</f>
        <v>0.643518518518519</v>
      </c>
    </row>
    <row r="9" customFormat="false" ht="22" hidden="false" customHeight="true" outlineLevel="0" collapsed="false">
      <c r="A9" s="2" t="s">
        <v>78</v>
      </c>
      <c r="B9" s="5" t="n">
        <v>58050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