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ssumptions" sheetId="1" state="visible" r:id="rId3"/>
    <sheet name="T12" sheetId="2" state="visible" r:id="rId4"/>
    <sheet name="Rent Roll" sheetId="3" state="visible" r:id="rId5"/>
    <sheet name="Underwriting" sheetId="4" state="visible" r:id="rId6"/>
    <sheet name="Sizing" sheetId="5" state="visible" r:id="rId7"/>
    <sheet name="Sources &amp; Uses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<sst xmlns="http://schemas.openxmlformats.org/spreadsheetml/2006/main" count="136" uniqueCount="113">
  <si>
    <t xml:space="preserve">Cap rate</t>
  </si>
  <si>
    <t xml:space="preserve">Sizing rate (annual)</t>
  </si>
  <si>
    <t xml:space="preserve">EGI (annual)</t>
  </si>
  <si>
    <t xml:space="preserve">Gross potential base rent (scenario)</t>
  </si>
  <si>
    <t xml:space="preserve">Combined revenue loss % (scenario)</t>
  </si>
  <si>
    <t xml:space="preserve">Other income (scenario)</t>
  </si>
  <si>
    <t xml:space="preserve">EGI from scenario = GPR*(1-Loss%)+Other</t>
  </si>
  <si>
    <t xml:space="preserve">Rentable SF</t>
  </si>
  <si>
    <t xml:space="preserve">Reserve per SF (annual)</t>
  </si>
  <si>
    <t xml:space="preserve">T12 management fee (annual)</t>
  </si>
  <si>
    <t xml:space="preserve">Contract rate (annual)</t>
  </si>
  <si>
    <t xml:space="preserve">Hawthorn Center | T12 summary (Sep 2025 - Aug 2026)</t>
  </si>
  <si>
    <t xml:space="preserve">Gross potential base rent</t>
  </si>
  <si>
    <t xml:space="preserve">Vacancy loss</t>
  </si>
  <si>
    <t xml:space="preserve">Concessions</t>
  </si>
  <si>
    <t xml:space="preserve">Bad debt</t>
  </si>
  <si>
    <t xml:space="preserve">Other income / recoveries</t>
  </si>
  <si>
    <t xml:space="preserve">EGI (calculated)</t>
  </si>
  <si>
    <t xml:space="preserve">Real estate taxes</t>
  </si>
  <si>
    <t xml:space="preserve">Property insurance</t>
  </si>
  <si>
    <t xml:space="preserve">Utilities</t>
  </si>
  <si>
    <t xml:space="preserve">Repairs and maintenance</t>
  </si>
  <si>
    <t xml:space="preserve">Payroll / contract labor</t>
  </si>
  <si>
    <t xml:space="preserve">Administrative / legal</t>
  </si>
  <si>
    <t xml:space="preserve">Management fee</t>
  </si>
  <si>
    <t xml:space="preserve">Operating expenses total (before reserves)</t>
  </si>
  <si>
    <t xml:space="preserve">NOI before reserves</t>
  </si>
  <si>
    <t xml:space="preserve">Replacement reserves (below NOI)</t>
  </si>
  <si>
    <t xml:space="preserve">NCF after reserves</t>
  </si>
  <si>
    <t xml:space="preserve">Hawthorn Center | Rent roll as of 2026-08-31</t>
  </si>
  <si>
    <t xml:space="preserve">Unit / suite</t>
  </si>
  <si>
    <t xml:space="preserve">Tenant</t>
  </si>
  <si>
    <t xml:space="preserve">Area SF</t>
  </si>
  <si>
    <t xml:space="preserve">Status</t>
  </si>
  <si>
    <t xml:space="preserve">Monthly base rent</t>
  </si>
  <si>
    <t xml:space="preserve">Market monthly rent</t>
  </si>
  <si>
    <t xml:space="preserve">Lease expiry</t>
  </si>
  <si>
    <t xml:space="preserve">101</t>
  </si>
  <si>
    <t xml:space="preserve">Tenant A LLC</t>
  </si>
  <si>
    <t xml:space="preserve">Occupied</t>
  </si>
  <si>
    <t xml:space="preserve">2029-08-31</t>
  </si>
  <si>
    <t xml:space="preserve">102</t>
  </si>
  <si>
    <t xml:space="preserve">Tenant B LLC</t>
  </si>
  <si>
    <t xml:space="preserve">2028-08-31</t>
  </si>
  <si>
    <t xml:space="preserve">103</t>
  </si>
  <si>
    <t xml:space="preserve">Tenant C LLC</t>
  </si>
  <si>
    <t xml:space="preserve">104</t>
  </si>
  <si>
    <t xml:space="preserve">Tenant D LLC</t>
  </si>
  <si>
    <t xml:space="preserve">2030-08-31</t>
  </si>
  <si>
    <t xml:space="preserve">105</t>
  </si>
  <si>
    <t xml:space="preserve">Tenant E LLC</t>
  </si>
  <si>
    <t xml:space="preserve">2031-08-31</t>
  </si>
  <si>
    <t xml:space="preserve">106</t>
  </si>
  <si>
    <t xml:space="preserve">Tenant F LLC</t>
  </si>
  <si>
    <t xml:space="preserve">2027-08-31</t>
  </si>
  <si>
    <t xml:space="preserve">107</t>
  </si>
  <si>
    <t xml:space="preserve">Tenant G LLC</t>
  </si>
  <si>
    <t xml:space="preserve">108</t>
  </si>
  <si>
    <t xml:space="preserve">Tenant H LLC</t>
  </si>
  <si>
    <t xml:space="preserve">109</t>
  </si>
  <si>
    <t xml:space="preserve">Tenant I LLC</t>
  </si>
  <si>
    <t xml:space="preserve">110</t>
  </si>
  <si>
    <t xml:space="preserve">Vacant</t>
  </si>
  <si>
    <t xml:space="preserve">Totals</t>
  </si>
  <si>
    <t xml:space="preserve">Count / Area / Rent sums</t>
  </si>
  <si>
    <t xml:space="preserve">Space count</t>
  </si>
  <si>
    <t xml:space="preserve">Occupied count</t>
  </si>
  <si>
    <t xml:space="preserve">Total area SF</t>
  </si>
  <si>
    <t xml:space="preserve">Occupied area SF</t>
  </si>
  <si>
    <t xml:space="preserve">Occupancy by count %</t>
  </si>
  <si>
    <t xml:space="preserve">Occupancy by area %</t>
  </si>
  <si>
    <t xml:space="preserve">Monthly base rent (as printed)</t>
  </si>
  <si>
    <t xml:space="preserve">Underwriting summary</t>
  </si>
  <si>
    <t xml:space="preserve">EGI (input)</t>
  </si>
  <si>
    <t xml:space="preserve">Operating expenses (before reserves)</t>
  </si>
  <si>
    <t xml:space="preserve">Property insurance (renewal)</t>
  </si>
  <si>
    <t xml:space="preserve">Management fee (greater of T12 or 4% of EGI)</t>
  </si>
  <si>
    <t xml:space="preserve">Replacement reserves</t>
  </si>
  <si>
    <t xml:space="preserve">Loan sizing</t>
  </si>
  <si>
    <t xml:space="preserve">Amortization (years)</t>
  </si>
  <si>
    <t xml:space="preserve">Annual debt constant at sizing rate</t>
  </si>
  <si>
    <t xml:space="preserve">Capitalization value (NOI before reserves / cap rate)</t>
  </si>
  <si>
    <t xml:space="preserve">LTV limit (62.5% of value)</t>
  </si>
  <si>
    <t xml:space="preserve">Debt yield limit (NOI before reserves / 9%)</t>
  </si>
  <si>
    <t xml:space="preserve">DSCR limit (NCF / (1.25 x constant))</t>
  </si>
  <si>
    <t xml:space="preserve">Maximum loan (min of three)</t>
  </si>
  <si>
    <t xml:space="preserve">Annual debt service at maximum (sizing rate)</t>
  </si>
  <si>
    <t xml:space="preserve">Sizing DSCR (NCF / ADS)</t>
  </si>
  <si>
    <t xml:space="preserve">Sizing debt yield (NOI / Loan)</t>
  </si>
  <si>
    <t xml:space="preserve">First-year contractual annual debt service</t>
  </si>
  <si>
    <t xml:space="preserve">Stress: EGI -5% and sizing rate +100 bps</t>
  </si>
  <si>
    <t xml:space="preserve">Stress EGI</t>
  </si>
  <si>
    <t xml:space="preserve">Stress management fee (greater of T12 or 4% of stress EGI)</t>
  </si>
  <si>
    <t xml:space="preserve">Operating expenses excl. management (hold constant)</t>
  </si>
  <si>
    <t xml:space="preserve">Stress NOI before reserves</t>
  </si>
  <si>
    <t xml:space="preserve">Stress NCF after reserves</t>
  </si>
  <si>
    <t xml:space="preserve">Stress sizing rate</t>
  </si>
  <si>
    <t xml:space="preserve">Annual debt constant at stress sizing rate</t>
  </si>
  <si>
    <t xml:space="preserve">Stress capitalization value (cap unchanged)</t>
  </si>
  <si>
    <t xml:space="preserve">Stress LTV limit (62.5% of stress value)</t>
  </si>
  <si>
    <t xml:space="preserve">Stress DSCR limit</t>
  </si>
  <si>
    <t xml:space="preserve">Stress Debt yield limit</t>
  </si>
  <si>
    <t xml:space="preserve">Stress maximum loan (min of three)</t>
  </si>
  <si>
    <t xml:space="preserve">Cap-rate +50 bps sensitivity (value only)</t>
  </si>
  <si>
    <t xml:space="preserve">Cap rate +50 bps</t>
  </si>
  <si>
    <t xml:space="preserve">Value at Cap +50 bps</t>
  </si>
  <si>
    <t xml:space="preserve">Sources and uses at maximum loan</t>
  </si>
  <si>
    <t xml:space="preserve">Gross loan amount (maximum)</t>
  </si>
  <si>
    <t xml:space="preserve">Origination fee (0.80%)</t>
  </si>
  <si>
    <t xml:space="preserve">Net loan proceeds after fee</t>
  </si>
  <si>
    <t xml:space="preserve">Existing debt payoff</t>
  </si>
  <si>
    <t xml:space="preserve">Fixed closing costs</t>
  </si>
  <si>
    <t xml:space="preserve">Cash to/(from) borrower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</si>
</sst>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%"/>
    <numFmt numFmtId="166" formatCode="\$#,##0"/>
    <numFmt numFmtId="167" formatCode="#,##0"/>
    <numFmt numFmtId="168" formatCode="\$0.00"/>
    <numFmt numFmtId="169" formatCode="0.000000000"/>
    <numFmt numFmtId="170" formatCode="0.00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71717"/>
      <name val="Arial"/>
      <family val="0"/>
      <charset val="1"/>
    </font>
    <font>
      <sz val="9"/>
      <color rgb="FF526258"/>
      <name val="Arial"/>
      <family val="0"/>
      <charset val="1"/>
    </font>
    <font>
      <b val="true"/>
      <sz val="15"/>
      <color rgb="FF171717"/>
      <name val="Arial"/>
      <family val="0"/>
      <charset val="1"/>
    </font>
    <font>
      <b val="true"/>
      <sz val="10"/>
      <color rgb="FF171717"/>
      <name val="Arial"/>
      <family val="0"/>
      <charset val="1"/>
    </font>
    <font>
      <sz val="10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33F32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AAB8A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B8A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6258"/>
      <rgbColor rgb="FF969696"/>
      <rgbColor rgb="FF003366"/>
      <rgbColor rgb="FF339966"/>
      <rgbColor rgb="FF171717"/>
      <rgbColor rgb="FF333300"/>
      <rgbColor rgb="FF993300"/>
      <rgbColor rgb="FF993366"/>
      <rgbColor rgb="FF333399"/>
      <rgbColor rgb="FF233F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0"/>
  </cols>
  <sheetData>
    <row r="1" customFormat="false" ht="22" hidden="false" customHeight="true" outlineLevel="0" collapsed="false">
      <c r="A1" s="1" t="s">
        <v>0</v>
      </c>
      <c r="B1" s="2" t="n">
        <v>0.0625</v>
      </c>
    </row>
    <row r="2" customFormat="false" ht="22" hidden="false" customHeight="true" outlineLevel="0" collapsed="false">
      <c r="A2" s="1" t="s">
        <v>1</v>
      </c>
      <c r="B2" s="2" t="n">
        <v>0.0735</v>
      </c>
    </row>
    <row r="3" customFormat="false" ht="22" hidden="false" customHeight="true" outlineLevel="0" collapsed="false">
      <c r="A3" s="1" t="s">
        <v>2</v>
      </c>
      <c r="B3" s="3" t="n">
        <v>921000</v>
      </c>
    </row>
    <row r="4" customFormat="false" ht="22" hidden="false" customHeight="true" outlineLevel="0" collapsed="false">
      <c r="A4" s="4" t="s">
        <v>3</v>
      </c>
      <c r="B4" s="3" t="n">
        <v>780000</v>
      </c>
    </row>
    <row r="5" customFormat="false" ht="22" hidden="false" customHeight="true" outlineLevel="0" collapsed="false">
      <c r="A5" s="4" t="s">
        <v>4</v>
      </c>
      <c r="B5" s="2" t="n">
        <v>0.05</v>
      </c>
    </row>
    <row r="6" customFormat="false" ht="22" hidden="false" customHeight="true" outlineLevel="0" collapsed="false">
      <c r="A6" s="4" t="s">
        <v>5</v>
      </c>
      <c r="B6" s="3" t="n">
        <v>180000</v>
      </c>
    </row>
    <row r="7" customFormat="false" ht="22" hidden="false" customHeight="true" outlineLevel="0" collapsed="false">
      <c r="A7" s="5" t="s">
        <v>6</v>
      </c>
      <c r="B7" s="3" t="n">
        <f aca="false">B4*(1-B5)+B6</f>
        <v>921000</v>
      </c>
    </row>
    <row r="8" customFormat="false" ht="22" hidden="false" customHeight="true" outlineLevel="0" collapsed="false">
      <c r="A8" s="4" t="s">
        <v>7</v>
      </c>
      <c r="B8" s="6" t="n">
        <v>28800</v>
      </c>
    </row>
    <row r="9" customFormat="false" ht="22" hidden="false" customHeight="true" outlineLevel="0" collapsed="false">
      <c r="A9" s="4" t="s">
        <v>8</v>
      </c>
      <c r="B9" s="7" t="n">
        <v>0.15</v>
      </c>
    </row>
    <row r="10" customFormat="false" ht="22" hidden="false" customHeight="true" outlineLevel="0" collapsed="false">
      <c r="A10" s="4" t="s">
        <v>9</v>
      </c>
      <c r="B10" s="3" t="n">
        <v>18000</v>
      </c>
    </row>
    <row r="11" customFormat="false" ht="22" hidden="false" customHeight="true" outlineLevel="0" collapsed="false">
      <c r="A11" s="4" t="s">
        <v>10</v>
      </c>
      <c r="B11" s="2" t="n">
        <v>0.0635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</cols>
  <sheetData>
    <row r="1" customFormat="false" ht="27" hidden="false" customHeight="true" outlineLevel="0" collapsed="false">
      <c r="A1" s="8" t="s">
        <v>11</v>
      </c>
    </row>
    <row r="3" customFormat="false" ht="22" hidden="false" customHeight="true" outlineLevel="0" collapsed="false">
      <c r="A3" s="4" t="s">
        <v>12</v>
      </c>
      <c r="B3" s="3" t="n">
        <v>759600</v>
      </c>
    </row>
    <row r="4" customFormat="false" ht="22" hidden="false" customHeight="true" outlineLevel="0" collapsed="false">
      <c r="A4" s="4" t="s">
        <v>13</v>
      </c>
      <c r="B4" s="3" t="n">
        <v>40800</v>
      </c>
    </row>
    <row r="5" customFormat="false" ht="22" hidden="false" customHeight="true" outlineLevel="0" collapsed="false">
      <c r="A5" s="4" t="s">
        <v>14</v>
      </c>
      <c r="B5" s="3" t="n">
        <v>22800</v>
      </c>
    </row>
    <row r="6" customFormat="false" ht="22" hidden="false" customHeight="true" outlineLevel="0" collapsed="false">
      <c r="A6" s="4" t="s">
        <v>15</v>
      </c>
      <c r="B6" s="3" t="n">
        <v>6000</v>
      </c>
    </row>
    <row r="7" customFormat="false" ht="22" hidden="false" customHeight="true" outlineLevel="0" collapsed="false">
      <c r="A7" s="4" t="s">
        <v>16</v>
      </c>
      <c r="B7" s="3" t="n">
        <v>176400</v>
      </c>
    </row>
    <row r="8" customFormat="false" ht="22" hidden="false" customHeight="true" outlineLevel="0" collapsed="false">
      <c r="A8" s="9" t="s">
        <v>17</v>
      </c>
      <c r="B8" s="3" t="n">
        <f aca="false">B3-B4-B5-B6+B7</f>
        <v>866400</v>
      </c>
    </row>
    <row r="10" customFormat="false" ht="22" hidden="false" customHeight="true" outlineLevel="0" collapsed="false">
      <c r="A10" s="4" t="s">
        <v>18</v>
      </c>
      <c r="B10" s="3" t="n">
        <v>114000</v>
      </c>
    </row>
    <row r="11" customFormat="false" ht="22" hidden="false" customHeight="true" outlineLevel="0" collapsed="false">
      <c r="A11" s="4" t="s">
        <v>19</v>
      </c>
      <c r="B11" s="3" t="n">
        <v>32400</v>
      </c>
    </row>
    <row r="12" customFormat="false" ht="22" hidden="false" customHeight="true" outlineLevel="0" collapsed="false">
      <c r="A12" s="4" t="s">
        <v>20</v>
      </c>
      <c r="B12" s="3" t="n">
        <v>21600</v>
      </c>
    </row>
    <row r="13" customFormat="false" ht="22" hidden="false" customHeight="true" outlineLevel="0" collapsed="false">
      <c r="A13" s="4" t="s">
        <v>21</v>
      </c>
      <c r="B13" s="3" t="n">
        <v>36000</v>
      </c>
    </row>
    <row r="14" customFormat="false" ht="22" hidden="false" customHeight="true" outlineLevel="0" collapsed="false">
      <c r="A14" s="4" t="s">
        <v>22</v>
      </c>
      <c r="B14" s="3" t="n">
        <v>24000</v>
      </c>
    </row>
    <row r="15" customFormat="false" ht="22" hidden="false" customHeight="true" outlineLevel="0" collapsed="false">
      <c r="A15" s="4" t="s">
        <v>23</v>
      </c>
      <c r="B15" s="3" t="n">
        <v>18000</v>
      </c>
    </row>
    <row r="16" customFormat="false" ht="22" hidden="false" customHeight="true" outlineLevel="0" collapsed="false">
      <c r="A16" s="4" t="s">
        <v>24</v>
      </c>
      <c r="B16" s="3" t="n">
        <v>18000</v>
      </c>
    </row>
    <row r="17" customFormat="false" ht="22" hidden="false" customHeight="true" outlineLevel="0" collapsed="false">
      <c r="A17" s="9" t="s">
        <v>25</v>
      </c>
      <c r="B17" s="3" t="n">
        <f aca="false">SUM(B10:B16)</f>
        <v>264000</v>
      </c>
    </row>
    <row r="18" customFormat="false" ht="22" hidden="false" customHeight="true" outlineLevel="0" collapsed="false">
      <c r="A18" s="9" t="s">
        <v>26</v>
      </c>
      <c r="B18" s="3" t="n">
        <f aca="false">B8-B17</f>
        <v>602400</v>
      </c>
    </row>
    <row r="20" customFormat="false" ht="22" hidden="false" customHeight="true" outlineLevel="0" collapsed="false">
      <c r="A20" s="4" t="s">
        <v>27</v>
      </c>
      <c r="B20" s="3" t="n">
        <v>11520</v>
      </c>
    </row>
    <row r="21" customFormat="false" ht="22" hidden="false" customHeight="true" outlineLevel="0" collapsed="false">
      <c r="A21" s="9" t="s">
        <v>28</v>
      </c>
      <c r="B21" s="3" t="n">
        <f aca="false">B18-B20</f>
        <v>590880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8"/>
    <col collapsed="false" customWidth="true" hidden="false" outlineLevel="0" max="4" min="3" style="0" width="12"/>
    <col collapsed="false" customWidth="true" hidden="false" outlineLevel="0" max="5" min="5" style="0" width="20"/>
    <col collapsed="false" customWidth="true" hidden="false" outlineLevel="0" max="6" min="6" style="0" width="22"/>
    <col collapsed="false" customWidth="true" hidden="false" outlineLevel="0" max="7" min="7" style="0" width="16"/>
  </cols>
  <sheetData>
    <row r="1" customFormat="false" ht="27" hidden="false" customHeight="true" outlineLevel="0" collapsed="false">
      <c r="A1" s="8" t="s">
        <v>29</v>
      </c>
    </row>
    <row r="3" customFormat="false" ht="25" hidden="false" customHeight="true" outlineLevel="0" collapsed="false">
      <c r="A3" s="1" t="s">
        <v>30</v>
      </c>
      <c r="B3" s="1" t="s">
        <v>31</v>
      </c>
      <c r="C3" s="1" t="s">
        <v>32</v>
      </c>
      <c r="D3" s="1" t="s">
        <v>33</v>
      </c>
      <c r="E3" s="1" t="s">
        <v>34</v>
      </c>
      <c r="F3" s="1" t="s">
        <v>35</v>
      </c>
      <c r="G3" s="1" t="s">
        <v>36</v>
      </c>
    </row>
    <row r="4" customFormat="false" ht="22" hidden="false" customHeight="true" outlineLevel="0" collapsed="false">
      <c r="A4" s="4" t="s">
        <v>37</v>
      </c>
      <c r="B4" s="4" t="s">
        <v>38</v>
      </c>
      <c r="C4" s="4" t="n">
        <v>1400</v>
      </c>
      <c r="D4" s="4" t="s">
        <v>39</v>
      </c>
      <c r="E4" s="3" t="n">
        <v>3000</v>
      </c>
      <c r="F4" s="3" t="n">
        <v>3000</v>
      </c>
      <c r="G4" s="4" t="s">
        <v>40</v>
      </c>
    </row>
    <row r="5" customFormat="false" ht="22" hidden="false" customHeight="true" outlineLevel="0" collapsed="false">
      <c r="A5" s="4" t="s">
        <v>41</v>
      </c>
      <c r="B5" s="4" t="s">
        <v>42</v>
      </c>
      <c r="C5" s="4" t="n">
        <v>1800</v>
      </c>
      <c r="D5" s="4" t="s">
        <v>39</v>
      </c>
      <c r="E5" s="3" t="n">
        <v>4000</v>
      </c>
      <c r="F5" s="3" t="n">
        <v>4000</v>
      </c>
      <c r="G5" s="4" t="s">
        <v>43</v>
      </c>
    </row>
    <row r="6" customFormat="false" ht="22" hidden="false" customHeight="true" outlineLevel="0" collapsed="false">
      <c r="A6" s="4" t="s">
        <v>44</v>
      </c>
      <c r="B6" s="4" t="s">
        <v>45</v>
      </c>
      <c r="C6" s="4" t="n">
        <v>2200</v>
      </c>
      <c r="D6" s="4" t="s">
        <v>39</v>
      </c>
      <c r="E6" s="3" t="n">
        <v>4900</v>
      </c>
      <c r="F6" s="3" t="n">
        <v>4900</v>
      </c>
      <c r="G6" s="4" t="s">
        <v>40</v>
      </c>
    </row>
    <row r="7" customFormat="false" ht="22" hidden="false" customHeight="true" outlineLevel="0" collapsed="false">
      <c r="A7" s="4" t="s">
        <v>46</v>
      </c>
      <c r="B7" s="4" t="s">
        <v>47</v>
      </c>
      <c r="C7" s="4" t="n">
        <v>2500</v>
      </c>
      <c r="D7" s="4" t="s">
        <v>39</v>
      </c>
      <c r="E7" s="3" t="n">
        <v>5600</v>
      </c>
      <c r="F7" s="3" t="n">
        <v>5600</v>
      </c>
      <c r="G7" s="4" t="s">
        <v>48</v>
      </c>
    </row>
    <row r="8" customFormat="false" ht="22" hidden="false" customHeight="true" outlineLevel="0" collapsed="false">
      <c r="A8" s="4" t="s">
        <v>49</v>
      </c>
      <c r="B8" s="4" t="s">
        <v>50</v>
      </c>
      <c r="C8" s="4" t="n">
        <v>3000</v>
      </c>
      <c r="D8" s="4" t="s">
        <v>39</v>
      </c>
      <c r="E8" s="3" t="n">
        <v>6500</v>
      </c>
      <c r="F8" s="3" t="n">
        <v>6500</v>
      </c>
      <c r="G8" s="4" t="s">
        <v>51</v>
      </c>
    </row>
    <row r="9" customFormat="false" ht="22" hidden="false" customHeight="true" outlineLevel="0" collapsed="false">
      <c r="A9" s="4" t="s">
        <v>52</v>
      </c>
      <c r="B9" s="4" t="s">
        <v>53</v>
      </c>
      <c r="C9" s="4" t="n">
        <v>3300</v>
      </c>
      <c r="D9" s="4" t="s">
        <v>39</v>
      </c>
      <c r="E9" s="3" t="n">
        <v>7400</v>
      </c>
      <c r="F9" s="3" t="n">
        <v>7400</v>
      </c>
      <c r="G9" s="4" t="s">
        <v>54</v>
      </c>
    </row>
    <row r="10" customFormat="false" ht="22" hidden="false" customHeight="true" outlineLevel="0" collapsed="false">
      <c r="A10" s="4" t="s">
        <v>55</v>
      </c>
      <c r="B10" s="4" t="s">
        <v>56</v>
      </c>
      <c r="C10" s="4" t="n">
        <v>3800</v>
      </c>
      <c r="D10" s="4" t="s">
        <v>39</v>
      </c>
      <c r="E10" s="3" t="n">
        <v>8600</v>
      </c>
      <c r="F10" s="3" t="n">
        <v>8600</v>
      </c>
      <c r="G10" s="4" t="s">
        <v>43</v>
      </c>
    </row>
    <row r="11" customFormat="false" ht="22" hidden="false" customHeight="true" outlineLevel="0" collapsed="false">
      <c r="A11" s="4" t="s">
        <v>57</v>
      </c>
      <c r="B11" s="4" t="s">
        <v>58</v>
      </c>
      <c r="C11" s="4" t="n">
        <v>4200</v>
      </c>
      <c r="D11" s="4" t="s">
        <v>39</v>
      </c>
      <c r="E11" s="3" t="n">
        <v>9200</v>
      </c>
      <c r="F11" s="3" t="n">
        <v>9200</v>
      </c>
      <c r="G11" s="4" t="s">
        <v>40</v>
      </c>
    </row>
    <row r="12" customFormat="false" ht="22" hidden="false" customHeight="true" outlineLevel="0" collapsed="false">
      <c r="A12" s="4" t="s">
        <v>59</v>
      </c>
      <c r="B12" s="4" t="s">
        <v>60</v>
      </c>
      <c r="C12" s="4" t="n">
        <v>5000</v>
      </c>
      <c r="D12" s="4" t="s">
        <v>39</v>
      </c>
      <c r="E12" s="3" t="n">
        <v>10800</v>
      </c>
      <c r="F12" s="3" t="n">
        <v>10800</v>
      </c>
      <c r="G12" s="4" t="s">
        <v>48</v>
      </c>
    </row>
    <row r="13" customFormat="false" ht="22" hidden="false" customHeight="true" outlineLevel="0" collapsed="false">
      <c r="A13" s="4" t="s">
        <v>61</v>
      </c>
      <c r="B13" s="4" t="s">
        <v>62</v>
      </c>
      <c r="C13" s="4" t="n">
        <v>1600</v>
      </c>
      <c r="D13" s="4" t="s">
        <v>62</v>
      </c>
      <c r="E13" s="3" t="n">
        <v>0</v>
      </c>
      <c r="F13" s="3" t="n">
        <v>3400</v>
      </c>
    </row>
    <row r="15" customFormat="false" ht="36" hidden="false" customHeight="true" outlineLevel="0" collapsed="false">
      <c r="A15" s="1" t="s">
        <v>63</v>
      </c>
      <c r="B15" s="5" t="s">
        <v>64</v>
      </c>
    </row>
    <row r="16" customFormat="false" ht="22" hidden="false" customHeight="true" outlineLevel="0" collapsed="false">
      <c r="A16" s="4" t="s">
        <v>65</v>
      </c>
      <c r="B16" s="4" t="n">
        <v>10</v>
      </c>
    </row>
    <row r="17" customFormat="false" ht="22" hidden="false" customHeight="true" outlineLevel="0" collapsed="false">
      <c r="A17" s="4" t="s">
        <v>66</v>
      </c>
      <c r="B17" s="4" t="n">
        <v>9</v>
      </c>
    </row>
    <row r="18" customFormat="false" ht="22" hidden="false" customHeight="true" outlineLevel="0" collapsed="false">
      <c r="A18" s="4" t="s">
        <v>67</v>
      </c>
      <c r="B18" s="6" t="n">
        <f aca="false">SUM(C4:C13)</f>
        <v>28800</v>
      </c>
    </row>
    <row r="19" customFormat="false" ht="22" hidden="false" customHeight="true" outlineLevel="0" collapsed="false">
      <c r="A19" s="4" t="s">
        <v>68</v>
      </c>
      <c r="B19" s="6" t="n">
        <f aca="false">SUMIF(D4:D13,"Occupied",C4:C13)</f>
        <v>27200</v>
      </c>
    </row>
    <row r="20" customFormat="false" ht="22" hidden="false" customHeight="true" outlineLevel="0" collapsed="false">
      <c r="A20" s="4" t="s">
        <v>69</v>
      </c>
      <c r="B20" s="2" t="n">
        <f aca="false">B17/B16</f>
        <v>0.9</v>
      </c>
    </row>
    <row r="21" customFormat="false" ht="22" hidden="false" customHeight="true" outlineLevel="0" collapsed="false">
      <c r="A21" s="4" t="s">
        <v>70</v>
      </c>
      <c r="B21" s="2" t="n">
        <f aca="false">B19/B18</f>
        <v>0.944444444444444</v>
      </c>
    </row>
    <row r="22" customFormat="false" ht="22" hidden="false" customHeight="true" outlineLevel="0" collapsed="false">
      <c r="A22" s="9" t="s">
        <v>71</v>
      </c>
      <c r="B22" s="3" t="n">
        <f aca="false">SUM(E4:E12)</f>
        <v>60000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22"/>
  </cols>
  <sheetData>
    <row r="1" customFormat="false" ht="27" hidden="false" customHeight="true" outlineLevel="0" collapsed="false">
      <c r="A1" s="8" t="s">
        <v>72</v>
      </c>
    </row>
    <row r="3" customFormat="false" ht="22" hidden="false" customHeight="true" outlineLevel="0" collapsed="false">
      <c r="A3" s="1" t="s">
        <v>73</v>
      </c>
      <c r="B3" s="10" t="n">
        <f aca="false">Assumptions!B3</f>
        <v>921000</v>
      </c>
    </row>
    <row r="5" customFormat="false" ht="25" hidden="false" customHeight="true" outlineLevel="0" collapsed="false">
      <c r="A5" s="1" t="s">
        <v>74</v>
      </c>
    </row>
    <row r="6" customFormat="false" ht="22" hidden="false" customHeight="true" outlineLevel="0" collapsed="false">
      <c r="A6" s="4" t="s">
        <v>18</v>
      </c>
      <c r="B6" s="3" t="n">
        <v>120000</v>
      </c>
    </row>
    <row r="7" customFormat="false" ht="22" hidden="false" customHeight="true" outlineLevel="0" collapsed="false">
      <c r="A7" s="4" t="s">
        <v>75</v>
      </c>
      <c r="B7" s="3" t="n">
        <v>34800</v>
      </c>
    </row>
    <row r="8" customFormat="false" ht="22" hidden="false" customHeight="true" outlineLevel="0" collapsed="false">
      <c r="A8" s="4" t="s">
        <v>20</v>
      </c>
      <c r="B8" s="3" t="n">
        <v>21600</v>
      </c>
    </row>
    <row r="9" customFormat="false" ht="22" hidden="false" customHeight="true" outlineLevel="0" collapsed="false">
      <c r="A9" s="4" t="s">
        <v>21</v>
      </c>
      <c r="B9" s="3" t="n">
        <v>36000</v>
      </c>
    </row>
    <row r="10" customFormat="false" ht="22" hidden="false" customHeight="true" outlineLevel="0" collapsed="false">
      <c r="A10" s="4" t="s">
        <v>22</v>
      </c>
      <c r="B10" s="3" t="n">
        <v>24000</v>
      </c>
    </row>
    <row r="11" customFormat="false" ht="22" hidden="false" customHeight="true" outlineLevel="0" collapsed="false">
      <c r="A11" s="4" t="s">
        <v>23</v>
      </c>
      <c r="B11" s="3" t="n">
        <v>18000</v>
      </c>
    </row>
    <row r="12" customFormat="false" ht="22" hidden="false" customHeight="true" outlineLevel="0" collapsed="false">
      <c r="A12" s="4" t="s">
        <v>76</v>
      </c>
      <c r="B12" s="10" t="n">
        <f aca="false">MAX(Assumptions!B10,0.04*B3)</f>
        <v>36840</v>
      </c>
    </row>
    <row r="13" customFormat="false" ht="22" hidden="false" customHeight="true" outlineLevel="0" collapsed="false">
      <c r="A13" s="9" t="s">
        <v>25</v>
      </c>
      <c r="B13" s="3" t="n">
        <f aca="false">SUM(B6:B12)</f>
        <v>291240</v>
      </c>
    </row>
    <row r="15" customFormat="false" ht="22" hidden="false" customHeight="true" outlineLevel="0" collapsed="false">
      <c r="A15" s="9" t="s">
        <v>26</v>
      </c>
      <c r="B15" s="3" t="n">
        <f aca="false">B3-B13</f>
        <v>629760</v>
      </c>
    </row>
    <row r="17" customFormat="false" ht="22" hidden="false" customHeight="true" outlineLevel="0" collapsed="false">
      <c r="A17" s="4" t="s">
        <v>77</v>
      </c>
      <c r="B17" s="10" t="n">
        <f aca="false">Assumptions!B8*Assumptions!B9</f>
        <v>4320</v>
      </c>
    </row>
    <row r="18" customFormat="false" ht="22" hidden="false" customHeight="true" outlineLevel="0" collapsed="false">
      <c r="A18" s="9" t="s">
        <v>28</v>
      </c>
      <c r="B18" s="3" t="n">
        <f aca="false">B15-B17</f>
        <v>625440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26"/>
  </cols>
  <sheetData>
    <row r="1" customFormat="false" ht="27" hidden="false" customHeight="true" outlineLevel="0" collapsed="false">
      <c r="A1" s="8" t="s">
        <v>78</v>
      </c>
    </row>
    <row r="3" customFormat="false" ht="22" hidden="false" customHeight="true" outlineLevel="0" collapsed="false">
      <c r="A3" s="1" t="s">
        <v>0</v>
      </c>
      <c r="B3" s="11" t="n">
        <f aca="false">Assumptions!B1</f>
        <v>0.0625</v>
      </c>
    </row>
    <row r="4" customFormat="false" ht="22" hidden="false" customHeight="true" outlineLevel="0" collapsed="false">
      <c r="A4" s="1" t="s">
        <v>1</v>
      </c>
      <c r="B4" s="11" t="n">
        <f aca="false">Assumptions!B2</f>
        <v>0.0735</v>
      </c>
    </row>
    <row r="5" customFormat="false" ht="22" hidden="false" customHeight="true" outlineLevel="0" collapsed="false">
      <c r="A5" s="1" t="s">
        <v>79</v>
      </c>
      <c r="B5" s="4" t="n">
        <v>25</v>
      </c>
    </row>
    <row r="6" customFormat="false" ht="22" hidden="false" customHeight="true" outlineLevel="0" collapsed="false">
      <c r="A6" s="4" t="s">
        <v>80</v>
      </c>
      <c r="B6" s="12" t="n">
        <f aca="false">12*ABS(PMT(B4/12,B5*12,1))</f>
        <v>0.0875114376536683</v>
      </c>
    </row>
    <row r="8" customFormat="false" ht="22" hidden="false" customHeight="true" outlineLevel="0" collapsed="false">
      <c r="A8" s="4" t="s">
        <v>81</v>
      </c>
      <c r="B8" s="10" t="n">
        <f aca="false">Underwriting!B15/B3</f>
        <v>10076160</v>
      </c>
    </row>
    <row r="9" customFormat="false" ht="22" hidden="false" customHeight="true" outlineLevel="0" collapsed="false">
      <c r="A9" s="4" t="s">
        <v>82</v>
      </c>
      <c r="B9" s="3" t="n">
        <f aca="false">0.625*B8</f>
        <v>6297600</v>
      </c>
    </row>
    <row r="10" customFormat="false" ht="22" hidden="false" customHeight="true" outlineLevel="0" collapsed="false">
      <c r="A10" s="4" t="s">
        <v>83</v>
      </c>
      <c r="B10" s="10" t="n">
        <f aca="false">Underwriting!B15/0.09</f>
        <v>6997333.33333333</v>
      </c>
    </row>
    <row r="11" customFormat="false" ht="22" hidden="false" customHeight="true" outlineLevel="0" collapsed="false">
      <c r="A11" s="4" t="s">
        <v>84</v>
      </c>
      <c r="B11" s="10" t="n">
        <f aca="false">Underwriting!B18/(1.25*B6)</f>
        <v>5717561.19445978</v>
      </c>
    </row>
    <row r="12" customFormat="false" ht="22" hidden="false" customHeight="true" outlineLevel="0" collapsed="false">
      <c r="A12" s="9" t="s">
        <v>85</v>
      </c>
      <c r="B12" s="3" t="n">
        <f aca="false">MIN(B9,B10,B11)</f>
        <v>5717561.19445978</v>
      </c>
    </row>
    <row r="14" customFormat="false" ht="22" hidden="false" customHeight="true" outlineLevel="0" collapsed="false">
      <c r="A14" s="4" t="s">
        <v>86</v>
      </c>
      <c r="B14" s="3" t="n">
        <f aca="false">B12*B6</f>
        <v>500352</v>
      </c>
    </row>
    <row r="15" customFormat="false" ht="22" hidden="false" customHeight="true" outlineLevel="0" collapsed="false">
      <c r="A15" s="4" t="s">
        <v>87</v>
      </c>
      <c r="B15" s="13" t="n">
        <f aca="false">Underwriting!B18/B14</f>
        <v>1.25</v>
      </c>
    </row>
    <row r="16" customFormat="false" ht="22" hidden="false" customHeight="true" outlineLevel="0" collapsed="false">
      <c r="A16" s="4" t="s">
        <v>88</v>
      </c>
      <c r="B16" s="11" t="n">
        <f aca="false">Underwriting!B15/B12</f>
        <v>0.110144863969314</v>
      </c>
    </row>
    <row r="18" customFormat="false" ht="22" hidden="false" customHeight="true" outlineLevel="0" collapsed="false">
      <c r="A18" s="4" t="s">
        <v>89</v>
      </c>
      <c r="B18" s="3" t="n">
        <f aca="false">B14</f>
        <v>500352</v>
      </c>
    </row>
    <row r="21" customFormat="false" ht="25" hidden="false" customHeight="true" outlineLevel="0" collapsed="false">
      <c r="A21" s="1" t="s">
        <v>90</v>
      </c>
    </row>
    <row r="22" customFormat="false" ht="22" hidden="false" customHeight="true" outlineLevel="0" collapsed="false">
      <c r="A22" s="4" t="s">
        <v>91</v>
      </c>
      <c r="B22" s="10" t="n">
        <f aca="false">0.95*Assumptions!B3</f>
        <v>874950</v>
      </c>
    </row>
    <row r="23" customFormat="false" ht="22" hidden="false" customHeight="true" outlineLevel="0" collapsed="false">
      <c r="A23" s="4" t="s">
        <v>92</v>
      </c>
      <c r="B23" s="10" t="n">
        <f aca="false">MAX(Assumptions!B10,0.04*B22)</f>
        <v>34998</v>
      </c>
    </row>
    <row r="24" customFormat="false" ht="22" hidden="false" customHeight="true" outlineLevel="0" collapsed="false">
      <c r="A24" s="4" t="s">
        <v>93</v>
      </c>
      <c r="B24" s="10" t="n">
        <f aca="false">Underwriting!B13-Underwriting!B12</f>
        <v>254400</v>
      </c>
    </row>
    <row r="25" customFormat="false" ht="22" hidden="false" customHeight="true" outlineLevel="0" collapsed="false">
      <c r="A25" s="9" t="s">
        <v>94</v>
      </c>
      <c r="B25" s="3" t="n">
        <f aca="false">B22-(B24+B23)</f>
        <v>585552</v>
      </c>
    </row>
    <row r="26" customFormat="false" ht="22" hidden="false" customHeight="true" outlineLevel="0" collapsed="false">
      <c r="A26" s="9" t="s">
        <v>95</v>
      </c>
      <c r="B26" s="10" t="n">
        <f aca="false">B25-Underwriting!B17</f>
        <v>581232</v>
      </c>
    </row>
    <row r="27" customFormat="false" ht="22" hidden="false" customHeight="true" outlineLevel="0" collapsed="false">
      <c r="A27" s="4" t="s">
        <v>96</v>
      </c>
      <c r="B27" s="2" t="n">
        <f aca="false">B4+0.01</f>
        <v>0.0835</v>
      </c>
    </row>
    <row r="28" customFormat="false" ht="22" hidden="false" customHeight="true" outlineLevel="0" collapsed="false">
      <c r="A28" s="4" t="s">
        <v>97</v>
      </c>
      <c r="B28" s="12" t="n">
        <f aca="false">12*ABS(PMT(B27/12,B5*12,1))</f>
        <v>0.0954172730626365</v>
      </c>
    </row>
    <row r="29" customFormat="false" ht="22" hidden="false" customHeight="true" outlineLevel="0" collapsed="false">
      <c r="A29" s="4" t="s">
        <v>98</v>
      </c>
      <c r="B29" s="3" t="n">
        <f aca="false">B25/B3</f>
        <v>9368832</v>
      </c>
    </row>
    <row r="30" customFormat="false" ht="22" hidden="false" customHeight="true" outlineLevel="0" collapsed="false">
      <c r="A30" s="4" t="s">
        <v>99</v>
      </c>
      <c r="B30" s="3" t="n">
        <f aca="false">0.625*B29</f>
        <v>5855520</v>
      </c>
    </row>
    <row r="31" customFormat="false" ht="22" hidden="false" customHeight="true" outlineLevel="0" collapsed="false">
      <c r="A31" s="4" t="s">
        <v>100</v>
      </c>
      <c r="B31" s="3" t="n">
        <f aca="false">B26/(1.25*B28)</f>
        <v>4873180.55814445</v>
      </c>
    </row>
    <row r="32" customFormat="false" ht="22" hidden="false" customHeight="true" outlineLevel="0" collapsed="false">
      <c r="A32" s="4" t="s">
        <v>101</v>
      </c>
      <c r="B32" s="3" t="n">
        <f aca="false">B25/0.09</f>
        <v>6506133.33333333</v>
      </c>
    </row>
    <row r="33" customFormat="false" ht="22" hidden="false" customHeight="true" outlineLevel="0" collapsed="false">
      <c r="A33" s="9" t="s">
        <v>102</v>
      </c>
      <c r="B33" s="3" t="n">
        <f aca="false">MIN(B30,B31,B32)</f>
        <v>4873180.55814445</v>
      </c>
    </row>
    <row r="36" customFormat="false" ht="25" hidden="false" customHeight="true" outlineLevel="0" collapsed="false">
      <c r="A36" s="1" t="s">
        <v>103</v>
      </c>
    </row>
    <row r="37" customFormat="false" ht="22" hidden="false" customHeight="true" outlineLevel="0" collapsed="false">
      <c r="A37" s="4" t="s">
        <v>104</v>
      </c>
      <c r="B37" s="2" t="n">
        <f aca="false">B3+0.005</f>
        <v>0.0675</v>
      </c>
    </row>
    <row r="38" customFormat="false" ht="22" hidden="false" customHeight="true" outlineLevel="0" collapsed="false">
      <c r="A38" s="4" t="s">
        <v>105</v>
      </c>
      <c r="B38" s="10" t="n">
        <f aca="false">Underwriting!B15/B37</f>
        <v>9329777.77777778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4"/>
  </cols>
  <sheetData>
    <row r="1" customFormat="false" ht="27" hidden="false" customHeight="true" outlineLevel="0" collapsed="false">
      <c r="A1" s="8" t="s">
        <v>106</v>
      </c>
    </row>
    <row r="3" customFormat="false" ht="22" hidden="false" customHeight="true" outlineLevel="0" collapsed="false">
      <c r="A3" s="4" t="s">
        <v>107</v>
      </c>
      <c r="B3" s="10" t="n">
        <f aca="false">Sizing!B12</f>
        <v>5717561.19445978</v>
      </c>
    </row>
    <row r="4" customFormat="false" ht="22" hidden="false" customHeight="true" outlineLevel="0" collapsed="false">
      <c r="A4" s="4" t="s">
        <v>108</v>
      </c>
      <c r="B4" s="3" t="n">
        <f aca="false">0.008*B3</f>
        <v>45740.4895556782</v>
      </c>
    </row>
    <row r="5" customFormat="false" ht="22" hidden="false" customHeight="true" outlineLevel="0" collapsed="false">
      <c r="A5" s="9" t="s">
        <v>109</v>
      </c>
      <c r="B5" s="3" t="n">
        <f aca="false">B3-B4</f>
        <v>5671820.7049041</v>
      </c>
    </row>
    <row r="7" customFormat="false" ht="22" hidden="false" customHeight="true" outlineLevel="0" collapsed="false">
      <c r="A7" s="4" t="s">
        <v>110</v>
      </c>
      <c r="B7" s="3" t="n">
        <v>4200000</v>
      </c>
    </row>
    <row r="8" customFormat="false" ht="22" hidden="false" customHeight="true" outlineLevel="0" collapsed="false">
      <c r="A8" s="4" t="s">
        <v>111</v>
      </c>
      <c r="B8" s="3" t="n">
        <v>52000</v>
      </c>
    </row>
    <row r="9" customFormat="false" ht="22" hidden="false" customHeight="true" outlineLevel="0" collapsed="false">
      <c r="A9" s="9" t="s">
        <v>112</v>
      </c>
      <c r="B9" s="3" t="n">
        <f aca="false">B5-B7-B8</f>
        <v>1419820.7049041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