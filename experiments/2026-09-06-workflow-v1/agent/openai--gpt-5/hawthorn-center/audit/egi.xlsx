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060370ae44b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f8aeefa8ddc94be8"/>
    <x:sheet xmlns:r="http://schemas.openxmlformats.org/officeDocument/2006/relationships" name="T12" sheetId="2" r:id="R0fd4175600954253"/>
    <x:sheet xmlns:r="http://schemas.openxmlformats.org/officeDocument/2006/relationships" name="Rent Roll" sheetId="3" r:id="Recb394da1d564b66"/>
    <x:sheet xmlns:r="http://schemas.openxmlformats.org/officeDocument/2006/relationships" name="Underwriting" sheetId="4" r:id="R4f70dcb2a1fb4670"/>
    <x:sheet xmlns:r="http://schemas.openxmlformats.org/officeDocument/2006/relationships" name="Sizing" sheetId="5" r:id="Rb30a22ddea444396"/>
    <x:sheet xmlns:r="http://schemas.openxmlformats.org/officeDocument/2006/relationships" name="Sources &amp; Uses" sheetId="6" r:id="R53664cd5f1c84e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%"/>
    <x:numFmt numFmtId="201" formatCode="$#,##0"/>
    <x:numFmt numFmtId="202" formatCode="#,##0"/>
    <x:numFmt numFmtId="203" formatCode="$0.00"/>
    <x:numFmt numFmtId="204" formatCode="0.000000000"/>
    <x:numFmt numFmtId="205" formatCode="0.00"/>
  </x:numFmts>
  <x:fonts count="7">
    <x:font>
      <x:sz val="11"/>
      <x:name val="Carlito"/>
    </x:font>
    <x:font>
      <x:sz val="10"/>
      <x:color rgb="FF171717"/>
      <x:name val="Arial"/>
    </x:font>
    <x:font>
      <x:b/>
      <x:sz val="10"/>
      <x:color rgb="FFFFFFFF"/>
      <x:name val="Arial"/>
    </x:font>
    <x:font>
      <x:sz val="9"/>
      <x:color rgb="FF526258"/>
      <x:name val="Arial"/>
    </x:font>
    <x:font>
      <x:b/>
      <x:sz val="15"/>
      <x:color rgb="FF171717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200" fontId="6" fillId="0" borderId="0" xfId="0" applyNumberFormat="1" applyFont="1" applyFill="1" applyBorder="1"/>
    <x:xf numFmtId="204" fontId="1" fillId="0" borderId="0" xfId="0" applyNumberFormat="1" applyFont="1" applyFill="1" applyBorder="1"/>
    <x:xf numFmtId="205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0010f8a3ff436f" /><Relationship Type="http://schemas.openxmlformats.org/officeDocument/2006/relationships/theme" Target="/xl/theme/theme1.xml" Id="Rc6d8015909cd4b00" /><Relationship Type="http://schemas.openxmlformats.org/officeDocument/2006/relationships/sharedStrings" Target="/xl/sharedStrings.xml" Id="R085ac088ceaf454e" /><Relationship Type="http://schemas.openxmlformats.org/officeDocument/2006/relationships/worksheet" Target="/xl/worksheets/sheet1.xml" Id="Rf8aeefa8ddc94be8" /><Relationship Type="http://schemas.openxmlformats.org/officeDocument/2006/relationships/worksheet" Target="/xl/worksheets/sheet2.xml" Id="R0fd4175600954253" /><Relationship Type="http://schemas.openxmlformats.org/officeDocument/2006/relationships/worksheet" Target="/xl/worksheets/sheet3.xml" Id="Recb394da1d564b66" /><Relationship Type="http://schemas.openxmlformats.org/officeDocument/2006/relationships/worksheet" Target="/xl/worksheets/sheet4.xml" Id="R4f70dcb2a1fb4670" /><Relationship Type="http://schemas.openxmlformats.org/officeDocument/2006/relationships/worksheet" Target="/xl/worksheets/sheet5.xml" Id="Rb30a22ddea444396" /><Relationship Type="http://schemas.openxmlformats.org/officeDocument/2006/relationships/worksheet" Target="/xl/worksheets/sheet6.xml" Id="R53664cd5f1c84e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0" hidden="0" customWidth="1"/>
  </x:cols>
  <x:sheetData>
    <x:row r="1" ht="22" customHeight="1">
      <x:c r="A1" s="3" t="str">
        <x:v>Cap rate</x:v>
      </x:c>
      <x:c r="B1" s="4" t="n">
        <x:v>0.0625</x:v>
      </x:c>
    </x:row>
    <x:row r="2" ht="22" customHeight="1">
      <x:c r="A2" s="3" t="str">
        <x:v>Sizing rate (annual)</x:v>
      </x:c>
      <x:c r="B2" s="4" t="n">
        <x:v>0.0635</x:v>
      </x:c>
    </x:row>
    <x:row r="3" ht="22" customHeight="1">
      <x:c r="A3" s="3" t="str">
        <x:v>EGI (annual)</x:v>
      </x:c>
      <x:c r="B3" s="5" t="n">
        <x:v>874950</x:v>
      </x:c>
    </x:row>
    <x:row r="4" ht="22" customHeight="1">
      <x:c r="A4" s="1" t="str">
        <x:v>Gross potential base rent (scenario)</x:v>
      </x:c>
      <x:c r="B4" s="5" t="n">
        <x:v>780000</x:v>
      </x:c>
    </x:row>
    <x:row r="5" ht="22" customHeight="1">
      <x:c r="A5" s="1" t="str">
        <x:v>Combined revenue loss % (scenario)</x:v>
      </x:c>
      <x:c r="B5" s="4" t="n">
        <x:v>0.05</x:v>
      </x:c>
    </x:row>
    <x:row r="6" ht="22" customHeight="1">
      <x:c r="A6" s="1" t="str">
        <x:v>Other income (scenario)</x:v>
      </x:c>
      <x:c r="B6" s="5" t="n">
        <x:v>180000</x:v>
      </x:c>
    </x:row>
    <x:row r="7" ht="22" customHeight="1">
      <x:c r="A7" s="7" t="str">
        <x:v>EGI from scenario = GPR*(1-Loss%)+Other</x:v>
      </x:c>
      <x:c r="B7" s="5" t="n">
        <x:f>B4*(1-B5)+B6</x:f>
        <x:v>921000</x:v>
      </x:c>
    </x:row>
    <x:row r="8" ht="22" customHeight="1">
      <x:c r="A8" s="1" t="str">
        <x:v>Rentable SF</x:v>
      </x:c>
      <x:c r="B8" s="8" t="n">
        <x:v>28800</x:v>
      </x:c>
    </x:row>
    <x:row r="9" ht="22" customHeight="1">
      <x:c r="A9" s="1" t="str">
        <x:v>Reserve per SF (annual)</x:v>
      </x:c>
      <x:c r="B9" s="9" t="n">
        <x:v>0.15</x:v>
      </x:c>
    </x:row>
    <x:row r="10" ht="22" customHeight="1">
      <x:c r="A10" s="1" t="str">
        <x:v>T12 management fee (annual)</x:v>
      </x:c>
      <x:c r="B10" s="5" t="n">
        <x:v>18000</x:v>
      </x:c>
    </x:row>
    <x:row r="11" ht="22" customHeight="1">
      <x:c r="A11" s="1" t="str">
        <x:v>Contract rate (annual)</x:v>
      </x:c>
      <x:c r="B11" s="4" t="n">
        <x:v>0.0635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20" hidden="0" customWidth="1"/>
  </x:cols>
  <x:sheetData>
    <x:row r="1" ht="27" customHeight="1">
      <x:c r="A1" s="10" t="str">
        <x:v>Hawthorn Center | T12 summary (Sep 2025 - Aug 2026)</x:v>
      </x:c>
    </x:row>
    <x:row r="3" ht="22" customHeight="1">
      <x:c r="A3" s="1" t="str">
        <x:v>Gross potential base rent</x:v>
      </x:c>
      <x:c r="B3" s="5" t="n">
        <x:v>759600</x:v>
      </x:c>
    </x:row>
    <x:row r="4" ht="22" customHeight="1">
      <x:c r="A4" s="1" t="str">
        <x:v>Vacancy loss</x:v>
      </x:c>
      <x:c r="B4" s="5" t="n">
        <x:v>40800</x:v>
      </x:c>
    </x:row>
    <x:row r="5" ht="22" customHeight="1">
      <x:c r="A5" s="1" t="str">
        <x:v>Concessions</x:v>
      </x:c>
      <x:c r="B5" s="5" t="n">
        <x:v>22800</x:v>
      </x:c>
    </x:row>
    <x:row r="6" ht="22" customHeight="1">
      <x:c r="A6" s="1" t="str">
        <x:v>Bad debt</x:v>
      </x:c>
      <x:c r="B6" s="5" t="n">
        <x:v>6000</x:v>
      </x:c>
    </x:row>
    <x:row r="7" ht="22" customHeight="1">
      <x:c r="A7" s="1" t="str">
        <x:v>Other income / recoveries</x:v>
      </x:c>
      <x:c r="B7" s="5" t="n">
        <x:v>176400</x:v>
      </x:c>
    </x:row>
    <x:row r="8" ht="22" customHeight="1">
      <x:c r="A8" s="12" t="str">
        <x:v>EGI (calculated)</x:v>
      </x:c>
      <x:c r="B8" s="5" t="n">
        <x:f>B3-B4-B5-B6+B7</x:f>
        <x:v>866400</x:v>
      </x:c>
    </x:row>
    <x:row r="10" ht="22" customHeight="1">
      <x:c r="A10" s="1" t="str">
        <x:v>Real estate taxes</x:v>
      </x:c>
      <x:c r="B10" s="5" t="n">
        <x:v>114000</x:v>
      </x:c>
    </x:row>
    <x:row r="11" ht="22" customHeight="1">
      <x:c r="A11" s="1" t="str">
        <x:v>Property insurance</x:v>
      </x:c>
      <x:c r="B11" s="5" t="n">
        <x:v>32400</x:v>
      </x:c>
    </x:row>
    <x:row r="12" ht="22" customHeight="1">
      <x:c r="A12" s="1" t="str">
        <x:v>Utilities</x:v>
      </x:c>
      <x:c r="B12" s="5" t="n">
        <x:v>21600</x:v>
      </x:c>
    </x:row>
    <x:row r="13" ht="22" customHeight="1">
      <x:c r="A13" s="1" t="str">
        <x:v>Repairs and maintenance</x:v>
      </x:c>
      <x:c r="B13" s="5" t="n">
        <x:v>36000</x:v>
      </x:c>
    </x:row>
    <x:row r="14" ht="22" customHeight="1">
      <x:c r="A14" s="1" t="str">
        <x:v>Payroll / contract labor</x:v>
      </x:c>
      <x:c r="B14" s="5" t="n">
        <x:v>24000</x:v>
      </x:c>
    </x:row>
    <x:row r="15" ht="22" customHeight="1">
      <x:c r="A15" s="1" t="str">
        <x:v>Administrative / legal</x:v>
      </x:c>
      <x:c r="B15" s="5" t="n">
        <x:v>18000</x:v>
      </x:c>
    </x:row>
    <x:row r="16" ht="22" customHeight="1">
      <x:c r="A16" s="1" t="str">
        <x:v>Management fee</x:v>
      </x:c>
      <x:c r="B16" s="5" t="n">
        <x:v>18000</x:v>
      </x:c>
    </x:row>
    <x:row r="17" ht="22" customHeight="1">
      <x:c r="A17" s="12" t="str">
        <x:v>Operating expenses total (before reserves)</x:v>
      </x:c>
      <x:c r="B17" s="5" t="n">
        <x:f>SUM(B10:B16)</x:f>
        <x:v>264000</x:v>
      </x:c>
    </x:row>
    <x:row r="18" ht="22" customHeight="1">
      <x:c r="A18" s="12" t="str">
        <x:v>NOI before reserves</x:v>
      </x:c>
      <x:c r="B18" s="5" t="n">
        <x:f>B8-B17</x:f>
        <x:v>602400</x:v>
      </x:c>
    </x:row>
    <x:row r="20" ht="22" customHeight="1">
      <x:c r="A20" s="1" t="str">
        <x:v>Replacement reserves (below NOI)</x:v>
      </x:c>
      <x:c r="B20" s="5" t="n">
        <x:v>11520</x:v>
      </x:c>
    </x:row>
    <x:row r="21" ht="22" customHeight="1">
      <x:c r="A21" s="12" t="str">
        <x:v>NCF after reserves</x:v>
      </x:c>
      <x:c r="B21" s="5" t="n">
        <x:f>B18-B20</x:f>
        <x:v>590880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12" hidden="0" customWidth="1"/>
    <x:col min="4" max="4" width="12" hidden="0" customWidth="1"/>
    <x:col min="5" max="5" width="20" hidden="0" customWidth="1"/>
    <x:col min="6" max="6" width="22" hidden="0" customWidth="1"/>
    <x:col min="7" max="7" width="16" hidden="0" customWidth="1"/>
  </x:cols>
  <x:sheetData>
    <x:row r="1" ht="27" customHeight="1">
      <x:c r="A1" s="10" t="str">
        <x:v>Hawthorn Center | Rent roll as of 2026-08-31</x:v>
      </x:c>
    </x:row>
    <x:row r="3" ht="25" customHeight="1">
      <x:c r="A3" s="3" t="str">
        <x:v>Unit / suite</x:v>
      </x:c>
      <x:c r="B3" s="3" t="str">
        <x:v>Tenant</x:v>
      </x:c>
      <x:c r="C3" s="3" t="str">
        <x:v>Area SF</x:v>
      </x:c>
      <x:c r="D3" s="3" t="str">
        <x:v>Status</x:v>
      </x:c>
      <x:c r="E3" s="3" t="str">
        <x:v>Monthly base rent</x:v>
      </x:c>
      <x:c r="F3" s="3" t="str">
        <x:v>Market monthly rent</x:v>
      </x:c>
      <x:c r="G3" s="3" t="str">
        <x:v>Lease expiry</x:v>
      </x:c>
    </x:row>
    <x:row r="4" ht="22" customHeight="1">
      <x:c r="A4" s="1" t="str">
        <x:v>101</x:v>
      </x:c>
      <x:c r="B4" s="1" t="str">
        <x:v>Tenant A LLC</x:v>
      </x:c>
      <x:c r="C4" s="1" t="n">
        <x:v>1400</x:v>
      </x:c>
      <x:c r="D4" s="1" t="str">
        <x:v>Occupied</x:v>
      </x:c>
      <x:c r="E4" s="5" t="n">
        <x:v>3000</x:v>
      </x:c>
      <x:c r="F4" s="5" t="n">
        <x:v>3000</x:v>
      </x:c>
      <x:c r="G4" s="1" t="str">
        <x:v>2029-08-31</x:v>
      </x:c>
    </x:row>
    <x:row r="5" ht="22" customHeight="1">
      <x:c r="A5" s="1" t="str">
        <x:v>102</x:v>
      </x:c>
      <x:c r="B5" s="1" t="str">
        <x:v>Tenant B LLC</x:v>
      </x:c>
      <x:c r="C5" s="1" t="n">
        <x:v>1800</x:v>
      </x:c>
      <x:c r="D5" s="1" t="str">
        <x:v>Occupied</x:v>
      </x:c>
      <x:c r="E5" s="5" t="n">
        <x:v>4000</x:v>
      </x:c>
      <x:c r="F5" s="5" t="n">
        <x:v>4000</x:v>
      </x:c>
      <x:c r="G5" s="1" t="str">
        <x:v>2028-08-31</x:v>
      </x:c>
    </x:row>
    <x:row r="6" ht="22" customHeight="1">
      <x:c r="A6" s="1" t="str">
        <x:v>103</x:v>
      </x:c>
      <x:c r="B6" s="1" t="str">
        <x:v>Tenant C LLC</x:v>
      </x:c>
      <x:c r="C6" s="1" t="n">
        <x:v>2200</x:v>
      </x:c>
      <x:c r="D6" s="1" t="str">
        <x:v>Occupied</x:v>
      </x:c>
      <x:c r="E6" s="5" t="n">
        <x:v>4900</x:v>
      </x:c>
      <x:c r="F6" s="5" t="n">
        <x:v>4900</x:v>
      </x:c>
      <x:c r="G6" s="1" t="str">
        <x:v>2029-08-31</x:v>
      </x:c>
    </x:row>
    <x:row r="7" ht="22" customHeight="1">
      <x:c r="A7" s="1" t="str">
        <x:v>104</x:v>
      </x:c>
      <x:c r="B7" s="1" t="str">
        <x:v>Tenant D LLC</x:v>
      </x:c>
      <x:c r="C7" s="1" t="n">
        <x:v>2500</x:v>
      </x:c>
      <x:c r="D7" s="1" t="str">
        <x:v>Occupied</x:v>
      </x:c>
      <x:c r="E7" s="5" t="n">
        <x:v>5600</x:v>
      </x:c>
      <x:c r="F7" s="5" t="n">
        <x:v>5600</x:v>
      </x:c>
      <x:c r="G7" s="1" t="str">
        <x:v>2030-08-31</x:v>
      </x:c>
    </x:row>
    <x:row r="8" ht="22" customHeight="1">
      <x:c r="A8" s="1" t="str">
        <x:v>105</x:v>
      </x:c>
      <x:c r="B8" s="1" t="str">
        <x:v>Tenant E LLC</x:v>
      </x:c>
      <x:c r="C8" s="1" t="n">
        <x:v>3000</x:v>
      </x:c>
      <x:c r="D8" s="1" t="str">
        <x:v>Occupied</x:v>
      </x:c>
      <x:c r="E8" s="5" t="n">
        <x:v>6500</x:v>
      </x:c>
      <x:c r="F8" s="5" t="n">
        <x:v>6500</x:v>
      </x:c>
      <x:c r="G8" s="1" t="str">
        <x:v>2031-08-31</x:v>
      </x:c>
    </x:row>
    <x:row r="9" ht="22" customHeight="1">
      <x:c r="A9" s="1" t="str">
        <x:v>106</x:v>
      </x:c>
      <x:c r="B9" s="1" t="str">
        <x:v>Tenant F LLC</x:v>
      </x:c>
      <x:c r="C9" s="1" t="n">
        <x:v>3300</x:v>
      </x:c>
      <x:c r="D9" s="1" t="str">
        <x:v>Occupied</x:v>
      </x:c>
      <x:c r="E9" s="5" t="n">
        <x:v>7400</x:v>
      </x:c>
      <x:c r="F9" s="5" t="n">
        <x:v>7400</x:v>
      </x:c>
      <x:c r="G9" s="1" t="str">
        <x:v>2027-08-31</x:v>
      </x:c>
    </x:row>
    <x:row r="10" ht="22" customHeight="1">
      <x:c r="A10" s="1" t="str">
        <x:v>107</x:v>
      </x:c>
      <x:c r="B10" s="1" t="str">
        <x:v>Tenant G LLC</x:v>
      </x:c>
      <x:c r="C10" s="1" t="n">
        <x:v>3800</x:v>
      </x:c>
      <x:c r="D10" s="1" t="str">
        <x:v>Occupied</x:v>
      </x:c>
      <x:c r="E10" s="5" t="n">
        <x:v>8600</x:v>
      </x:c>
      <x:c r="F10" s="5" t="n">
        <x:v>8600</x:v>
      </x:c>
      <x:c r="G10" s="1" t="str">
        <x:v>2028-08-31</x:v>
      </x:c>
    </x:row>
    <x:row r="11" ht="22" customHeight="1">
      <x:c r="A11" s="1" t="str">
        <x:v>108</x:v>
      </x:c>
      <x:c r="B11" s="1" t="str">
        <x:v>Tenant H LLC</x:v>
      </x:c>
      <x:c r="C11" s="1" t="n">
        <x:v>4200</x:v>
      </x:c>
      <x:c r="D11" s="1" t="str">
        <x:v>Occupied</x:v>
      </x:c>
      <x:c r="E11" s="5" t="n">
        <x:v>9200</x:v>
      </x:c>
      <x:c r="F11" s="5" t="n">
        <x:v>9200</x:v>
      </x:c>
      <x:c r="G11" s="1" t="str">
        <x:v>2029-08-31</x:v>
      </x:c>
    </x:row>
    <x:row r="12" ht="22" customHeight="1">
      <x:c r="A12" s="1" t="str">
        <x:v>109</x:v>
      </x:c>
      <x:c r="B12" s="1" t="str">
        <x:v>Tenant I LLC</x:v>
      </x:c>
      <x:c r="C12" s="1" t="n">
        <x:v>5000</x:v>
      </x:c>
      <x:c r="D12" s="1" t="str">
        <x:v>Occupied</x:v>
      </x:c>
      <x:c r="E12" s="5" t="n">
        <x:v>10800</x:v>
      </x:c>
      <x:c r="F12" s="5" t="n">
        <x:v>10800</x:v>
      </x:c>
      <x:c r="G12" s="1" t="str">
        <x:v>2030-08-31</x:v>
      </x:c>
    </x:row>
    <x:row r="13" ht="22" customHeight="1">
      <x:c r="A13" s="1" t="str">
        <x:v>110</x:v>
      </x:c>
      <x:c r="B13" s="1" t="str">
        <x:v>Vacant</x:v>
      </x:c>
      <x:c r="C13" s="1" t="n">
        <x:v>1600</x:v>
      </x:c>
      <x:c r="D13" s="1" t="str">
        <x:v>Vacant</x:v>
      </x:c>
      <x:c r="E13" s="5" t="n">
        <x:v>0</x:v>
      </x:c>
      <x:c r="F13" s="5" t="n">
        <x:v>3400</x:v>
      </x:c>
    </x:row>
    <x:row r="15" ht="36" customHeight="1">
      <x:c r="A15" s="3" t="str">
        <x:v>Totals</x:v>
      </x:c>
      <x:c r="B15" s="7" t="str">
        <x:v>Count / Area / Rent sums</x:v>
      </x:c>
    </x:row>
    <x:row r="16" ht="22" customHeight="1">
      <x:c r="A16" s="1" t="str">
        <x:v>Space count</x:v>
      </x:c>
      <x:c r="B16" s="1" t="n">
        <x:v>10</x:v>
      </x:c>
    </x:row>
    <x:row r="17" ht="22" customHeight="1">
      <x:c r="A17" s="1" t="str">
        <x:v>Occupied count</x:v>
      </x:c>
      <x:c r="B17" s="1" t="n">
        <x:v>9</x:v>
      </x:c>
    </x:row>
    <x:row r="18" ht="22" customHeight="1">
      <x:c r="A18" s="1" t="str">
        <x:v>Total area SF</x:v>
      </x:c>
      <x:c r="B18" s="8" t="n">
        <x:f>SUM(C4:C13)</x:f>
        <x:v>28800</x:v>
      </x:c>
    </x:row>
    <x:row r="19" ht="22" customHeight="1">
      <x:c r="A19" s="1" t="str">
        <x:v>Occupied area SF</x:v>
      </x:c>
      <x:c r="B19" s="8" t="n">
        <x:f>SUMIF(D4:D13,"Occupied",C4:C13)</x:f>
        <x:v>27200</x:v>
      </x:c>
    </x:row>
    <x:row r="20" ht="22" customHeight="1">
      <x:c r="A20" s="1" t="str">
        <x:v>Occupancy by count %</x:v>
      </x:c>
      <x:c r="B20" s="4" t="n">
        <x:f>B17/B16</x:f>
        <x:v>0.9</x:v>
      </x:c>
    </x:row>
    <x:row r="21" ht="22" customHeight="1">
      <x:c r="A21" s="1" t="str">
        <x:v>Occupancy by area %</x:v>
      </x:c>
      <x:c r="B21" s="4" t="n">
        <x:f>B19/B18</x:f>
        <x:v>0.9444444444444444</x:v>
      </x:c>
    </x:row>
    <x:row r="22" ht="22" customHeight="1">
      <x:c r="A22" s="12" t="str">
        <x:v>Monthly base rent (as printed)</x:v>
      </x:c>
      <x:c r="B22" s="5" t="n">
        <x:f>SUM(E4:E12)</x:f>
        <x:v>60000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22" hidden="0" customWidth="1"/>
  </x:cols>
  <x:sheetData>
    <x:row r="1" ht="27" customHeight="1">
      <x:c r="A1" s="10" t="str">
        <x:v>Underwriting summary</x:v>
      </x:c>
    </x:row>
    <x:row r="3" ht="22" customHeight="1">
      <x:c r="A3" s="3" t="str">
        <x:v>EGI (input)</x:v>
      </x:c>
      <x:c r="B3" s="14" t="n">
        <x:f>'Assumptions'!B3</x:f>
        <x:v>874950</x:v>
      </x:c>
    </x:row>
    <x:row r="5" ht="25" customHeight="1">
      <x:c r="A5" s="3" t="str">
        <x:v>Operating expenses (before reserves)</x:v>
      </x:c>
    </x:row>
    <x:row r="6" ht="22" customHeight="1">
      <x:c r="A6" s="1" t="str">
        <x:v>Real estate taxes</x:v>
      </x:c>
      <x:c r="B6" s="5" t="n">
        <x:v>120000</x:v>
      </x:c>
    </x:row>
    <x:row r="7" ht="22" customHeight="1">
      <x:c r="A7" s="1" t="str">
        <x:v>Property insurance (renewal)</x:v>
      </x:c>
      <x:c r="B7" s="5" t="n">
        <x:v>34800</x:v>
      </x:c>
    </x:row>
    <x:row r="8" ht="22" customHeight="1">
      <x:c r="A8" s="1" t="str">
        <x:v>Utilities</x:v>
      </x:c>
      <x:c r="B8" s="5" t="n">
        <x:v>21600</x:v>
      </x:c>
    </x:row>
    <x:row r="9" ht="22" customHeight="1">
      <x:c r="A9" s="1" t="str">
        <x:v>Repairs and maintenance</x:v>
      </x:c>
      <x:c r="B9" s="5" t="n">
        <x:v>36000</x:v>
      </x:c>
    </x:row>
    <x:row r="10" ht="22" customHeight="1">
      <x:c r="A10" s="1" t="str">
        <x:v>Payroll / contract labor</x:v>
      </x:c>
      <x:c r="B10" s="5" t="n">
        <x:v>24000</x:v>
      </x:c>
    </x:row>
    <x:row r="11" ht="22" customHeight="1">
      <x:c r="A11" s="1" t="str">
        <x:v>Administrative / legal</x:v>
      </x:c>
      <x:c r="B11" s="5" t="n">
        <x:v>18000</x:v>
      </x:c>
    </x:row>
    <x:row r="12" ht="22" customHeight="1">
      <x:c r="A12" s="1" t="str">
        <x:v>Management fee (greater of T12 or 4% of EGI)</x:v>
      </x:c>
      <x:c r="B12" s="14" t="n">
        <x:f>MAX('Assumptions'!B10,0.04*B3)</x:f>
        <x:v>34998</x:v>
      </x:c>
    </x:row>
    <x:row r="13" ht="22" customHeight="1">
      <x:c r="A13" s="12" t="str">
        <x:v>Operating expenses total (before reserves)</x:v>
      </x:c>
      <x:c r="B13" s="5" t="n">
        <x:f>SUM(B6:B12)</x:f>
        <x:v>289398</x:v>
      </x:c>
    </x:row>
    <x:row r="15" ht="22" customHeight="1">
      <x:c r="A15" s="12" t="str">
        <x:v>NOI before reserves</x:v>
      </x:c>
      <x:c r="B15" s="5" t="n">
        <x:f>B3-B13</x:f>
        <x:v>585552</x:v>
      </x:c>
    </x:row>
    <x:row r="17" ht="22" customHeight="1">
      <x:c r="A17" s="1" t="str">
        <x:v>Replacement reserves</x:v>
      </x:c>
      <x:c r="B17" s="14" t="n">
        <x:f>'Assumptions'!B8*'Assumptions'!B9</x:f>
        <x:v>4320</x:v>
      </x:c>
    </x:row>
    <x:row r="18" ht="22" customHeight="1">
      <x:c r="A18" s="12" t="str">
        <x:v>NCF after reserves</x:v>
      </x:c>
      <x:c r="B18" s="5" t="n">
        <x:f>B15-B17</x:f>
        <x:v>581232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6" hidden="0" customWidth="1"/>
    <x:col min="2" max="2" width="26" hidden="0" customWidth="1"/>
  </x:cols>
  <x:sheetData>
    <x:row r="1" ht="27" customHeight="1">
      <x:c r="A1" s="10" t="str">
        <x:v>Loan sizing</x:v>
      </x:c>
    </x:row>
    <x:row r="3" ht="22" customHeight="1">
      <x:c r="A3" s="3" t="str">
        <x:v>Cap rate</x:v>
      </x:c>
      <x:c r="B3" s="15" t="n">
        <x:f>'Assumptions'!B1</x:f>
        <x:v>0.0625</x:v>
      </x:c>
    </x:row>
    <x:row r="4" ht="22" customHeight="1">
      <x:c r="A4" s="3" t="str">
        <x:v>Sizing rate (annual)</x:v>
      </x:c>
      <x:c r="B4" s="15" t="n">
        <x:f>'Assumptions'!B2</x:f>
        <x:v>0.0635</x:v>
      </x:c>
    </x:row>
    <x:row r="5" ht="22" customHeight="1">
      <x:c r="A5" s="3" t="str">
        <x:v>Amortization (years)</x:v>
      </x:c>
      <x:c r="B5" s="1" t="n">
        <x:v>25</x:v>
      </x:c>
    </x:row>
    <x:row r="6" ht="22" customHeight="1">
      <x:c r="A6" s="1" t="str">
        <x:v>Annual debt constant at sizing rate</x:v>
      </x:c>
      <x:c r="B6" s="16" t="n">
        <x:f>12*ABS(PMT(B4/12,B5*12,1))</x:f>
        <x:v>0.07990371531238402</x:v>
      </x:c>
    </x:row>
    <x:row r="8" ht="22" customHeight="1">
      <x:c r="A8" s="1" t="str">
        <x:v>Capitalization value (NOI before reserves / cap rate)</x:v>
      </x:c>
      <x:c r="B8" s="14" t="n">
        <x:f>'Underwriting'!B15/B3</x:f>
        <x:v>9368832</x:v>
      </x:c>
    </x:row>
    <x:row r="9" ht="22" customHeight="1">
      <x:c r="A9" s="1" t="str">
        <x:v>LTV limit (62.5% of value)</x:v>
      </x:c>
      <x:c r="B9" s="5" t="n">
        <x:f>0.625*B8</x:f>
        <x:v>5855520</x:v>
      </x:c>
    </x:row>
    <x:row r="10" ht="22" customHeight="1">
      <x:c r="A10" s="1" t="str">
        <x:v>Debt yield limit (NOI before reserves / 9%)</x:v>
      </x:c>
      <x:c r="B10" s="14" t="n">
        <x:f>'Underwriting'!B15/0.09</x:f>
        <x:v>6506133.333333334</x:v>
      </x:c>
    </x:row>
    <x:row r="11" ht="22" customHeight="1">
      <x:c r="A11" s="1" t="str">
        <x:v>DSCR limit (NCF / (1.25 x constant))</x:v>
      </x:c>
      <x:c r="B11" s="14" t="n">
        <x:f>'Underwriting'!B18/(1.25*B6)</x:f>
        <x:v>5819323.89729484</x:v>
      </x:c>
    </x:row>
    <x:row r="12" ht="22" customHeight="1">
      <x:c r="A12" s="12" t="str">
        <x:v>Maximum loan (min of three)</x:v>
      </x:c>
      <x:c r="B12" s="5" t="n">
        <x:f>MIN(B9,B10,B11)</x:f>
        <x:v>5819323.89729484</x:v>
      </x:c>
    </x:row>
    <x:row r="14" ht="22" customHeight="1">
      <x:c r="A14" s="1" t="str">
        <x:v>Annual debt service at maximum (sizing rate)</x:v>
      </x:c>
      <x:c r="B14" s="5" t="n">
        <x:f>B12*B6</x:f>
        <x:v>464985.6</x:v>
      </x:c>
    </x:row>
    <x:row r="15" ht="22" customHeight="1">
      <x:c r="A15" s="1" t="str">
        <x:v>Sizing DSCR (NCF / ADS)</x:v>
      </x:c>
      <x:c r="B15" s="17" t="n">
        <x:f>'Underwriting'!B18/B14</x:f>
        <x:v>1.25</x:v>
      </x:c>
    </x:row>
    <x:row r="16" ht="22" customHeight="1">
      <x:c r="A16" s="1" t="str">
        <x:v>Sizing debt yield (NOI / Loan)</x:v>
      </x:c>
      <x:c r="B16" s="15" t="n">
        <x:f>'Underwriting'!B15/B12</x:f>
        <x:v>0.10062199842015988</x:v>
      </x:c>
    </x:row>
    <x:row r="18" ht="22" customHeight="1">
      <x:c r="A18" s="1" t="str">
        <x:v>First-year contractual annual debt service</x:v>
      </x:c>
      <x:c r="B18" s="5" t="n">
        <x:f>B14</x:f>
        <x:v>464985.6</x:v>
      </x:c>
    </x:row>
    <x:row r="21" ht="25" customHeight="1">
      <x:c r="A21" s="3" t="str">
        <x:v>Stress: EGI -5% and sizing rate +100 bps</x:v>
      </x:c>
    </x:row>
    <x:row r="22" ht="22" customHeight="1">
      <x:c r="A22" s="1" t="str">
        <x:v>Stress EGI</x:v>
      </x:c>
      <x:c r="B22" s="14" t="n">
        <x:f>0.95*'Assumptions'!B3</x:f>
        <x:v>831202.5</x:v>
      </x:c>
    </x:row>
    <x:row r="23" ht="22" customHeight="1">
      <x:c r="A23" s="1" t="str">
        <x:v>Stress management fee (greater of T12 or 4% of stress EGI)</x:v>
      </x:c>
      <x:c r="B23" s="14" t="n">
        <x:f>MAX('Assumptions'!B10,0.04*B22)</x:f>
        <x:v>33248.1</x:v>
      </x:c>
    </x:row>
    <x:row r="24" ht="22" customHeight="1">
      <x:c r="A24" s="1" t="str">
        <x:v>Operating expenses excl. management (hold constant)</x:v>
      </x:c>
      <x:c r="B24" s="14" t="n">
        <x:f>'Underwriting'!B13-'Underwriting'!B12</x:f>
        <x:v>254400</x:v>
      </x:c>
    </x:row>
    <x:row r="25" ht="22" customHeight="1">
      <x:c r="A25" s="12" t="str">
        <x:v>Stress NOI before reserves</x:v>
      </x:c>
      <x:c r="B25" s="5" t="n">
        <x:f>B22-(B24+B23)</x:f>
        <x:v>543554.4</x:v>
      </x:c>
    </x:row>
    <x:row r="26" ht="22" customHeight="1">
      <x:c r="A26" s="12" t="str">
        <x:v>Stress NCF after reserves</x:v>
      </x:c>
      <x:c r="B26" s="14" t="n">
        <x:f>B25-'Underwriting'!B17</x:f>
        <x:v>539234.4</x:v>
      </x:c>
    </x:row>
    <x:row r="27" ht="22" customHeight="1">
      <x:c r="A27" s="1" t="str">
        <x:v>Stress sizing rate</x:v>
      </x:c>
      <x:c r="B27" s="4" t="n">
        <x:f>B4+0.01</x:f>
        <x:v>0.0735</x:v>
      </x:c>
    </x:row>
    <x:row r="28" ht="22" customHeight="1">
      <x:c r="A28" s="1" t="str">
        <x:v>Annual debt constant at stress sizing rate</x:v>
      </x:c>
      <x:c r="B28" s="16" t="n">
        <x:f>12*ABS(PMT(B27/12,B5*12,1))</x:f>
        <x:v>0.08751143765366826</x:v>
      </x:c>
    </x:row>
    <x:row r="29" ht="22" customHeight="1">
      <x:c r="A29" s="1" t="str">
        <x:v>Stress capitalization value (cap unchanged)</x:v>
      </x:c>
      <x:c r="B29" s="5" t="n">
        <x:f>B25/B3</x:f>
        <x:v>8696870.4</x:v>
      </x:c>
    </x:row>
    <x:row r="30" ht="22" customHeight="1">
      <x:c r="A30" s="1" t="str">
        <x:v>Stress LTV limit (62.5% of stress value)</x:v>
      </x:c>
      <x:c r="B30" s="5" t="n">
        <x:f>0.625*B29</x:f>
        <x:v>5435544</x:v>
      </x:c>
    </x:row>
    <x:row r="31" ht="22" customHeight="1">
      <x:c r="A31" s="1" t="str">
        <x:v>Stress DSCR limit</x:v>
      </x:c>
      <x:c r="B31" s="5" t="n">
        <x:f>B26/(1.25*B28)</x:f>
        <x:v>4929498.721152793</x:v>
      </x:c>
    </x:row>
    <x:row r="32" ht="22" customHeight="1">
      <x:c r="A32" s="1" t="str">
        <x:v>Stress Debt yield limit</x:v>
      </x:c>
      <x:c r="B32" s="5" t="n">
        <x:f>B25/0.09</x:f>
        <x:v>6039493.333333334</x:v>
      </x:c>
    </x:row>
    <x:row r="33" ht="22" customHeight="1">
      <x:c r="A33" s="12" t="str">
        <x:v>Stress maximum loan (min of three)</x:v>
      </x:c>
      <x:c r="B33" s="5" t="n">
        <x:f>MIN(B30,B31,B32)</x:f>
        <x:v>4929498.721152793</x:v>
      </x:c>
    </x:row>
    <x:row r="36" ht="25" customHeight="1">
      <x:c r="A36" s="3" t="str">
        <x:v>Cap-rate +50 bps sensitivity (value only)</x:v>
      </x:c>
    </x:row>
    <x:row r="37" ht="22" customHeight="1">
      <x:c r="A37" s="1" t="str">
        <x:v>Cap rate +50 bps</x:v>
      </x:c>
      <x:c r="B37" s="4" t="n">
        <x:f>B3+0.005</x:f>
        <x:v>0.0675</x:v>
      </x:c>
    </x:row>
    <x:row r="38" ht="22" customHeight="1">
      <x:c r="A38" s="1" t="str">
        <x:v>Value at Cap +50 bps</x:v>
      </x:c>
      <x:c r="B38" s="14" t="n">
        <x:f>'Underwriting'!B15/B37</x:f>
        <x:v>8674844.444444444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4" hidden="0" customWidth="1"/>
  </x:cols>
  <x:sheetData>
    <x:row r="1" ht="27" customHeight="1">
      <x:c r="A1" s="10" t="str">
        <x:v>Sources and uses at maximum loan</x:v>
      </x:c>
    </x:row>
    <x:row r="3" ht="22" customHeight="1">
      <x:c r="A3" s="1" t="str">
        <x:v>Gross loan amount (maximum)</x:v>
      </x:c>
      <x:c r="B3" s="14" t="n">
        <x:f>'Sizing'!B12</x:f>
        <x:v>5819323.89729484</x:v>
      </x:c>
    </x:row>
    <x:row r="4" ht="22" customHeight="1">
      <x:c r="A4" s="1" t="str">
        <x:v>Origination fee (0.80%)</x:v>
      </x:c>
      <x:c r="B4" s="5" t="n">
        <x:f>0.008*B3</x:f>
        <x:v>46554.59117835872</x:v>
      </x:c>
    </x:row>
    <x:row r="5" ht="22" customHeight="1">
      <x:c r="A5" s="12" t="str">
        <x:v>Net loan proceeds after fee</x:v>
      </x:c>
      <x:c r="B5" s="5" t="n">
        <x:f>B3-B4</x:f>
        <x:v>5772769.306116481</x:v>
      </x:c>
    </x:row>
    <x:row r="7" ht="22" customHeight="1">
      <x:c r="A7" s="1" t="str">
        <x:v>Existing debt payoff</x:v>
      </x:c>
      <x:c r="B7" s="5" t="n">
        <x:v>4200000</x:v>
      </x:c>
    </x:row>
    <x:row r="8" ht="22" customHeight="1">
      <x:c r="A8" s="1" t="str">
        <x:v>Fixed closing costs</x:v>
      </x:c>
      <x:c r="B8" s="5" t="n">
        <x:v>52000</x:v>
      </x:c>
    </x:row>
    <x:row r="9" ht="22" customHeight="1">
      <x:c r="A9" s="12" t="str">
        <x:v>Cash to/(from) borrower</x:v>
      </x:c>
      <x:c r="B9" s="5" t="n">
        <x:f>B5-B7-B8</x:f>
        <x:v>1520769.3061164813</x:v>
      </x:c>
    </x:row>
  </x:sheetData>
  <x:pageMargins left="0.7" right="0.7" top="0.75" bottom="0.75" header="0.3" footer="0.3"/>
</x:worksheet>
</file>