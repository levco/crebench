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W" sheetId="3" state="visible" r:id="rId5"/>
    <sheet name="Sizing" sheetId="4" state="visible" r:id="rId6"/>
    <sheet name="SourcesUses" sheetId="5" state="visible" r:id="rId7"/>
    <sheet name="Sensitivity" sheetId="6" state="visible" r:id="rId8"/>
    <sheet name="RentRoll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<sst xmlns="http://schemas.openxmlformats.org/spreadsheetml/2006/main" count="100" uniqueCount="88">
  <si>
    <t xml:space="preserve">Juniper Flats | Underwriting Inputs</t>
  </si>
  <si>
    <t xml:space="preserve">As-of date</t>
  </si>
  <si>
    <t xml:space="preserve">2026-08-31</t>
  </si>
  <si>
    <t xml:space="preserve">Underwritten EGI (annual)</t>
  </si>
  <si>
    <t xml:space="preserve">Valuation cap rate</t>
  </si>
  <si>
    <t xml:space="preserve">Sizing rate (annual)</t>
  </si>
  <si>
    <t xml:space="preserve">Contractual rate (annual)</t>
  </si>
  <si>
    <t xml:space="preserve">Interest-only months</t>
  </si>
  <si>
    <t xml:space="preserve">Amortization (years)</t>
  </si>
  <si>
    <t xml:space="preserve">Unit count</t>
  </si>
  <si>
    <t xml:space="preserve">Reserves per unit per year</t>
  </si>
  <si>
    <t xml:space="preserve">Existing debt payoff</t>
  </si>
  <si>
    <t xml:space="preserve">Fixed closing costs</t>
  </si>
  <si>
    <t xml:space="preserve">Origination fee rate</t>
  </si>
  <si>
    <t xml:space="preserve">T12 actual management fee</t>
  </si>
  <si>
    <t xml:space="preserve">Management fee minimum percent of EGI</t>
  </si>
  <si>
    <t xml:space="preserve">UW: Real estate taxes</t>
  </si>
  <si>
    <t xml:space="preserve">UW: Property insurance (renewal)</t>
  </si>
  <si>
    <t xml:space="preserve">UW: Utilities</t>
  </si>
  <si>
    <t xml:space="preserve">UW: Repairs and maintenance (adj)</t>
  </si>
  <si>
    <t xml:space="preserve">UW: Payroll / contract labor</t>
  </si>
  <si>
    <t xml:space="preserve">UW: Administrative / legal</t>
  </si>
  <si>
    <t xml:space="preserve">Debt yield minimum</t>
  </si>
  <si>
    <t xml:space="preserve">LTV maximum percent</t>
  </si>
  <si>
    <t xml:space="preserve">Juniper Flats | Trailing 12 months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</si>
  <si>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</si>
  <si>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</si>
  <si>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</si>
  <si>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</si>
  <si>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</si>
  <si>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</si>
  <si>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</si>
  <si>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</si>
  <si>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</si>
  <si>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</si>
  <si>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</si>
  <si>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</si>
  <si>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</si>
  <si>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Total operating expenses (before reserves)</t>
  </si>
  <si>
    <t xml:space="preserve">NOI before reserves</t>
  </si>
  <si>
    <t xml:space="preserve">Replacement reserves</t>
  </si>
  <si>
    <t xml:space="preserve">NCF after reserves</t>
  </si>
  <si>
    <t xml:space="preserve">Juniper Flats | Underwriting</t>
  </si>
  <si>
    <t xml:space="preserve">Underwritten EGI</t>
  </si>
  <si>
    <t xml:space="preserve">UW: Management fee = max(T12 actual, % of EGI)</t>
  </si>
  <si>
    <t xml:space="preserve">UW NOI before reserves</t>
  </si>
  <si>
    <t xml:space="preserve">UW NCF after reserves</t>
  </si>
  <si>
    <t xml:space="preserve">Indicative value (NOI / cap rate)</t>
  </si>
  <si>
    <t xml:space="preserve">Juniper Flats | Loan sizing</t>
  </si>
  <si>
    <t xml:space="preserve">Annual debt constant (sizing rate, 30yr amort)</t>
  </si>
  <si>
    <t xml:space="preserve">Indicative value (from UW)</t>
  </si>
  <si>
    <t xml:space="preserve">LTV limit ($)</t>
  </si>
  <si>
    <t xml:space="preserve">DSCR limit ($) = NCF / (const * 1.25)</t>
  </si>
  <si>
    <t xml:space="preserve">Debt yield limit ($) = NCF / DY%</t>
  </si>
  <si>
    <t xml:space="preserve">Maximum loan (min of constraints)</t>
  </si>
  <si>
    <t xml:space="preserve">Sizing annual debt service</t>
  </si>
  <si>
    <t xml:space="preserve">Sizing DSCR (UW NCF / sizing DS)</t>
  </si>
  <si>
    <t xml:space="preserve">Sizing debt yield (UW NCF / loan)</t>
  </si>
  <si>
    <t xml:space="preserve">First-year contractual debt service (IO year)</t>
  </si>
  <si>
    <t xml:space="preserve">Binding constraint</t>
  </si>
  <si>
    <t xml:space="preserve">Juniper Flats | Sources and Uses</t>
  </si>
  <si>
    <t xml:space="preserve">Loan proceeds (sized)</t>
  </si>
  <si>
    <t xml:space="preserve">Origination fee (rate x loan)</t>
  </si>
  <si>
    <t xml:space="preserve">Net cash to/(from) borrower</t>
  </si>
  <si>
    <t xml:space="preserve">Juniper Flats | Sensitivity</t>
  </si>
  <si>
    <t xml:space="preserve">Stress EGI (-5%)</t>
  </si>
  <si>
    <t xml:space="preserve">Stress management fee (max of T12 or 3% of stress EGI)</t>
  </si>
  <si>
    <t xml:space="preserve">Other operating expenses held constant</t>
  </si>
  <si>
    <t xml:space="preserve">Stress NOI before reserves</t>
  </si>
  <si>
    <t xml:space="preserve">Stress reserves (unchanged)</t>
  </si>
  <si>
    <t xml:space="preserve">Stress NCF after reserves</t>
  </si>
  <si>
    <t xml:space="preserve">Stress sizing rate (+100 bps)</t>
  </si>
  <si>
    <t xml:space="preserve">Stress annual debt constant</t>
  </si>
  <si>
    <t xml:space="preserve">Stress DSCR limit ($)</t>
  </si>
  <si>
    <t xml:space="preserve">Stress LTV limit ($) (cap rate unchanged)</t>
  </si>
  <si>
    <t xml:space="preserve">Stress debt yield limit ($)</t>
  </si>
  <si>
    <t xml:space="preserve">Stress maximum loan</t>
  </si>
  <si>
    <t xml:space="preserve">Cap rate +50 bps</t>
  </si>
  <si>
    <t xml:space="preserve">Alternate value at cap+50 bps</t>
  </si>
  <si>
    <t xml:space="preserve">Juniper Flats | Rent Roll Summary (as of 2026-08-31)</t>
  </si>
  <si>
    <t xml:space="preserve">Total unit/suite count</t>
  </si>
  <si>
    <t xml:space="preserve">Occupied unit/suite count</t>
  </si>
  <si>
    <t xml:space="preserve">Total rentable area (SF)</t>
  </si>
  <si>
    <t xml:space="preserve">Occupied rentable area (SF)</t>
  </si>
  <si>
    <t xml:space="preserve">Physical occupancy by count (%)</t>
  </si>
  <si>
    <t xml:space="preserve">Occupancy by area (%)</t>
  </si>
  <si>
    <t xml:space="preserve">Monthly base rent (printed)</t>
  </si>
  <si>
    <t xml:space="preserve">Note: Premises 101 base rent confirmed by executed lease extract.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</si>
</sst>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%"/>
    <numFmt numFmtId="167" formatCode="0.00%"/>
    <numFmt numFmtId="168" formatCode="\$#,##0;&quot;-$&quot;#,##0"/>
    <numFmt numFmtId="169" formatCode="0.0000000000"/>
    <numFmt numFmtId="170" formatCode="0.00"/>
    <numFmt numFmtId="171" formatCode="0.000"/>
    <numFmt numFmtId="172" formatCode="@"/>
    <numFmt numFmtId="173" formatCode="0"/>
    <numFmt numFmtId="174" formatCode="#,##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2625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27" hidden="false" customHeight="true" outlineLevel="0" collapsed="false">
      <c r="A1" s="1" t="s">
        <v>0</v>
      </c>
    </row>
    <row r="3" customFormat="false" ht="22" hidden="false" customHeight="true" outlineLevel="0" collapsed="false">
      <c r="A3" s="2" t="s">
        <v>1</v>
      </c>
      <c r="B3" s="3" t="s">
        <v>2</v>
      </c>
    </row>
    <row r="5" customFormat="false" ht="22" hidden="false" customHeight="true" outlineLevel="0" collapsed="false">
      <c r="A5" s="2" t="s">
        <v>3</v>
      </c>
      <c r="B5" s="4" t="n">
        <v>854160</v>
      </c>
    </row>
    <row r="6" customFormat="false" ht="22" hidden="false" customHeight="true" outlineLevel="0" collapsed="false">
      <c r="A6" s="2" t="s">
        <v>4</v>
      </c>
      <c r="B6" s="5" t="n">
        <v>0.0575</v>
      </c>
    </row>
    <row r="7" customFormat="false" ht="22" hidden="false" customHeight="true" outlineLevel="0" collapsed="false">
      <c r="A7" s="2" t="s">
        <v>5</v>
      </c>
      <c r="B7" s="5" t="n">
        <v>0.0725</v>
      </c>
    </row>
    <row r="8" customFormat="false" ht="22" hidden="false" customHeight="true" outlineLevel="0" collapsed="false">
      <c r="A8" s="2" t="s">
        <v>6</v>
      </c>
      <c r="B8" s="5" t="n">
        <v>0.059</v>
      </c>
    </row>
    <row r="9" customFormat="false" ht="22" hidden="false" customHeight="true" outlineLevel="0" collapsed="false">
      <c r="A9" s="2" t="s">
        <v>7</v>
      </c>
      <c r="B9" s="3" t="n">
        <v>24</v>
      </c>
    </row>
    <row r="10" customFormat="false" ht="22" hidden="false" customHeight="true" outlineLevel="0" collapsed="false">
      <c r="A10" s="2" t="s">
        <v>8</v>
      </c>
      <c r="B10" s="3" t="n">
        <v>30</v>
      </c>
    </row>
    <row r="12" customFormat="false" ht="22" hidden="false" customHeight="true" outlineLevel="0" collapsed="false">
      <c r="A12" s="2" t="s">
        <v>9</v>
      </c>
      <c r="B12" s="3" t="n">
        <v>36</v>
      </c>
    </row>
    <row r="13" customFormat="false" ht="22" hidden="false" customHeight="true" outlineLevel="0" collapsed="false">
      <c r="A13" s="2" t="s">
        <v>10</v>
      </c>
      <c r="B13" s="4" t="n">
        <v>300</v>
      </c>
    </row>
    <row r="15" customFormat="false" ht="22" hidden="false" customHeight="true" outlineLevel="0" collapsed="false">
      <c r="A15" s="2" t="s">
        <v>11</v>
      </c>
      <c r="B15" s="4" t="n">
        <v>3300000</v>
      </c>
    </row>
    <row r="16" customFormat="false" ht="22" hidden="false" customHeight="true" outlineLevel="0" collapsed="false">
      <c r="A16" s="2" t="s">
        <v>12</v>
      </c>
      <c r="B16" s="4" t="n">
        <v>45000</v>
      </c>
    </row>
    <row r="17" customFormat="false" ht="22" hidden="false" customHeight="true" outlineLevel="0" collapsed="false">
      <c r="A17" s="2" t="s">
        <v>13</v>
      </c>
      <c r="B17" s="6" t="n">
        <v>0.0075</v>
      </c>
    </row>
    <row r="19" customFormat="false" ht="22" hidden="false" customHeight="true" outlineLevel="0" collapsed="false">
      <c r="A19" s="2" t="s">
        <v>14</v>
      </c>
      <c r="B19" s="4" t="n">
        <v>30000</v>
      </c>
    </row>
    <row r="20" customFormat="false" ht="22" hidden="false" customHeight="true" outlineLevel="0" collapsed="false">
      <c r="A20" s="2" t="s">
        <v>15</v>
      </c>
      <c r="B20" s="6" t="n">
        <v>0.03</v>
      </c>
    </row>
    <row r="22" customFormat="false" ht="22" hidden="false" customHeight="true" outlineLevel="0" collapsed="false">
      <c r="A22" s="2" t="s">
        <v>16</v>
      </c>
      <c r="B22" s="4" t="n">
        <v>112000</v>
      </c>
    </row>
    <row r="23" customFormat="false" ht="22" hidden="false" customHeight="true" outlineLevel="0" collapsed="false">
      <c r="A23" s="2" t="s">
        <v>17</v>
      </c>
      <c r="B23" s="4" t="n">
        <v>33600</v>
      </c>
    </row>
    <row r="24" customFormat="false" ht="22" hidden="false" customHeight="true" outlineLevel="0" collapsed="false">
      <c r="A24" s="2" t="s">
        <v>18</v>
      </c>
      <c r="B24" s="4" t="n">
        <v>28800</v>
      </c>
    </row>
    <row r="25" customFormat="false" ht="22" hidden="false" customHeight="true" outlineLevel="0" collapsed="false">
      <c r="A25" s="2" t="s">
        <v>19</v>
      </c>
      <c r="B25" s="4" t="n">
        <v>40200</v>
      </c>
    </row>
    <row r="26" customFormat="false" ht="22" hidden="false" customHeight="true" outlineLevel="0" collapsed="false">
      <c r="A26" s="2" t="s">
        <v>20</v>
      </c>
      <c r="B26" s="4" t="n">
        <v>42000</v>
      </c>
    </row>
    <row r="27" customFormat="false" ht="22" hidden="false" customHeight="true" outlineLevel="0" collapsed="false">
      <c r="A27" s="2" t="s">
        <v>21</v>
      </c>
      <c r="B27" s="4" t="n">
        <v>21600</v>
      </c>
    </row>
    <row r="29" customFormat="false" ht="22" hidden="false" customHeight="true" outlineLevel="0" collapsed="false">
      <c r="A29" s="2" t="s">
        <v>22</v>
      </c>
      <c r="B29" s="6" t="n">
        <v>0.085</v>
      </c>
    </row>
    <row r="30" customFormat="false" ht="22" hidden="false" customHeight="true" outlineLevel="0" collapsed="false">
      <c r="A30" s="2" t="s">
        <v>23</v>
      </c>
      <c r="B30" s="6" t="n">
        <v>0.65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24</v>
      </c>
    </row>
    <row r="3" customFormat="false" ht="22" hidden="false" customHeight="true" outlineLevel="0" collapsed="false">
      <c r="A3" s="2" t="s">
        <v>25</v>
      </c>
      <c r="B3" s="7" t="n">
        <v>840000</v>
      </c>
    </row>
    <row r="4" customFormat="false" ht="22" hidden="false" customHeight="true" outlineLevel="0" collapsed="false">
      <c r="A4" s="2" t="s">
        <v>26</v>
      </c>
      <c r="B4" s="8" t="n">
        <v>-42000</v>
      </c>
    </row>
    <row r="5" customFormat="false" ht="22" hidden="false" customHeight="true" outlineLevel="0" collapsed="false">
      <c r="A5" s="2" t="s">
        <v>27</v>
      </c>
      <c r="B5" s="8" t="n">
        <v>-12000</v>
      </c>
    </row>
    <row r="6" customFormat="false" ht="22" hidden="false" customHeight="true" outlineLevel="0" collapsed="false">
      <c r="A6" s="2" t="s">
        <v>28</v>
      </c>
      <c r="B6" s="8" t="n">
        <v>-4500</v>
      </c>
    </row>
    <row r="7" customFormat="false" ht="22" hidden="false" customHeight="true" outlineLevel="0" collapsed="false">
      <c r="A7" s="2" t="s">
        <v>29</v>
      </c>
      <c r="B7" s="7" t="n">
        <v>39600</v>
      </c>
    </row>
    <row r="9" customFormat="false" ht="22" hidden="false" customHeight="true" outlineLevel="0" collapsed="false">
      <c r="A9" s="2" t="s">
        <v>30</v>
      </c>
      <c r="B9" s="7" t="n">
        <f aca="false">B3+B4+B5+B6+B7</f>
        <v>821100</v>
      </c>
    </row>
    <row r="11" customFormat="false" ht="22" hidden="false" customHeight="true" outlineLevel="0" collapsed="false">
      <c r="A11" s="2" t="s">
        <v>31</v>
      </c>
      <c r="B11" s="7" t="n">
        <v>108000</v>
      </c>
    </row>
    <row r="12" customFormat="false" ht="22" hidden="false" customHeight="true" outlineLevel="0" collapsed="false">
      <c r="A12" s="2" t="s">
        <v>32</v>
      </c>
      <c r="B12" s="7" t="n">
        <v>31200</v>
      </c>
    </row>
    <row r="13" customFormat="false" ht="22" hidden="false" customHeight="true" outlineLevel="0" collapsed="false">
      <c r="A13" s="2" t="s">
        <v>33</v>
      </c>
      <c r="B13" s="7" t="n">
        <v>28800</v>
      </c>
    </row>
    <row r="14" customFormat="false" ht="22" hidden="false" customHeight="true" outlineLevel="0" collapsed="false">
      <c r="A14" s="2" t="s">
        <v>34</v>
      </c>
      <c r="B14" s="7" t="n">
        <v>46200</v>
      </c>
    </row>
    <row r="15" customFormat="false" ht="22" hidden="false" customHeight="true" outlineLevel="0" collapsed="false">
      <c r="A15" s="2" t="s">
        <v>35</v>
      </c>
      <c r="B15" s="7" t="n">
        <v>42000</v>
      </c>
    </row>
    <row r="16" customFormat="false" ht="22" hidden="false" customHeight="true" outlineLevel="0" collapsed="false">
      <c r="A16" s="2" t="s">
        <v>36</v>
      </c>
      <c r="B16" s="7" t="n">
        <v>21600</v>
      </c>
    </row>
    <row r="17" customFormat="false" ht="22" hidden="false" customHeight="true" outlineLevel="0" collapsed="false">
      <c r="A17" s="2" t="s">
        <v>37</v>
      </c>
      <c r="B17" s="7" t="n">
        <v>30000</v>
      </c>
    </row>
    <row r="19" customFormat="false" ht="22" hidden="false" customHeight="true" outlineLevel="0" collapsed="false">
      <c r="A19" s="2" t="s">
        <v>38</v>
      </c>
      <c r="B19" s="7" t="n">
        <f aca="false">SUM(B11:B17)</f>
        <v>307800</v>
      </c>
    </row>
    <row r="21" customFormat="false" ht="22" hidden="false" customHeight="true" outlineLevel="0" collapsed="false">
      <c r="A21" s="2" t="s">
        <v>39</v>
      </c>
      <c r="B21" s="7" t="n">
        <f aca="false">B9-B19</f>
        <v>513300</v>
      </c>
    </row>
    <row r="23" customFormat="false" ht="22" hidden="false" customHeight="true" outlineLevel="0" collapsed="false">
      <c r="A23" s="2" t="s">
        <v>40</v>
      </c>
      <c r="B23" s="7" t="n">
        <v>10800</v>
      </c>
    </row>
    <row r="25" customFormat="false" ht="22" hidden="false" customHeight="true" outlineLevel="0" collapsed="false">
      <c r="A25" s="2" t="s">
        <v>41</v>
      </c>
      <c r="B25" s="7" t="n">
        <f aca="false">B21-B23</f>
        <v>502500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42</v>
      </c>
    </row>
    <row r="3" customFormat="false" ht="22" hidden="false" customHeight="true" outlineLevel="0" collapsed="false">
      <c r="A3" s="2" t="s">
        <v>43</v>
      </c>
      <c r="B3" s="9" t="n">
        <f aca="false">Inputs!B5</f>
        <v>854160</v>
      </c>
    </row>
    <row r="5" customFormat="false" ht="22" hidden="false" customHeight="true" outlineLevel="0" collapsed="false">
      <c r="A5" s="2" t="s">
        <v>16</v>
      </c>
      <c r="B5" s="9" t="n">
        <f aca="false">Inputs!B22</f>
        <v>112000</v>
      </c>
    </row>
    <row r="6" customFormat="false" ht="22" hidden="false" customHeight="true" outlineLevel="0" collapsed="false">
      <c r="A6" s="2" t="s">
        <v>17</v>
      </c>
      <c r="B6" s="9" t="n">
        <f aca="false">Inputs!B23</f>
        <v>33600</v>
      </c>
    </row>
    <row r="7" customFormat="false" ht="22" hidden="false" customHeight="true" outlineLevel="0" collapsed="false">
      <c r="A7" s="2" t="s">
        <v>18</v>
      </c>
      <c r="B7" s="9" t="n">
        <f aca="false">Inputs!B24</f>
        <v>28800</v>
      </c>
    </row>
    <row r="8" customFormat="false" ht="22" hidden="false" customHeight="true" outlineLevel="0" collapsed="false">
      <c r="A8" s="2" t="s">
        <v>19</v>
      </c>
      <c r="B8" s="9" t="n">
        <f aca="false">Inputs!B25</f>
        <v>40200</v>
      </c>
    </row>
    <row r="9" customFormat="false" ht="22" hidden="false" customHeight="true" outlineLevel="0" collapsed="false">
      <c r="A9" s="2" t="s">
        <v>20</v>
      </c>
      <c r="B9" s="9" t="n">
        <f aca="false">Inputs!B26</f>
        <v>42000</v>
      </c>
    </row>
    <row r="10" customFormat="false" ht="22" hidden="false" customHeight="true" outlineLevel="0" collapsed="false">
      <c r="A10" s="2" t="s">
        <v>21</v>
      </c>
      <c r="B10" s="9" t="n">
        <f aca="false">Inputs!B27</f>
        <v>21600</v>
      </c>
    </row>
    <row r="11" customFormat="false" ht="22" hidden="false" customHeight="true" outlineLevel="0" collapsed="false">
      <c r="A11" s="2" t="s">
        <v>44</v>
      </c>
      <c r="B11" s="9" t="n">
        <f aca="false">MAX(Inputs!B19,Inputs!B20*B3)</f>
        <v>30000</v>
      </c>
    </row>
    <row r="12" customFormat="false" ht="22" hidden="false" customHeight="true" outlineLevel="0" collapsed="false">
      <c r="A12" s="2" t="s">
        <v>38</v>
      </c>
      <c r="B12" s="7" t="n">
        <f aca="false">SUM(B5:B11)</f>
        <v>308200</v>
      </c>
    </row>
    <row r="14" customFormat="false" ht="22" hidden="false" customHeight="true" outlineLevel="0" collapsed="false">
      <c r="A14" s="2" t="s">
        <v>45</v>
      </c>
      <c r="B14" s="7" t="n">
        <f aca="false">B3-B12</f>
        <v>545960</v>
      </c>
    </row>
    <row r="16" customFormat="false" ht="22" hidden="false" customHeight="true" outlineLevel="0" collapsed="false">
      <c r="A16" s="2" t="s">
        <v>40</v>
      </c>
      <c r="B16" s="9" t="n">
        <f aca="false">Inputs!B12*Inputs!B13</f>
        <v>10800</v>
      </c>
    </row>
    <row r="18" customFormat="false" ht="22" hidden="false" customHeight="true" outlineLevel="0" collapsed="false">
      <c r="A18" s="2" t="s">
        <v>46</v>
      </c>
      <c r="B18" s="7" t="n">
        <f aca="false">B14-B16</f>
        <v>535160</v>
      </c>
    </row>
    <row r="20" customFormat="false" ht="22" hidden="false" customHeight="true" outlineLevel="0" collapsed="false">
      <c r="A20" s="2" t="s">
        <v>47</v>
      </c>
      <c r="B20" s="9" t="n">
        <f aca="false">B14/Inputs!B6</f>
        <v>9494956.52173913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48</v>
      </c>
    </row>
    <row r="2" customFormat="false" ht="22" hidden="false" customHeight="true" outlineLevel="0" collapsed="false">
      <c r="A2" s="2" t="s">
        <v>49</v>
      </c>
      <c r="B2" s="10" t="n">
        <f aca="false">ABS(12*PMT(Inputs!B7/12,Inputs!B10*12,1))</f>
        <v>0.081861153606743</v>
      </c>
    </row>
    <row r="3" customFormat="false" ht="22" hidden="false" customHeight="true" outlineLevel="0" collapsed="false">
      <c r="A3" s="2" t="s">
        <v>50</v>
      </c>
      <c r="B3" s="9" t="n">
        <f aca="false">UW!B20</f>
        <v>9494956.52173913</v>
      </c>
    </row>
    <row r="4" customFormat="false" ht="22" hidden="false" customHeight="true" outlineLevel="0" collapsed="false">
      <c r="A4" s="2" t="s">
        <v>23</v>
      </c>
      <c r="B4" s="11" t="n">
        <f aca="false">Inputs!B30</f>
        <v>0.65</v>
      </c>
    </row>
    <row r="5" customFormat="false" ht="22" hidden="false" customHeight="true" outlineLevel="0" collapsed="false">
      <c r="A5" s="2" t="s">
        <v>51</v>
      </c>
      <c r="B5" s="7" t="n">
        <f aca="false">B4*B3</f>
        <v>6171721.73913044</v>
      </c>
    </row>
    <row r="6" customFormat="false" ht="22" hidden="false" customHeight="true" outlineLevel="0" collapsed="false">
      <c r="A6" s="2" t="s">
        <v>52</v>
      </c>
      <c r="B6" s="9" t="n">
        <f aca="false">UW!B18/(B2*1.25)</f>
        <v>5229928.74076398</v>
      </c>
    </row>
    <row r="7" customFormat="false" ht="22" hidden="false" customHeight="true" outlineLevel="0" collapsed="false">
      <c r="A7" s="2" t="s">
        <v>22</v>
      </c>
      <c r="B7" s="11" t="n">
        <f aca="false">Inputs!B29</f>
        <v>0.085</v>
      </c>
    </row>
    <row r="8" customFormat="false" ht="22" hidden="false" customHeight="true" outlineLevel="0" collapsed="false">
      <c r="A8" s="2" t="s">
        <v>53</v>
      </c>
      <c r="B8" s="9" t="n">
        <f aca="false">UW!B18/B7</f>
        <v>6296000</v>
      </c>
    </row>
    <row r="10" customFormat="false" ht="22" hidden="false" customHeight="true" outlineLevel="0" collapsed="false">
      <c r="A10" s="2" t="s">
        <v>54</v>
      </c>
      <c r="B10" s="7" t="n">
        <f aca="false">MIN(B5,B6,B8)</f>
        <v>5229928.74076398</v>
      </c>
    </row>
    <row r="11" customFormat="false" ht="22" hidden="false" customHeight="true" outlineLevel="0" collapsed="false">
      <c r="A11" s="2" t="s">
        <v>55</v>
      </c>
      <c r="B11" s="7" t="n">
        <f aca="false">B10*B2</f>
        <v>428128</v>
      </c>
    </row>
    <row r="12" customFormat="false" ht="22" hidden="false" customHeight="true" outlineLevel="0" collapsed="false">
      <c r="A12" s="2" t="s">
        <v>56</v>
      </c>
      <c r="B12" s="12" t="n">
        <f aca="false">UW!B18/B11</f>
        <v>1.25</v>
      </c>
    </row>
    <row r="13" customFormat="false" ht="22" hidden="false" customHeight="true" outlineLevel="0" collapsed="false">
      <c r="A13" s="2" t="s">
        <v>57</v>
      </c>
      <c r="B13" s="13" t="n">
        <f aca="false">UW!B18/B10</f>
        <v>0.102326442008429</v>
      </c>
    </row>
    <row r="14" customFormat="false" ht="22" hidden="false" customHeight="true" outlineLevel="0" collapsed="false">
      <c r="A14" s="2" t="s">
        <v>58</v>
      </c>
      <c r="B14" s="9" t="n">
        <f aca="false">Inputs!B8*B10</f>
        <v>308565.795705075</v>
      </c>
    </row>
    <row r="15" customFormat="false" ht="22" hidden="false" customHeight="true" outlineLevel="0" collapsed="false">
      <c r="A15" s="2" t="s">
        <v>59</v>
      </c>
      <c r="B15" s="14" t="str">
        <f aca="false">IF(B10=B6,"DSCR",IF(B10=B5,"LTV","Debt yield"))</f>
        <v>DSCR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60</v>
      </c>
    </row>
    <row r="3" customFormat="false" ht="22" hidden="false" customHeight="true" outlineLevel="0" collapsed="false">
      <c r="A3" s="2" t="s">
        <v>61</v>
      </c>
      <c r="B3" s="9" t="n">
        <f aca="false">Sizing!B10</f>
        <v>5229928.74076398</v>
      </c>
    </row>
    <row r="4" customFormat="false" ht="22" hidden="false" customHeight="true" outlineLevel="0" collapsed="false">
      <c r="A4" s="2" t="s">
        <v>62</v>
      </c>
      <c r="B4" s="9" t="n">
        <f aca="false">Inputs!B17*B3</f>
        <v>39224.4655557298</v>
      </c>
    </row>
    <row r="5" customFormat="false" ht="22" hidden="false" customHeight="true" outlineLevel="0" collapsed="false">
      <c r="A5" s="2" t="s">
        <v>12</v>
      </c>
      <c r="B5" s="9" t="n">
        <f aca="false">Inputs!B16</f>
        <v>45000</v>
      </c>
    </row>
    <row r="6" customFormat="false" ht="22" hidden="false" customHeight="true" outlineLevel="0" collapsed="false">
      <c r="A6" s="2" t="s">
        <v>11</v>
      </c>
      <c r="B6" s="9" t="n">
        <f aca="false">Inputs!B15</f>
        <v>3300000</v>
      </c>
    </row>
    <row r="8" customFormat="false" ht="22" hidden="false" customHeight="true" outlineLevel="0" collapsed="false">
      <c r="A8" s="2" t="s">
        <v>63</v>
      </c>
      <c r="B8" s="7" t="n">
        <f aca="false">B3-B4-B5-B6</f>
        <v>1845704.27520825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64</v>
      </c>
    </row>
    <row r="3" customFormat="false" ht="22" hidden="false" customHeight="true" outlineLevel="0" collapsed="false">
      <c r="A3" s="2" t="s">
        <v>65</v>
      </c>
      <c r="B3" s="9" t="n">
        <f aca="false">Inputs!B5*0.95</f>
        <v>811452</v>
      </c>
    </row>
    <row r="4" customFormat="false" ht="22" hidden="false" customHeight="true" outlineLevel="0" collapsed="false">
      <c r="A4" s="2" t="s">
        <v>66</v>
      </c>
      <c r="B4" s="9" t="n">
        <f aca="false">MAX(Inputs!B19,Inputs!B20*B3)</f>
        <v>30000</v>
      </c>
    </row>
    <row r="5" customFormat="false" ht="22" hidden="false" customHeight="true" outlineLevel="0" collapsed="false">
      <c r="A5" s="2" t="s">
        <v>67</v>
      </c>
      <c r="B5" s="9" t="n">
        <f aca="false">SUM(Inputs!B22:B27)</f>
        <v>278200</v>
      </c>
    </row>
    <row r="6" customFormat="false" ht="22" hidden="false" customHeight="true" outlineLevel="0" collapsed="false">
      <c r="A6" s="2" t="s">
        <v>68</v>
      </c>
      <c r="B6" s="7" t="n">
        <f aca="false">B3-(B4+B5)</f>
        <v>503252</v>
      </c>
    </row>
    <row r="7" customFormat="false" ht="22" hidden="false" customHeight="true" outlineLevel="0" collapsed="false">
      <c r="A7" s="2" t="s">
        <v>69</v>
      </c>
      <c r="B7" s="9" t="n">
        <f aca="false">Inputs!B12*Inputs!B13</f>
        <v>10800</v>
      </c>
    </row>
    <row r="8" customFormat="false" ht="22" hidden="false" customHeight="true" outlineLevel="0" collapsed="false">
      <c r="A8" s="2" t="s">
        <v>70</v>
      </c>
      <c r="B8" s="7" t="n">
        <f aca="false">B6-B7</f>
        <v>492452</v>
      </c>
    </row>
    <row r="9" customFormat="false" ht="22" hidden="false" customHeight="true" outlineLevel="0" collapsed="false">
      <c r="A9" s="2" t="s">
        <v>71</v>
      </c>
      <c r="B9" s="11" t="n">
        <f aca="false">Inputs!B7+0.01</f>
        <v>0.0825</v>
      </c>
    </row>
    <row r="10" customFormat="false" ht="22" hidden="false" customHeight="true" outlineLevel="0" collapsed="false">
      <c r="A10" s="2" t="s">
        <v>72</v>
      </c>
      <c r="B10" s="10" t="n">
        <f aca="false">ABS(12*PMT(B9/12,Inputs!B10*12,1))</f>
        <v>0.0901519924861109</v>
      </c>
    </row>
    <row r="11" customFormat="false" ht="22" hidden="false" customHeight="true" outlineLevel="0" collapsed="false">
      <c r="A11" s="2" t="s">
        <v>73</v>
      </c>
      <c r="B11" s="7" t="n">
        <f aca="false">B8/(B10*1.25)</f>
        <v>4369971.08034739</v>
      </c>
    </row>
    <row r="12" customFormat="false" ht="22" hidden="false" customHeight="true" outlineLevel="0" collapsed="false">
      <c r="A12" s="2" t="s">
        <v>74</v>
      </c>
      <c r="B12" s="9" t="n">
        <f aca="false">Sizing!B5</f>
        <v>6171721.73913044</v>
      </c>
    </row>
    <row r="13" customFormat="false" ht="22" hidden="false" customHeight="true" outlineLevel="0" collapsed="false">
      <c r="A13" s="2" t="s">
        <v>75</v>
      </c>
      <c r="B13" s="9" t="n">
        <f aca="false">B8/Inputs!B29</f>
        <v>5793552.94117647</v>
      </c>
    </row>
    <row r="14" customFormat="false" ht="22" hidden="false" customHeight="true" outlineLevel="0" collapsed="false">
      <c r="A14" s="2" t="s">
        <v>76</v>
      </c>
      <c r="B14" s="7" t="n">
        <f aca="false">MIN(B11,B12,B13)</f>
        <v>4369971.08034739</v>
      </c>
    </row>
    <row r="16" customFormat="false" ht="22" hidden="false" customHeight="true" outlineLevel="0" collapsed="false">
      <c r="A16" s="2" t="s">
        <v>77</v>
      </c>
      <c r="B16" s="15" t="n">
        <f aca="false">Inputs!B6+0.005</f>
        <v>0.0625</v>
      </c>
    </row>
    <row r="17" customFormat="false" ht="22" hidden="false" customHeight="true" outlineLevel="0" collapsed="false">
      <c r="A17" s="2" t="s">
        <v>78</v>
      </c>
      <c r="B17" s="9" t="n">
        <f aca="false">UW!B14/B16</f>
        <v>8735360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79</v>
      </c>
    </row>
    <row r="3" customFormat="false" ht="22" hidden="false" customHeight="true" outlineLevel="0" collapsed="false">
      <c r="A3" s="2" t="s">
        <v>80</v>
      </c>
      <c r="B3" s="16" t="n">
        <v>36</v>
      </c>
    </row>
    <row r="4" customFormat="false" ht="22" hidden="false" customHeight="true" outlineLevel="0" collapsed="false">
      <c r="A4" s="2" t="s">
        <v>81</v>
      </c>
      <c r="B4" s="16" t="n">
        <v>33</v>
      </c>
    </row>
    <row r="5" customFormat="false" ht="22" hidden="false" customHeight="true" outlineLevel="0" collapsed="false">
      <c r="A5" s="2" t="s">
        <v>82</v>
      </c>
      <c r="B5" s="17" t="n">
        <v>31800</v>
      </c>
    </row>
    <row r="6" customFormat="false" ht="22" hidden="false" customHeight="true" outlineLevel="0" collapsed="false">
      <c r="A6" s="2" t="s">
        <v>83</v>
      </c>
      <c r="B6" s="17" t="n">
        <v>28950</v>
      </c>
    </row>
    <row r="7" customFormat="false" ht="22" hidden="false" customHeight="true" outlineLevel="0" collapsed="false">
      <c r="A7" s="2" t="s">
        <v>84</v>
      </c>
      <c r="B7" s="18" t="n">
        <f aca="false">B4/B3</f>
        <v>0.916666666666667</v>
      </c>
    </row>
    <row r="8" customFormat="false" ht="22" hidden="false" customHeight="true" outlineLevel="0" collapsed="false">
      <c r="A8" s="2" t="s">
        <v>85</v>
      </c>
      <c r="B8" s="18" t="n">
        <f aca="false">B6/B5</f>
        <v>0.910377358490566</v>
      </c>
    </row>
    <row r="9" customFormat="false" ht="22" hidden="false" customHeight="true" outlineLevel="0" collapsed="false">
      <c r="A9" s="2" t="s">
        <v>86</v>
      </c>
      <c r="B9" s="7" t="n">
        <v>62275</v>
      </c>
    </row>
    <row r="11" customFormat="false" ht="36" hidden="false" customHeight="true" outlineLevel="0" collapsed="false">
      <c r="A11" s="19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