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c3580d513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5774854db664f7f"/>
    <x:sheet xmlns:r="http://schemas.openxmlformats.org/officeDocument/2006/relationships" name="T12" sheetId="2" r:id="R6d00f1db80b747d4"/>
    <x:sheet xmlns:r="http://schemas.openxmlformats.org/officeDocument/2006/relationships" name="UW" sheetId="3" r:id="R844267afa39f48d7"/>
    <x:sheet xmlns:r="http://schemas.openxmlformats.org/officeDocument/2006/relationships" name="Sizing" sheetId="4" r:id="R4422a91c57264ef5"/>
    <x:sheet xmlns:r="http://schemas.openxmlformats.org/officeDocument/2006/relationships" name="SourcesUses" sheetId="5" r:id="R6fd36c602bc048bb"/>
    <x:sheet xmlns:r="http://schemas.openxmlformats.org/officeDocument/2006/relationships" name="Sensitivity" sheetId="6" r:id="R302d361bd30e413e"/>
    <x:sheet xmlns:r="http://schemas.openxmlformats.org/officeDocument/2006/relationships" name="RentRoll" sheetId="7" r:id="R21eff8c628df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#,##0"/>
    <x:numFmt numFmtId="201" formatCode="0.000%"/>
    <x:numFmt numFmtId="202" formatCode="0.00%"/>
    <x:numFmt numFmtId="203" formatCode="$#,##0;-$#,##0"/>
    <x:numFmt numFmtId="204" formatCode="0.0000000000"/>
    <x:numFmt numFmtId="205" formatCode="0.00"/>
    <x:numFmt numFmtId="206" formatCode="0.000"/>
    <x:numFmt numFmtId="207" formatCode="@"/>
    <x:numFmt numFmtId="208" formatCode="0"/>
    <x:numFmt numFmtId="209" formatCode="#,##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9"/>
      <x:color rgb="FF5262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0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4" fontId="5" fillId="0" borderId="0" xfId="0" applyNumberFormat="1" applyFont="1" applyFill="1" applyBorder="1"/>
    <x:xf numFmtId="202" fontId="5" fillId="0" borderId="0" xfId="0" applyNumberFormat="1" applyFont="1" applyFill="1" applyBorder="1"/>
    <x:xf numFmtId="205" fontId="5" fillId="0" borderId="0" xfId="0" applyNumberFormat="1" applyFont="1" applyFill="1" applyBorder="1"/>
    <x:xf numFmtId="206" fontId="5" fillId="0" borderId="0" xfId="0" applyNumberFormat="1" applyFont="1" applyFill="1" applyBorder="1"/>
    <x:xf numFmtId="207" fontId="1" fillId="0" borderId="0" xfId="0" applyNumberFormat="1" applyFont="1" applyFill="1" applyBorder="1"/>
    <x:xf numFmtId="201" fontId="5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eb6842dd3468d" /><Relationship Type="http://schemas.openxmlformats.org/officeDocument/2006/relationships/theme" Target="/xl/theme/theme1.xml" Id="Rbc85bcd10d744305" /><Relationship Type="http://schemas.openxmlformats.org/officeDocument/2006/relationships/sharedStrings" Target="/xl/sharedStrings.xml" Id="Red1a787bb3ca4a63" /><Relationship Type="http://schemas.openxmlformats.org/officeDocument/2006/relationships/worksheet" Target="/xl/worksheets/sheet1.xml" Id="Ra5774854db664f7f" /><Relationship Type="http://schemas.openxmlformats.org/officeDocument/2006/relationships/worksheet" Target="/xl/worksheets/sheet2.xml" Id="R6d00f1db80b747d4" /><Relationship Type="http://schemas.openxmlformats.org/officeDocument/2006/relationships/worksheet" Target="/xl/worksheets/sheet3.xml" Id="R844267afa39f48d7" /><Relationship Type="http://schemas.openxmlformats.org/officeDocument/2006/relationships/worksheet" Target="/xl/worksheets/sheet4.xml" Id="R4422a91c57264ef5" /><Relationship Type="http://schemas.openxmlformats.org/officeDocument/2006/relationships/worksheet" Target="/xl/worksheets/sheet5.xml" Id="R6fd36c602bc048bb" /><Relationship Type="http://schemas.openxmlformats.org/officeDocument/2006/relationships/worksheet" Target="/xl/worksheets/sheet6.xml" Id="R302d361bd30e413e" /><Relationship Type="http://schemas.openxmlformats.org/officeDocument/2006/relationships/worksheet" Target="/xl/worksheets/sheet7.xml" Id="R21eff8c628df40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Juniper Flats | Underwriting Inputs</x:v>
      </x:c>
    </x:row>
    <x:row r="3" ht="22" customHeight="1">
      <x:c r="A3" s="4" t="str">
        <x:v>As-of date</x:v>
      </x:c>
      <x:c r="B3" s="5" t="str">
        <x:v>2026-08-31</x:v>
      </x:c>
    </x:row>
    <x:row r="5" ht="22" customHeight="1">
      <x:c r="A5" s="4" t="str">
        <x:v>Underwritten EGI (annual)</x:v>
      </x:c>
      <x:c r="B5" s="6" t="n">
        <x:v>811452</x:v>
      </x:c>
    </x:row>
    <x:row r="6" ht="22" customHeight="1">
      <x:c r="A6" s="4" t="str">
        <x:v>Valuation cap rate</x:v>
      </x:c>
      <x:c r="B6" s="7" t="n">
        <x:v>0.0575</x:v>
      </x:c>
    </x:row>
    <x:row r="7" ht="22" customHeight="1">
      <x:c r="A7" s="4" t="str">
        <x:v>Sizing rate (annual)</x:v>
      </x:c>
      <x:c r="B7" s="7" t="n">
        <x:v>0.0625</x:v>
      </x:c>
    </x:row>
    <x:row r="8" ht="22" customHeight="1">
      <x:c r="A8" s="4" t="str">
        <x:v>Contractual rate (annual)</x:v>
      </x:c>
      <x:c r="B8" s="7" t="n">
        <x:v>0.059</x:v>
      </x:c>
    </x:row>
    <x:row r="9" ht="22" customHeight="1">
      <x:c r="A9" s="4" t="str">
        <x:v>Interest-only months</x:v>
      </x:c>
      <x:c r="B9" s="5" t="n">
        <x:v>24</x:v>
      </x:c>
    </x:row>
    <x:row r="10" ht="22" customHeight="1">
      <x:c r="A10" s="4" t="str">
        <x:v>Amortization (years)</x:v>
      </x:c>
      <x:c r="B10" s="5" t="n">
        <x:v>30</x:v>
      </x:c>
    </x:row>
    <x:row r="12" ht="22" customHeight="1">
      <x:c r="A12" s="4" t="str">
        <x:v>Unit count</x:v>
      </x:c>
      <x:c r="B12" s="5" t="n">
        <x:v>36</x:v>
      </x:c>
    </x:row>
    <x:row r="13" ht="22" customHeight="1">
      <x:c r="A13" s="4" t="str">
        <x:v>Reserves per unit per year</x:v>
      </x:c>
      <x:c r="B13" s="6" t="n">
        <x:v>300</x:v>
      </x:c>
    </x:row>
    <x:row r="15" ht="22" customHeight="1">
      <x:c r="A15" s="4" t="str">
        <x:v>Existing debt payoff</x:v>
      </x:c>
      <x:c r="B15" s="6" t="n">
        <x:v>3300000</x:v>
      </x:c>
    </x:row>
    <x:row r="16" ht="22" customHeight="1">
      <x:c r="A16" s="4" t="str">
        <x:v>Fixed closing costs</x:v>
      </x:c>
      <x:c r="B16" s="6" t="n">
        <x:v>45000</x:v>
      </x:c>
    </x:row>
    <x:row r="17" ht="22" customHeight="1">
      <x:c r="A17" s="4" t="str">
        <x:v>Origination fee rate</x:v>
      </x:c>
      <x:c r="B17" s="8" t="n">
        <x:v>0.0075</x:v>
      </x:c>
    </x:row>
    <x:row r="19" ht="22" customHeight="1">
      <x:c r="A19" s="4" t="str">
        <x:v>T12 actual management fee</x:v>
      </x:c>
      <x:c r="B19" s="6" t="n">
        <x:v>30000</x:v>
      </x:c>
    </x:row>
    <x:row r="20" ht="22" customHeight="1">
      <x:c r="A20" s="4" t="str">
        <x:v>Management fee minimum percent of EGI</x:v>
      </x:c>
      <x:c r="B20" s="8" t="n">
        <x:v>0.03</x:v>
      </x:c>
    </x:row>
    <x:row r="22" ht="22" customHeight="1">
      <x:c r="A22" s="4" t="str">
        <x:v>UW: Real estate taxes</x:v>
      </x:c>
      <x:c r="B22" s="6" t="n">
        <x:v>112000</x:v>
      </x:c>
    </x:row>
    <x:row r="23" ht="22" customHeight="1">
      <x:c r="A23" s="4" t="str">
        <x:v>UW: Property insurance (renewal)</x:v>
      </x:c>
      <x:c r="B23" s="6" t="n">
        <x:v>33600</x:v>
      </x:c>
    </x:row>
    <x:row r="24" ht="22" customHeight="1">
      <x:c r="A24" s="4" t="str">
        <x:v>UW: Utilities</x:v>
      </x:c>
      <x:c r="B24" s="6" t="n">
        <x:v>28800</x:v>
      </x:c>
    </x:row>
    <x:row r="25" ht="22" customHeight="1">
      <x:c r="A25" s="4" t="str">
        <x:v>UW: Repairs and maintenance (adj)</x:v>
      </x:c>
      <x:c r="B25" s="6" t="n">
        <x:v>40200</x:v>
      </x:c>
    </x:row>
    <x:row r="26" ht="22" customHeight="1">
      <x:c r="A26" s="4" t="str">
        <x:v>UW: Payroll / contract labor</x:v>
      </x:c>
      <x:c r="B26" s="6" t="n">
        <x:v>42000</x:v>
      </x:c>
    </x:row>
    <x:row r="27" ht="22" customHeight="1">
      <x:c r="A27" s="4" t="str">
        <x:v>UW: Administrative / legal</x:v>
      </x:c>
      <x:c r="B27" s="6" t="n">
        <x:v>21600</x:v>
      </x:c>
    </x:row>
    <x:row r="29" ht="22" customHeight="1">
      <x:c r="A29" s="4" t="str">
        <x:v>Debt yield minimum</x:v>
      </x:c>
      <x:c r="B29" s="8" t="n">
        <x:v>0.085</x:v>
      </x:c>
    </x:row>
    <x:row r="30" ht="22" customHeight="1">
      <x:c r="A30" s="4" t="str">
        <x:v>LTV maximum percent</x:v>
      </x:c>
      <x:c r="B30" s="8" t="n">
        <x:v>0.65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</x:cols>
  <x:sheetData>
    <x:row r="1" ht="27" customHeight="1">
      <x:c r="A1" s="2" t="str">
        <x:v>Juniper Flats | Trailing 12 months (Sep 2025 - Aug 2026)</x:v>
      </x:c>
    </x:row>
    <x:row r="3" ht="22" customHeight="1">
      <x:c r="A3" s="4" t="str">
        <x:v>Gross potential base rent</x:v>
      </x:c>
      <x:c r="B3" s="9" t="n">
        <x:v>840000</x:v>
      </x:c>
    </x:row>
    <x:row r="4" ht="22" customHeight="1">
      <x:c r="A4" s="4" t="str">
        <x:v>Vacancy loss</x:v>
      </x:c>
      <x:c r="B4" s="10" t="n">
        <x:v>-42000</x:v>
      </x:c>
    </x:row>
    <x:row r="5" ht="22" customHeight="1">
      <x:c r="A5" s="4" t="str">
        <x:v>Concessions</x:v>
      </x:c>
      <x:c r="B5" s="10" t="n">
        <x:v>-12000</x:v>
      </x:c>
    </x:row>
    <x:row r="6" ht="22" customHeight="1">
      <x:c r="A6" s="4" t="str">
        <x:v>Bad debt</x:v>
      </x:c>
      <x:c r="B6" s="10" t="n">
        <x:v>-4500</x:v>
      </x:c>
    </x:row>
    <x:row r="7" ht="22" customHeight="1">
      <x:c r="A7" s="4" t="str">
        <x:v>Other income / recoveries</x:v>
      </x:c>
      <x:c r="B7" s="9" t="n">
        <x:v>39600</x:v>
      </x:c>
    </x:row>
    <x:row r="9" ht="22" customHeight="1">
      <x:c r="A9" s="4" t="str">
        <x:v>Effective gross income (EGI)</x:v>
      </x:c>
      <x:c r="B9" s="9" t="n">
        <x:f>B3+B4+B5+B6+B7</x:f>
        <x:v>821100</x:v>
      </x:c>
    </x:row>
    <x:row r="11" ht="22" customHeight="1">
      <x:c r="A11" s="4" t="str">
        <x:v>Real estate taxes</x:v>
      </x:c>
      <x:c r="B11" s="9" t="n">
        <x:v>108000</x:v>
      </x:c>
    </x:row>
    <x:row r="12" ht="22" customHeight="1">
      <x:c r="A12" s="4" t="str">
        <x:v>Property insurance</x:v>
      </x:c>
      <x:c r="B12" s="9" t="n">
        <x:v>31200</x:v>
      </x:c>
    </x:row>
    <x:row r="13" ht="22" customHeight="1">
      <x:c r="A13" s="4" t="str">
        <x:v>Utilities</x:v>
      </x:c>
      <x:c r="B13" s="9" t="n">
        <x:v>28800</x:v>
      </x:c>
    </x:row>
    <x:row r="14" ht="22" customHeight="1">
      <x:c r="A14" s="4" t="str">
        <x:v>Repairs and maintenance</x:v>
      </x:c>
      <x:c r="B14" s="9" t="n">
        <x:v>46200</x:v>
      </x:c>
    </x:row>
    <x:row r="15" ht="22" customHeight="1">
      <x:c r="A15" s="4" t="str">
        <x:v>Payroll / contract labor</x:v>
      </x:c>
      <x:c r="B15" s="9" t="n">
        <x:v>42000</x:v>
      </x:c>
    </x:row>
    <x:row r="16" ht="22" customHeight="1">
      <x:c r="A16" s="4" t="str">
        <x:v>Administrative / legal</x:v>
      </x:c>
      <x:c r="B16" s="9" t="n">
        <x:v>21600</x:v>
      </x:c>
    </x:row>
    <x:row r="17" ht="22" customHeight="1">
      <x:c r="A17" s="4" t="str">
        <x:v>Management fee</x:v>
      </x:c>
      <x:c r="B17" s="9" t="n">
        <x:v>30000</x:v>
      </x:c>
    </x:row>
    <x:row r="19" ht="22" customHeight="1">
      <x:c r="A19" s="4" t="str">
        <x:v>Total operating expenses (before reserves)</x:v>
      </x:c>
      <x:c r="B19" s="9" t="n">
        <x:f>SUM(B11:B17)</x:f>
        <x:v>307800</x:v>
      </x:c>
    </x:row>
    <x:row r="21" ht="22" customHeight="1">
      <x:c r="A21" s="4" t="str">
        <x:v>NOI before reserves</x:v>
      </x:c>
      <x:c r="B21" s="9" t="n">
        <x:f>B9-B19</x:f>
        <x:v>513300</x:v>
      </x:c>
    </x:row>
    <x:row r="23" ht="22" customHeight="1">
      <x:c r="A23" s="4" t="str">
        <x:v>Replacement reserves</x:v>
      </x:c>
      <x:c r="B23" s="9" t="n">
        <x:v>10800</x:v>
      </x:c>
    </x:row>
    <x:row r="25" ht="22" customHeight="1">
      <x:c r="A25" s="4" t="str">
        <x:v>NCF after reserves</x:v>
      </x:c>
      <x:c r="B25" s="9" t="n">
        <x:f>B21-B23</x:f>
        <x:v>502500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8" hidden="0" customWidth="1"/>
  </x:cols>
  <x:sheetData>
    <x:row r="1" ht="27" customHeight="1">
      <x:c r="A1" s="2" t="str">
        <x:v>Juniper Flats | Underwriting</x:v>
      </x:c>
    </x:row>
    <x:row r="3" ht="22" customHeight="1">
      <x:c r="A3" s="4" t="str">
        <x:v>Underwritten EGI</x:v>
      </x:c>
      <x:c r="B3" s="12" t="n">
        <x:f>'Inputs'!B5</x:f>
        <x:v>811452</x:v>
      </x:c>
    </x:row>
    <x:row r="5" ht="22" customHeight="1">
      <x:c r="A5" s="4" t="str">
        <x:v>UW: Real estate taxes</x:v>
      </x:c>
      <x:c r="B5" s="12" t="n">
        <x:f>'Inputs'!B22</x:f>
        <x:v>112000</x:v>
      </x:c>
    </x:row>
    <x:row r="6" ht="22" customHeight="1">
      <x:c r="A6" s="4" t="str">
        <x:v>UW: Property insurance (renewal)</x:v>
      </x:c>
      <x:c r="B6" s="12" t="n">
        <x:f>'Inputs'!B23</x:f>
        <x:v>33600</x:v>
      </x:c>
    </x:row>
    <x:row r="7" ht="22" customHeight="1">
      <x:c r="A7" s="4" t="str">
        <x:v>UW: Utilities</x:v>
      </x:c>
      <x:c r="B7" s="12" t="n">
        <x:f>'Inputs'!B24</x:f>
        <x:v>28800</x:v>
      </x:c>
    </x:row>
    <x:row r="8" ht="22" customHeight="1">
      <x:c r="A8" s="4" t="str">
        <x:v>UW: Repairs and maintenance (adj)</x:v>
      </x:c>
      <x:c r="B8" s="12" t="n">
        <x:f>'Inputs'!B25</x:f>
        <x:v>40200</x:v>
      </x:c>
    </x:row>
    <x:row r="9" ht="22" customHeight="1">
      <x:c r="A9" s="4" t="str">
        <x:v>UW: Payroll / contract labor</x:v>
      </x:c>
      <x:c r="B9" s="12" t="n">
        <x:f>'Inputs'!B26</x:f>
        <x:v>42000</x:v>
      </x:c>
    </x:row>
    <x:row r="10" ht="22" customHeight="1">
      <x:c r="A10" s="4" t="str">
        <x:v>UW: Administrative / legal</x:v>
      </x:c>
      <x:c r="B10" s="12" t="n">
        <x:f>'Inputs'!B27</x:f>
        <x:v>21600</x:v>
      </x:c>
    </x:row>
    <x:row r="11" ht="22" customHeight="1">
      <x:c r="A11" s="4" t="str">
        <x:v>UW: Management fee = max(T12 actual, % of EGI)</x:v>
      </x:c>
      <x:c r="B11" s="12" t="n">
        <x:f>MAX('Inputs'!B19,'Inputs'!B20*B3)</x:f>
        <x:v>30000</x:v>
      </x:c>
    </x:row>
    <x:row r="12" ht="22" customHeight="1">
      <x:c r="A12" s="4" t="str">
        <x:v>Total operating expenses (before reserves)</x:v>
      </x:c>
      <x:c r="B12" s="9" t="n">
        <x:f>SUM(B5:B11)</x:f>
        <x:v>308200</x:v>
      </x:c>
    </x:row>
    <x:row r="14" ht="22" customHeight="1">
      <x:c r="A14" s="4" t="str">
        <x:v>UW NOI before reserves</x:v>
      </x:c>
      <x:c r="B14" s="9" t="n">
        <x:f>B3-B12</x:f>
        <x:v>503252</x:v>
      </x:c>
    </x:row>
    <x:row r="16" ht="22" customHeight="1">
      <x:c r="A16" s="4" t="str">
        <x:v>Replacement reserves</x:v>
      </x:c>
      <x:c r="B16" s="12" t="n">
        <x:f>'Inputs'!B12*'Inputs'!B13</x:f>
        <x:v>10800</x:v>
      </x:c>
    </x:row>
    <x:row r="18" ht="22" customHeight="1">
      <x:c r="A18" s="4" t="str">
        <x:v>UW NCF after reserves</x:v>
      </x:c>
      <x:c r="B18" s="9" t="n">
        <x:f>B14-B16</x:f>
        <x:v>492452</x:v>
      </x:c>
    </x:row>
    <x:row r="20" ht="22" customHeight="1">
      <x:c r="A20" s="4" t="str">
        <x:v>Indicative value (NOI / cap rate)</x:v>
      </x:c>
      <x:c r="B20" s="12" t="n">
        <x:f>B14/'Inputs'!B6</x:f>
        <x:v>8752208.695652174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2" hidden="0" customWidth="1"/>
  </x:cols>
  <x:sheetData>
    <x:row r="1" ht="27" customHeight="1">
      <x:c r="A1" s="2" t="str">
        <x:v>Juniper Flats | Loan sizing</x:v>
      </x:c>
    </x:row>
    <x:row r="2" ht="22" customHeight="1">
      <x:c r="A2" s="4" t="str">
        <x:v>Annual debt constant (sizing rate, 30yr amort)</x:v>
      </x:c>
      <x:c r="B2" s="13" t="n">
        <x:f>ABS(12*PMT('Inputs'!B7/12,'Inputs'!B10*12,1))</x:f>
        <x:v>0.07388606405116699</x:v>
      </x:c>
    </x:row>
    <x:row r="3" ht="22" customHeight="1">
      <x:c r="A3" s="4" t="str">
        <x:v>Indicative value (from UW)</x:v>
      </x:c>
      <x:c r="B3" s="12" t="n">
        <x:f>'UW'!B20</x:f>
        <x:v>8752208.695652174</x:v>
      </x:c>
    </x:row>
    <x:row r="4" ht="22" customHeight="1">
      <x:c r="A4" s="4" t="str">
        <x:v>LTV maximum percent</x:v>
      </x:c>
      <x:c r="B4" s="14" t="n">
        <x:f>'Inputs'!B30</x:f>
        <x:v>0.65</x:v>
      </x:c>
    </x:row>
    <x:row r="5" ht="22" customHeight="1">
      <x:c r="A5" s="4" t="str">
        <x:v>LTV limit ($)</x:v>
      </x:c>
      <x:c r="B5" s="9" t="n">
        <x:f>B4*B3</x:f>
        <x:v>5688935.652173913</x:v>
      </x:c>
    </x:row>
    <x:row r="6" ht="22" customHeight="1">
      <x:c r="A6" s="4" t="str">
        <x:v>DSCR limit ($) = NCF / (const * 1.25)</x:v>
      </x:c>
      <x:c r="B6" s="12" t="n">
        <x:f>'UW'!B18/(B2*1.25)</x:f>
        <x:v>5332014.975478689</x:v>
      </x:c>
    </x:row>
    <x:row r="7" ht="22" customHeight="1">
      <x:c r="A7" s="4" t="str">
        <x:v>Debt yield minimum</x:v>
      </x:c>
      <x:c r="B7" s="14" t="n">
        <x:f>'Inputs'!B29</x:f>
        <x:v>0.085</x:v>
      </x:c>
    </x:row>
    <x:row r="8" ht="22" customHeight="1">
      <x:c r="A8" s="4" t="str">
        <x:v>Debt yield limit ($) = NCF / DY%</x:v>
      </x:c>
      <x:c r="B8" s="12" t="n">
        <x:f>'UW'!B18/B7</x:f>
        <x:v>5793552.94117647</x:v>
      </x:c>
    </x:row>
    <x:row r="10" ht="22" customHeight="1">
      <x:c r="A10" s="4" t="str">
        <x:v>Maximum loan (min of constraints)</x:v>
      </x:c>
      <x:c r="B10" s="9" t="n">
        <x:f>MIN(B5,B6,B8)</x:f>
        <x:v>5332014.975478689</x:v>
      </x:c>
    </x:row>
    <x:row r="11" ht="22" customHeight="1">
      <x:c r="A11" s="4" t="str">
        <x:v>Sizing annual debt service</x:v>
      </x:c>
      <x:c r="B11" s="9" t="n">
        <x:f>B10*B2</x:f>
        <x:v>393961.60000000003</x:v>
      </x:c>
    </x:row>
    <x:row r="12" ht="22" customHeight="1">
      <x:c r="A12" s="4" t="str">
        <x:v>Sizing DSCR (UW NCF / sizing DS)</x:v>
      </x:c>
      <x:c r="B12" s="15" t="n">
        <x:f>'UW'!B18/B11</x:f>
        <x:v>1.25</x:v>
      </x:c>
    </x:row>
    <x:row r="13" ht="22" customHeight="1">
      <x:c r="A13" s="4" t="str">
        <x:v>Sizing debt yield (UW NCF / loan)</x:v>
      </x:c>
      <x:c r="B13" s="16" t="n">
        <x:f>'UW'!B18/B10</x:f>
        <x:v>0.09235758006395874</x:v>
      </x:c>
    </x:row>
    <x:row r="14" ht="22" customHeight="1">
      <x:c r="A14" s="4" t="str">
        <x:v>First-year contractual debt service (IO year)</x:v>
      </x:c>
      <x:c r="B14" s="12" t="n">
        <x:f>'Inputs'!B8*B10</x:f>
        <x:v>314588.88355324266</x:v>
      </x:c>
    </x:row>
    <x:row r="15" ht="22" customHeight="1">
      <x:c r="A15" s="4" t="str">
        <x:v>Binding constraint</x:v>
      </x:c>
      <x:c r="B15" s="17" t="str">
        <x:f>IF(B10=B6,"DSCR",IF(B10=B5,"LTV","Debt yield"))</x:f>
        <x:v>DSCR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</x:cols>
  <x:sheetData>
    <x:row r="1" ht="27" customHeight="1">
      <x:c r="A1" s="2" t="str">
        <x:v>Juniper Flats | Sources and Uses</x:v>
      </x:c>
    </x:row>
    <x:row r="3" ht="22" customHeight="1">
      <x:c r="A3" s="4" t="str">
        <x:v>Loan proceeds (sized)</x:v>
      </x:c>
      <x:c r="B3" s="12" t="n">
        <x:f>'Sizing'!B10</x:f>
        <x:v>5332014.975478689</x:v>
      </x:c>
    </x:row>
    <x:row r="4" ht="22" customHeight="1">
      <x:c r="A4" s="4" t="str">
        <x:v>Origination fee (rate x loan)</x:v>
      </x:c>
      <x:c r="B4" s="12" t="n">
        <x:f>'Inputs'!B17*B3</x:f>
        <x:v>39990.11231609017</x:v>
      </x:c>
    </x:row>
    <x:row r="5" ht="22" customHeight="1">
      <x:c r="A5" s="4" t="str">
        <x:v>Fixed closing costs</x:v>
      </x:c>
      <x:c r="B5" s="12" t="n">
        <x:f>'Inputs'!B16</x:f>
        <x:v>45000</x:v>
      </x:c>
    </x:row>
    <x:row r="6" ht="22" customHeight="1">
      <x:c r="A6" s="4" t="str">
        <x:v>Existing debt payoff</x:v>
      </x:c>
      <x:c r="B6" s="12" t="n">
        <x:f>'Inputs'!B15</x:f>
        <x:v>3300000</x:v>
      </x:c>
    </x:row>
    <x:row r="8" ht="22" customHeight="1">
      <x:c r="A8" s="4" t="str">
        <x:v>Net cash to/(from) borrower</x:v>
      </x:c>
      <x:c r="B8" s="9" t="n">
        <x:f>B3-B4-B5-B6</x:f>
        <x:v>1947024.8631625986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</x:cols>
  <x:sheetData>
    <x:row r="1" ht="27" customHeight="1">
      <x:c r="A1" s="2" t="str">
        <x:v>Juniper Flats | Sensitivity</x:v>
      </x:c>
    </x:row>
    <x:row r="3" ht="22" customHeight="1">
      <x:c r="A3" s="4" t="str">
        <x:v>Stress EGI (-5%)</x:v>
      </x:c>
      <x:c r="B3" s="12" t="n">
        <x:f>'Inputs'!B5*0.95</x:f>
        <x:v>770879.3999999999</x:v>
      </x:c>
    </x:row>
    <x:row r="4" ht="22" customHeight="1">
      <x:c r="A4" s="4" t="str">
        <x:v>Stress management fee (max of T12 or 3% of stress EGI)</x:v>
      </x:c>
      <x:c r="B4" s="12" t="n">
        <x:f>MAX('Inputs'!B19,'Inputs'!B20*B3)</x:f>
        <x:v>30000</x:v>
      </x:c>
    </x:row>
    <x:row r="5" ht="22" customHeight="1">
      <x:c r="A5" s="4" t="str">
        <x:v>Other operating expenses held constant</x:v>
      </x:c>
      <x:c r="B5" s="12" t="n">
        <x:f>SUM('Inputs'!B22:'Inputs'!B27)</x:f>
        <x:v>278200</x:v>
      </x:c>
    </x:row>
    <x:row r="6" ht="22" customHeight="1">
      <x:c r="A6" s="4" t="str">
        <x:v>Stress NOI before reserves</x:v>
      </x:c>
      <x:c r="B6" s="9" t="n">
        <x:f>B3-(B4+B5)</x:f>
        <x:v>462679.3999999999</x:v>
      </x:c>
    </x:row>
    <x:row r="7" ht="22" customHeight="1">
      <x:c r="A7" s="4" t="str">
        <x:v>Stress reserves (unchanged)</x:v>
      </x:c>
      <x:c r="B7" s="12" t="n">
        <x:f>'Inputs'!B12*'Inputs'!B13</x:f>
        <x:v>10800</x:v>
      </x:c>
    </x:row>
    <x:row r="8" ht="22" customHeight="1">
      <x:c r="A8" s="4" t="str">
        <x:v>Stress NCF after reserves</x:v>
      </x:c>
      <x:c r="B8" s="9" t="n">
        <x:f>B6-B7</x:f>
        <x:v>451879.3999999999</x:v>
      </x:c>
    </x:row>
    <x:row r="9" ht="22" customHeight="1">
      <x:c r="A9" s="4" t="str">
        <x:v>Stress sizing rate (+100 bps)</x:v>
      </x:c>
      <x:c r="B9" s="14" t="n">
        <x:f>'Inputs'!B7+0.01</x:f>
        <x:v>0.0725</x:v>
      </x:c>
    </x:row>
    <x:row r="10" ht="22" customHeight="1">
      <x:c r="A10" s="4" t="str">
        <x:v>Stress annual debt constant</x:v>
      </x:c>
      <x:c r="B10" s="13" t="n">
        <x:f>ABS(12*PMT(B9/12,'Inputs'!B10*12,1))</x:f>
        <x:v>0.08186115360674304</x:v>
      </x:c>
    </x:row>
    <x:row r="11" ht="22" customHeight="1">
      <x:c r="A11" s="4" t="str">
        <x:v>Stress DSCR limit ($)</x:v>
      </x:c>
      <x:c r="B11" s="9" t="n">
        <x:f>B8/(B10*1.25)</x:f>
        <x:v>4416056.994953248</x:v>
      </x:c>
    </x:row>
    <x:row r="12" ht="22" customHeight="1">
      <x:c r="A12" s="4" t="str">
        <x:v>Stress LTV limit ($) (cap rate unchanged)</x:v>
      </x:c>
      <x:c r="B12" s="12" t="n">
        <x:f>'Sizing'!B5</x:f>
        <x:v>5688935.652173913</x:v>
      </x:c>
    </x:row>
    <x:row r="13" ht="22" customHeight="1">
      <x:c r="A13" s="4" t="str">
        <x:v>Stress debt yield limit ($)</x:v>
      </x:c>
      <x:c r="B13" s="12" t="n">
        <x:f>B8/'Inputs'!B29</x:f>
        <x:v>5316228.235294116</x:v>
      </x:c>
    </x:row>
    <x:row r="14" ht="22" customHeight="1">
      <x:c r="A14" s="4" t="str">
        <x:v>Stress maximum loan</x:v>
      </x:c>
      <x:c r="B14" s="9" t="n">
        <x:f>MIN(B11,B12,B13)</x:f>
        <x:v>4416056.994953248</x:v>
      </x:c>
    </x:row>
    <x:row r="16" ht="22" customHeight="1">
      <x:c r="A16" s="4" t="str">
        <x:v>Cap rate +50 bps</x:v>
      </x:c>
      <x:c r="B16" s="18" t="n">
        <x:f>'Inputs'!B6+0.005</x:f>
        <x:v>0.0625</x:v>
      </x:c>
    </x:row>
    <x:row r="17" ht="22" customHeight="1">
      <x:c r="A17" s="4" t="str">
        <x:v>Alternate value at cap+50 bps</x:v>
      </x:c>
      <x:c r="B17" s="12" t="n">
        <x:f>'UW'!B14/B16</x:f>
        <x:v>8052032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8" hidden="0" customWidth="1"/>
  </x:cols>
  <x:sheetData>
    <x:row r="1" ht="27" customHeight="1">
      <x:c r="A1" s="2" t="str">
        <x:v>Juniper Flats | Rent Roll Summary (as of 2026-08-31)</x:v>
      </x:c>
    </x:row>
    <x:row r="3" ht="22" customHeight="1">
      <x:c r="A3" s="4" t="str">
        <x:v>Total unit/suite count</x:v>
      </x:c>
      <x:c r="B3" s="19" t="n">
        <x:v>36</x:v>
      </x:c>
    </x:row>
    <x:row r="4" ht="22" customHeight="1">
      <x:c r="A4" s="4" t="str">
        <x:v>Occupied unit/suite count</x:v>
      </x:c>
      <x:c r="B4" s="19" t="n">
        <x:v>33</x:v>
      </x:c>
    </x:row>
    <x:row r="5" ht="22" customHeight="1">
      <x:c r="A5" s="4" t="str">
        <x:v>Total rentable area (SF)</x:v>
      </x:c>
      <x:c r="B5" s="20" t="n">
        <x:v>31800</x:v>
      </x:c>
    </x:row>
    <x:row r="6" ht="22" customHeight="1">
      <x:c r="A6" s="4" t="str">
        <x:v>Occupied rentable area (SF)</x:v>
      </x:c>
      <x:c r="B6" s="20" t="n">
        <x:v>28950</x:v>
      </x:c>
    </x:row>
    <x:row r="7" ht="22" customHeight="1">
      <x:c r="A7" s="4" t="str">
        <x:v>Physical occupancy by count (%)</x:v>
      </x:c>
      <x:c r="B7" s="21" t="n">
        <x:f>B4/B3</x:f>
        <x:v>0.9166666666666666</x:v>
      </x:c>
    </x:row>
    <x:row r="8" ht="22" customHeight="1">
      <x:c r="A8" s="4" t="str">
        <x:v>Occupancy by area (%)</x:v>
      </x:c>
      <x:c r="B8" s="21" t="n">
        <x:f>B6/B5</x:f>
        <x:v>0.910377358490566</x:v>
      </x:c>
    </x:row>
    <x:row r="9" ht="22" customHeight="1">
      <x:c r="A9" s="4" t="str">
        <x:v>Monthly base rent (printed)</x:v>
      </x:c>
      <x:c r="B9" s="9" t="n">
        <x:v>62275</x:v>
      </x:c>
    </x:row>
    <x:row r="11" ht="36" customHeight="1">
      <x:c r="A11" s="23" t="str">
        <x:v>Note: Premises 101 base rent confirmed by executed lease extract.</x:v>
      </x:c>
    </x:row>
  </x:sheetData>
  <x:pageMargins left="0.7" right="0.7" top="0.75" bottom="0.75" header="0.3" footer="0.3"/>
</x:worksheet>
</file>