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9e5f3fd16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ebb5267ab6490a"/>
    <x:sheet xmlns:r="http://schemas.openxmlformats.org/officeDocument/2006/relationships" name="Assumptions" sheetId="2" r:id="R391876b13e774a34"/>
    <x:sheet xmlns:r="http://schemas.openxmlformats.org/officeDocument/2006/relationships" name="Rent Roll" sheetId="3" r:id="Rce881cb84e6f4723"/>
    <x:sheet xmlns:r="http://schemas.openxmlformats.org/officeDocument/2006/relationships" name="T12" sheetId="4" r:id="Rbc7ba1d7bea84697"/>
    <x:sheet xmlns:r="http://schemas.openxmlformats.org/officeDocument/2006/relationships" name="Underwriting" sheetId="5" r:id="R9ffe009e127b49e8"/>
    <x:sheet xmlns:r="http://schemas.openxmlformats.org/officeDocument/2006/relationships" name="Loan Sizing" sheetId="6" r:id="R446e7ae2fb6a40c3"/>
    <x:sheet xmlns:r="http://schemas.openxmlformats.org/officeDocument/2006/relationships" name="Sensitivity" sheetId="7" r:id="R6c90884dbfbf4b77"/>
    <x:sheet xmlns:r="http://schemas.openxmlformats.org/officeDocument/2006/relationships" name="Field Report" sheetId="8" r:id="R67a4aecc5476471d"/>
  </x:sheets>
  <x:definedNames>
    <x:definedName name="TotalSF">Assumptions!$B$3</x:definedName>
    <x:definedName name="UnitCount">Assumptions!$B$4</x:definedName>
    <x:definedName name="OccUnits">Assumptions!$B$5</x:definedName>
    <x:definedName name="OccSF">Assumptions!$B$6</x:definedName>
    <x:definedName name="T_GPR">Assumptions!$B$9</x:definedName>
    <x:definedName name="T_VAC">Assumptions!$B$10</x:definedName>
    <x:definedName name="T_CONC">Assumptions!$B$11</x:definedName>
    <x:definedName name="T_BD">Assumptions!$B$12</x:definedName>
    <x:definedName name="T_OI">Assumptions!$B$13</x:definedName>
    <x:definedName name="T_TAX">Assumptions!$B$14</x:definedName>
    <x:definedName name="T_INS">Assumptions!$B$15</x:definedName>
    <x:definedName name="T_UT">Assumptions!$B$16</x:definedName>
    <x:definedName name="T_RM">Assumptions!$B$17</x:definedName>
    <x:definedName name="T_PAY">Assumptions!$B$18</x:definedName>
    <x:definedName name="T_ADM">Assumptions!$B$19</x:definedName>
    <x:definedName name="T_MGMT">Assumptions!$B$20</x:definedName>
    <x:definedName name="T_RES">Assumptions!$B$21</x:definedName>
    <x:definedName name="U_GPR">Assumptions!$B$24</x:definedName>
    <x:definedName name="U_LOSS">Assumptions!$B$25</x:definedName>
    <x:definedName name="U_OI">Assumptions!$B$26</x:definedName>
    <x:definedName name="U_TAX">Assumptions!$B$27</x:definedName>
    <x:definedName name="U_INS">Assumptions!$B$28</x:definedName>
    <x:definedName name="U_UT">Assumptions!$B$29</x:definedName>
    <x:definedName name="U_RM">Assumptions!$B$30</x:definedName>
    <x:definedName name="U_PAY">Assumptions!$B$31</x:definedName>
    <x:definedName name="U_ADM">Assumptions!$B$32</x:definedName>
    <x:definedName name="U_MGMT_PCT">Assumptions!$B$33</x:definedName>
    <x:definedName name="U_RES_PSF">Assumptions!$B$34</x:definedName>
    <x:definedName name="L_CAP">Assumptions!$B$37</x:definedName>
    <x:definedName name="L_LTV">Assumptions!$B$38</x:definedName>
    <x:definedName name="L_DSCR">Assumptions!$B$39</x:definedName>
    <x:definedName name="L_DY">Assumptions!$B$40</x:definedName>
    <x:definedName name="L_CR">Assumptions!$B$41</x:definedName>
    <x:definedName name="L_SR_FLOOR">Assumptions!$B$42</x:definedName>
    <x:definedName name="L_AMORT">Assumptions!$B$43</x:definedName>
    <x:definedName name="L_IO">Assumptions!$B$44</x:definedName>
    <x:definedName name="L_MAT">Assumptions!$B$45</x:definedName>
    <x:definedName name="L_ORIG">Assumptions!$B$46</x:definedName>
    <x:definedName name="L_PAYOFF">Assumptions!$B$47</x:definedName>
    <x:definedName name="L_CLOSE">Assumptions!$B$48</x:definedName>
    <x:definedName name="S_EGI">Assumptions!$B$51</x:definedName>
    <x:definedName name="S_RATE">Assumptions!$B$52</x:definedName>
    <x:definedName name="S_CAP">Assumptions!$B$53</x:definedName>
    <x:definedName name="UW_EGI">Underwriting!$B$5</x:definedName>
    <x:definedName name="UW_MGMT">Underwriting!$B$13</x:definedName>
    <x:definedName name="UW_OPEX">Underwriting!$B$14</x:definedName>
    <x:definedName name="UW_NOI">Underwriting!$B$16</x:definedName>
    <x:definedName name="UW_RES">Underwriting!$B$17</x:definedName>
    <x:definedName name="UW_NCF">Underwriting!$B$18</x:definedName>
    <x:definedName name="UW_VAL">Underwriting!$B$20</x:definedName>
    <x:definedName name="MAX_LOAN">'Loan Sizing'!$B$9</x:definedName>
    <x:definedName name="SIZ_RATE">'Loan Sizing'!$B$3</x:definedName>
    <x:definedName name="ADC_SIZ">'Loan Sizing'!$B$4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&quot;$&quot;#,##0"/>
    <x:numFmt numFmtId="165" formatCode="&quot;$&quot;0.00"/>
    <x:numFmt numFmtId="166" formatCode="0.0000%"/>
    <x:numFmt numFmtId="167" formatCode="0.0000&quot;x&quot;"/>
    <x:numFmt numFmtId="168" formatCode="&quot;$&quot;#,##0.00"/>
    <x:numFmt numFmtId="169" formatCode="0.000000"/>
    <x:numFmt numFmtId="170" formatCode="0.0000"/>
  </x:numFmts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i/>
      <x:sz val="9"/>
      <x:color rgb="FF595959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 vertical="center" wrapText="1"/>
    </x:xf>
    <x:xf numFmtId="0" fontId="0" fillId="2" borderId="0" xfId="0"/>
    <x:xf numFmtId="0" fontId="2" fillId="0" borderId="0" xfId="0"/>
    <x:xf numFmtId="0" fontId="2" fillId="3" borderId="0" xfId="0"/>
    <x:xf numFmtId="0" fontId="0" fillId="3" borderId="0" xfId="0"/>
    <x:xf numFmtId="0" fontId="2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4" borderId="0" xfId="0"/>
    <x:xf numFmtId="0" fontId="0" fillId="5" borderId="0" xfId="0"/>
    <x:xf numFmtId="3" fontId="0" fillId="4" borderId="0" xfId="0"/>
    <x:xf numFmtId="0" fontId="3" fillId="0" borderId="0" xfId="0" applyAlignment="1">
      <x:alignment horizontal="left" vertical="center" wrapText="1"/>
    </x:xf>
    <x:xf numFmtId="164" fontId="0" fillId="4" borderId="0" xfId="0"/>
    <x:xf numFmtId="10" fontId="0" fillId="4" borderId="0" xfId="0"/>
    <x:xf numFmtId="165" fontId="0" fillId="4" borderId="0" xfId="0"/>
    <x:xf numFmtId="166" fontId="0" fillId="4" borderId="0" xfId="0"/>
    <x:xf numFmtId="167" fontId="0" fillId="4" borderId="0" xfId="0"/>
    <x:xf numFmtId="0" fontId="2" fillId="3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3" fontId="0" fillId="5" borderId="0" xfId="0"/>
    <x:xf numFmtId="10" fontId="0" fillId="5" borderId="0" xfId="0"/>
    <x:xf numFmtId="164" fontId="0" fillId="5" borderId="0" xfId="0"/>
    <x:xf numFmtId="164" fontId="0" fillId="0" borderId="0" xfId="0"/>
    <x:xf numFmtId="0" fontId="3" fillId="0" borderId="0" xfId="0"/>
    <x:xf numFmtId="168" fontId="0" fillId="5" borderId="0" xfId="0"/>
    <x:xf numFmtId="168" fontId="0" fillId="0" borderId="0" xfId="0"/>
    <x:xf numFmtId="166" fontId="0" fillId="0" borderId="0" xfId="0"/>
    <x:xf numFmtId="166" fontId="0" fillId="5" borderId="0" xfId="0"/>
    <x:xf numFmtId="169" fontId="0" fillId="5" borderId="0" xfId="0"/>
    <x:xf numFmtId="0" fontId="0" fillId="5" borderId="0" xfId="0" applyAlignment="1">
      <x:alignment horizontal="center" vertical="center"/>
    </x:xf>
    <x:xf numFmtId="167" fontId="0" fillId="5" borderId="0" xfId="0"/>
    <x:xf numFmtId="3" fontId="0" fillId="0" borderId="0" xfId="0"/>
    <x:xf numFmtId="3" fontId="0" fillId="5" borderId="0" xfId="0" applyAlignment="1">
      <x:alignment horizontal="center" vertical="center"/>
    </x:xf>
    <x:xf numFmtId="2" fontId="0" fillId="5" borderId="0" xfId="0" applyAlignment="1">
      <x:alignment horizontal="center" vertical="center"/>
    </x:xf>
    <x:xf numFmtId="168" fontId="0" fillId="5" borderId="0" xfId="0" applyAlignment="1">
      <x:alignment horizontal="center" vertical="center"/>
    </x:xf>
    <x:xf numFmtId="169" fontId="0" fillId="5" borderId="0" xfId="0" applyAlignment="1">
      <x:alignment horizontal="center" vertical="center"/>
    </x:xf>
    <x:xf numFmtId="49" fontId="0" fillId="5" borderId="0" xfId="0" applyAlignment="1">
      <x:alignment horizontal="center" vertical="center"/>
    </x:xf>
    <x:xf numFmtId="170" fontId="0" fillId="5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68d502e3c43b3" /><Relationship Type="http://schemas.openxmlformats.org/officeDocument/2006/relationships/theme" Target="/xl/theme/theme1.xml" Id="R0d73792932c14b7f" /><Relationship Type="http://schemas.openxmlformats.org/officeDocument/2006/relationships/sharedStrings" Target="/xl/sharedStrings.xml" Id="Rc87598a957ae4abc" /><Relationship Type="http://schemas.openxmlformats.org/officeDocument/2006/relationships/worksheet" Target="/xl/worksheets/sheet1.xml" Id="R34ebb5267ab6490a" /><Relationship Type="http://schemas.openxmlformats.org/officeDocument/2006/relationships/worksheet" Target="/xl/worksheets/sheet2.xml" Id="R391876b13e774a34" /><Relationship Type="http://schemas.openxmlformats.org/officeDocument/2006/relationships/worksheet" Target="/xl/worksheets/sheet3.xml" Id="Rce881cb84e6f4723" /><Relationship Type="http://schemas.openxmlformats.org/officeDocument/2006/relationships/worksheet" Target="/xl/worksheets/sheet4.xml" Id="Rbc7ba1d7bea84697" /><Relationship Type="http://schemas.openxmlformats.org/officeDocument/2006/relationships/worksheet" Target="/xl/worksheets/sheet5.xml" Id="R9ffe009e127b49e8" /><Relationship Type="http://schemas.openxmlformats.org/officeDocument/2006/relationships/worksheet" Target="/xl/worksheets/sheet6.xml" Id="R446e7ae2fb6a40c3" /><Relationship Type="http://schemas.openxmlformats.org/officeDocument/2006/relationships/worksheet" Target="/xl/worksheets/sheet7.xml" Id="R6c90884dbfbf4b77" /><Relationship Type="http://schemas.openxmlformats.org/officeDocument/2006/relationships/worksheet" Target="/xl/worksheets/sheet8.xml" Id="R67a4aecc547647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90" customWidth="1"/>
  </x:cols>
  <x:sheetData>
    <x:row r="1" ht="26" customHeight="1">
      <x:c r="A1" s="1" t="inlineStr">
        <x:is>
          <x:t xml:space="preserve">Meadow Commerce | Refinance Underwriting Workbook</x:t>
        </x:is>
      </x:c>
      <x:c r="B1" s="2" t="n"/>
    </x:row>
    <x:row r="2">
      <x:c r="A2" s="3" t="inlineStr">
        <x:is>
          <x:t xml:space="preserve">As of</x:t>
        </x:is>
      </x:c>
      <x:c r="B2" t="inlineStr">
        <x:is>
          <x:t xml:space="preserve">August 31, 2026</x:t>
        </x:is>
      </x:c>
    </x:row>
    <x:row r="3">
      <x:c r="A3" s="3" t="inlineStr">
        <x:is>
          <x:t xml:space="preserve">Property</x:t>
        </x:is>
      </x:c>
      <x:c r="B3" t="inlineStr">
        <x:is>
          <x:t xml:space="preserve">Meadow Commerce | 6100 Meadow Bench Parkway, Richmond, VA 23234 (fictional)</x:t>
        </x:is>
      </x:c>
    </x:row>
    <x:row r="4">
      <x:c r="A4" s="3" t="inlineStr">
        <x:is>
          <x:t xml:space="preserve">Sponsor</x:t>
        </x:is>
      </x:c>
      <x:c r="B4" t="inlineStr">
        <x:is>
          <x:t xml:space="preserve">Meadow Commerce Owner LLC (fictional)</x:t>
        </x:is>
      </x:c>
    </x:row>
    <x:row r="5">
      <x:c r="A5" s="3" t="inlineStr">
        <x:is>
          <x:t xml:space="preserve">Loan purpose</x:t>
        </x:is>
      </x:c>
      <x:c r="B5" t="inlineStr">
        <x:is>
          <x:t xml:space="preserve">First-mortgage refinance; cash-out if proceeds permit</x:t>
        </x:is>
      </x:c>
    </x:row>
    <x:row r="6">
      <x:c r="A6" s="3" t="inlineStr">
        <x:is>
          <x:t xml:space="preserve">Currency</x:t>
        </x:is>
      </x:c>
      <x:c r="B6" t="inlineStr">
        <x:is>
          <x:t xml:space="preserve">USD; rates in decimal (workbook displays percent where noted)</x:t>
        </x:is>
      </x:c>
    </x:row>
    <x:row r="8">
      <x:c r="A8" s="4" t="inlineStr">
        <x:is>
          <x:t xml:space="preserve">How to use this workbook</x:t>
        </x:is>
      </x:c>
      <x:c r="B8" s="5" t="n"/>
    </x:row>
    <x:row r="9" ht="30" customHeight="1">
      <x:c r="A9" s="6" t="inlineStr">
        <x:is>
          <x:t xml:space="preserve">Editable inputs</x:t>
        </x:is>
      </x:c>
      <x:c r="B9" s="7" t="inlineStr">
        <x:is>
          <x:t xml:space="preserve">All yellow-shaded cells on the Assumptions sheet are reviewer-editable.</x:t>
        </x:is>
      </x:c>
    </x:row>
    <x:row r="10" ht="30" customHeight="1">
      <x:c r="A10" s="6" t="inlineStr">
        <x:is>
          <x:t xml:space="preserve">Key levers</x:t>
        </x:is>
      </x:c>
      <x:c r="B10" s="7" t="inlineStr">
        <x:is>
          <x:t xml:space="preserve">Change cap rate, sizing rate, EGI drivers (GPR, revenue loss %, other income) — every downstream figure recalculates.</x:t>
        </x:is>
      </x:c>
    </x:row>
    <x:row r="11" ht="30" customHeight="1">
      <x:c r="A11" s="6" t="inlineStr">
        <x:is>
          <x:t xml:space="preserve">Loan sizing</x:t>
        </x:is>
      </x:c>
      <x:c r="B11" s="7" t="inlineStr">
        <x:is>
          <x:t xml:space="preserve">Loan Sizing sheet computes LTV, DSCR and Debt Yield limits from live NOI/NCF; binding constraint auto-selects the minimum.</x:t>
        </x:is>
      </x:c>
    </x:row>
    <x:row r="12" ht="30" customHeight="1">
      <x:c r="A12" s="6" t="inlineStr">
        <x:is>
          <x:t xml:space="preserve">First-year DS</x:t>
        </x:is>
      </x:c>
      <x:c r="B12" s="7" t="inlineStr">
        <x:is>
          <x:t xml:space="preserve">First-year contractual debt service uses the contract rate and honors the 12-month IO period (interest-only).</x:t>
        </x:is>
      </x:c>
    </x:row>
    <x:row r="13" ht="30" customHeight="1">
      <x:c r="A13" s="6" t="inlineStr">
        <x:is>
          <x:t xml:space="preserve">Sizing DS</x:t>
        </x:is>
      </x:c>
      <x:c r="B13" s="7" t="inlineStr">
        <x:is>
          <x:t xml:space="preserve">Sizing DSCR and sizing debt yield both use the amortizing debt constant at the sizing rate, per lender convention.</x:t>
        </x:is>
      </x:c>
    </x:row>
    <x:row r="14" ht="30" customHeight="1">
      <x:c r="A14" s="6" t="inlineStr">
        <x:is>
          <x:t xml:space="preserve">Sensitivity</x:t>
        </x:is>
      </x:c>
      <x:c r="B14" s="7" t="inlineStr">
        <x:is>
          <x:t xml:space="preserve">Sensitivity sheet shows the combined downside (EGI -5% AND sizing rate +100 bps, cap rate unchanged) and a separate cap-rate +50 bps case.</x:t>
        </x:is>
      </x:c>
    </x:row>
    <x:row r="15" ht="30" customHeight="1">
      <x:c r="A15" s="6" t="inlineStr">
        <x:is>
          <x:t xml:space="preserve">Sources &amp; Uses</x:t>
        </x:is>
      </x:c>
      <x:c r="B15" s="7" t="inlineStr">
        <x:is>
          <x:t xml:space="preserve">Uses = existing payoff + origination fee (1% of principal) + fixed closing costs. Cash to borrower = loan - uses. Negative = cash-in.</x:t>
        </x:is>
      </x:c>
    </x:row>
    <x:row r="16" ht="30" customHeight="1">
      <x:c r="A16" s="6" t="inlineStr">
        <x:is>
          <x:t xml:space="preserve">Provisional insurance</x:t>
        </x:is>
      </x:c>
      <x:c r="B16" s="7" t="inlineStr">
        <x:is>
          <x:t xml:space="preserve">$36,000 is the underwriting placeholder only; no verified renewal quote/binder was delivered.</x:t>
        </x:is>
      </x:c>
    </x:row>
    <x:row r="17" ht="30" customHeight="1">
      <x:c r="A17" s="6" t="inlineStr">
        <x:is>
          <x:t xml:space="preserve">Renewal option (Unit 101)</x:t>
        </x:is>
      </x:c>
      <x:c r="B17" s="7" t="inlineStr">
        <x:is>
          <x:t xml:space="preserve">Not exercised in delivered materials. Current expiry remains 2028-08-31.</x:t>
        </x:is>
      </x:c>
    </x:row>
    <x:row r="19">
      <x:c r="A19" s="4" t="inlineStr">
        <x:is>
          <x:t xml:space="preserve">Sheet map</x:t>
        </x:is>
      </x:c>
      <x:c r="B19" s="5" t="n"/>
    </x:row>
    <x:row r="20" ht="28" customHeight="1">
      <x:c r="A20" s="3" t="inlineStr">
        <x:is>
          <x:t xml:space="preserve">Assumptions</x:t>
        </x:is>
      </x:c>
      <x:c r="B20" s="7" t="inlineStr">
        <x:is>
          <x:t xml:space="preserve">All editable inputs (property, rent roll, T12 annual totals, underwriting scenario, lender terms). Named ranges used throughout.</x:t>
        </x:is>
      </x:c>
    </x:row>
    <x:row r="21" ht="28" customHeight="1">
      <x:c r="A21" s="3" t="inlineStr">
        <x:is>
          <x:t xml:space="preserve">Rent Roll</x:t>
        </x:is>
      </x:c>
      <x:c r="B21" s="7" t="inlineStr">
        <x:is>
          <x:t xml:space="preserve">Unit-level rent roll and occupancy KPIs (formulas).</x:t>
        </x:is>
      </x:c>
    </x:row>
    <x:row r="22" ht="28" customHeight="1">
      <x:c r="A22" s="3" t="inlineStr">
        <x:is>
          <x:t xml:space="preserve">T12</x:t>
        </x:is>
      </x:c>
      <x:c r="B22" s="7" t="inlineStr">
        <x:is>
          <x:t xml:space="preserve">Historical annual T12 EGI, opex, NOI before/after reserves, NCF.</x:t>
        </x:is>
      </x:c>
    </x:row>
    <x:row r="23" ht="28" customHeight="1">
      <x:c r="A23" s="3" t="inlineStr">
        <x:is>
          <x:t xml:space="preserve">Underwriting</x:t>
        </x:is>
      </x:c>
      <x:c r="B23" s="7" t="inlineStr">
        <x:is>
          <x:t xml:space="preserve">Underwritten EGI, management fee (greater-of), opex, NOI, NCF, capitalization value.</x:t>
        </x:is>
      </x:c>
    </x:row>
    <x:row r="24" ht="28" customHeight="1">
      <x:c r="A24" s="3" t="inlineStr">
        <x:is>
          <x:t xml:space="preserve">Loan Sizing</x:t>
        </x:is>
      </x:c>
      <x:c r="B24" s="7" t="inlineStr">
        <x:is>
          <x:t xml:space="preserve">LTV / DSCR / Debt Yield tests, binding constraint, sizing DS, first-year DS, sources &amp; uses, cash to borrower.</x:t>
        </x:is>
      </x:c>
    </x:row>
    <x:row r="25" ht="28" customHeight="1">
      <x:c r="A25" s="3" t="inlineStr">
        <x:is>
          <x:t xml:space="preserve">Sensitivity</x:t>
        </x:is>
      </x:c>
      <x:c r="B25" s="7" t="inlineStr">
        <x:is>
          <x:t xml:space="preserve">Combined downside and a separate cap-rate +50 bps case.</x:t>
        </x:is>
      </x:c>
    </x:row>
    <x:row r="26" ht="28" customHeight="1">
      <x:c r="A26" s="3" t="inlineStr">
        <x:is>
          <x:t xml:space="preserve">Field Report</x:t>
        </x:is>
      </x:c>
      <x:c r="B26" s="7" t="inlineStr">
        <x:is>
          <x:t xml:space="preserve">Every requested field ID mapped to its computed value with a source cite.</x:t>
        </x:is>
      </x:c>
    </x:row>
    <x:row r="28">
      <x:c r="A28" s="4" t="inlineStr">
        <x:is>
          <x:t xml:space="preserve">Legend</x:t>
        </x:is>
      </x:c>
      <x:c r="B28" s="5" t="n"/>
    </x:row>
    <x:row r="29">
      <x:c r="A29" s="8" t="inlineStr">
        <x:is>
          <x:t xml:space="preserve">Yellow</x:t>
        </x:is>
      </x:c>
      <x:c r="B29" t="inlineStr">
        <x:is>
          <x:t xml:space="preserve">Editable input</x:t>
        </x:is>
      </x:c>
    </x:row>
    <x:row r="30">
      <x:c r="A30" s="9" t="inlineStr">
        <x:is>
          <x:t xml:space="preserve">Green</x:t>
        </x:is>
      </x:c>
      <x:c r="B30" t="inlineStr">
        <x:is>
          <x:t xml:space="preserve">Key computed output</x:t>
        </x:is>
      </x:c>
    </x:row>
  </x:sheetData>
  <x:mergeCells>
    <x:mergeCell ref="A8:B8"/>
    <x:mergeCell ref="A19:B19"/>
    <x:mergeCell ref="A1:B1"/>
    <x:mergeCell ref="A28:B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0" customWidth="1"/>
    <x:col min="3" max="3" width="18" customWidth="1"/>
    <x:col min="4" max="4" width="60" customWidth="1"/>
  </x:cols>
  <x:sheetData>
    <x:row r="1">
      <x:c r="A1" s="1" t="inlineStr">
        <x:is>
          <x:t xml:space="preserve">Assumptions — editable inputs (yellow)</x:t>
        </x:is>
      </x:c>
      <x:c r="B1" s="2" t="n"/>
      <x:c r="C1" s="2" t="n"/>
      <x:c r="D1" s="2" t="n"/>
    </x:row>
    <x:row r="2">
      <x:c r="A2" s="4" t="inlineStr">
        <x:is>
          <x:t xml:space="preserve">Property</x:t>
        </x:is>
      </x:c>
      <x:c r="B2" s="5" t="n"/>
      <x:c r="C2" s="5" t="n"/>
      <x:c r="D2" s="5" t="n"/>
    </x:row>
    <x:row r="3">
      <x:c r="A3" s="7" t="inlineStr">
        <x:is>
          <x:t xml:space="preserve">Total rentable SF</x:t>
        </x:is>
      </x:c>
      <x:c r="B3" s="10" t="n">
        <x:v>72000</x:v>
      </x:c>
      <x:c r="D3" s="11" t="inlineStr">
        <x:is>
          <x:t xml:space="preserve">Rent-Roll.xlsx sum of E7:E9</x:t>
        </x:is>
      </x:c>
    </x:row>
    <x:row r="4">
      <x:c r="A4" s="7" t="inlineStr">
        <x:is>
          <x:t xml:space="preserve">Unit / suite count</x:t>
        </x:is>
      </x:c>
      <x:c r="B4" s="10" t="n">
        <x:v>3</x:v>
      </x:c>
      <x:c r="D4" s="11" t="inlineStr">
        <x:is>
          <x:t xml:space="preserve">Rent-Roll.xlsx C7:C9</x:t>
        </x:is>
      </x:c>
    </x:row>
    <x:row r="5">
      <x:c r="A5" s="7" t="inlineStr">
        <x:is>
          <x:t xml:space="preserve">Occupied unit count</x:t>
        </x:is>
      </x:c>
      <x:c r="B5" s="10" t="n">
        <x:v>3</x:v>
      </x:c>
      <x:c r="D5" s="11" t="inlineStr">
        <x:is>
          <x:t xml:space="preserve">Rent-Roll.xlsx F7:F9 = 'Occupied'</x:t>
        </x:is>
      </x:c>
    </x:row>
    <x:row r="6">
      <x:c r="A6" s="7" t="inlineStr">
        <x:is>
          <x:t xml:space="preserve">Occupied SF</x:t>
        </x:is>
      </x:c>
      <x:c r="B6" s="10" t="n">
        <x:v>72000</x:v>
      </x:c>
      <x:c r="D6" s="11" t="inlineStr">
        <x:is>
          <x:t xml:space="preserve">Sum of Area SF where Status='Occupied'</x:t>
        </x:is>
      </x:c>
    </x:row>
    <x:row r="8">
      <x:c r="A8" s="4" t="inlineStr">
        <x:is>
          <x:t xml:space="preserve">Historical T12 annual totals (Sep-2025 through Aug-2026)</x:t>
        </x:is>
      </x:c>
      <x:c r="B8" s="5" t="n"/>
      <x:c r="C8" s="5" t="n"/>
      <x:c r="D8" s="5" t="n"/>
    </x:row>
    <x:row r="9">
      <x:c r="A9" s="7" t="inlineStr">
        <x:is>
          <x:t xml:space="preserve">GPR</x:t>
        </x:is>
      </x:c>
      <x:c r="B9" s="12" t="n">
        <x:v>744000</x:v>
      </x:c>
      <x:c r="D9" s="11" t="inlineStr">
        <x:is>
          <x:t xml:space="preserve">T12-Statement.pdf p.2 annual</x:t>
        </x:is>
      </x:c>
    </x:row>
    <x:row r="10">
      <x:c r="A10" s="7" t="inlineStr">
        <x:is>
          <x:t xml:space="preserve">Vacancy loss</x:t>
        </x:is>
      </x:c>
      <x:c r="B10" s="12" t="n">
        <x:v>0</x:v>
      </x:c>
      <x:c r="D10" s="11" t="inlineStr">
        <x:is>
          <x:t xml:space="preserve">T12-Statement.pdf p.2 annual</x:t>
        </x:is>
      </x:c>
    </x:row>
    <x:row r="11">
      <x:c r="A11" s="7" t="inlineStr">
        <x:is>
          <x:t xml:space="preserve">Concessions (negative)</x:t>
        </x:is>
      </x:c>
      <x:c r="B11" s="12" t="n">
        <x:v>-18000</x:v>
      </x:c>
      <x:c r="D11" s="11" t="inlineStr">
        <x:is>
          <x:t xml:space="preserve">T12-Statement.pdf p.2 annual</x:t>
        </x:is>
      </x:c>
    </x:row>
    <x:row r="12">
      <x:c r="A12" s="7" t="inlineStr">
        <x:is>
          <x:t xml:space="preserve">Bad debt (negative)</x:t>
        </x:is>
      </x:c>
      <x:c r="B12" s="12" t="n">
        <x:v>-2400</x:v>
      </x:c>
      <x:c r="D12" s="11" t="inlineStr">
        <x:is>
          <x:t xml:space="preserve">T12-Statement.pdf p.2 annual</x:t>
        </x:is>
      </x:c>
    </x:row>
    <x:row r="13">
      <x:c r="A13" s="7" t="inlineStr">
        <x:is>
          <x:t xml:space="preserve">Other income / recoveries</x:t>
        </x:is>
      </x:c>
      <x:c r="B13" s="12" t="n">
        <x:v>158400</x:v>
      </x:c>
      <x:c r="D13" s="11" t="inlineStr">
        <x:is>
          <x:t xml:space="preserve">T12-Statement.pdf p.2 annual</x:t>
        </x:is>
      </x:c>
    </x:row>
    <x:row r="14">
      <x:c r="A14" s="7" t="inlineStr">
        <x:is>
          <x:t xml:space="preserve">Real estate taxes</x:t>
        </x:is>
      </x:c>
      <x:c r="B14" s="12" t="n">
        <x:v>102000</x:v>
      </x:c>
      <x:c r="D14" s="11" t="inlineStr">
        <x:is>
          <x:t xml:space="preserve">T12-Statement.pdf p.2 annual</x:t>
        </x:is>
      </x:c>
    </x:row>
    <x:row r="15">
      <x:c r="A15" s="7" t="inlineStr">
        <x:is>
          <x:t xml:space="preserve">Property insurance</x:t>
        </x:is>
      </x:c>
      <x:c r="B15" s="12" t="n">
        <x:v>26400</x:v>
      </x:c>
      <x:c r="D15" s="11" t="inlineStr">
        <x:is>
          <x:t xml:space="preserve">T12-Statement.pdf p.2 annual</x:t>
        </x:is>
      </x:c>
    </x:row>
    <x:row r="16">
      <x:c r="A16" s="7" t="inlineStr">
        <x:is>
          <x:t xml:space="preserve">Utilities</x:t>
        </x:is>
      </x:c>
      <x:c r="B16" s="12" t="n">
        <x:v>9600</x:v>
      </x:c>
      <x:c r="D16" s="11" t="inlineStr">
        <x:is>
          <x:t xml:space="preserve">T12-Statement.pdf p.2 annual</x:t>
        </x:is>
      </x:c>
    </x:row>
    <x:row r="17">
      <x:c r="A17" s="7" t="inlineStr">
        <x:is>
          <x:t xml:space="preserve">Repairs &amp; maintenance</x:t>
        </x:is>
      </x:c>
      <x:c r="B17" s="12" t="n">
        <x:v>19200</x:v>
      </x:c>
      <x:c r="D17" s="11" t="inlineStr">
        <x:is>
          <x:t xml:space="preserve">T12-Statement.pdf p.2 annual</x:t>
        </x:is>
      </x:c>
    </x:row>
    <x:row r="18">
      <x:c r="A18" s="7" t="inlineStr">
        <x:is>
          <x:t xml:space="preserve">Payroll / contract labor</x:t>
        </x:is>
      </x:c>
      <x:c r="B18" s="12" t="n">
        <x:v>12000</x:v>
      </x:c>
      <x:c r="D18" s="11" t="inlineStr">
        <x:is>
          <x:t xml:space="preserve">T12-Statement.pdf p.2 annual</x:t>
        </x:is>
      </x:c>
    </x:row>
    <x:row r="19">
      <x:c r="A19" s="7" t="inlineStr">
        <x:is>
          <x:t xml:space="preserve">Administrative / legal</x:t>
        </x:is>
      </x:c>
      <x:c r="B19" s="12" t="n">
        <x:v>16800</x:v>
      </x:c>
      <x:c r="D19" s="11" t="inlineStr">
        <x:is>
          <x:t xml:space="preserve">T12-Statement.pdf p.2 annual</x:t>
        </x:is>
      </x:c>
    </x:row>
    <x:row r="20">
      <x:c r="A20" s="7" t="inlineStr">
        <x:is>
          <x:t xml:space="preserve">Management fee (T12 actual)</x:t>
        </x:is>
      </x:c>
      <x:c r="B20" s="12" t="n">
        <x:v>26400</x:v>
      </x:c>
      <x:c r="D20" s="11" t="inlineStr">
        <x:is>
          <x:t xml:space="preserve">T12-Statement.pdf p.2 annual</x:t>
        </x:is>
      </x:c>
    </x:row>
    <x:row r="21">
      <x:c r="A21" s="7" t="inlineStr">
        <x:is>
          <x:t xml:space="preserve">Replacement reserves (T12)</x:t>
        </x:is>
      </x:c>
      <x:c r="B21" s="12" t="n">
        <x:v>14400</x:v>
      </x:c>
      <x:c r="D21" s="11" t="inlineStr">
        <x:is>
          <x:t xml:space="preserve">T12-Statement.pdf p.2 annual</x:t>
        </x:is>
      </x:c>
    </x:row>
    <x:row r="23">
      <x:c r="A23" s="4" t="inlineStr">
        <x:is>
          <x:t xml:space="preserve">Underwriting scenario</x:t>
        </x:is>
      </x:c>
      <x:c r="B23" s="5" t="n"/>
      <x:c r="C23" s="5" t="n"/>
      <x:c r="D23" s="5" t="n"/>
    </x:row>
    <x:row r="24">
      <x:c r="A24" s="7" t="inlineStr">
        <x:is>
          <x:t xml:space="preserve">Underwritten GPR</x:t>
        </x:is>
      </x:c>
      <x:c r="B24" s="12" t="n">
        <x:v>718200</x:v>
      </x:c>
      <x:c r="D24" s="11" t="inlineStr">
        <x:is>
          <x:t xml:space="preserve">Property-and-Plan.pdf p.2</x:t>
        </x:is>
      </x:c>
    </x:row>
    <x:row r="25">
      <x:c r="A25" s="7" t="inlineStr">
        <x:is>
          <x:t xml:space="preserve">Revenue loss % of GPR</x:t>
        </x:is>
      </x:c>
      <x:c r="B25" s="13" t="n">
        <x:v>0.03</x:v>
      </x:c>
      <x:c r="D25" s="11" t="inlineStr">
        <x:is>
          <x:t xml:space="preserve">Property-and-Plan.pdf p.2 (vac+conc+bad debt)</x:t>
        </x:is>
      </x:c>
    </x:row>
    <x:row r="26">
      <x:c r="A26" s="7" t="inlineStr">
        <x:is>
          <x:t xml:space="preserve">Other income / recoveries</x:t>
        </x:is>
      </x:c>
      <x:c r="B26" s="12" t="n">
        <x:v>153900</x:v>
      </x:c>
      <x:c r="D26" s="11" t="inlineStr">
        <x:is>
          <x:t xml:space="preserve">Property-and-Plan.pdf p.2</x:t>
        </x:is>
      </x:c>
    </x:row>
    <x:row r="27">
      <x:c r="A27" s="7" t="inlineStr">
        <x:is>
          <x:t xml:space="preserve">Real estate taxes</x:t>
        </x:is>
      </x:c>
      <x:c r="B27" s="12" t="n">
        <x:v>108000</x:v>
      </x:c>
      <x:c r="D27" s="11" t="inlineStr">
        <x:is>
          <x:t xml:space="preserve">Property-and-Plan.pdf p.2</x:t>
        </x:is>
      </x:c>
    </x:row>
    <x:row r="28">
      <x:c r="A28" s="7" t="inlineStr">
        <x:is>
          <x:t xml:space="preserve">Insurance (provisional allowance)</x:t>
        </x:is>
      </x:c>
      <x:c r="B28" s="12" t="n">
        <x:v>36000</x:v>
      </x:c>
      <x:c r="D28" s="11" t="inlineStr">
        <x:is>
          <x:t xml:space="preserve">Property-and-Plan.pdf p.2 — verified quote NOT delivered</x:t>
        </x:is>
      </x:c>
    </x:row>
    <x:row r="29">
      <x:c r="A29" s="7" t="inlineStr">
        <x:is>
          <x:t xml:space="preserve">Utilities (T12 actual)</x:t>
        </x:is>
      </x:c>
      <x:c r="B29" s="12" t="n">
        <x:v>9600</x:v>
      </x:c>
      <x:c r="D29" s="11" t="inlineStr">
        <x:is>
          <x:t xml:space="preserve">Property-and-Plan.pdf p.2</x:t>
        </x:is>
      </x:c>
    </x:row>
    <x:row r="30">
      <x:c r="A30" s="7" t="inlineStr">
        <x:is>
          <x:t xml:space="preserve">Repairs &amp; maintenance (T12 actual)</x:t>
        </x:is>
      </x:c>
      <x:c r="B30" s="12" t="n">
        <x:v>19200</x:v>
      </x:c>
      <x:c r="D30" s="11" t="inlineStr">
        <x:is>
          <x:t xml:space="preserve">Property-and-Plan.pdf p.2</x:t>
        </x:is>
      </x:c>
    </x:row>
    <x:row r="31">
      <x:c r="A31" s="7" t="inlineStr">
        <x:is>
          <x:t xml:space="preserve">Payroll / contract labor (T12 actual)</x:t>
        </x:is>
      </x:c>
      <x:c r="B31" s="12" t="n">
        <x:v>12000</x:v>
      </x:c>
      <x:c r="D31" s="11" t="inlineStr">
        <x:is>
          <x:t xml:space="preserve">Property-and-Plan.pdf p.2</x:t>
        </x:is>
      </x:c>
    </x:row>
    <x:row r="32">
      <x:c r="A32" s="7" t="inlineStr">
        <x:is>
          <x:t xml:space="preserve">Administrative / legal (T12 actual)</x:t>
        </x:is>
      </x:c>
      <x:c r="B32" s="12" t="n">
        <x:v>16800</x:v>
      </x:c>
      <x:c r="D32" s="11" t="inlineStr">
        <x:is>
          <x:t xml:space="preserve">Property-and-Plan.pdf p.2</x:t>
        </x:is>
      </x:c>
    </x:row>
    <x:row r="33">
      <x:c r="A33" s="7" t="inlineStr">
        <x:is>
          <x:t xml:space="preserve">Management minimum % of EGI</x:t>
        </x:is>
      </x:c>
      <x:c r="B33" s="13" t="n">
        <x:v>0.03</x:v>
      </x:c>
      <x:c r="D33" s="11" t="inlineStr">
        <x:is>
          <x:t xml:space="preserve">Property-and-Plan.pdf p.2 (greater-of vs T12 actual)</x:t>
        </x:is>
      </x:c>
    </x:row>
    <x:row r="34">
      <x:c r="A34" s="7" t="inlineStr">
        <x:is>
          <x:t xml:space="preserve">Replacement reserves ($/SF/yr)</x:t>
        </x:is>
      </x:c>
      <x:c r="B34" s="14" t="n">
        <x:v>0.2</x:v>
      </x:c>
      <x:c r="D34" s="11" t="inlineStr">
        <x:is>
          <x:t xml:space="preserve">Property-and-Plan.pdf p.2</x:t>
        </x:is>
      </x:c>
    </x:row>
    <x:row r="36">
      <x:c r="A36" s="4" t="inlineStr">
        <x:is>
          <x:t xml:space="preserve">Lender terms</x:t>
        </x:is>
      </x:c>
      <x:c r="B36" s="5" t="n"/>
      <x:c r="C36" s="5" t="n"/>
      <x:c r="D36" s="5" t="n"/>
    </x:row>
    <x:row r="37">
      <x:c r="A37" s="7" t="inlineStr">
        <x:is>
          <x:t xml:space="preserve">Cap rate (valuation)</x:t>
        </x:is>
      </x:c>
      <x:c r="B37" s="15" t="n">
        <x:v>0.065</x:v>
      </x:c>
      <x:c r="D37" s="11" t="inlineStr">
        <x:is>
          <x:t xml:space="preserve">Lender-Terms.pdf</x:t>
        </x:is>
      </x:c>
    </x:row>
    <x:row r="38">
      <x:c r="A38" s="7" t="inlineStr">
        <x:is>
          <x:t xml:space="preserve">LTV maximum</x:t>
        </x:is>
      </x:c>
      <x:c r="B38" s="13" t="n">
        <x:v>0.6</x:v>
      </x:c>
      <x:c r="D38" s="11" t="inlineStr">
        <x:is>
          <x:t xml:space="preserve">Lender-Terms.pdf</x:t>
        </x:is>
      </x:c>
    </x:row>
    <x:row r="39">
      <x:c r="A39" s="7" t="inlineStr">
        <x:is>
          <x:t xml:space="preserve">DSCR minimum</x:t>
        </x:is>
      </x:c>
      <x:c r="B39" s="16" t="n">
        <x:v>1.3</x:v>
      </x:c>
      <x:c r="D39" s="11" t="inlineStr">
        <x:is>
          <x:t xml:space="preserve">Lender-Terms.pdf</x:t>
        </x:is>
      </x:c>
    </x:row>
    <x:row r="40">
      <x:c r="A40" s="7" t="inlineStr">
        <x:is>
          <x:t xml:space="preserve">Debt yield minimum</x:t>
        </x:is>
      </x:c>
      <x:c r="B40" s="15" t="n">
        <x:v>0.095</x:v>
      </x:c>
      <x:c r="D40" s="11" t="inlineStr">
        <x:is>
          <x:t xml:space="preserve">Lender-Terms.pdf</x:t>
        </x:is>
      </x:c>
    </x:row>
    <x:row r="41">
      <x:c r="A41" s="7" t="inlineStr">
        <x:is>
          <x:t xml:space="preserve">Contract rate (fixed)</x:t>
        </x:is>
      </x:c>
      <x:c r="B41" s="15" t="n">
        <x:v>0.061</x:v>
      </x:c>
      <x:c r="D41" s="11" t="inlineStr">
        <x:is>
          <x:t xml:space="preserve">Lender-Terms.pdf</x:t>
        </x:is>
      </x:c>
    </x:row>
    <x:row r="42">
      <x:c r="A42" s="7" t="inlineStr">
        <x:is>
          <x:t xml:space="preserve">Sizing rate floor</x:t>
        </x:is>
      </x:c>
      <x:c r="B42" s="15" t="n">
        <x:v>0.065</x:v>
      </x:c>
      <x:c r="D42" s="11" t="inlineStr">
        <x:is>
          <x:t xml:space="preserve">Lender-Terms.pdf (greater of contract &amp; floor)</x:t>
        </x:is>
      </x:c>
    </x:row>
    <x:row r="43">
      <x:c r="A43" s="7" t="inlineStr">
        <x:is>
          <x:t xml:space="preserve">Amortization (years)</x:t>
        </x:is>
      </x:c>
      <x:c r="B43" s="10" t="n">
        <x:v>30</x:v>
      </x:c>
      <x:c r="D43" s="11" t="inlineStr">
        <x:is>
          <x:t xml:space="preserve">Lender-Terms.pdf</x:t>
        </x:is>
      </x:c>
    </x:row>
    <x:row r="44">
      <x:c r="A44" s="7" t="inlineStr">
        <x:is>
          <x:t xml:space="preserve">Interest-only period (months)</x:t>
        </x:is>
      </x:c>
      <x:c r="B44" s="10" t="n">
        <x:v>12</x:v>
      </x:c>
      <x:c r="D44" s="11" t="inlineStr">
        <x:is>
          <x:t xml:space="preserve">Lender-Terms.pdf</x:t>
        </x:is>
      </x:c>
    </x:row>
    <x:row r="45">
      <x:c r="A45" s="7" t="inlineStr">
        <x:is>
          <x:t xml:space="preserve">Maturity (months)</x:t>
        </x:is>
      </x:c>
      <x:c r="B45" s="10" t="n">
        <x:v>60</x:v>
      </x:c>
      <x:c r="D45" s="11" t="inlineStr">
        <x:is>
          <x:t xml:space="preserve">Lender-Terms.pdf</x:t>
        </x:is>
      </x:c>
    </x:row>
    <x:row r="46">
      <x:c r="A46" s="7" t="inlineStr">
        <x:is>
          <x:t xml:space="preserve">Origination fee % of loan</x:t>
        </x:is>
      </x:c>
      <x:c r="B46" s="13" t="n">
        <x:v>0.01</x:v>
      </x:c>
      <x:c r="D46" s="11" t="inlineStr">
        <x:is>
          <x:t xml:space="preserve">Lender-Terms.pdf</x:t>
        </x:is>
      </x:c>
    </x:row>
    <x:row r="47">
      <x:c r="A47" s="7" t="inlineStr">
        <x:is>
          <x:t xml:space="preserve">Existing debt payoff</x:t>
        </x:is>
      </x:c>
      <x:c r="B47" s="12" t="n">
        <x:v>3600000</x:v>
      </x:c>
      <x:c r="D47" s="11" t="inlineStr">
        <x:is>
          <x:t xml:space="preserve">Property-and-Plan.pdf p.1</x:t>
        </x:is>
      </x:c>
    </x:row>
    <x:row r="48">
      <x:c r="A48" s="7" t="inlineStr">
        <x:is>
          <x:t xml:space="preserve">Fixed closing costs</x:t>
        </x:is>
      </x:c>
      <x:c r="B48" s="12" t="n">
        <x:v>55000</x:v>
      </x:c>
      <x:c r="D48" s="11" t="inlineStr">
        <x:is>
          <x:t xml:space="preserve">Property-and-Plan.pdf p.1</x:t>
        </x:is>
      </x:c>
    </x:row>
    <x:row r="50">
      <x:c r="A50" s="4" t="inlineStr">
        <x:is>
          <x:t xml:space="preserve">Sensitivity switches</x:t>
        </x:is>
      </x:c>
      <x:c r="B50" s="5" t="n"/>
      <x:c r="C50" s="5" t="n"/>
      <x:c r="D50" s="5" t="n"/>
    </x:row>
    <x:row r="51">
      <x:c r="A51" s="7" t="inlineStr">
        <x:is>
          <x:t xml:space="preserve">EGI stress (multiplier)</x:t>
        </x:is>
      </x:c>
      <x:c r="B51" s="13" t="n">
        <x:v>0.95</x:v>
      </x:c>
      <x:c r="D51" s="11" t="inlineStr">
        <x:is>
          <x:t xml:space="preserve">Downside: EGI -5%</x:t>
        </x:is>
      </x:c>
    </x:row>
    <x:row r="52">
      <x:c r="A52" s="7" t="inlineStr">
        <x:is>
          <x:t xml:space="preserve">Sizing rate bump (decimal)</x:t>
        </x:is>
      </x:c>
      <x:c r="B52" s="15" t="n">
        <x:v>0.01</x:v>
      </x:c>
      <x:c r="D52" s="11" t="inlineStr">
        <x:is>
          <x:t xml:space="preserve">Downside: +100 bps</x:t>
        </x:is>
      </x:c>
    </x:row>
    <x:row r="53">
      <x:c r="A53" s="7" t="inlineStr">
        <x:is>
          <x:t xml:space="preserve">Cap rate bump (separate sensitivity)</x:t>
        </x:is>
      </x:c>
      <x:c r="B53" s="15" t="n">
        <x:v>0.005</x:v>
      </x:c>
      <x:c r="D53" s="11" t="inlineStr">
        <x:is>
          <x:t xml:space="preserve">Separate: +50 bps</x:t>
        </x:is>
      </x:c>
    </x:row>
  </x:sheetData>
  <x:mergeCells>
    <x:mergeCell ref="A1:D1"/>
    <x:mergeCell ref="A23:D23"/>
    <x:mergeCell ref="A8:D8"/>
    <x:mergeCell ref="A50:D50"/>
    <x:mergeCell ref="A2:D2"/>
    <x:mergeCell ref="A36:D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4" customWidth="1"/>
    <x:col min="4" max="4" width="14" customWidth="1"/>
    <x:col min="5" max="5" width="18" customWidth="1"/>
    <x:col min="6" max="6" width="18" customWidth="1"/>
    <x:col min="7" max="7" width="16" customWidth="1"/>
  </x:cols>
  <x:sheetData>
    <x:row r="1">
      <x:c r="A1" s="1" t="inlineStr">
        <x:is>
          <x:t xml:space="preserve">Rent Roll — as of 2026-08-31 (source: Rent-Roll.xlsx)</x:t>
        </x:is>
      </x:c>
      <x:c r="B1" s="2" t="n"/>
      <x:c r="C1" s="2" t="n"/>
      <x:c r="D1" s="2" t="n"/>
      <x:c r="E1" s="2" t="n"/>
      <x:c r="F1" s="2" t="n"/>
      <x:c r="G1" s="2" t="n"/>
    </x:row>
    <x:row r="3">
      <x:c r="A3" s="17" t="inlineStr">
        <x:is>
          <x:t xml:space="preserve">Unit / suite</x:t>
        </x:is>
      </x:c>
      <x:c r="B3" s="17" t="inlineStr">
        <x:is>
          <x:t xml:space="preserve">Tenant</x:t>
        </x:is>
      </x:c>
      <x:c r="C3" s="17" t="inlineStr">
        <x:is>
          <x:t xml:space="preserve">Area SF</x:t>
        </x:is>
      </x:c>
      <x:c r="D3" s="17" t="inlineStr">
        <x:is>
          <x:t xml:space="preserve">Status</x:t>
        </x:is>
      </x:c>
      <x:c r="E3" s="17" t="inlineStr">
        <x:is>
          <x:t xml:space="preserve">Monthly base rent</x:t>
        </x:is>
      </x:c>
      <x:c r="F3" s="17" t="inlineStr">
        <x:is>
          <x:t xml:space="preserve">Market monthly rent</x:t>
        </x:is>
      </x:c>
      <x:c r="G3" s="17" t="inlineStr">
        <x:is>
          <x:t xml:space="preserve">Lease expiry</x:t>
        </x:is>
      </x:c>
    </x:row>
    <x:row r="4">
      <x:c r="A4" s="18" t="inlineStr">
        <x:is>
          <x:t xml:space="preserve">101</x:t>
        </x:is>
      </x:c>
      <x:c r="B4" s="18" t="inlineStr">
        <x:is>
          <x:t xml:space="preserve">Tenant A LLC</x:t>
        </x:is>
      </x:c>
      <x:c r="C4" s="19" t="n">
        <x:v>16000</x:v>
      </x:c>
      <x:c r="D4" s="18" t="inlineStr">
        <x:is>
          <x:t xml:space="preserve">Occupied</x:t>
        </x:is>
      </x:c>
      <x:c r="E4" s="20" t="n">
        <x:v>12800</x:v>
      </x:c>
      <x:c r="F4" s="20" t="n">
        <x:v>12800</x:v>
      </x:c>
      <x:c r="G4" s="18" t="inlineStr">
        <x:is>
          <x:t xml:space="preserve">2028-08-31</x:t>
        </x:is>
      </x:c>
    </x:row>
    <x:row r="5">
      <x:c r="A5" s="18" t="inlineStr">
        <x:is>
          <x:t xml:space="preserve">102</x:t>
        </x:is>
      </x:c>
      <x:c r="B5" s="18" t="inlineStr">
        <x:is>
          <x:t xml:space="preserve">Tenant B LLC</x:t>
        </x:is>
      </x:c>
      <x:c r="C5" s="19" t="n">
        <x:v>24000</x:v>
      </x:c>
      <x:c r="D5" s="18" t="inlineStr">
        <x:is>
          <x:t xml:space="preserve">Occupied</x:t>
        </x:is>
      </x:c>
      <x:c r="E5" s="20" t="n">
        <x:v>20400</x:v>
      </x:c>
      <x:c r="F5" s="20" t="n">
        <x:v>20400</x:v>
      </x:c>
      <x:c r="G5" s="18" t="inlineStr">
        <x:is>
          <x:t xml:space="preserve">2028-08-31</x:t>
        </x:is>
      </x:c>
    </x:row>
    <x:row r="6">
      <x:c r="A6" s="18" t="inlineStr">
        <x:is>
          <x:t xml:space="preserve">103</x:t>
        </x:is>
      </x:c>
      <x:c r="B6" s="18" t="inlineStr">
        <x:is>
          <x:t xml:space="preserve">Tenant C LLC</x:t>
        </x:is>
      </x:c>
      <x:c r="C6" s="19" t="n">
        <x:v>32000</x:v>
      </x:c>
      <x:c r="D6" s="18" t="inlineStr">
        <x:is>
          <x:t xml:space="preserve">Occupied</x:t>
        </x:is>
      </x:c>
      <x:c r="E6" s="20" t="n">
        <x:v>28800</x:v>
      </x:c>
      <x:c r="F6" s="20" t="n">
        <x:v>28800</x:v>
      </x:c>
      <x:c r="G6" s="18" t="inlineStr">
        <x:is>
          <x:t xml:space="preserve">2029-08-31</x:t>
        </x:is>
      </x:c>
    </x:row>
    <x:row r="8">
      <x:c r="A8" s="4" t="inlineStr">
        <x:is>
          <x:t xml:space="preserve">KPIs</x:t>
        </x:is>
      </x:c>
    </x:row>
    <x:row r="9">
      <x:c r="A9" s="7" t="inlineStr">
        <x:is>
          <x:t xml:space="preserve">space_count</x:t>
        </x:is>
      </x:c>
      <x:c r="E9" s="21" t="n">
        <x:f>UnitCount</x:f>
        <x:v>3</x:v>
      </x:c>
    </x:row>
    <x:row r="10">
      <x:c r="A10" s="7" t="inlineStr">
        <x:is>
          <x:t xml:space="preserve">occupied_count</x:t>
        </x:is>
      </x:c>
      <x:c r="E10" s="21" t="n">
        <x:f>OccUnits</x:f>
        <x:v>3</x:v>
      </x:c>
    </x:row>
    <x:row r="11">
      <x:c r="A11" s="7" t="inlineStr">
        <x:is>
          <x:t xml:space="preserve">total_area_sf</x:t>
        </x:is>
      </x:c>
      <x:c r="E11" s="21" t="n">
        <x:f>TotalSF</x:f>
        <x:v>72000</x:v>
      </x:c>
    </x:row>
    <x:row r="12">
      <x:c r="A12" s="7" t="inlineStr">
        <x:is>
          <x:t xml:space="preserve">occupied_area_sf</x:t>
        </x:is>
      </x:c>
      <x:c r="E12" s="21" t="n">
        <x:f>OccSF</x:f>
        <x:v>72000</x:v>
      </x:c>
    </x:row>
    <x:row r="13">
      <x:c r="A13" s="7" t="inlineStr">
        <x:is>
          <x:t xml:space="preserve">occupancy_count_pct</x:t>
        </x:is>
      </x:c>
      <x:c r="E13" s="22" t="n">
        <x:f>OccUnits/UnitCount</x:f>
        <x:v>1</x:v>
      </x:c>
    </x:row>
    <x:row r="14">
      <x:c r="A14" s="7" t="inlineStr">
        <x:is>
          <x:t xml:space="preserve">occupancy_area_pct</x:t>
        </x:is>
      </x:c>
      <x:c r="E14" s="22" t="n">
        <x:f>OccSF/TotalSF</x:f>
        <x:v>1</x:v>
      </x:c>
    </x:row>
    <x:row r="15">
      <x:c r="A15" s="7" t="inlineStr">
        <x:is>
          <x:t xml:space="preserve">rent_roll_monthly_base</x:t>
        </x:is>
      </x:c>
      <x:c r="E15" s="23" t="n">
        <x:f>SUMPRODUCT((D4:D6="Occupied")*E4:E6)</x:f>
        <x:v>62000</x:v>
      </x:c>
    </x:row>
    <x:row r="16">
      <x:c r="A16" s="7" t="inlineStr">
        <x:is>
          <x:t xml:space="preserve">effective_monthly_base (lease-authoritative)</x:t>
        </x:is>
      </x:c>
      <x:c r="E16" s="23" t="n">
        <x:f>SUMPRODUCT((D4:D6="Occupied")*E4:E6)</x:f>
        <x:v>62000</x:v>
      </x:c>
    </x:row>
    <x:row r="18">
      <x:c r="A18" s="3" t="inlineStr">
        <x:is>
          <x:t xml:space="preserve">Notes</x:t>
        </x:is>
      </x:c>
    </x:row>
    <x:row r="19">
      <x:c r="A19" s="7" t="inlineStr">
        <x:is>
          <x:t xml:space="preserve">• Effective monthly base equals lease-authoritative rent. Unit 101 lease confirms $12,800/mo; no renewal option exercised in the packet.</x:t>
        </x:is>
      </x:c>
    </x:row>
  </x:sheetData>
  <x:mergeCells>
    <x:mergeCell ref="A9:D9"/>
    <x:mergeCell ref="A1:G1"/>
    <x:mergeCell ref="A8:G8"/>
    <x:mergeCell ref="A12:D12"/>
    <x:mergeCell ref="A15:D15"/>
    <x:mergeCell ref="A16:D16"/>
    <x:mergeCell ref="A11:D11"/>
    <x:mergeCell ref="A10:D10"/>
    <x:mergeCell ref="A19:G19"/>
    <x:mergeCell ref="A13:D13"/>
    <x:mergeCell ref="A14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Historical T12 (Sep-2025 through Aug-2026)</x:t>
        </x:is>
      </x:c>
      <x:c r="B1" s="2" t="n"/>
      <x:c r="C1" s="2" t="n"/>
      <x:c r="D1" s="2" t="n"/>
    </x:row>
    <x:row r="2">
      <x:c r="A2" s="7" t="inlineStr">
        <x:is>
          <x:t xml:space="preserve">GPR</x:t>
        </x:is>
      </x:c>
      <x:c r="B2" s="24" t="n">
        <x:f>T_GPR</x:f>
        <x:v>744000</x:v>
      </x:c>
      <x:c r="D2" s="25" t="inlineStr">
        <x:is>
          <x:t xml:space="preserve"/>
        </x:is>
      </x:c>
    </x:row>
    <x:row r="3">
      <x:c r="A3" s="7" t="inlineStr">
        <x:is>
          <x:t xml:space="preserve">Vacancy loss</x:t>
        </x:is>
      </x:c>
      <x:c r="B3" s="24" t="n">
        <x:f>T_VAC</x:f>
        <x:v>0</x:v>
      </x:c>
      <x:c r="D3" s="25" t="inlineStr">
        <x:is>
          <x:t xml:space="preserve"/>
        </x:is>
      </x:c>
    </x:row>
    <x:row r="4">
      <x:c r="A4" s="7" t="inlineStr">
        <x:is>
          <x:t xml:space="preserve">Concessions</x:t>
        </x:is>
      </x:c>
      <x:c r="B4" s="24" t="n">
        <x:f>T_CONC</x:f>
        <x:v>-18000</x:v>
      </x:c>
      <x:c r="D4" s="25" t="inlineStr">
        <x:is>
          <x:t xml:space="preserve"/>
        </x:is>
      </x:c>
    </x:row>
    <x:row r="5">
      <x:c r="A5" s="7" t="inlineStr">
        <x:is>
          <x:t xml:space="preserve">Bad debt</x:t>
        </x:is>
      </x:c>
      <x:c r="B5" s="24" t="n">
        <x:f>T_BD</x:f>
        <x:v>-2400</x:v>
      </x:c>
      <x:c r="D5" s="25" t="inlineStr">
        <x:is>
          <x:t xml:space="preserve"/>
        </x:is>
      </x:c>
    </x:row>
    <x:row r="6">
      <x:c r="A6" s="7" t="inlineStr">
        <x:is>
          <x:t xml:space="preserve">Other income / recoveries</x:t>
        </x:is>
      </x:c>
      <x:c r="B6" s="24" t="n">
        <x:f>T_OI</x:f>
        <x:v>158400</x:v>
      </x:c>
      <x:c r="D6" s="25" t="inlineStr">
        <x:is>
          <x:t xml:space="preserve"/>
        </x:is>
      </x:c>
    </x:row>
    <x:row r="7">
      <x:c r="A7" s="7" t="inlineStr">
        <x:is>
          <x:t xml:space="preserve">EGI (historical)</x:t>
        </x:is>
      </x:c>
      <x:c r="B7" s="23" t="n">
        <x:f>T_GPR+T_VAC+T_CONC+T_BD+T_OI</x:f>
        <x:v>882000</x:v>
      </x:c>
      <x:c r="D7" s="25" t="inlineStr">
        <x:is>
          <x:t xml:space="preserve"/>
        </x:is>
      </x:c>
    </x:row>
    <x:row r="9">
      <x:c r="A9" s="7" t="inlineStr">
        <x:is>
          <x:t xml:space="preserve">Real estate taxes</x:t>
        </x:is>
      </x:c>
      <x:c r="B9" s="24" t="n">
        <x:f>T_TAX</x:f>
        <x:v>102000</x:v>
      </x:c>
      <x:c r="D9" s="25" t="inlineStr">
        <x:is>
          <x:t xml:space="preserve"/>
        </x:is>
      </x:c>
    </x:row>
    <x:row r="10">
      <x:c r="A10" s="7" t="inlineStr">
        <x:is>
          <x:t xml:space="preserve">Property insurance</x:t>
        </x:is>
      </x:c>
      <x:c r="B10" s="24" t="n">
        <x:f>T_INS</x:f>
        <x:v>26400</x:v>
      </x:c>
      <x:c r="D10" s="25" t="inlineStr">
        <x:is>
          <x:t xml:space="preserve"/>
        </x:is>
      </x:c>
    </x:row>
    <x:row r="11">
      <x:c r="A11" s="7" t="inlineStr">
        <x:is>
          <x:t xml:space="preserve">Utilities</x:t>
        </x:is>
      </x:c>
      <x:c r="B11" s="24" t="n">
        <x:f>T_UT</x:f>
        <x:v>9600</x:v>
      </x:c>
      <x:c r="D11" s="25" t="inlineStr">
        <x:is>
          <x:t xml:space="preserve"/>
        </x:is>
      </x:c>
    </x:row>
    <x:row r="12">
      <x:c r="A12" s="7" t="inlineStr">
        <x:is>
          <x:t xml:space="preserve">Repairs &amp; maintenance</x:t>
        </x:is>
      </x:c>
      <x:c r="B12" s="24" t="n">
        <x:f>T_RM</x:f>
        <x:v>19200</x:v>
      </x:c>
      <x:c r="D12" s="25" t="inlineStr">
        <x:is>
          <x:t xml:space="preserve"/>
        </x:is>
      </x:c>
    </x:row>
    <x:row r="13">
      <x:c r="A13" s="7" t="inlineStr">
        <x:is>
          <x:t xml:space="preserve">Payroll / contract labor</x:t>
        </x:is>
      </x:c>
      <x:c r="B13" s="24" t="n">
        <x:f>T_PAY</x:f>
        <x:v>12000</x:v>
      </x:c>
      <x:c r="D13" s="25" t="inlineStr">
        <x:is>
          <x:t xml:space="preserve"/>
        </x:is>
      </x:c>
    </x:row>
    <x:row r="14">
      <x:c r="A14" s="7" t="inlineStr">
        <x:is>
          <x:t xml:space="preserve">Administrative / legal</x:t>
        </x:is>
      </x:c>
      <x:c r="B14" s="24" t="n">
        <x:f>T_ADM</x:f>
        <x:v>16800</x:v>
      </x:c>
      <x:c r="D14" s="25" t="inlineStr">
        <x:is>
          <x:t xml:space="preserve"/>
        </x:is>
      </x:c>
    </x:row>
    <x:row r="15">
      <x:c r="A15" s="7" t="inlineStr">
        <x:is>
          <x:t xml:space="preserve">Management fee (T12 actual)</x:t>
        </x:is>
      </x:c>
      <x:c r="B15" s="24" t="n">
        <x:f>T_MGMT</x:f>
        <x:v>26400</x:v>
      </x:c>
      <x:c r="D15" s="25" t="inlineStr">
        <x:is>
          <x:t xml:space="preserve"/>
        </x:is>
      </x:c>
    </x:row>
    <x:row r="16">
      <x:c r="A16" s="7" t="inlineStr">
        <x:is>
          <x:t xml:space="preserve">Operating expenses (excl. reserves/capex/debt/depr.)</x:t>
        </x:is>
      </x:c>
      <x:c r="B16" s="23" t="n">
        <x:f>T_TAX+T_INS+T_UT+T_RM+T_PAY+T_ADM+T_MGMT</x:f>
        <x:v>212400</x:v>
      </x:c>
      <x:c r="D16" s="25" t="inlineStr">
        <x:is>
          <x:t xml:space="preserve"/>
        </x:is>
      </x:c>
    </x:row>
    <x:row r="18">
      <x:c r="A18" s="7" t="inlineStr">
        <x:is>
          <x:t xml:space="preserve">NOI before replacement reserves</x:t>
        </x:is>
      </x:c>
      <x:c r="B18" s="23" t="n">
        <x:f>B7-B16</x:f>
        <x:v>669600</x:v>
      </x:c>
      <x:c r="D18" s="25" t="inlineStr">
        <x:is>
          <x:t xml:space="preserve"/>
        </x:is>
      </x:c>
    </x:row>
    <x:row r="19">
      <x:c r="A19" s="7" t="inlineStr">
        <x:is>
          <x:t xml:space="preserve">Less: replacement reserves</x:t>
        </x:is>
      </x:c>
      <x:c r="B19" s="24" t="n">
        <x:f>T_RES</x:f>
        <x:v>14400</x:v>
      </x:c>
      <x:c r="D19" s="25" t="inlineStr">
        <x:is>
          <x:t xml:space="preserve"/>
        </x:is>
      </x:c>
    </x:row>
    <x:row r="20">
      <x:c r="A20" s="7" t="inlineStr">
        <x:is>
          <x:t xml:space="preserve">NCF after reserves</x:t>
        </x:is>
      </x:c>
      <x:c r="B20" s="23" t="n">
        <x:f>B18-T_RES</x:f>
        <x:v>655200</x:v>
      </x:c>
      <x:c r="D20" s="25" t="inlineStr">
        <x:is>
          <x:t xml:space="preserve"/>
        </x:is>
      </x:c>
    </x:row>
    <x:row r="22">
      <x:c r="A22" s="25" t="inlineStr">
        <x:is>
          <x:t xml:space="preserve">Below-the-line reference items (not operating expense):</x:t>
        </x:is>
      </x:c>
    </x:row>
    <x:row r="23">
      <x:c r="A23" s="7" t="inlineStr">
        <x:is>
          <x:t xml:space="preserve">Capital improvements (T12)</x:t>
        </x:is>
      </x:c>
      <x:c r="B23" s="24" t="n">
        <x:v>112000</x:v>
      </x:c>
      <x:c r="D23" s="25" t="inlineStr">
        <x:is>
          <x:t xml:space="preserve">T12-Statement.pdf p.2 annual</x:t>
        </x:is>
      </x:c>
    </x:row>
    <x:row r="24">
      <x:c r="A24" s="7" t="inlineStr">
        <x:is>
          <x:t xml:space="preserve">Loan principal &amp; interest (T12)</x:t>
        </x:is>
      </x:c>
      <x:c r="B24" s="24" t="n">
        <x:v>294000</x:v>
      </x:c>
      <x:c r="D24" s="25" t="inlineStr">
        <x:is>
          <x:t xml:space="preserve">T12-Statement.pdf p.2 annual</x:t>
        </x:is>
      </x:c>
    </x:row>
    <x:row r="25">
      <x:c r="A25" s="7" t="inlineStr">
        <x:is>
          <x:t xml:space="preserve">Depreciation (noncash)</x:t>
        </x:is>
      </x:c>
      <x:c r="B25" s="24" t="n">
        <x:v>180000</x:v>
      </x:c>
      <x:c r="D25" s="25" t="inlineStr">
        <x:is>
          <x:t xml:space="preserve">T12-Statement.pdf p.2 annual</x:t>
        </x:is>
      </x:c>
    </x:row>
  </x:sheetData>
  <x:mergeCells>
    <x:mergeCell ref="A22:D22"/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Underwriting scenario — annual</x:t>
        </x:is>
      </x:c>
      <x:c r="B1" s="2" t="n"/>
      <x:c r="C1" s="2" t="n"/>
      <x:c r="D1" s="2" t="n"/>
    </x:row>
    <x:row r="2">
      <x:c r="A2" s="7" t="inlineStr">
        <x:is>
          <x:t xml:space="preserve">Underwritten GPR</x:t>
        </x:is>
      </x:c>
      <x:c r="B2" s="24" t="n">
        <x:f>U_GPR</x:f>
        <x:v>718200</x:v>
      </x:c>
      <x:c r="D2" s="25" t="inlineStr">
        <x:is>
          <x:t xml:space="preserve"/>
        </x:is>
      </x:c>
    </x:row>
    <x:row r="3">
      <x:c r="A3" s="7" t="inlineStr">
        <x:is>
          <x:t xml:space="preserve">Less: revenue loss (vac/conc/bad debt)</x:t>
        </x:is>
      </x:c>
      <x:c r="B3" s="24" t="n">
        <x:f>-U_GPR*U_LOSS</x:f>
        <x:v>-21546</x:v>
      </x:c>
      <x:c r="D3" s="25" t="inlineStr">
        <x:is>
          <x:t xml:space="preserve"/>
        </x:is>
      </x:c>
    </x:row>
    <x:row r="4">
      <x:c r="A4" s="7" t="inlineStr">
        <x:is>
          <x:t xml:space="preserve">Plus: other income / recoveries</x:t>
        </x:is>
      </x:c>
      <x:c r="B4" s="24" t="n">
        <x:f>U_OI</x:f>
        <x:v>153900</x:v>
      </x:c>
      <x:c r="D4" s="25" t="inlineStr">
        <x:is>
          <x:t xml:space="preserve"/>
        </x:is>
      </x:c>
    </x:row>
    <x:row r="5">
      <x:c r="A5" s="7" t="inlineStr">
        <x:is>
          <x:t xml:space="preserve">Underwritten EGI</x:t>
        </x:is>
      </x:c>
      <x:c r="B5" s="26" t="n">
        <x:f>B2+B3+B4</x:f>
        <x:v>850554</x:v>
      </x:c>
      <x:c r="D5" s="25" t="inlineStr">
        <x:is>
          <x:t xml:space="preserve">uw_egi</x:t>
        </x:is>
      </x:c>
    </x:row>
    <x:row r="7">
      <x:c r="A7" s="7" t="inlineStr">
        <x:is>
          <x:t xml:space="preserve">Real estate taxes</x:t>
        </x:is>
      </x:c>
      <x:c r="B7" s="24" t="n">
        <x:f>U_TAX</x:f>
        <x:v>108000</x:v>
      </x:c>
      <x:c r="D7" s="25" t="inlineStr">
        <x:is>
          <x:t xml:space="preserve"/>
        </x:is>
      </x:c>
    </x:row>
    <x:row r="8">
      <x:c r="A8" s="7" t="inlineStr">
        <x:is>
          <x:t xml:space="preserve">Insurance (provisional)</x:t>
        </x:is>
      </x:c>
      <x:c r="B8" s="24" t="n">
        <x:f>U_INS</x:f>
        <x:v>36000</x:v>
      </x:c>
      <x:c r="D8" s="25" t="inlineStr">
        <x:is>
          <x:t xml:space="preserve">No renewal binder delivered — placeholder only</x:t>
        </x:is>
      </x:c>
    </x:row>
    <x:row r="9">
      <x:c r="A9" s="7" t="inlineStr">
        <x:is>
          <x:t xml:space="preserve">Utilities</x:t>
        </x:is>
      </x:c>
      <x:c r="B9" s="24" t="n">
        <x:f>U_UT</x:f>
        <x:v>9600</x:v>
      </x:c>
      <x:c r="D9" s="25" t="inlineStr">
        <x:is>
          <x:t xml:space="preserve"/>
        </x:is>
      </x:c>
    </x:row>
    <x:row r="10">
      <x:c r="A10" s="7" t="inlineStr">
        <x:is>
          <x:t xml:space="preserve">Repairs &amp; maintenance</x:t>
        </x:is>
      </x:c>
      <x:c r="B10" s="24" t="n">
        <x:f>U_RM</x:f>
        <x:v>19200</x:v>
      </x:c>
      <x:c r="D10" s="25" t="inlineStr">
        <x:is>
          <x:t xml:space="preserve"/>
        </x:is>
      </x:c>
    </x:row>
    <x:row r="11">
      <x:c r="A11" s="7" t="inlineStr">
        <x:is>
          <x:t xml:space="preserve">Payroll / contract labor</x:t>
        </x:is>
      </x:c>
      <x:c r="B11" s="24" t="n">
        <x:f>U_PAY</x:f>
        <x:v>12000</x:v>
      </x:c>
      <x:c r="D11" s="25" t="inlineStr">
        <x:is>
          <x:t xml:space="preserve"/>
        </x:is>
      </x:c>
    </x:row>
    <x:row r="12">
      <x:c r="A12" s="7" t="inlineStr">
        <x:is>
          <x:t xml:space="preserve">Administrative / legal</x:t>
        </x:is>
      </x:c>
      <x:c r="B12" s="24" t="n">
        <x:f>U_ADM</x:f>
        <x:v>16800</x:v>
      </x:c>
      <x:c r="D12" s="25" t="inlineStr">
        <x:is>
          <x:t xml:space="preserve"/>
        </x:is>
      </x:c>
    </x:row>
    <x:row r="13">
      <x:c r="A13" s="7" t="inlineStr">
        <x:is>
          <x:t xml:space="preserve">Management fee (greater of T12 actual or % of EGI)</x:t>
        </x:is>
      </x:c>
      <x:c r="B13" s="26" t="n">
        <x:f>MAX(T_MGMT,B5*U_MGMT_PCT)</x:f>
        <x:v>26400</x:v>
      </x:c>
      <x:c r="D13" s="25" t="inlineStr">
        <x:is>
          <x:t xml:space="preserve">uw_management_fee</x:t>
        </x:is>
      </x:c>
    </x:row>
    <x:row r="14">
      <x:c r="A14" s="7" t="inlineStr">
        <x:is>
          <x:t xml:space="preserve">Underwritten operating expenses (before reserves)</x:t>
        </x:is>
      </x:c>
      <x:c r="B14" s="26" t="n">
        <x:f>U_TAX+U_INS+U_UT+U_RM+U_PAY+U_ADM+B13</x:f>
        <x:v>228000</x:v>
      </x:c>
      <x:c r="D14" s="25" t="inlineStr">
        <x:is>
          <x:t xml:space="preserve">uw_operating_expenses</x:t>
        </x:is>
      </x:c>
    </x:row>
    <x:row r="16">
      <x:c r="A16" s="7" t="inlineStr">
        <x:is>
          <x:t xml:space="preserve">NOI before replacement reserves</x:t>
        </x:is>
      </x:c>
      <x:c r="B16" s="26" t="n">
        <x:f>B5-B14</x:f>
        <x:v>622554</x:v>
      </x:c>
      <x:c r="D16" s="25" t="inlineStr">
        <x:is>
          <x:t xml:space="preserve">uw_noi_before_reserves</x:t>
        </x:is>
      </x:c>
    </x:row>
    <x:row r="17">
      <x:c r="A17" s="7" t="inlineStr">
        <x:is>
          <x:t xml:space="preserve">Less: replacement reserves ($/SF/yr × SF)</x:t>
        </x:is>
      </x:c>
      <x:c r="B17" s="27" t="n">
        <x:f>U_RES_PSF*TotalSF</x:f>
        <x:v>14400</x:v>
      </x:c>
      <x:c r="D17" s="25" t="inlineStr">
        <x:is>
          <x:t xml:space="preserve">uw_reserves</x:t>
        </x:is>
      </x:c>
    </x:row>
    <x:row r="18">
      <x:c r="A18" s="7" t="inlineStr">
        <x:is>
          <x:t xml:space="preserve">NCF after reserves</x:t>
        </x:is>
      </x:c>
      <x:c r="B18" s="26" t="n">
        <x:f>B16-B17</x:f>
        <x:v>608154</x:v>
      </x:c>
      <x:c r="D18" s="25" t="inlineStr">
        <x:is>
          <x:t xml:space="preserve">uw_ncf</x:t>
        </x:is>
      </x:c>
    </x:row>
    <x:row r="20">
      <x:c r="A20" s="7" t="inlineStr">
        <x:is>
          <x:t xml:space="preserve">Capitalization value (NOI before reserves / cap rate)</x:t>
        </x:is>
      </x:c>
      <x:c r="B20" s="26" t="n">
        <x:f>B16/L_CAP</x:f>
        <x:v>9577753.846153846</x:v>
      </x:c>
      <x:c r="D20" s="25" t="inlineStr">
        <x:is>
          <x:t xml:space="preserve">capitalization_value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Loan sizing</x:t>
        </x:is>
      </x:c>
      <x:c r="B1" s="2" t="n"/>
      <x:c r="C1" s="2" t="n"/>
      <x:c r="D1" s="2" t="n"/>
    </x:row>
    <x:row r="2">
      <x:c r="A2" s="7" t="inlineStr">
        <x:is>
          <x:t xml:space="preserve">Contract rate</x:t>
        </x:is>
      </x:c>
      <x:c r="B2" s="28" t="n">
        <x:f>L_CR</x:f>
        <x:v>0.061</x:v>
      </x:c>
      <x:c r="D2" s="25" t="inlineStr">
        <x:is>
          <x:t xml:space="preserve">contract_rate</x:t>
        </x:is>
      </x:c>
    </x:row>
    <x:row r="3">
      <x:c r="A3" s="7" t="inlineStr">
        <x:is>
          <x:t xml:space="preserve">Sizing rate (greater of contract &amp; floor)</x:t>
        </x:is>
      </x:c>
      <x:c r="B3" s="29" t="n">
        <x:f>MAX(L_CR,L_SR_FLOOR)</x:f>
        <x:v>0.065</x:v>
      </x:c>
      <x:c r="D3" s="25" t="inlineStr">
        <x:is>
          <x:t xml:space="preserve">sizing_rate</x:t>
        </x:is>
      </x:c>
    </x:row>
    <x:row r="4">
      <x:c r="A4" s="7" t="inlineStr">
        <x:is>
          <x:t xml:space="preserve">Annual debt constant (30-yr amort, monthly)</x:t>
        </x:is>
      </x:c>
      <x:c r="B4" s="30" t="n">
        <x:f>-12*PMT(B3/12,L_AMORT*12,1)</x:f>
        <x:v>0.07584816281915566</x:v>
      </x:c>
      <x:c r="D4" s="25" t="inlineStr">
        <x:is>
          <x:t xml:space="preserve">annual_debt_constant</x:t>
        </x:is>
      </x:c>
    </x:row>
    <x:row r="6">
      <x:c r="A6" s="7" t="inlineStr">
        <x:is>
          <x:t xml:space="preserve">LTV limit  =  LTV × value</x:t>
        </x:is>
      </x:c>
      <x:c r="B6" s="26" t="n">
        <x:f>L_LTV*UW_VAL</x:f>
        <x:v>5746652.307692307</x:v>
      </x:c>
      <x:c r="D6" s="25" t="inlineStr">
        <x:is>
          <x:t xml:space="preserve">ltv_limit</x:t>
        </x:is>
      </x:c>
    </x:row>
    <x:row r="7">
      <x:c r="A7" s="7" t="inlineStr">
        <x:is>
          <x:t xml:space="preserve">DSCR limit  =  NCF / (DSCR × ADC)</x:t>
        </x:is>
      </x:c>
      <x:c r="B7" s="26" t="n">
        <x:f>UW_NCF/(L_DSCR*B4)</x:f>
        <x:v>6167727.099022395</x:v>
      </x:c>
      <x:c r="D7" s="25" t="inlineStr">
        <x:is>
          <x:t xml:space="preserve">dscr_limit</x:t>
        </x:is>
      </x:c>
    </x:row>
    <x:row r="8">
      <x:c r="A8" s="7" t="inlineStr">
        <x:is>
          <x:t xml:space="preserve">Debt yield limit  =  NCF / DY</x:t>
        </x:is>
      </x:c>
      <x:c r="B8" s="26" t="n">
        <x:f>UW_NCF/L_DY</x:f>
        <x:v>6401621.052631578</x:v>
      </x:c>
      <x:c r="D8" s="25" t="inlineStr">
        <x:is>
          <x:t xml:space="preserve">debt_yield_limit</x:t>
        </x:is>
      </x:c>
    </x:row>
    <x:row r="9">
      <x:c r="A9" s="7" t="inlineStr">
        <x:is>
          <x:t xml:space="preserve">Maximum loan  =  MIN of three constraints</x:t>
        </x:is>
      </x:c>
      <x:c r="B9" s="26" t="n">
        <x:f>MIN(B6,B7,B8)</x:f>
        <x:v>5746652.307692307</x:v>
      </x:c>
      <x:c r="D9" s="25" t="inlineStr">
        <x:is>
          <x:t xml:space="preserve">maximum_loan</x:t>
        </x:is>
      </x:c>
    </x:row>
    <x:row r="10">
      <x:c r="A10" s="7" t="inlineStr">
        <x:is>
          <x:t xml:space="preserve">Binding constraint</x:t>
        </x:is>
      </x:c>
      <x:c r="B10" s="31" t="str">
        <x:f>IF(B9=B6,"LTV",IF(B9=B7,"DSCR","Debt yield"))</x:f>
        <x:v>LTV</x:v>
      </x:c>
      <x:c r="D10" s="25" t="inlineStr">
        <x:is>
          <x:t xml:space="preserve">binding_constraint</x:t>
        </x:is>
      </x:c>
    </x:row>
    <x:row r="12">
      <x:c r="A12" s="7" t="inlineStr">
        <x:is>
          <x:t xml:space="preserve">Sizing annual debt service</x:t>
        </x:is>
      </x:c>
      <x:c r="B12" s="26" t="n">
        <x:f>B9*B4</x:f>
        <x:v>435873.0198989227</x:v>
      </x:c>
      <x:c r="D12" s="25" t="inlineStr">
        <x:is>
          <x:t xml:space="preserve">sizing_annual_debt_service</x:t>
        </x:is>
      </x:c>
    </x:row>
    <x:row r="13">
      <x:c r="A13" s="7" t="inlineStr">
        <x:is>
          <x:t xml:space="preserve">Sizing DSCR  (NCF / DS)</x:t>
        </x:is>
      </x:c>
      <x:c r="B13" s="32" t="n">
        <x:f>UW_NCF/B12</x:f>
        <x:v>1.3952549761878554</x:v>
      </x:c>
      <x:c r="D13" s="25" t="inlineStr">
        <x:is>
          <x:t xml:space="preserve">sizing_dscr</x:t>
        </x:is>
      </x:c>
    </x:row>
    <x:row r="14">
      <x:c r="A14" s="7" t="inlineStr">
        <x:is>
          <x:t xml:space="preserve">Sizing debt yield  (NCF / Loan)</x:t>
        </x:is>
      </x:c>
      <x:c r="B14" s="29" t="n">
        <x:f>UW_NCF/B9</x:f>
        <x:v>0.1058275266081336</x:v>
      </x:c>
      <x:c r="D14" s="25" t="inlineStr">
        <x:is>
          <x:t xml:space="preserve">sizing_debt_yield</x:t>
        </x:is>
      </x:c>
    </x:row>
    <x:row r="16">
      <x:c r="A16" s="7" t="inlineStr">
        <x:is>
          <x:t xml:space="preserve">First-year contractual debt service (12 mo IO at contract rate)</x:t>
        </x:is>
      </x:c>
      <x:c r="B16" s="26" t="n">
        <x:f>B9*L_CR</x:f>
        <x:v>350545.79076923075</x:v>
      </x:c>
      <x:c r="D16" s="25" t="inlineStr">
        <x:is>
          <x:t xml:space="preserve">first_year_debt_service</x:t>
        </x:is>
      </x:c>
    </x:row>
    <x:row r="17">
      <x:c r="A17" s="7" t="inlineStr">
        <x:is>
          <x:t xml:space="preserve">  Memo: interest-only period (months)</x:t>
        </x:is>
      </x:c>
      <x:c r="B17" s="33" t="n">
        <x:f>L_IO</x:f>
        <x:v>12</x:v>
      </x:c>
      <x:c r="D17" s="25" t="inlineStr">
        <x:is>
          <x:t xml:space="preserve"/>
        </x:is>
      </x:c>
    </x:row>
    <x:row r="18">
      <x:c r="A18" s="7" t="inlineStr">
        <x:is>
          <x:t xml:space="preserve">  Memo: amortizing DS if IO were 0 (12 mo)</x:t>
        </x:is>
      </x:c>
      <x:c r="B18" s="27" t="n">
        <x:f>B9*B4</x:f>
        <x:v>435873.0198989227</x:v>
      </x:c>
      <x:c r="D18" s="25" t="inlineStr">
        <x:is>
          <x:t xml:space="preserve">For reference only; year-1 is IO per lender term sheet.</x:t>
        </x:is>
      </x:c>
    </x:row>
    <x:row r="20">
      <x:c r="A20" s="4" t="inlineStr">
        <x:is>
          <x:t xml:space="preserve">Sources &amp; Uses</x:t>
        </x:is>
      </x:c>
      <x:c r="B20" s="5" t="n"/>
      <x:c r="C20" s="5" t="n"/>
      <x:c r="D20" s="5" t="n"/>
    </x:row>
    <x:row r="21">
      <x:c r="A21" s="3" t="inlineStr">
        <x:is>
          <x:t xml:space="preserve">Sources</x:t>
        </x:is>
      </x:c>
    </x:row>
    <x:row r="22">
      <x:c r="A22" s="7" t="inlineStr">
        <x:is>
          <x:t xml:space="preserve">  New first mortgage</x:t>
        </x:is>
      </x:c>
      <x:c r="B22" s="24" t="n">
        <x:f>B9</x:f>
        <x:v>5746652.307692307</x:v>
      </x:c>
      <x:c r="D22" s="25" t="inlineStr">
        <x:is>
          <x:t xml:space="preserve"/>
        </x:is>
      </x:c>
    </x:row>
    <x:row r="23">
      <x:c r="A23" s="3" t="inlineStr">
        <x:is>
          <x:t xml:space="preserve">Uses</x:t>
        </x:is>
      </x:c>
    </x:row>
    <x:row r="24">
      <x:c r="A24" s="7" t="inlineStr">
        <x:is>
          <x:t xml:space="preserve">  Existing debt payoff</x:t>
        </x:is>
      </x:c>
      <x:c r="B24" s="24" t="n">
        <x:f>L_PAYOFF</x:f>
        <x:v>3600000</x:v>
      </x:c>
      <x:c r="D24" s="25" t="inlineStr">
        <x:is>
          <x:t xml:space="preserve"/>
        </x:is>
      </x:c>
    </x:row>
    <x:row r="25">
      <x:c r="A25" s="7" t="inlineStr">
        <x:is>
          <x:t xml:space="preserve">  Origination fee (1% × loan)</x:t>
        </x:is>
      </x:c>
      <x:c r="B25" s="24" t="n">
        <x:f>L_ORIG*B9</x:f>
        <x:v>57466.52307692307</x:v>
      </x:c>
      <x:c r="D25" s="25" t="inlineStr">
        <x:is>
          <x:t xml:space="preserve"/>
        </x:is>
      </x:c>
    </x:row>
    <x:row r="26">
      <x:c r="A26" s="7" t="inlineStr">
        <x:is>
          <x:t xml:space="preserve">  Fixed closing costs</x:t>
        </x:is>
      </x:c>
      <x:c r="B26" s="24" t="n">
        <x:f>L_CLOSE</x:f>
        <x:v>55000</x:v>
      </x:c>
      <x:c r="D26" s="25" t="inlineStr">
        <x:is>
          <x:t xml:space="preserve"/>
        </x:is>
      </x:c>
    </x:row>
    <x:row r="27">
      <x:c r="A27" s="7" t="inlineStr">
        <x:is>
          <x:t xml:space="preserve">  Total uses</x:t>
        </x:is>
      </x:c>
      <x:c r="B27" s="23" t="n">
        <x:f>L_PAYOFF+L_ORIG*B9+L_CLOSE</x:f>
        <x:v>3712466.523076923</x:v>
      </x:c>
      <x:c r="D27" s="25" t="inlineStr">
        <x:is>
          <x:t xml:space="preserve"/>
        </x:is>
      </x:c>
    </x:row>
    <x:row r="28">
      <x:c r="A28" s="7" t="inlineStr">
        <x:is>
          <x:t xml:space="preserve">Cash to (from) borrower  =  Loan − Uses</x:t>
        </x:is>
      </x:c>
      <x:c r="B28" s="26" t="n">
        <x:f>B9-B27</x:f>
        <x:v>2034185.784615384</x:v>
      </x:c>
      <x:c r="D28" s="25" t="inlineStr">
        <x:is>
          <x:t xml:space="preserve">Positive = cash to borrower; negative = cash in required</x:t>
        </x:is>
      </x:c>
    </x:row>
  </x:sheetData>
  <x:mergeCells>
    <x:mergeCell ref="A1:D1"/>
    <x:mergeCell ref="A20:D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Sensitivity</x:t>
        </x:is>
      </x:c>
      <x:c r="B1" s="2" t="n"/>
      <x:c r="C1" s="2" t="n"/>
      <x:c r="D1" s="2" t="n"/>
    </x:row>
    <x:row r="2">
      <x:c r="A2" s="4" t="inlineStr">
        <x:is>
          <x:t xml:space="preserve">Combined downside: EGI × S_EGI AND sizing rate + S_RATE; cap rate unchanged; management recalculated</x:t>
        </x:is>
      </x:c>
      <x:c r="B2" s="5" t="n"/>
      <x:c r="C2" s="5" t="n"/>
      <x:c r="D2" s="5" t="n"/>
    </x:row>
    <x:row r="3">
      <x:c r="A3" s="7" t="inlineStr">
        <x:is>
          <x:t xml:space="preserve">Stress EGI</x:t>
        </x:is>
      </x:c>
      <x:c r="B3" s="26" t="n">
        <x:f>UW_EGI*S_EGI</x:f>
        <x:v>808026.2999999999</x:v>
      </x:c>
      <x:c r="D3" s="25" t="inlineStr">
        <x:is>
          <x:t xml:space="preserve">EGI × 0.95 by default</x:t>
        </x:is>
      </x:c>
    </x:row>
    <x:row r="4">
      <x:c r="A4" s="7" t="inlineStr">
        <x:is>
          <x:t xml:space="preserve">Stress management fee (greater of T12 actual or % of stress EGI)</x:t>
        </x:is>
      </x:c>
      <x:c r="B4" s="26" t="n">
        <x:f>MAX(T_MGMT,B3*U_MGMT_PCT)</x:f>
        <x:v>26400</x:v>
      </x:c>
      <x:c r="D4" s="25" t="inlineStr">
        <x:is>
          <x:t xml:space="preserve"/>
        </x:is>
      </x:c>
    </x:row>
    <x:row r="5">
      <x:c r="A5" s="7" t="inlineStr">
        <x:is>
          <x:t xml:space="preserve">Stress operating expenses (before reserves)</x:t>
        </x:is>
      </x:c>
      <x:c r="B5" s="26" t="n">
        <x:f>U_TAX+U_INS+U_UT+U_RM+U_PAY+U_ADM+B4</x:f>
        <x:v>228000</x:v>
      </x:c>
      <x:c r="D5" s="25" t="inlineStr">
        <x:is>
          <x:t xml:space="preserve"/>
        </x:is>
      </x:c>
    </x:row>
    <x:row r="6">
      <x:c r="A6" s="7" t="inlineStr">
        <x:is>
          <x:t xml:space="preserve">stress_uw_noi (before reserves)</x:t>
        </x:is>
      </x:c>
      <x:c r="B6" s="26" t="n">
        <x:f>B3-B5</x:f>
        <x:v>580026.2999999999</x:v>
      </x:c>
      <x:c r="D6" s="25" t="inlineStr">
        <x:is>
          <x:t xml:space="preserve">stress_uw_noi</x:t>
        </x:is>
      </x:c>
    </x:row>
    <x:row r="7">
      <x:c r="A7" s="7" t="inlineStr">
        <x:is>
          <x:t xml:space="preserve">Stress NCF (after reserves)</x:t>
        </x:is>
      </x:c>
      <x:c r="B7" s="26" t="n">
        <x:f>B6-UW_RES</x:f>
        <x:v>565626.2999999999</x:v>
      </x:c>
      <x:c r="D7" s="25" t="inlineStr">
        <x:is>
          <x:t xml:space="preserve"/>
        </x:is>
      </x:c>
    </x:row>
    <x:row r="8">
      <x:c r="A8" s="7" t="inlineStr">
        <x:is>
          <x:t xml:space="preserve">Stress sizing rate</x:t>
        </x:is>
      </x:c>
      <x:c r="B8" s="29" t="n">
        <x:f>SIZ_RATE+S_RATE</x:f>
        <x:v>0.075</x:v>
      </x:c>
      <x:c r="D8" s="25" t="inlineStr">
        <x:is>
          <x:t xml:space="preserve"/>
        </x:is>
      </x:c>
    </x:row>
    <x:row r="9">
      <x:c r="A9" s="7" t="inlineStr">
        <x:is>
          <x:t xml:space="preserve">Stress annual debt constant</x:t>
        </x:is>
      </x:c>
      <x:c r="B9" s="30" t="n">
        <x:f>-12*PMT(B8/12,L_AMORT*12,1)</x:f>
        <x:v>0.0839057410263335</x:v>
      </x:c>
      <x:c r="D9" s="25" t="inlineStr">
        <x:is>
          <x:t xml:space="preserve"/>
        </x:is>
      </x:c>
    </x:row>
    <x:row r="10">
      <x:c r="A10" s="7" t="inlineStr">
        <x:is>
          <x:t xml:space="preserve">Stress capitalization value (cap rate unchanged)</x:t>
        </x:is>
      </x:c>
      <x:c r="B10" s="26" t="n">
        <x:f>B6/L_CAP</x:f>
        <x:v>8923481.538461536</x:v>
      </x:c>
      <x:c r="D10" s="25" t="inlineStr">
        <x:is>
          <x:t xml:space="preserve"/>
        </x:is>
      </x:c>
    </x:row>
    <x:row r="11">
      <x:c r="A11" s="7" t="inlineStr">
        <x:is>
          <x:t xml:space="preserve">Stress LTV limit</x:t>
        </x:is>
      </x:c>
      <x:c r="B11" s="27" t="n">
        <x:f>L_LTV*B10</x:f>
        <x:v>5354088.923076921</x:v>
      </x:c>
      <x:c r="D11" s="25" t="inlineStr">
        <x:is>
          <x:t xml:space="preserve"/>
        </x:is>
      </x:c>
    </x:row>
    <x:row r="12">
      <x:c r="A12" s="7" t="inlineStr">
        <x:is>
          <x:t xml:space="preserve">Stress DSCR limit</x:t>
        </x:is>
      </x:c>
      <x:c r="B12" s="27" t="n">
        <x:f>B7/(L_DSCR*B9)</x:f>
        <x:v>5185546.883014837</x:v>
      </x:c>
      <x:c r="D12" s="25" t="inlineStr">
        <x:is>
          <x:t xml:space="preserve"/>
        </x:is>
      </x:c>
    </x:row>
    <x:row r="13">
      <x:c r="A13" s="7" t="inlineStr">
        <x:is>
          <x:t xml:space="preserve">Stress Debt-yield limit</x:t>
        </x:is>
      </x:c>
      <x:c r="B13" s="27" t="n">
        <x:f>B7/L_DY</x:f>
        <x:v>5953961.052631578</x:v>
      </x:c>
      <x:c r="D13" s="25" t="inlineStr">
        <x:is>
          <x:t xml:space="preserve"/>
        </x:is>
      </x:c>
    </x:row>
    <x:row r="14">
      <x:c r="A14" s="7" t="inlineStr">
        <x:is>
          <x:t xml:space="preserve">stress_maximum_loan</x:t>
        </x:is>
      </x:c>
      <x:c r="B14" s="26" t="n">
        <x:f>MIN(B11,B12,B13)</x:f>
        <x:v>5185546.883014837</x:v>
      </x:c>
      <x:c r="D14" s="25" t="inlineStr">
        <x:is>
          <x:t xml:space="preserve">stress_maximum_loan</x:t>
        </x:is>
      </x:c>
    </x:row>
    <x:row r="15">
      <x:c r="A15" s="7" t="inlineStr">
        <x:is>
          <x:t xml:space="preserve">Stress binding constraint</x:t>
        </x:is>
      </x:c>
      <x:c r="B15" s="31" t="str">
        <x:f>IF(B14=B11,"LTV",IF(B14=B12,"DSCR","Debt yield"))</x:f>
        <x:v>DSCR</x:v>
      </x:c>
    </x:row>
    <x:row r="17">
      <x:c r="A17" s="4" t="inlineStr">
        <x:is>
          <x:t xml:space="preserve">Separate sensitivity: cap rate +S_CAP (all other inputs at base case)</x:t>
        </x:is>
      </x:c>
      <x:c r="B17" s="5" t="n"/>
      <x:c r="C17" s="5" t="n"/>
      <x:c r="D17" s="5" t="n"/>
    </x:row>
    <x:row r="18">
      <x:c r="A18" s="7" t="inlineStr">
        <x:is>
          <x:t xml:space="preserve">Adjusted cap rate</x:t>
        </x:is>
      </x:c>
      <x:c r="B18" s="29" t="n">
        <x:f>L_CAP+S_CAP</x:f>
        <x:v>0.07</x:v>
      </x:c>
      <x:c r="D18" s="25" t="inlineStr">
        <x:is>
          <x:t xml:space="preserve"/>
        </x:is>
      </x:c>
    </x:row>
    <x:row r="19">
      <x:c r="A19" s="7" t="inlineStr">
        <x:is>
          <x:t xml:space="preserve">Adjusted value</x:t>
        </x:is>
      </x:c>
      <x:c r="B19" s="26" t="n">
        <x:f>UW_NOI/B18</x:f>
        <x:v>8893628.57142857</x:v>
      </x:c>
      <x:c r="D19" s="25" t="inlineStr">
        <x:is>
          <x:t xml:space="preserve"/>
        </x:is>
      </x:c>
    </x:row>
    <x:row r="20">
      <x:c r="A20" s="7" t="inlineStr">
        <x:is>
          <x:t xml:space="preserve">Adjusted LTV limit</x:t>
        </x:is>
      </x:c>
      <x:c r="B20" s="27" t="n">
        <x:f>L_LTV*B19</x:f>
        <x:v>5336177.142857143</x:v>
      </x:c>
      <x:c r="D20" s="25" t="inlineStr">
        <x:is>
          <x:t xml:space="preserve"/>
        </x:is>
      </x:c>
    </x:row>
    <x:row r="21">
      <x:c r="A21" s="7" t="inlineStr">
        <x:is>
          <x:t xml:space="preserve">DSCR limit (base NCF/rate)</x:t>
        </x:is>
      </x:c>
      <x:c r="B21" s="27" t="n">
        <x:f>UW_NCF/(L_DSCR*ADC_SIZ)</x:f>
        <x:v>6167727.099022395</x:v>
      </x:c>
      <x:c r="D21" s="25" t="inlineStr">
        <x:is>
          <x:t xml:space="preserve"/>
        </x:is>
      </x:c>
    </x:row>
    <x:row r="22">
      <x:c r="A22" s="7" t="inlineStr">
        <x:is>
          <x:t xml:space="preserve">Debt yield limit (base)</x:t>
        </x:is>
      </x:c>
      <x:c r="B22" s="27" t="n">
        <x:f>UW_NCF/L_DY</x:f>
        <x:v>6401621.052631578</x:v>
      </x:c>
      <x:c r="D22" s="25" t="inlineStr">
        <x:is>
          <x:t xml:space="preserve"/>
        </x:is>
      </x:c>
    </x:row>
    <x:row r="23">
      <x:c r="A23" s="7" t="inlineStr">
        <x:is>
          <x:t xml:space="preserve">Cap-rate +50 bps maximum loan</x:t>
        </x:is>
      </x:c>
      <x:c r="B23" s="26" t="n">
        <x:f>MIN(B20,B21,B22)</x:f>
        <x:v>5336177.142857143</x:v>
      </x:c>
      <x:c r="D23" s="25" t="inlineStr">
        <x:is>
          <x:t xml:space="preserve"/>
        </x:is>
      </x:c>
    </x:row>
  </x:sheetData>
  <x:mergeCells>
    <x:mergeCell ref="A1:D1"/>
    <x:mergeCell ref="A17:D17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70" customWidth="1"/>
  </x:cols>
  <x:sheetData>
    <x:row r="1">
      <x:c r="A1" s="1" t="inlineStr">
        <x:is>
          <x:t xml:space="preserve">Requested field IDs — computed values with source</x:t>
        </x:is>
      </x:c>
      <x:c r="B1" s="2" t="n"/>
      <x:c r="C1" s="2" t="n"/>
    </x:row>
    <x:row r="2">
      <x:c r="A2" s="17" t="inlineStr">
        <x:is>
          <x:t xml:space="preserve">field_id</x:t>
        </x:is>
      </x:c>
      <x:c r="B2" s="17" t="inlineStr">
        <x:is>
          <x:t xml:space="preserve">value</x:t>
        </x:is>
      </x:c>
      <x:c r="C2" s="17" t="inlineStr">
        <x:is>
          <x:t xml:space="preserve">source / note</x:t>
        </x:is>
      </x:c>
    </x:row>
    <x:row r="3" ht="26" customHeight="1">
      <x:c r="A3" s="3" t="inlineStr">
        <x:is>
          <x:t xml:space="preserve">space_count</x:t>
        </x:is>
      </x:c>
      <x:c r="B3" s="34" t="n">
        <x:f>UnitCount</x:f>
        <x:v>3</x:v>
      </x:c>
      <x:c r="C3" s="7" t="inlineStr">
        <x:is>
          <x:t xml:space="preserve">Rent-Roll.xlsx C7:C9 (three units)</x:t>
        </x:is>
      </x:c>
    </x:row>
    <x:row r="4" ht="26" customHeight="1">
      <x:c r="A4" s="3" t="inlineStr">
        <x:is>
          <x:t xml:space="preserve">occupied_count</x:t>
        </x:is>
      </x:c>
      <x:c r="B4" s="34" t="n">
        <x:f>OccUnits</x:f>
        <x:v>3</x:v>
      </x:c>
      <x:c r="C4" s="7" t="inlineStr">
        <x:is>
          <x:t xml:space="preserve">Rent-Roll.xlsx F7:F9 all = 'Occupied'</x:t>
        </x:is>
      </x:c>
    </x:row>
    <x:row r="5" ht="26" customHeight="1">
      <x:c r="A5" s="3" t="inlineStr">
        <x:is>
          <x:t xml:space="preserve">total_area_sf</x:t>
        </x:is>
      </x:c>
      <x:c r="B5" s="34" t="n">
        <x:f>TotalSF</x:f>
        <x:v>72000</x:v>
      </x:c>
      <x:c r="C5" s="7" t="inlineStr">
        <x:is>
          <x:t xml:space="preserve">Rent-Roll.xlsx E7:E9 sum</x:t>
        </x:is>
      </x:c>
    </x:row>
    <x:row r="6" ht="26" customHeight="1">
      <x:c r="A6" s="3" t="inlineStr">
        <x:is>
          <x:t xml:space="preserve">occupied_area_sf</x:t>
        </x:is>
      </x:c>
      <x:c r="B6" s="34" t="n">
        <x:f>OccSF</x:f>
        <x:v>72000</x:v>
      </x:c>
      <x:c r="C6" s="7" t="inlineStr">
        <x:is>
          <x:t xml:space="preserve">Rent-Roll.xlsx E7:E9 sum (all occupied)</x:t>
        </x:is>
      </x:c>
    </x:row>
    <x:row r="7" ht="26" customHeight="1">
      <x:c r="A7" s="3" t="inlineStr">
        <x:is>
          <x:t xml:space="preserve">occupancy_count_pct</x:t>
        </x:is>
      </x:c>
      <x:c r="B7" s="35" t="n">
        <x:f>OccUnits/UnitCount*100</x:f>
        <x:v>100</x:v>
      </x:c>
      <x:c r="C7" s="7" t="inlineStr">
        <x:is>
          <x:t xml:space="preserve">Percent 0-100</x:t>
        </x:is>
      </x:c>
    </x:row>
    <x:row r="8" ht="26" customHeight="1">
      <x:c r="A8" s="3" t="inlineStr">
        <x:is>
          <x:t xml:space="preserve">occupancy_area_pct</x:t>
        </x:is>
      </x:c>
      <x:c r="B8" s="35" t="n">
        <x:f>OccSF/TotalSF*100</x:f>
        <x:v>100</x:v>
      </x:c>
      <x:c r="C8" s="7" t="inlineStr">
        <x:is>
          <x:t xml:space="preserve">Percent 0-100</x:t>
        </x:is>
      </x:c>
    </x:row>
    <x:row r="9" ht="26" customHeight="1">
      <x:c r="A9" s="3" t="inlineStr">
        <x:is>
          <x:t xml:space="preserve">rent_roll_monthly_base</x:t>
        </x:is>
      </x:c>
      <x:c r="B9" s="36" t="n">
        <x:f>'Rent Roll'!E15</x:f>
        <x:v>62000</x:v>
      </x:c>
      <x:c r="C9" s="7" t="inlineStr">
        <x:is>
          <x:t xml:space="preserve">Rent-Roll.xlsx SUMPRODUCT Occupied</x:t>
        </x:is>
      </x:c>
    </x:row>
    <x:row r="10" ht="26" customHeight="1">
      <x:c r="A10" s="3" t="inlineStr">
        <x:is>
          <x:t xml:space="preserve">effective_monthly_base</x:t>
        </x:is>
      </x:c>
      <x:c r="B10" s="36" t="n">
        <x:f>'Rent Roll'!E16</x:f>
        <x:v>62000</x:v>
      </x:c>
      <x:c r="C10" s="7" t="inlineStr">
        <x:is>
          <x:t xml:space="preserve">Lease-authoritative; matches rent roll; no amendments/option exercise in packet</x:t>
        </x:is>
      </x:c>
    </x:row>
    <x:row r="11" ht="26" customHeight="1">
      <x:c r="A11" s="3" t="inlineStr">
        <x:is>
          <x:t xml:space="preserve">t12_egi</x:t>
        </x:is>
      </x:c>
      <x:c r="B11" s="36" t="n">
        <x:f>T_GPR+T_VAC+T_CONC+T_BD+T_OI</x:f>
        <x:v>882000</x:v>
      </x:c>
      <x:c r="C11" s="7" t="inlineStr">
        <x:is>
          <x:t xml:space="preserve">T12-Statement.pdf p.2 annual column</x:t>
        </x:is>
      </x:c>
    </x:row>
    <x:row r="12" ht="26" customHeight="1">
      <x:c r="A12" s="3" t="inlineStr">
        <x:is>
          <x:t xml:space="preserve">t12_operating_expenses</x:t>
        </x:is>
      </x:c>
      <x:c r="B12" s="36" t="n">
        <x:f>T_TAX+T_INS+T_UT+T_RM+T_PAY+T_ADM+T_MGMT</x:f>
        <x:v>212400</x:v>
      </x:c>
      <x:c r="C12" s="7" t="inlineStr">
        <x:is>
          <x:t xml:space="preserve">T12-Statement.pdf p.2 annual (excl. reserves/capex/debt/depr.)</x:t>
        </x:is>
      </x:c>
    </x:row>
    <x:row r="13" ht="26" customHeight="1">
      <x:c r="A13" s="3" t="inlineStr">
        <x:is>
          <x:t xml:space="preserve">t12_noi_before_reserves</x:t>
        </x:is>
      </x:c>
      <x:c r="B13" s="36" t="n">
        <x:f>(T_GPR+T_VAC+T_CONC+T_BD+T_OI)-(T_TAX+T_INS+T_UT+T_RM+T_PAY+T_ADM+T_MGMT)</x:f>
        <x:v>669600</x:v>
      </x:c>
      <x:c r="C13" s="7" t="inlineStr">
        <x:is>
          <x:t xml:space="preserve">EGI − Opex</x:t>
        </x:is>
      </x:c>
    </x:row>
    <x:row r="14" ht="26" customHeight="1">
      <x:c r="A14" s="3" t="inlineStr">
        <x:is>
          <x:t xml:space="preserve">t12_reserves</x:t>
        </x:is>
      </x:c>
      <x:c r="B14" s="36" t="n">
        <x:f>T_RES</x:f>
        <x:v>14400</x:v>
      </x:c>
      <x:c r="C14" s="7" t="inlineStr">
        <x:is>
          <x:t xml:space="preserve">T12-Statement.pdf p.2 (below NOI)</x:t>
        </x:is>
      </x:c>
    </x:row>
    <x:row r="15" ht="26" customHeight="1">
      <x:c r="A15" s="3" t="inlineStr">
        <x:is>
          <x:t xml:space="preserve">t12_ncf</x:t>
        </x:is>
      </x:c>
      <x:c r="B15" s="36" t="n">
        <x:f>(T_GPR+T_VAC+T_CONC+T_BD+T_OI)-(T_TAX+T_INS+T_UT+T_RM+T_PAY+T_ADM+T_MGMT)-T_RES</x:f>
        <x:v>655200</x:v>
      </x:c>
      <x:c r="C15" s="7" t="inlineStr">
        <x:is>
          <x:t xml:space="preserve">NOI − reserves</x:t>
        </x:is>
      </x:c>
    </x:row>
    <x:row r="16" ht="26" customHeight="1">
      <x:c r="A16" s="3" t="inlineStr">
        <x:is>
          <x:t xml:space="preserve">uw_egi</x:t>
        </x:is>
      </x:c>
      <x:c r="B16" s="36" t="n">
        <x:f>UW_EGI</x:f>
        <x:v>850554</x:v>
      </x:c>
      <x:c r="C16" s="7" t="inlineStr">
        <x:is>
          <x:t xml:space="preserve">Property-and-Plan.pdf p.2 — GPR − 3% loss + Other income</x:t>
        </x:is>
      </x:c>
    </x:row>
    <x:row r="17" ht="26" customHeight="1">
      <x:c r="A17" s="3" t="inlineStr">
        <x:is>
          <x:t xml:space="preserve">uw_management_fee</x:t>
        </x:is>
      </x:c>
      <x:c r="B17" s="36" t="n">
        <x:f>UW_MGMT</x:f>
        <x:v>26400</x:v>
      </x:c>
      <x:c r="C17" s="7" t="inlineStr">
        <x:is>
          <x:t xml:space="preserve">Greater of T12 actual ($26,400) or 3% × UW EGI</x:t>
        </x:is>
      </x:c>
    </x:row>
    <x:row r="18" ht="26" customHeight="1">
      <x:c r="A18" s="3" t="inlineStr">
        <x:is>
          <x:t xml:space="preserve">uw_operating_expenses</x:t>
        </x:is>
      </x:c>
      <x:c r="B18" s="36" t="n">
        <x:f>UW_OPEX</x:f>
        <x:v>228000</x:v>
      </x:c>
      <x:c r="C18" s="7" t="inlineStr">
        <x:is>
          <x:t xml:space="preserve">Property-and-Plan.pdf p.2 categories (before reserves)</x:t>
        </x:is>
      </x:c>
    </x:row>
    <x:row r="19" ht="26" customHeight="1">
      <x:c r="A19" s="3" t="inlineStr">
        <x:is>
          <x:t xml:space="preserve">uw_noi_before_reserves</x:t>
        </x:is>
      </x:c>
      <x:c r="B19" s="36" t="n">
        <x:f>UW_NOI</x:f>
        <x:v>622554</x:v>
      </x:c>
      <x:c r="C19" s="7" t="inlineStr">
        <x:is>
          <x:t xml:space="preserve">UW EGI − UW opex</x:t>
        </x:is>
      </x:c>
    </x:row>
    <x:row r="20" ht="26" customHeight="1">
      <x:c r="A20" s="3" t="inlineStr">
        <x:is>
          <x:t xml:space="preserve">uw_reserves</x:t>
        </x:is>
      </x:c>
      <x:c r="B20" s="36" t="n">
        <x:f>UW_RES</x:f>
        <x:v>14400</x:v>
      </x:c>
      <x:c r="C20" s="7" t="inlineStr">
        <x:is>
          <x:t xml:space="preserve">$0.20/SF × 72,000 SF</x:t>
        </x:is>
      </x:c>
    </x:row>
    <x:row r="21" ht="26" customHeight="1">
      <x:c r="A21" s="3" t="inlineStr">
        <x:is>
          <x:t xml:space="preserve">uw_ncf</x:t>
        </x:is>
      </x:c>
      <x:c r="B21" s="36" t="n">
        <x:f>UW_NCF</x:f>
        <x:v>608154</x:v>
      </x:c>
      <x:c r="C21" s="7" t="inlineStr">
        <x:is>
          <x:t xml:space="preserve">UW NOI − reserves</x:t>
        </x:is>
      </x:c>
    </x:row>
    <x:row r="22" ht="26" customHeight="1">
      <x:c r="A22" s="3" t="inlineStr">
        <x:is>
          <x:t xml:space="preserve">capitalization_value</x:t>
        </x:is>
      </x:c>
      <x:c r="B22" s="36" t="n">
        <x:f>UW_VAL</x:f>
        <x:v>9577753.846153846</x:v>
      </x:c>
      <x:c r="C22" s="7" t="inlineStr">
        <x:is>
          <x:t xml:space="preserve">UW NOI before reserves / 6.50% cap rate</x:t>
        </x:is>
      </x:c>
    </x:row>
    <x:row r="23" ht="26" customHeight="1">
      <x:c r="A23" s="3" t="inlineStr">
        <x:is>
          <x:t xml:space="preserve">contract_rate</x:t>
        </x:is>
      </x:c>
      <x:c r="B23" s="37" t="n">
        <x:f>L_CR</x:f>
        <x:v>0.061</x:v>
      </x:c>
      <x:c r="C23" s="7" t="inlineStr">
        <x:is>
          <x:t xml:space="preserve">Lender-Terms.pdf (decimal)</x:t>
        </x:is>
      </x:c>
    </x:row>
    <x:row r="24" ht="26" customHeight="1">
      <x:c r="A24" s="3" t="inlineStr">
        <x:is>
          <x:t xml:space="preserve">sizing_rate</x:t>
        </x:is>
      </x:c>
      <x:c r="B24" s="37" t="n">
        <x:f>MAX(L_CR,L_SR_FLOOR)</x:f>
        <x:v>0.065</x:v>
      </x:c>
      <x:c r="C24" s="7" t="inlineStr">
        <x:is>
          <x:t xml:space="preserve">Greater of contract &amp; 6.50% floor</x:t>
        </x:is>
      </x:c>
    </x:row>
    <x:row r="25" ht="26" customHeight="1">
      <x:c r="A25" s="3" t="inlineStr">
        <x:is>
          <x:t xml:space="preserve">annual_debt_constant</x:t>
        </x:is>
      </x:c>
      <x:c r="B25" s="37" t="n">
        <x:f>ADC_SIZ</x:f>
        <x:v>0.07584816281915566</x:v>
      </x:c>
      <x:c r="C25" s="7" t="inlineStr">
        <x:is>
          <x:t xml:space="preserve">12 × PMT at sizing rate, 30-yr monthly amort</x:t>
        </x:is>
      </x:c>
    </x:row>
    <x:row r="26" ht="26" customHeight="1">
      <x:c r="A26" s="3" t="inlineStr">
        <x:is>
          <x:t xml:space="preserve">ltv_limit</x:t>
        </x:is>
      </x:c>
      <x:c r="B26" s="36" t="n">
        <x:f>L_LTV*UW_VAL</x:f>
        <x:v>5746652.307692307</x:v>
      </x:c>
      <x:c r="C26" s="7" t="inlineStr">
        <x:is>
          <x:t xml:space="preserve">60% × indicative value</x:t>
        </x:is>
      </x:c>
    </x:row>
    <x:row r="27" ht="26" customHeight="1">
      <x:c r="A27" s="3" t="inlineStr">
        <x:is>
          <x:t xml:space="preserve">dscr_limit</x:t>
        </x:is>
      </x:c>
      <x:c r="B27" s="36" t="n">
        <x:f>UW_NCF/(L_DSCR*ADC_SIZ)</x:f>
        <x:v>6167727.099022395</x:v>
      </x:c>
      <x:c r="C27" s="7" t="inlineStr">
        <x:is>
          <x:t xml:space="preserve">NCF / (1.30 × ADC)</x:t>
        </x:is>
      </x:c>
    </x:row>
    <x:row r="28" ht="26" customHeight="1">
      <x:c r="A28" s="3" t="inlineStr">
        <x:is>
          <x:t xml:space="preserve">debt_yield_limit</x:t>
        </x:is>
      </x:c>
      <x:c r="B28" s="36" t="n">
        <x:f>UW_NCF/L_DY</x:f>
        <x:v>6401621.052631578</x:v>
      </x:c>
      <x:c r="C28" s="7" t="inlineStr">
        <x:is>
          <x:t xml:space="preserve">NCF / 9.50%</x:t>
        </x:is>
      </x:c>
    </x:row>
    <x:row r="29" ht="26" customHeight="1">
      <x:c r="A29" s="3" t="inlineStr">
        <x:is>
          <x:t xml:space="preserve">maximum_loan</x:t>
        </x:is>
      </x:c>
      <x:c r="B29" s="36" t="n">
        <x:f>MAX_LOAN</x:f>
        <x:v>5746652.307692307</x:v>
      </x:c>
      <x:c r="C29" s="7" t="inlineStr">
        <x:is>
          <x:t xml:space="preserve">MIN of three constraints</x:t>
        </x:is>
      </x:c>
    </x:row>
    <x:row r="30" ht="26" customHeight="1">
      <x:c r="A30" s="3" t="inlineStr">
        <x:is>
          <x:t xml:space="preserve">binding_constraint</x:t>
        </x:is>
      </x:c>
      <x:c r="B30" s="38" t="str">
        <x:f>'Loan Sizing'!B10</x:f>
        <x:v>LTV</x:v>
      </x:c>
      <x:c r="C30" s="7" t="inlineStr">
        <x:is>
          <x:t xml:space="preserve">LTV</x:t>
        </x:is>
      </x:c>
    </x:row>
    <x:row r="31" ht="26" customHeight="1">
      <x:c r="A31" s="3" t="inlineStr">
        <x:is>
          <x:t xml:space="preserve">sizing_annual_debt_service</x:t>
        </x:is>
      </x:c>
      <x:c r="B31" s="36" t="n">
        <x:f>MAX_LOAN*ADC_SIZ</x:f>
        <x:v>435873.0198989227</x:v>
      </x:c>
      <x:c r="C31" s="7" t="inlineStr">
        <x:is>
          <x:t xml:space="preserve">Max loan × ADC (sizing rate, amortizing)</x:t>
        </x:is>
      </x:c>
    </x:row>
    <x:row r="32" ht="26" customHeight="1">
      <x:c r="A32" s="3" t="inlineStr">
        <x:is>
          <x:t xml:space="preserve">sizing_dscr</x:t>
        </x:is>
      </x:c>
      <x:c r="B32" s="39" t="n">
        <x:f>UW_NCF/(MAX_LOAN*ADC_SIZ)</x:f>
        <x:v>1.3952549761878554</x:v>
      </x:c>
      <x:c r="C32" s="7" t="inlineStr">
        <x:is>
          <x:t xml:space="preserve">NCF / sizing DS</x:t>
        </x:is>
      </x:c>
    </x:row>
    <x:row r="33" ht="26" customHeight="1">
      <x:c r="A33" s="3" t="inlineStr">
        <x:is>
          <x:t xml:space="preserve">sizing_debt_yield</x:t>
        </x:is>
      </x:c>
      <x:c r="B33" s="37" t="n">
        <x:f>UW_NCF/MAX_LOAN</x:f>
        <x:v>0.1058275266081336</x:v>
      </x:c>
      <x:c r="C33" s="7" t="inlineStr">
        <x:is>
          <x:t xml:space="preserve">NCF / max loan</x:t>
        </x:is>
      </x:c>
    </x:row>
    <x:row r="34" ht="26" customHeight="1">
      <x:c r="A34" s="3" t="inlineStr">
        <x:is>
          <x:t xml:space="preserve">first_year_debt_service</x:t>
        </x:is>
      </x:c>
      <x:c r="B34" s="36" t="n">
        <x:f>MAX_LOAN*L_CR</x:f>
        <x:v>350545.79076923075</x:v>
      </x:c>
      <x:c r="C34" s="7" t="inlineStr">
        <x:is>
          <x:t xml:space="preserve">12 months IO × contract rate</x:t>
        </x:is>
      </x:c>
    </x:row>
    <x:row r="35" ht="26" customHeight="1">
      <x:c r="A35" s="3" t="inlineStr">
        <x:is>
          <x:t xml:space="preserve">cash_to_borrower</x:t>
        </x:is>
      </x:c>
      <x:c r="B35" s="36" t="n">
        <x:f>MAX_LOAN-(L_PAYOFF+L_ORIG*MAX_LOAN+L_CLOSE)</x:f>
        <x:v>2034185.784615384</x:v>
      </x:c>
      <x:c r="C35" s="7" t="inlineStr">
        <x:is>
          <x:t xml:space="preserve">Loan − payoff − origination fee − closing</x:t>
        </x:is>
      </x:c>
    </x:row>
    <x:row r="36" ht="26" customHeight="1">
      <x:c r="A36" s="3" t="inlineStr">
        <x:is>
          <x:t xml:space="preserve">stress_uw_noi</x:t>
        </x:is>
      </x:c>
      <x:c r="B36" s="36" t="n">
        <x:f>Sensitivity!B6</x:f>
        <x:v>580026.2999999999</x:v>
      </x:c>
      <x:c r="C36" s="7" t="inlineStr">
        <x:is>
          <x:t xml:space="preserve">EGI −5% with management recalculated; other opex unchanged</x:t>
        </x:is>
      </x:c>
    </x:row>
    <x:row r="37" ht="26" customHeight="1">
      <x:c r="A37" s="3" t="inlineStr">
        <x:is>
          <x:t xml:space="preserve">stress_maximum_loan</x:t>
        </x:is>
      </x:c>
      <x:c r="B37" s="36" t="n">
        <x:f>Sensitivity!B14</x:f>
        <x:v>5185546.883014837</x:v>
      </x:c>
      <x:c r="C37" s="7" t="inlineStr">
        <x:is>
          <x:t xml:space="preserve">EGI −5% AND sizing rate +100 bps; cap rate unchanged; binding = DSCR</x:t>
        </x:is>
      </x:c>
    </x:row>
    <x:row r="38" ht="26" customHeight="1">
      <x:c r="A38" s="3" t="inlineStr">
        <x:is>
          <x:t xml:space="preserve">subject_lease_monthly_rent</x:t>
        </x:is>
      </x:c>
      <x:c r="B38" s="36" t="n">
        <x:v>12800</x:v>
      </x:c>
      <x:c r="C38" s="7" t="inlineStr">
        <x:is>
          <x:t xml:space="preserve">Lease-File.pdf §3 (Unit 101)</x:t>
        </x:is>
      </x:c>
    </x:row>
    <x:row r="39" ht="26" customHeight="1">
      <x:c r="A39" s="3" t="inlineStr">
        <x:is>
          <x:t xml:space="preserve">subject_lease_expiry</x:t>
        </x:is>
      </x:c>
      <x:c r="B39" s="38" t="inlineStr">
        <x:is>
          <x:t xml:space="preserve">2028-08-31</x:t>
        </x:is>
      </x:c>
      <x:c r="C39" s="7" t="inlineStr">
        <x:is>
          <x:t xml:space="preserve">Lease-File.pdf §2 (renewal option NOT exercised)</x:t>
        </x:is>
      </x:c>
    </x:row>
    <x:row r="40" ht="26" customHeight="1">
      <x:c r="A40" s="3" t="inlineStr">
        <x:is>
          <x:t xml:space="preserve">subject_lease_deposit</x:t>
        </x:is>
      </x:c>
      <x:c r="B40" s="36" t="n">
        <x:v>25600</x:v>
      </x:c>
      <x:c r="C40" s="7" t="inlineStr">
        <x:is>
          <x:t xml:space="preserve">Lease-File.pdf §4</x:t>
        </x:is>
      </x:c>
    </x:row>
    <x:row r="41" ht="26" customHeight="1">
      <x:c r="A41" s="3" t="inlineStr">
        <x:is>
          <x:t xml:space="preserve">verified_renewal_insurance</x:t>
        </x:is>
      </x:c>
      <x:c r="B41" s="38" t="inlineStr">
        <x:is>
          <x:t xml:space="preserve">unknown</x:t>
        </x:is>
      </x:c>
      <x:c r="C41" s="7" t="inlineStr">
        <x:is>
          <x:t xml:space="preserve">No binder / renewal quote delivered; $36,000 UW is provisional only</x:t>
        </x:is>
      </x:c>
    </x:row>
    <x:row r="42" ht="26" customHeight="1">
      <x:c r="A42" s="3" t="inlineStr">
        <x:is>
          <x:t xml:space="preserve">renewal_option_exercised</x:t>
        </x:is>
      </x:c>
      <x:c r="B42" s="38" t="inlineStr">
        <x:is>
          <x:t xml:space="preserve">FALSE</x:t>
        </x:is>
      </x:c>
      <x:c r="C42" s="7" t="inlineStr">
        <x:is>
          <x:t xml:space="preserve">Lease-File.pdf §5; no exercise notice or amendment in packet</x:t>
        </x:is>
      </x:c>
    </x:row>
    <x:row r="43" ht="26" customHeight="1">
      <x:c r="A43" s="3" t="inlineStr">
        <x:is>
          <x:t xml:space="preserve">prepayment_friction</x:t>
        </x:is>
      </x:c>
      <x:c r="B43" s="38" t="inlineStr">
        <x:is>
          <x:t xml:space="preserve">1% of outstanding principal in years 1–2; none stated thereafter; no swap assumed</x:t>
        </x:is>
      </x:c>
      <x:c r="C43" s="7" t="inlineStr">
        <x:is>
          <x:t xml:space="preserve">Lender-Terms.pdf</x:t>
        </x:is>
      </x:c>
    </x:row>
  </x:sheetData>
  <x:mergeCells>
    <x:mergeCell ref="A1:C1"/>
  </x:mergeCells>
  <x:pageMargins left="0.7" right="0.7" top="0.75" bottom="0.75" header="0.3" footer="0.3"/>
</x:worksheet>
</file>