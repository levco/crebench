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 Report" sheetId="8" state="visible" r:id="rId10"/>
  </sheets>
  <definedNames>
    <definedName function="false" hidden="false" name="ADC_SIZ" vbProcedure="false">'Loan Sizing'!$B$4</definedName>
    <definedName function="false" hidden="false" name="L_AMORT" vbProcedure="false">Assumptions!$B$43</definedName>
    <definedName function="false" hidden="false" name="L_CAP" vbProcedure="false">Assumptions!$B$37</definedName>
    <definedName function="false" hidden="false" name="L_CLOSE" vbProcedure="false">Assumptions!$B$48</definedName>
    <definedName function="false" hidden="false" name="L_CR" vbProcedure="false">Assumptions!$B$41</definedName>
    <definedName function="false" hidden="false" name="L_DSCR" vbProcedure="false">Assumptions!$B$39</definedName>
    <definedName function="false" hidden="false" name="L_DY" vbProcedure="false">Assumptions!$B$40</definedName>
    <definedName function="false" hidden="false" name="L_IO" vbProcedure="false">Assumptions!$B$44</definedName>
    <definedName function="false" hidden="false" name="L_LTV" vbProcedure="false">Assumptions!$B$38</definedName>
    <definedName function="false" hidden="false" name="L_MAT" vbProcedure="false">Assumptions!$B$45</definedName>
    <definedName function="false" hidden="false" name="L_ORIG" vbProcedure="false">Assumptions!$B$46</definedName>
    <definedName function="false" hidden="false" name="L_PAYOFF" vbProcedure="false">Assumptions!$B$47</definedName>
    <definedName function="false" hidden="false" name="L_SR_FLOOR" vbProcedure="false">Assumptions!$B$42</definedName>
    <definedName function="false" hidden="false" name="MAX_LOAN" vbProcedure="false">'Loan Sizing'!$B$9</definedName>
    <definedName function="false" hidden="false" name="OccSF" vbProcedure="false">Assumptions!$B$6</definedName>
    <definedName function="false" hidden="false" name="OccUnits" vbProcedure="false">Assumptions!$B$5</definedName>
    <definedName function="false" hidden="false" name="SIZ_RATE" vbProcedure="false">'Loan Sizing'!$B$3</definedName>
    <definedName function="false" hidden="false" name="S_CAP" vbProcedure="false">Assumptions!$B$53</definedName>
    <definedName function="false" hidden="false" name="S_EGI" vbProcedure="false">Assumptions!$B$51</definedName>
    <definedName function="false" hidden="false" name="S_RATE" vbProcedure="false">Assumptions!$B$52</definedName>
    <definedName function="false" hidden="false" name="TotalSF" vbProcedure="false">Assumptions!$B$3</definedName>
    <definedName function="false" hidden="false" name="T_ADM" vbProcedure="false">Assumptions!$B$19</definedName>
    <definedName function="false" hidden="false" name="T_BD" vbProcedure="false">Assumptions!$B$12</definedName>
    <definedName function="false" hidden="false" name="T_CONC" vbProcedure="false">Assumptions!$B$11</definedName>
    <definedName function="false" hidden="false" name="T_GPR" vbProcedure="false">Assumptions!$B$9</definedName>
    <definedName function="false" hidden="false" name="T_INS" vbProcedure="false">Assumptions!$B$15</definedName>
    <definedName function="false" hidden="false" name="T_MGMT" vbProcedure="false">Assumptions!$B$20</definedName>
    <definedName function="false" hidden="false" name="T_OI" vbProcedure="false">Assumptions!$B$13</definedName>
    <definedName function="false" hidden="false" name="T_PAY" vbProcedure="false">Assumptions!$B$18</definedName>
    <definedName function="false" hidden="false" name="T_RES" vbProcedure="false">Assumptions!$B$21</definedName>
    <definedName function="false" hidden="false" name="T_RM" vbProcedure="false">Assumptions!$B$17</definedName>
    <definedName function="false" hidden="false" name="T_TAX" vbProcedure="false">Assumptions!$B$14</definedName>
    <definedName function="false" hidden="false" name="T_UT" vbProcedure="false">Assumptions!$B$16</definedName>
    <definedName function="false" hidden="false" name="T_VAC" vbProcedure="false">Assumptions!$B$10</definedName>
    <definedName function="false" hidden="false" name="UnitCount" vbProcedure="false">Assumptions!$B$4</definedName>
    <definedName function="false" hidden="false" name="UW_EGI" vbProcedure="false">Underwriting!$B$5</definedName>
    <definedName function="false" hidden="false" name="UW_MGMT" vbProcedure="false">Underwriting!$B$13</definedName>
    <definedName function="false" hidden="false" name="UW_NCF" vbProcedure="false">Underwriting!$B$18</definedName>
    <definedName function="false" hidden="false" name="UW_NOI" vbProcedure="false">Underwriting!$B$16</definedName>
    <definedName function="false" hidden="false" name="UW_OPEX" vbProcedure="false">Underwriting!$B$14</definedName>
    <definedName function="false" hidden="false" name="UW_RES" vbProcedure="false">Underwriting!$B$17</definedName>
    <definedName function="false" hidden="false" name="UW_VAL" vbProcedure="false">Underwriting!$B$20</definedName>
    <definedName function="false" hidden="false" name="U_ADM" vbProcedure="false">Assumptions!$B$32</definedName>
    <definedName function="false" hidden="false" name="U_GPR" vbProcedure="false">Assumptions!$B$24</definedName>
    <definedName function="false" hidden="false" name="U_INS" vbProcedure="false">Assumptions!$B$28</definedName>
    <definedName function="false" hidden="false" name="U_LOSS" vbProcedure="false">Assumptions!$B$25</definedName>
    <definedName function="false" hidden="false" name="U_MGMT_PCT" vbProcedure="false">Assumptions!$B$33</definedName>
    <definedName function="false" hidden="false" name="U_OI" vbProcedure="false">Assumptions!$B$26</definedName>
    <definedName function="false" hidden="false" name="U_PAY" vbProcedure="false">Assumptions!$B$31</definedName>
    <definedName function="false" hidden="false" name="U_RES_PSF" vbProcedure="false">Assumptions!$B$34</definedName>
    <definedName function="false" hidden="false" name="U_RM" vbProcedure="false">Assumptions!$B$30</definedName>
    <definedName function="false" hidden="false" name="U_TAX" vbProcedure="false">Assumptions!$B$27</definedName>
    <definedName function="false" hidden="false" name="U_UT" vbProcedure="false">Assumptions!$B$29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<sst xmlns="http://schemas.openxmlformats.org/spreadsheetml/2006/main" count="376" uniqueCount="285">
  <si>
    <t xml:space="preserve">Meadow Commerce | Refinance Underwriting Workbook</t>
  </si>
  <si>
    <t xml:space="preserve">As of</t>
  </si>
  <si>
    <t xml:space="preserve">August 31, 2026</t>
  </si>
  <si>
    <t xml:space="preserve">Property</t>
  </si>
  <si>
    <t xml:space="preserve">Meadow Commerce | 6100 Meadow Bench Parkway, Richmond, VA 23234 (fictional)</t>
  </si>
  <si>
    <t xml:space="preserve">Sponsor</t>
  </si>
  <si>
    <t xml:space="preserve">Meadow Commerce Owner LLC (fictional)</t>
  </si>
  <si>
    <t xml:space="preserve">Loan purpose</t>
  </si>
  <si>
    <t xml:space="preserve">First-mortgage refinance; cash-out if proceeds permit</t>
  </si>
  <si>
    <t xml:space="preserve">Currency</t>
  </si>
  <si>
    <t xml:space="preserve">USD; rates in decimal (workbook displays percent where noted)</t>
  </si>
  <si>
    <t xml:space="preserve">How to use this workbook</t>
  </si>
  <si>
    <t xml:space="preserve">Editable inputs</t>
  </si>
  <si>
    <t xml:space="preserve">All yellow-shaded cells on the Assumptions sheet are reviewer-editable.</t>
  </si>
  <si>
    <t xml:space="preserve">Key levers</t>
  </si>
  <si>
    <t xml:space="preserve">Change cap rate, sizing rate, EGI drivers (GPR, revenue loss %, other income) — every downstream figure recalculates.</t>
  </si>
  <si>
    <t xml:space="preserve">Loan sizing</t>
  </si>
  <si>
    <t xml:space="preserve">Loan Sizing sheet computes LTV, DSCR and Debt Yield limits from live NOI/NCF; binding constraint auto-selects the minimum.</t>
  </si>
  <si>
    <t xml:space="preserve">First-year DS</t>
  </si>
  <si>
    <t xml:space="preserve">First-year contractual debt service uses the contract rate and honors the 12-month IO period (interest-only).</t>
  </si>
  <si>
    <t xml:space="preserve">Sizing DS</t>
  </si>
  <si>
    <t xml:space="preserve">Sizing DSCR and sizing debt yield both use the amortizing debt constant at the sizing rate, per lender convention.</t>
  </si>
  <si>
    <t xml:space="preserve">Sensitivity</t>
  </si>
  <si>
    <t xml:space="preserve">Sensitivity sheet shows the combined downside (EGI -5% AND sizing rate +100 bps, cap rate unchanged) and a separate cap-rate +50 bps case.</t>
  </si>
  <si>
    <t xml:space="preserve">Sources &amp; Uses</t>
  </si>
  <si>
    <t xml:space="preserve">Uses = existing payoff + origination fee (1% of principal) + fixed closing costs. Cash to borrower = loan - uses. Negative = cash-in.</t>
  </si>
  <si>
    <t xml:space="preserve">Provisional insurance</t>
  </si>
  <si>
    <t xml:space="preserve">$36,000 is the underwriting placeholder only; no verified renewal quote/binder was delivered.</t>
  </si>
  <si>
    <t xml:space="preserve">Renewal option (Unit 101)</t>
  </si>
  <si>
    <t xml:space="preserve">Not exercised in delivered materials. Current expiry remains 2028-08-31.</t>
  </si>
  <si>
    <t xml:space="preserve">Sheet map</t>
  </si>
  <si>
    <t xml:space="preserve">Assumptions</t>
  </si>
  <si>
    <t xml:space="preserve">All editable inputs (property, rent roll, T12 annual totals, underwriting scenario, lender terms). Named ranges used throughout.</t>
  </si>
  <si>
    <t xml:space="preserve">Rent Roll</t>
  </si>
  <si>
    <t xml:space="preserve">Unit-level rent roll and occupancy KPIs (formulas).</t>
  </si>
  <si>
    <t xml:space="preserve">T12</t>
  </si>
  <si>
    <t xml:space="preserve">Historical annual T12 EGI, opex, NOI before/after reserves, NCF.</t>
  </si>
  <si>
    <t xml:space="preserve">Underwriting</t>
  </si>
  <si>
    <t xml:space="preserve">Underwritten EGI, management fee (greater-of), opex, NOI, NCF, capitalization value.</t>
  </si>
  <si>
    <t xml:space="preserve">Loan Sizing</t>
  </si>
  <si>
    <t xml:space="preserve">LTV / DSCR / Debt Yield tests, binding constraint, sizing DS, first-year DS, sources &amp; uses, cash to borrower.</t>
  </si>
  <si>
    <t xml:space="preserve">Combined downside and a separate cap-rate +50 bps case.</t>
  </si>
  <si>
    <t xml:space="preserve">Field Report</t>
  </si>
  <si>
    <t xml:space="preserve">Every requested field ID mapped to its computed value with a source cite.</t>
  </si>
  <si>
    <t xml:space="preserve">Legend</t>
  </si>
  <si>
    <t xml:space="preserve">Yellow</t>
  </si>
  <si>
    <t xml:space="preserve">Editable input</t>
  </si>
  <si>
    <t xml:space="preserve">Green</t>
  </si>
  <si>
    <t xml:space="preserve">Key computed output</t>
  </si>
  <si>
    <t xml:space="preserve">Assumptions — editable inputs (yellow)</t>
  </si>
  <si>
    <t xml:space="preserve">Total rentable SF</t>
  </si>
  <si>
    <t xml:space="preserve">Rent-Roll.xlsx sum of E7:E9</t>
  </si>
  <si>
    <t xml:space="preserve">Unit / suite count</t>
  </si>
  <si>
    <t xml:space="preserve">Rent-Roll.xlsx C7:C9</t>
  </si>
  <si>
    <t xml:space="preserve">Occupied unit count</t>
  </si>
  <si>
    <t xml:space="preserve">Rent-Roll.xlsx F7:F9 = 'Occupied'</t>
  </si>
  <si>
    <t xml:space="preserve">Occupied SF</t>
  </si>
  <si>
    <t xml:space="preserve">Sum of Area SF where Status='Occupied'</t>
  </si>
  <si>
    <t xml:space="preserve">Historical T12 annual totals (Sep-2025 through Aug-2026)</t>
  </si>
  <si>
    <t xml:space="preserve">GPR</t>
  </si>
  <si>
    <t xml:space="preserve">T12-Statement.pdf p.2 annual</t>
  </si>
  <si>
    <t xml:space="preserve">Vacancy loss</t>
  </si>
  <si>
    <t xml:space="preserve">Concessions (negative)</t>
  </si>
  <si>
    <t xml:space="preserve">Bad debt (negative)</t>
  </si>
  <si>
    <t xml:space="preserve">Other income / recoveries</t>
  </si>
  <si>
    <t xml:space="preserve">Real estate taxes</t>
  </si>
  <si>
    <t xml:space="preserve">Property insurance</t>
  </si>
  <si>
    <t xml:space="preserve">Utilities</t>
  </si>
  <si>
    <t xml:space="preserve">Repairs &amp; maintenance</t>
  </si>
  <si>
    <t xml:space="preserve">Payroll / contract labor</t>
  </si>
  <si>
    <t xml:space="preserve">Administrative / legal</t>
  </si>
  <si>
    <t xml:space="preserve">Management fee (T12 actual)</t>
  </si>
  <si>
    <t xml:space="preserve">Replacement reserves (T12)</t>
  </si>
  <si>
    <t xml:space="preserve">Underwriting scenario</t>
  </si>
  <si>
    <t xml:space="preserve">Underwritten GPR</t>
  </si>
  <si>
    <t xml:space="preserve">Property-and-Plan.pdf p.2</t>
  </si>
  <si>
    <t xml:space="preserve">Revenue loss % of GPR</t>
  </si>
  <si>
    <t xml:space="preserve">Property-and-Plan.pdf p.2 (vac+conc+bad debt)</t>
  </si>
  <si>
    <t xml:space="preserve">Insurance (provisional allowance)</t>
  </si>
  <si>
    <t xml:space="preserve">Property-and-Plan.pdf p.2 — verified quote NOT delivered</t>
  </si>
  <si>
    <t xml:space="preserve">Utilities (T12 actual)</t>
  </si>
  <si>
    <t xml:space="preserve">Repairs &amp; maintenance (T12 actual)</t>
  </si>
  <si>
    <t xml:space="preserve">Payroll / contract labor (T12 actual)</t>
  </si>
  <si>
    <t xml:space="preserve">Administrative / legal (T12 actual)</t>
  </si>
  <si>
    <t xml:space="preserve">Management minimum % of EGI</t>
  </si>
  <si>
    <t xml:space="preserve">Property-and-Plan.pdf p.2 (greater-of vs T12 actual)</t>
  </si>
  <si>
    <t xml:space="preserve">Replacement reserves ($/SF/yr)</t>
  </si>
  <si>
    <t xml:space="preserve">Lender terms</t>
  </si>
  <si>
    <t xml:space="preserve">Cap rate (valuation)</t>
  </si>
  <si>
    <t xml:space="preserve">Lender-Terms.pdf</t>
  </si>
  <si>
    <t xml:space="preserve">LTV maximum</t>
  </si>
  <si>
    <t xml:space="preserve">DSCR minimum</t>
  </si>
  <si>
    <t xml:space="preserve">Debt yield minimum</t>
  </si>
  <si>
    <t xml:space="preserve">Contract rate (fixed)</t>
  </si>
  <si>
    <t xml:space="preserve">Sizing rate floor</t>
  </si>
  <si>
    <t xml:space="preserve">Lender-Terms.pdf (greater of contract &amp; floor)</t>
  </si>
  <si>
    <t xml:space="preserve">Amortization (years)</t>
  </si>
  <si>
    <t xml:space="preserve">Interest-only period (months)</t>
  </si>
  <si>
    <t xml:space="preserve">Maturity (months)</t>
  </si>
  <si>
    <t xml:space="preserve">Origination fee % of loan</t>
  </si>
  <si>
    <t xml:space="preserve">Existing debt payoff</t>
  </si>
  <si>
    <t xml:space="preserve">Property-and-Plan.pdf p.1</t>
  </si>
  <si>
    <t xml:space="preserve">Fixed closing costs</t>
  </si>
  <si>
    <t xml:space="preserve">Sensitivity switches</t>
  </si>
  <si>
    <t xml:space="preserve">EGI stress (multiplier)</t>
  </si>
  <si>
    <t xml:space="preserve">Downside: EGI -5%</t>
  </si>
  <si>
    <t xml:space="preserve">Sizing rate bump (decimal)</t>
  </si>
  <si>
    <t xml:space="preserve">Downside: +100 bps</t>
  </si>
  <si>
    <t xml:space="preserve">Cap rate bump (separate sensitivity)</t>
  </si>
  <si>
    <t xml:space="preserve">Separate: +50 bps</t>
  </si>
  <si>
    <t xml:space="preserve">Rent Roll — as of 2026-08-31 (source: Rent-Roll.xlsx)</t>
  </si>
  <si>
    <t xml:space="preserve">Unit / 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</si>
  <si>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</si>
  <si>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</si>
  <si>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</si>
  <si>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</si>
  <si>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</si>
  <si>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</si>
  <si>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</si>
  <si>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</si>
  <si>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</si>
  <si>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</si>
  <si>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</si>
  <si>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</si>
  <si>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</si>
  <si>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</si>
  <si>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</si>
  <si>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KPIs</t>
  </si>
  <si>
    <t xml:space="preserve">space_count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</si>
  <si>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</si>
  <si>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</si>
  <si>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</si>
  <si>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</si>
  <si>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</si>
  <si>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</t>
  </si>
  <si>
    <t xml:space="preserve">effective_monthly_base (lease-authoritative)</t>
  </si>
  <si>
    <t xml:space="preserve">Notes</t>
  </si>
  <si>
    <t xml:space="preserve">• Effective monthly base equals lease-authoritative rent. Unit 101 lease confirms $12,800/mo; no renewal option exercised in the packet.</t>
  </si>
  <si>
    <t xml:space="preserve">Historical T12 (Sep-2025 through Aug-2026)</t>
  </si>
  <si>
    <t xml:space="preserve">Concessions</t>
  </si>
  <si>
    <t xml:space="preserve">Bad debt</t>
  </si>
  <si>
    <t xml:space="preserve">EGI (historical)</t>
  </si>
  <si>
    <t xml:space="preserve">Operating expenses (excl. reserves/capex/debt/depr.)</t>
  </si>
  <si>
    <t xml:space="preserve">NOI before replacement reserves</t>
  </si>
  <si>
    <t xml:space="preserve">Less: replacement reserves</t>
  </si>
  <si>
    <t xml:space="preserve">NCF after reserves</t>
  </si>
  <si>
    <t xml:space="preserve">Below-the-line reference items (not operating expense):</t>
  </si>
  <si>
    <t xml:space="preserve">Capital improvements (T12)</t>
  </si>
  <si>
    <t xml:space="preserve">Loan principal &amp; interest (T12)</t>
  </si>
  <si>
    <t xml:space="preserve">Depreciation (noncash)</t>
  </si>
  <si>
    <t xml:space="preserve">Underwriting scenario — annual</t>
  </si>
  <si>
    <t xml:space="preserve">Less: revenue loss (vac/conc/bad debt)</t>
  </si>
  <si>
    <t xml:space="preserve">Plus: other income / recoveries</t>
  </si>
  <si>
    <t xml:space="preserve">Underwritten EGI</t>
  </si>
  <si>
    <t xml:space="preserve">uw_egi</t>
  </si>
  <si>
    <t xml:space="preserve">Insurance (provisional)</t>
  </si>
  <si>
    <t xml:space="preserve">No renewal binder delivered — placeholder only</t>
  </si>
  <si>
    <t xml:space="preserve">Management fee (greater of T12 actual or % of EGI)</t>
  </si>
  <si>
    <t xml:space="preserve">uw_management_fee</t>
  </si>
  <si>
    <t xml:space="preserve">Underwritten operating expenses (before reserves)</t>
  </si>
  <si>
    <t xml:space="preserve">uw_operating_expenses</t>
  </si>
  <si>
    <t xml:space="preserve">uw_noi_before_reserves</t>
  </si>
  <si>
    <t xml:space="preserve">Less: replacement reserves ($/SF/yr × SF)</t>
  </si>
  <si>
    <t xml:space="preserve">uw_reserves</t>
  </si>
  <si>
    <t xml:space="preserve">uw_ncf</t>
  </si>
  <si>
    <t xml:space="preserve">Capitalization value (NOI before reserves / cap rate)</t>
  </si>
  <si>
    <t xml:space="preserve">capitalization_value</t>
  </si>
  <si>
    <t xml:space="preserve">Contract rate</t>
  </si>
  <si>
    <t xml:space="preserve">contract_rate</t>
  </si>
  <si>
    <t xml:space="preserve">Sizing rate (greater of contract &amp; floor)</t>
  </si>
  <si>
    <t xml:space="preserve">sizing_rate</t>
  </si>
  <si>
    <t xml:space="preserve">Annual debt constant (30-yr amort, monthly)</t>
  </si>
  <si>
    <t xml:space="preserve">annual_debt_constant</t>
  </si>
  <si>
    <t xml:space="preserve">LTV limit  =  LTV × value</t>
  </si>
  <si>
    <t xml:space="preserve">ltv_limit</t>
  </si>
  <si>
    <t xml:space="preserve">DSCR limit  =  NCF / (DSCR × ADC)</t>
  </si>
  <si>
    <t xml:space="preserve">dscr_limit</t>
  </si>
  <si>
    <t xml:space="preserve">Debt yield limit  =  NCF / DY</t>
  </si>
  <si>
    <t xml:space="preserve">debt_yield_limit</t>
  </si>
  <si>
    <t xml:space="preserve">Maximum loan  =  MIN of three constraints</t>
  </si>
  <si>
    <t xml:space="preserve">maximum_loan</t>
  </si>
  <si>
    <t xml:space="preserve">Binding constraint</t>
  </si>
  <si>
    <t xml:space="preserve">binding_constraint</t>
  </si>
  <si>
    <t xml:space="preserve">Sizing annual debt service</t>
  </si>
  <si>
    <t xml:space="preserve">sizing_annual_debt_service</t>
  </si>
  <si>
    <t xml:space="preserve">Sizing DSCR  (NCF / DS)</t>
  </si>
  <si>
    <t xml:space="preserve">sizing_dscr</t>
  </si>
  <si>
    <t xml:space="preserve">Sizing debt yield  (NCF / Loan)</t>
  </si>
  <si>
    <t xml:space="preserve">sizing_debt_yield</t>
  </si>
  <si>
    <t xml:space="preserve">First-year contractual debt service (12 mo IO at contract rate)</t>
  </si>
  <si>
    <t xml:space="preserve">first_year_debt_service</t>
  </si>
  <si>
    <t xml:space="preserve">  Memo: interest-only period (months)</t>
  </si>
  <si>
    <t xml:space="preserve">  Memo: amortizing DS if IO were 0 (12 mo)</t>
  </si>
  <si>
    <t xml:space="preserve">For reference only; year-1 is IO per lender term sheet.</t>
  </si>
  <si>
    <t xml:space="preserve">Sources</t>
  </si>
  <si>
    <t xml:space="preserve">  New first mortgage</t>
  </si>
  <si>
    <t xml:space="preserve">Uses</t>
  </si>
  <si>
    <t xml:space="preserve">  Existing debt payoff</t>
  </si>
  <si>
    <t xml:space="preserve">  Origination fee (1% × loan)</t>
  </si>
  <si>
    <t xml:space="preserve">  Fixed closing costs</t>
  </si>
  <si>
    <t xml:space="preserve">  Total uses</t>
  </si>
  <si>
    <t xml:space="preserve">Cash to (from) borrower  =  Loan − Uses</t>
  </si>
  <si>
    <t xml:space="preserve">Positive = cash to borrower; negative = cash in required</t>
  </si>
  <si>
    <t xml:space="preserve">Combined downside: EGI × S_EGI AND sizing rate + S_RATE; cap rate unchanged; management recalculated</t>
  </si>
  <si>
    <t xml:space="preserve">Stress EGI</t>
  </si>
  <si>
    <t xml:space="preserve">EGI × 0.95 by default</t>
  </si>
  <si>
    <t xml:space="preserve">Stress management fee (greater of T12 actual or % of stress EGI)</t>
  </si>
  <si>
    <t xml:space="preserve">Stress operating expenses (before reserves)</t>
  </si>
  <si>
    <t xml:space="preserve">stress_uw_noi (before reserves)</t>
  </si>
  <si>
    <t xml:space="preserve">stress_uw_noi</t>
  </si>
  <si>
    <t xml:space="preserve">Stress NCF (after reserves)</t>
  </si>
  <si>
    <t xml:space="preserve">Stress sizing rate</t>
  </si>
  <si>
    <t xml:space="preserve">Stress annual debt constant</t>
  </si>
  <si>
    <t xml:space="preserve">Stress capitalization value (cap rate unchanged)</t>
  </si>
  <si>
    <t xml:space="preserve">Stress LTV limit</t>
  </si>
  <si>
    <t xml:space="preserve">Stress DSCR limit</t>
  </si>
  <si>
    <t xml:space="preserve">Stress Debt-yield limit</t>
  </si>
  <si>
    <t xml:space="preserve">stress_maximum_loan</t>
  </si>
  <si>
    <t xml:space="preserve">Stress binding constraint</t>
  </si>
  <si>
    <t xml:space="preserve">Separate sensitivity: cap rate +S_CAP (all other inputs at base case)</t>
  </si>
  <si>
    <t xml:space="preserve">Adjusted cap rate</t>
  </si>
  <si>
    <t xml:space="preserve">Adjusted value</t>
  </si>
  <si>
    <t xml:space="preserve">Adjusted LTV limit</t>
  </si>
  <si>
    <t xml:space="preserve">DSCR limit (base NCF/rate)</t>
  </si>
  <si>
    <t xml:space="preserve">Debt yield limit (base)</t>
  </si>
  <si>
    <t xml:space="preserve">Cap-rate +50 bps maximum loan</t>
  </si>
  <si>
    <t xml:space="preserve">Requested field IDs — computed values with source</t>
  </si>
  <si>
    <t xml:space="preserve">field_id</t>
  </si>
  <si>
    <t xml:space="preserve">value</t>
  </si>
  <si>
    <t xml:space="preserve">source / note</t>
  </si>
  <si>
    <t xml:space="preserve">Rent-Roll.xlsx C7:C9 (three units)</t>
  </si>
  <si>
    <t xml:space="preserve">Rent-Roll.xlsx F7:F9 all = 'Occupied'</t>
  </si>
  <si>
    <t xml:space="preserve">Rent-Roll.xlsx E7:E9 sum</t>
  </si>
  <si>
    <t xml:space="preserve">Rent-Roll.xlsx E7:E9 sum (all occupied)</t>
  </si>
  <si>
    <t xml:space="preserve">Percent 0-100</t>
  </si>
  <si>
    <t xml:space="preserve">Rent-Roll.xlsx SUMPRODUCT Occupied</t>
  </si>
  <si>
    <t xml:space="preserve">effective_monthly_base</t>
  </si>
  <si>
    <t xml:space="preserve">Lease-authoritative; matches rent roll; no amendments/option exercise in packet</t>
  </si>
  <si>
    <t xml:space="preserve">t12_egi</t>
  </si>
  <si>
    <t xml:space="preserve">T12-Statement.pdf p.2 annual column</t>
  </si>
  <si>
    <t xml:space="preserve">t12_operating_expenses</t>
  </si>
  <si>
    <t xml:space="preserve">T12-Statement.pdf p.2 annual (excl. reserves/capex/debt/depr.)</t>
  </si>
  <si>
    <t xml:space="preserve">t12_noi_before_reserves</t>
  </si>
  <si>
    <t xml:space="preserve">EGI − Opex</t>
  </si>
  <si>
    <t xml:space="preserve">t12_reserves</t>
  </si>
  <si>
    <t xml:space="preserve">T12-Statement.pdf p.2 (below NOI)</t>
  </si>
  <si>
    <t xml:space="preserve">t12_ncf</t>
  </si>
  <si>
    <t xml:space="preserve">NOI − reserves</t>
  </si>
  <si>
    <t xml:space="preserve">Property-and-Plan.pdf p.2 — GPR − 3% loss + Other income</t>
  </si>
  <si>
    <t xml:space="preserve">Greater of T12 actual ($26,400) or 3% × UW EGI</t>
  </si>
  <si>
    <t xml:space="preserve">Property-and-Plan.pdf p.2 categories (before reserves)</t>
  </si>
  <si>
    <t xml:space="preserve">UW EGI − UW opex</t>
  </si>
  <si>
    <t xml:space="preserve">$0.20/SF × 72,000 SF</t>
  </si>
  <si>
    <t xml:space="preserve">UW NOI − reserves</t>
  </si>
  <si>
    <t xml:space="preserve">UW NOI before reserves / 6.50% cap rate</t>
  </si>
  <si>
    <t xml:space="preserve">Lender-Terms.pdf (decimal)</t>
  </si>
  <si>
    <t xml:space="preserve">Greater of contract &amp; 6.50% floor</t>
  </si>
  <si>
    <t xml:space="preserve">12 × PMT at sizing rate, 30-yr monthly amort</t>
  </si>
  <si>
    <t xml:space="preserve">60% × indicative value</t>
  </si>
  <si>
    <t xml:space="preserve">NCF / (1.30 × ADC)</t>
  </si>
  <si>
    <t xml:space="preserve">NCF / 9.50%</t>
  </si>
  <si>
    <t xml:space="preserve">MIN of three constraints</t>
  </si>
  <si>
    <t xml:space="preserve">LTV</t>
  </si>
  <si>
    <t xml:space="preserve">Max loan × ADC (sizing rate, amortizing)</t>
  </si>
  <si>
    <t xml:space="preserve">NCF / sizing DS</t>
  </si>
  <si>
    <t xml:space="preserve">NCF / max loan</t>
  </si>
  <si>
    <t xml:space="preserve">12 months IO × contract rate</t>
  </si>
  <si>
    <t xml:space="preserve">cash_to_borrower</t>
  </si>
  <si>
    <t xml:space="preserve">Loan − payoff − origination fee − closing</t>
  </si>
  <si>
    <t xml:space="preserve">EGI −5% with management recalculated; other opex unchanged</t>
  </si>
  <si>
    <t xml:space="preserve">EGI −5% AND sizing rate +100 bps; cap rate unchanged; binding = DSCR</t>
  </si>
  <si>
    <t xml:space="preserve">subject_lease_monthly_rent</t>
  </si>
  <si>
    <t xml:space="preserve">Lease-File.pdf §3 (Unit 101)</t>
  </si>
  <si>
    <t xml:space="preserve">subject_lease_expiry</t>
  </si>
  <si>
    <t xml:space="preserve">Lease-File.pdf §2 (renewal option NOT exercised)</t>
  </si>
  <si>
    <t xml:space="preserve">subject_lease_deposit</t>
  </si>
  <si>
    <t xml:space="preserve">Lease-File.pdf §4</t>
  </si>
  <si>
    <t xml:space="preserve">verified_renewal_insurance</t>
  </si>
  <si>
    <t xml:space="preserve">unknown</t>
  </si>
  <si>
    <t xml:space="preserve">No binder / renewal quote delivered; $36,000 UW is provisional only</t>
  </si>
  <si>
    <t xml:space="preserve">renewal_option_exercised</t>
  </si>
  <si>
    <t xml:space="preserve">FALSE</t>
  </si>
  <si>
    <t xml:space="preserve">Lease-File.pdf §5; no exercise notice or amendment in packet</t>
  </si>
  <si>
    <t xml:space="preserve">prepayment_friction</t>
  </si>
  <si>
    <t xml:space="preserve">1% of outstanding principal in years 1–2; none stated thereafter; no swap assumed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</si>
</sst>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$#,##0"/>
    <numFmt numFmtId="167" formatCode="0.00%"/>
    <numFmt numFmtId="168" formatCode="\$0.00"/>
    <numFmt numFmtId="169" formatCode="0.0000%"/>
    <numFmt numFmtId="170" formatCode="0.0000\x"/>
    <numFmt numFmtId="171" formatCode="\$#,##0.00"/>
    <numFmt numFmtId="172" formatCode="0.000000"/>
    <numFmt numFmtId="173" formatCode="0.00"/>
    <numFmt numFmtId="174" formatCode="@"/>
    <numFmt numFmtId="175" formatCode="0.00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26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0" t="s">
        <v>2</v>
      </c>
    </row>
    <row r="3" customFormat="false" ht="15" hidden="false" customHeight="false" outlineLevel="0" collapsed="false">
      <c r="A3" s="2" t="s">
        <v>3</v>
      </c>
      <c r="B3" s="0" t="s">
        <v>4</v>
      </c>
    </row>
    <row r="4" customFormat="false" ht="15" hidden="false" customHeight="false" outlineLevel="0" collapsed="false">
      <c r="A4" s="2" t="s">
        <v>5</v>
      </c>
      <c r="B4" s="0" t="s">
        <v>6</v>
      </c>
    </row>
    <row r="5" customFormat="false" ht="15" hidden="false" customHeight="false" outlineLevel="0" collapsed="false">
      <c r="A5" s="2" t="s">
        <v>7</v>
      </c>
      <c r="B5" s="0" t="s">
        <v>8</v>
      </c>
    </row>
    <row r="6" customFormat="false" ht="15" hidden="false" customHeight="false" outlineLevel="0" collapsed="false">
      <c r="A6" s="2" t="s">
        <v>9</v>
      </c>
      <c r="B6" s="0" t="s">
        <v>10</v>
      </c>
    </row>
    <row r="8" customFormat="false" ht="15" hidden="false" customHeight="false" outlineLevel="0" collapsed="false">
      <c r="A8" s="3" t="s">
        <v>11</v>
      </c>
      <c r="B8" s="3"/>
    </row>
    <row r="9" customFormat="false" ht="30" hidden="false" customHeight="true" outlineLevel="0" collapsed="false">
      <c r="A9" s="4" t="s">
        <v>12</v>
      </c>
      <c r="B9" s="5" t="s">
        <v>13</v>
      </c>
    </row>
    <row r="10" customFormat="false" ht="30" hidden="false" customHeight="true" outlineLevel="0" collapsed="false">
      <c r="A10" s="4" t="s">
        <v>14</v>
      </c>
      <c r="B10" s="5" t="s">
        <v>15</v>
      </c>
    </row>
    <row r="11" customFormat="false" ht="30" hidden="false" customHeight="true" outlineLevel="0" collapsed="false">
      <c r="A11" s="4" t="s">
        <v>16</v>
      </c>
      <c r="B11" s="5" t="s">
        <v>17</v>
      </c>
    </row>
    <row r="12" customFormat="false" ht="30" hidden="false" customHeight="true" outlineLevel="0" collapsed="false">
      <c r="A12" s="4" t="s">
        <v>18</v>
      </c>
      <c r="B12" s="5" t="s">
        <v>19</v>
      </c>
    </row>
    <row r="13" customFormat="false" ht="30" hidden="false" customHeight="true" outlineLevel="0" collapsed="false">
      <c r="A13" s="4" t="s">
        <v>20</v>
      </c>
      <c r="B13" s="5" t="s">
        <v>21</v>
      </c>
    </row>
    <row r="14" customFormat="false" ht="30" hidden="false" customHeight="true" outlineLevel="0" collapsed="false">
      <c r="A14" s="4" t="s">
        <v>22</v>
      </c>
      <c r="B14" s="5" t="s">
        <v>23</v>
      </c>
    </row>
    <row r="15" customFormat="false" ht="30" hidden="false" customHeight="true" outlineLevel="0" collapsed="false">
      <c r="A15" s="4" t="s">
        <v>24</v>
      </c>
      <c r="B15" s="5" t="s">
        <v>25</v>
      </c>
    </row>
    <row r="16" customFormat="false" ht="30" hidden="false" customHeight="true" outlineLevel="0" collapsed="false">
      <c r="A16" s="4" t="s">
        <v>26</v>
      </c>
      <c r="B16" s="5" t="s">
        <v>27</v>
      </c>
    </row>
    <row r="17" customFormat="false" ht="30" hidden="false" customHeight="true" outlineLevel="0" collapsed="false">
      <c r="A17" s="4" t="s">
        <v>28</v>
      </c>
      <c r="B17" s="5" t="s">
        <v>29</v>
      </c>
    </row>
    <row r="19" customFormat="false" ht="15" hidden="false" customHeight="false" outlineLevel="0" collapsed="false">
      <c r="A19" s="3" t="s">
        <v>30</v>
      </c>
      <c r="B19" s="3"/>
    </row>
    <row r="20" customFormat="false" ht="28" hidden="false" customHeight="true" outlineLevel="0" collapsed="false">
      <c r="A20" s="2" t="s">
        <v>31</v>
      </c>
      <c r="B20" s="5" t="s">
        <v>32</v>
      </c>
    </row>
    <row r="21" customFormat="false" ht="28" hidden="false" customHeight="true" outlineLevel="0" collapsed="false">
      <c r="A21" s="2" t="s">
        <v>33</v>
      </c>
      <c r="B21" s="5" t="s">
        <v>34</v>
      </c>
    </row>
    <row r="22" customFormat="false" ht="28" hidden="false" customHeight="true" outlineLevel="0" collapsed="false">
      <c r="A22" s="2" t="s">
        <v>35</v>
      </c>
      <c r="B22" s="5" t="s">
        <v>36</v>
      </c>
    </row>
    <row r="23" customFormat="false" ht="28" hidden="false" customHeight="true" outlineLevel="0" collapsed="false">
      <c r="A23" s="2" t="s">
        <v>37</v>
      </c>
      <c r="B23" s="5" t="s">
        <v>38</v>
      </c>
    </row>
    <row r="24" customFormat="false" ht="28" hidden="false" customHeight="true" outlineLevel="0" collapsed="false">
      <c r="A24" s="2" t="s">
        <v>39</v>
      </c>
      <c r="B24" s="5" t="s">
        <v>40</v>
      </c>
    </row>
    <row r="25" customFormat="false" ht="28" hidden="false" customHeight="true" outlineLevel="0" collapsed="false">
      <c r="A25" s="2" t="s">
        <v>22</v>
      </c>
      <c r="B25" s="5" t="s">
        <v>41</v>
      </c>
    </row>
    <row r="26" customFormat="false" ht="28" hidden="false" customHeight="true" outlineLevel="0" collapsed="false">
      <c r="A26" s="2" t="s">
        <v>42</v>
      </c>
      <c r="B26" s="5" t="s">
        <v>43</v>
      </c>
    </row>
    <row r="28" customFormat="false" ht="15" hidden="false" customHeight="false" outlineLevel="0" collapsed="false">
      <c r="A28" s="3" t="s">
        <v>44</v>
      </c>
      <c r="B28" s="3"/>
    </row>
    <row r="29" customFormat="false" ht="15" hidden="false" customHeight="false" outlineLevel="0" collapsed="false">
      <c r="A29" s="6" t="s">
        <v>45</v>
      </c>
      <c r="B29" s="0" t="s">
        <v>46</v>
      </c>
    </row>
    <row r="30" customFormat="false" ht="15" hidden="false" customHeight="false" outlineLevel="0" collapsed="false">
      <c r="A30" s="7" t="s">
        <v>47</v>
      </c>
      <c r="B30" s="0" t="s">
        <v>48</v>
      </c>
    </row>
  </sheetData>
  <mergeCells count="4">
    <mergeCell ref="A1:B1"/>
    <mergeCell ref="A8:B8"/>
    <mergeCell ref="A19:B19"/>
    <mergeCell ref="A28:B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49</v>
      </c>
      <c r="B1" s="1"/>
      <c r="C1" s="1"/>
      <c r="D1" s="1"/>
    </row>
    <row r="2" customFormat="false" ht="15" hidden="false" customHeight="false" outlineLevel="0" collapsed="false">
      <c r="A2" s="3" t="s">
        <v>3</v>
      </c>
      <c r="B2" s="3"/>
      <c r="C2" s="3"/>
      <c r="D2" s="3"/>
    </row>
    <row r="3" customFormat="false" ht="15" hidden="false" customHeight="false" outlineLevel="0" collapsed="false">
      <c r="A3" s="5" t="s">
        <v>50</v>
      </c>
      <c r="B3" s="8" t="n">
        <v>72000</v>
      </c>
      <c r="D3" s="9" t="s">
        <v>51</v>
      </c>
    </row>
    <row r="4" customFormat="false" ht="15" hidden="false" customHeight="false" outlineLevel="0" collapsed="false">
      <c r="A4" s="5" t="s">
        <v>52</v>
      </c>
      <c r="B4" s="8" t="n">
        <v>3</v>
      </c>
      <c r="D4" s="9" t="s">
        <v>53</v>
      </c>
    </row>
    <row r="5" customFormat="false" ht="15" hidden="false" customHeight="false" outlineLevel="0" collapsed="false">
      <c r="A5" s="5" t="s">
        <v>54</v>
      </c>
      <c r="B5" s="8" t="n">
        <v>3</v>
      </c>
      <c r="D5" s="9" t="s">
        <v>55</v>
      </c>
    </row>
    <row r="6" customFormat="false" ht="15" hidden="false" customHeight="false" outlineLevel="0" collapsed="false">
      <c r="A6" s="5" t="s">
        <v>56</v>
      </c>
      <c r="B6" s="8" t="n">
        <v>72000</v>
      </c>
      <c r="D6" s="9" t="s">
        <v>57</v>
      </c>
    </row>
    <row r="8" customFormat="false" ht="15" hidden="false" customHeight="false" outlineLevel="0" collapsed="false">
      <c r="A8" s="3" t="s">
        <v>58</v>
      </c>
      <c r="B8" s="3"/>
      <c r="C8" s="3"/>
      <c r="D8" s="3"/>
    </row>
    <row r="9" customFormat="false" ht="15" hidden="false" customHeight="false" outlineLevel="0" collapsed="false">
      <c r="A9" s="5" t="s">
        <v>59</v>
      </c>
      <c r="B9" s="10" t="n">
        <v>744000</v>
      </c>
      <c r="D9" s="9" t="s">
        <v>60</v>
      </c>
    </row>
    <row r="10" customFormat="false" ht="15" hidden="false" customHeight="false" outlineLevel="0" collapsed="false">
      <c r="A10" s="5" t="s">
        <v>61</v>
      </c>
      <c r="B10" s="10" t="n">
        <v>0</v>
      </c>
      <c r="D10" s="9" t="s">
        <v>60</v>
      </c>
    </row>
    <row r="11" customFormat="false" ht="15" hidden="false" customHeight="false" outlineLevel="0" collapsed="false">
      <c r="A11" s="5" t="s">
        <v>62</v>
      </c>
      <c r="B11" s="10" t="n">
        <v>-18000</v>
      </c>
      <c r="D11" s="9" t="s">
        <v>60</v>
      </c>
    </row>
    <row r="12" customFormat="false" ht="15" hidden="false" customHeight="false" outlineLevel="0" collapsed="false">
      <c r="A12" s="5" t="s">
        <v>63</v>
      </c>
      <c r="B12" s="10" t="n">
        <v>-2400</v>
      </c>
      <c r="D12" s="9" t="s">
        <v>60</v>
      </c>
    </row>
    <row r="13" customFormat="false" ht="15" hidden="false" customHeight="false" outlineLevel="0" collapsed="false">
      <c r="A13" s="5" t="s">
        <v>64</v>
      </c>
      <c r="B13" s="10" t="n">
        <v>158400</v>
      </c>
      <c r="D13" s="9" t="s">
        <v>60</v>
      </c>
    </row>
    <row r="14" customFormat="false" ht="15" hidden="false" customHeight="false" outlineLevel="0" collapsed="false">
      <c r="A14" s="5" t="s">
        <v>65</v>
      </c>
      <c r="B14" s="10" t="n">
        <v>102000</v>
      </c>
      <c r="D14" s="9" t="s">
        <v>60</v>
      </c>
    </row>
    <row r="15" customFormat="false" ht="15" hidden="false" customHeight="false" outlineLevel="0" collapsed="false">
      <c r="A15" s="5" t="s">
        <v>66</v>
      </c>
      <c r="B15" s="10" t="n">
        <v>26400</v>
      </c>
      <c r="D15" s="9" t="s">
        <v>60</v>
      </c>
    </row>
    <row r="16" customFormat="false" ht="15" hidden="false" customHeight="false" outlineLevel="0" collapsed="false">
      <c r="A16" s="5" t="s">
        <v>67</v>
      </c>
      <c r="B16" s="10" t="n">
        <v>9600</v>
      </c>
      <c r="D16" s="9" t="s">
        <v>60</v>
      </c>
    </row>
    <row r="17" customFormat="false" ht="15" hidden="false" customHeight="false" outlineLevel="0" collapsed="false">
      <c r="A17" s="5" t="s">
        <v>68</v>
      </c>
      <c r="B17" s="10" t="n">
        <v>19200</v>
      </c>
      <c r="D17" s="9" t="s">
        <v>60</v>
      </c>
    </row>
    <row r="18" customFormat="false" ht="15" hidden="false" customHeight="false" outlineLevel="0" collapsed="false">
      <c r="A18" s="5" t="s">
        <v>69</v>
      </c>
      <c r="B18" s="10" t="n">
        <v>12000</v>
      </c>
      <c r="D18" s="9" t="s">
        <v>60</v>
      </c>
    </row>
    <row r="19" customFormat="false" ht="15" hidden="false" customHeight="false" outlineLevel="0" collapsed="false">
      <c r="A19" s="5" t="s">
        <v>70</v>
      </c>
      <c r="B19" s="10" t="n">
        <v>16800</v>
      </c>
      <c r="D19" s="9" t="s">
        <v>60</v>
      </c>
    </row>
    <row r="20" customFormat="false" ht="15" hidden="false" customHeight="false" outlineLevel="0" collapsed="false">
      <c r="A20" s="5" t="s">
        <v>71</v>
      </c>
      <c r="B20" s="10" t="n">
        <v>26400</v>
      </c>
      <c r="D20" s="9" t="s">
        <v>60</v>
      </c>
    </row>
    <row r="21" customFormat="false" ht="15" hidden="false" customHeight="false" outlineLevel="0" collapsed="false">
      <c r="A21" s="5" t="s">
        <v>72</v>
      </c>
      <c r="B21" s="10" t="n">
        <v>14400</v>
      </c>
      <c r="D21" s="9" t="s">
        <v>60</v>
      </c>
    </row>
    <row r="23" customFormat="false" ht="15" hidden="false" customHeight="false" outlineLevel="0" collapsed="false">
      <c r="A23" s="3" t="s">
        <v>73</v>
      </c>
      <c r="B23" s="3"/>
      <c r="C23" s="3"/>
      <c r="D23" s="3"/>
    </row>
    <row r="24" customFormat="false" ht="15" hidden="false" customHeight="false" outlineLevel="0" collapsed="false">
      <c r="A24" s="5" t="s">
        <v>74</v>
      </c>
      <c r="B24" s="10" t="n">
        <v>756000</v>
      </c>
      <c r="D24" s="9" t="s">
        <v>75</v>
      </c>
    </row>
    <row r="25" customFormat="false" ht="15" hidden="false" customHeight="false" outlineLevel="0" collapsed="false">
      <c r="A25" s="5" t="s">
        <v>76</v>
      </c>
      <c r="B25" s="11" t="n">
        <v>0.03</v>
      </c>
      <c r="D25" s="9" t="s">
        <v>77</v>
      </c>
    </row>
    <row r="26" customFormat="false" ht="15" hidden="false" customHeight="false" outlineLevel="0" collapsed="false">
      <c r="A26" s="5" t="s">
        <v>64</v>
      </c>
      <c r="B26" s="10" t="n">
        <v>162000</v>
      </c>
      <c r="D26" s="9" t="s">
        <v>75</v>
      </c>
    </row>
    <row r="27" customFormat="false" ht="15" hidden="false" customHeight="false" outlineLevel="0" collapsed="false">
      <c r="A27" s="5" t="s">
        <v>65</v>
      </c>
      <c r="B27" s="10" t="n">
        <v>108000</v>
      </c>
      <c r="D27" s="9" t="s">
        <v>75</v>
      </c>
    </row>
    <row r="28" customFormat="false" ht="15" hidden="false" customHeight="false" outlineLevel="0" collapsed="false">
      <c r="A28" s="5" t="s">
        <v>78</v>
      </c>
      <c r="B28" s="10" t="n">
        <v>36000</v>
      </c>
      <c r="D28" s="9" t="s">
        <v>79</v>
      </c>
    </row>
    <row r="29" customFormat="false" ht="15" hidden="false" customHeight="false" outlineLevel="0" collapsed="false">
      <c r="A29" s="5" t="s">
        <v>80</v>
      </c>
      <c r="B29" s="10" t="n">
        <v>9600</v>
      </c>
      <c r="D29" s="9" t="s">
        <v>75</v>
      </c>
    </row>
    <row r="30" customFormat="false" ht="15" hidden="false" customHeight="false" outlineLevel="0" collapsed="false">
      <c r="A30" s="5" t="s">
        <v>81</v>
      </c>
      <c r="B30" s="10" t="n">
        <v>19200</v>
      </c>
      <c r="D30" s="9" t="s">
        <v>75</v>
      </c>
    </row>
    <row r="31" customFormat="false" ht="15" hidden="false" customHeight="false" outlineLevel="0" collapsed="false">
      <c r="A31" s="5" t="s">
        <v>82</v>
      </c>
      <c r="B31" s="10" t="n">
        <v>12000</v>
      </c>
      <c r="D31" s="9" t="s">
        <v>75</v>
      </c>
    </row>
    <row r="32" customFormat="false" ht="15" hidden="false" customHeight="false" outlineLevel="0" collapsed="false">
      <c r="A32" s="5" t="s">
        <v>83</v>
      </c>
      <c r="B32" s="10" t="n">
        <v>16800</v>
      </c>
      <c r="D32" s="9" t="s">
        <v>75</v>
      </c>
    </row>
    <row r="33" customFormat="false" ht="15" hidden="false" customHeight="false" outlineLevel="0" collapsed="false">
      <c r="A33" s="5" t="s">
        <v>84</v>
      </c>
      <c r="B33" s="11" t="n">
        <v>0.03</v>
      </c>
      <c r="D33" s="9" t="s">
        <v>85</v>
      </c>
    </row>
    <row r="34" customFormat="false" ht="15" hidden="false" customHeight="false" outlineLevel="0" collapsed="false">
      <c r="A34" s="5" t="s">
        <v>86</v>
      </c>
      <c r="B34" s="12" t="n">
        <v>0.2</v>
      </c>
      <c r="D34" s="9" t="s">
        <v>75</v>
      </c>
    </row>
    <row r="36" customFormat="false" ht="15" hidden="false" customHeight="false" outlineLevel="0" collapsed="false">
      <c r="A36" s="3" t="s">
        <v>87</v>
      </c>
      <c r="B36" s="3"/>
      <c r="C36" s="3"/>
      <c r="D36" s="3"/>
    </row>
    <row r="37" customFormat="false" ht="15" hidden="false" customHeight="false" outlineLevel="0" collapsed="false">
      <c r="A37" s="5" t="s">
        <v>88</v>
      </c>
      <c r="B37" s="13" t="n">
        <v>0.065</v>
      </c>
      <c r="D37" s="9" t="s">
        <v>89</v>
      </c>
    </row>
    <row r="38" customFormat="false" ht="15" hidden="false" customHeight="false" outlineLevel="0" collapsed="false">
      <c r="A38" s="5" t="s">
        <v>90</v>
      </c>
      <c r="B38" s="11" t="n">
        <v>0.6</v>
      </c>
      <c r="D38" s="9" t="s">
        <v>89</v>
      </c>
    </row>
    <row r="39" customFormat="false" ht="15" hidden="false" customHeight="false" outlineLevel="0" collapsed="false">
      <c r="A39" s="5" t="s">
        <v>91</v>
      </c>
      <c r="B39" s="14" t="n">
        <v>1.3</v>
      </c>
      <c r="D39" s="9" t="s">
        <v>89</v>
      </c>
    </row>
    <row r="40" customFormat="false" ht="15" hidden="false" customHeight="false" outlineLevel="0" collapsed="false">
      <c r="A40" s="5" t="s">
        <v>92</v>
      </c>
      <c r="B40" s="13" t="n">
        <v>0.095</v>
      </c>
      <c r="D40" s="9" t="s">
        <v>89</v>
      </c>
    </row>
    <row r="41" customFormat="false" ht="15" hidden="false" customHeight="false" outlineLevel="0" collapsed="false">
      <c r="A41" s="5" t="s">
        <v>93</v>
      </c>
      <c r="B41" s="13" t="n">
        <v>0.061</v>
      </c>
      <c r="D41" s="9" t="s">
        <v>89</v>
      </c>
    </row>
    <row r="42" customFormat="false" ht="15" hidden="false" customHeight="false" outlineLevel="0" collapsed="false">
      <c r="A42" s="5" t="s">
        <v>94</v>
      </c>
      <c r="B42" s="13" t="n">
        <v>0.075</v>
      </c>
      <c r="D42" s="9" t="s">
        <v>95</v>
      </c>
    </row>
    <row r="43" customFormat="false" ht="15" hidden="false" customHeight="false" outlineLevel="0" collapsed="false">
      <c r="A43" s="5" t="s">
        <v>96</v>
      </c>
      <c r="B43" s="8" t="n">
        <v>30</v>
      </c>
      <c r="D43" s="9" t="s">
        <v>89</v>
      </c>
    </row>
    <row r="44" customFormat="false" ht="15" hidden="false" customHeight="false" outlineLevel="0" collapsed="false">
      <c r="A44" s="5" t="s">
        <v>97</v>
      </c>
      <c r="B44" s="8" t="n">
        <v>12</v>
      </c>
      <c r="D44" s="9" t="s">
        <v>89</v>
      </c>
    </row>
    <row r="45" customFormat="false" ht="15" hidden="false" customHeight="false" outlineLevel="0" collapsed="false">
      <c r="A45" s="5" t="s">
        <v>98</v>
      </c>
      <c r="B45" s="8" t="n">
        <v>60</v>
      </c>
      <c r="D45" s="9" t="s">
        <v>89</v>
      </c>
    </row>
    <row r="46" customFormat="false" ht="15" hidden="false" customHeight="false" outlineLevel="0" collapsed="false">
      <c r="A46" s="5" t="s">
        <v>99</v>
      </c>
      <c r="B46" s="11" t="n">
        <v>0.01</v>
      </c>
      <c r="D46" s="9" t="s">
        <v>89</v>
      </c>
    </row>
    <row r="47" customFormat="false" ht="15" hidden="false" customHeight="false" outlineLevel="0" collapsed="false">
      <c r="A47" s="5" t="s">
        <v>100</v>
      </c>
      <c r="B47" s="10" t="n">
        <v>3600000</v>
      </c>
      <c r="D47" s="9" t="s">
        <v>101</v>
      </c>
    </row>
    <row r="48" customFormat="false" ht="15" hidden="false" customHeight="false" outlineLevel="0" collapsed="false">
      <c r="A48" s="5" t="s">
        <v>102</v>
      </c>
      <c r="B48" s="10" t="n">
        <v>55000</v>
      </c>
      <c r="D48" s="9" t="s">
        <v>101</v>
      </c>
    </row>
    <row r="50" customFormat="false" ht="15" hidden="false" customHeight="false" outlineLevel="0" collapsed="false">
      <c r="A50" s="3" t="s">
        <v>103</v>
      </c>
      <c r="B50" s="3"/>
      <c r="C50" s="3"/>
      <c r="D50" s="3"/>
    </row>
    <row r="51" customFormat="false" ht="15" hidden="false" customHeight="false" outlineLevel="0" collapsed="false">
      <c r="A51" s="5" t="s">
        <v>104</v>
      </c>
      <c r="B51" s="11" t="n">
        <v>0.95</v>
      </c>
      <c r="D51" s="9" t="s">
        <v>105</v>
      </c>
    </row>
    <row r="52" customFormat="false" ht="15" hidden="false" customHeight="false" outlineLevel="0" collapsed="false">
      <c r="A52" s="5" t="s">
        <v>106</v>
      </c>
      <c r="B52" s="13" t="n">
        <v>0.01</v>
      </c>
      <c r="D52" s="9" t="s">
        <v>107</v>
      </c>
    </row>
    <row r="53" customFormat="false" ht="15" hidden="false" customHeight="false" outlineLevel="0" collapsed="false">
      <c r="A53" s="5" t="s">
        <v>108</v>
      </c>
      <c r="B53" s="13" t="n">
        <v>0.005</v>
      </c>
      <c r="D53" s="9" t="s">
        <v>109</v>
      </c>
    </row>
  </sheetData>
  <mergeCells count="6">
    <mergeCell ref="A1:D1"/>
    <mergeCell ref="A2:D2"/>
    <mergeCell ref="A8:D8"/>
    <mergeCell ref="A23:D23"/>
    <mergeCell ref="A36:D36"/>
    <mergeCell ref="A50:D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1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111</v>
      </c>
      <c r="B3" s="15" t="s">
        <v>112</v>
      </c>
      <c r="C3" s="15" t="s">
        <v>113</v>
      </c>
      <c r="D3" s="15" t="s">
        <v>114</v>
      </c>
      <c r="E3" s="15" t="s">
        <v>115</v>
      </c>
      <c r="F3" s="15" t="s">
        <v>116</v>
      </c>
      <c r="G3" s="15" t="s">
        <v>117</v>
      </c>
    </row>
    <row r="4" customFormat="false" ht="15" hidden="false" customHeight="false" outlineLevel="0" collapsed="false">
      <c r="A4" s="16" t="s">
        <v>118</v>
      </c>
      <c r="B4" s="16" t="s">
        <v>119</v>
      </c>
      <c r="C4" s="17" t="n">
        <v>16000</v>
      </c>
      <c r="D4" s="16" t="s">
        <v>120</v>
      </c>
      <c r="E4" s="18" t="n">
        <v>12800</v>
      </c>
      <c r="F4" s="18" t="n">
        <v>12800</v>
      </c>
      <c r="G4" s="16" t="s">
        <v>121</v>
      </c>
    </row>
    <row r="5" customFormat="false" ht="15" hidden="false" customHeight="false" outlineLevel="0" collapsed="false">
      <c r="A5" s="16" t="s">
        <v>122</v>
      </c>
      <c r="B5" s="16" t="s">
        <v>123</v>
      </c>
      <c r="C5" s="17" t="n">
        <v>24000</v>
      </c>
      <c r="D5" s="16" t="s">
        <v>120</v>
      </c>
      <c r="E5" s="18" t="n">
        <v>20400</v>
      </c>
      <c r="F5" s="18" t="n">
        <v>20400</v>
      </c>
      <c r="G5" s="16" t="s">
        <v>121</v>
      </c>
    </row>
    <row r="6" customFormat="false" ht="15" hidden="false" customHeight="false" outlineLevel="0" collapsed="false">
      <c r="A6" s="16" t="s">
        <v>124</v>
      </c>
      <c r="B6" s="16" t="s">
        <v>125</v>
      </c>
      <c r="C6" s="17" t="n">
        <v>32000</v>
      </c>
      <c r="D6" s="16" t="s">
        <v>120</v>
      </c>
      <c r="E6" s="18" t="n">
        <v>28800</v>
      </c>
      <c r="F6" s="18" t="n">
        <v>28800</v>
      </c>
      <c r="G6" s="16" t="s">
        <v>126</v>
      </c>
    </row>
    <row r="8" customFormat="false" ht="15" hidden="false" customHeight="false" outlineLevel="0" collapsed="false">
      <c r="A8" s="3" t="s">
        <v>127</v>
      </c>
      <c r="B8" s="3"/>
      <c r="C8" s="3"/>
      <c r="D8" s="3"/>
      <c r="E8" s="3"/>
      <c r="F8" s="3"/>
      <c r="G8" s="3"/>
    </row>
    <row r="9" customFormat="false" ht="15" hidden="false" customHeight="true" outlineLevel="0" collapsed="false">
      <c r="A9" s="19" t="s">
        <v>128</v>
      </c>
      <c r="B9" s="19"/>
      <c r="C9" s="19"/>
      <c r="D9" s="19"/>
      <c r="E9" s="20" t="n">
        <f aca="false">UnitCount</f>
        <v>3</v>
      </c>
    </row>
    <row r="10" customFormat="false" ht="15" hidden="false" customHeight="true" outlineLevel="0" collapsed="false">
      <c r="A10" s="19" t="s">
        <v>129</v>
      </c>
      <c r="B10" s="19"/>
      <c r="C10" s="19"/>
      <c r="D10" s="19"/>
      <c r="E10" s="20" t="n">
        <f aca="false">OccUnits</f>
        <v>3</v>
      </c>
    </row>
    <row r="11" customFormat="false" ht="15" hidden="false" customHeight="true" outlineLevel="0" collapsed="false">
      <c r="A11" s="19" t="s">
        <v>130</v>
      </c>
      <c r="B11" s="19"/>
      <c r="C11" s="19"/>
      <c r="D11" s="19"/>
      <c r="E11" s="20" t="n">
        <f aca="false">TotalSF</f>
        <v>72000</v>
      </c>
    </row>
    <row r="12" customFormat="false" ht="15" hidden="false" customHeight="true" outlineLevel="0" collapsed="false">
      <c r="A12" s="19" t="s">
        <v>131</v>
      </c>
      <c r="B12" s="19"/>
      <c r="C12" s="19"/>
      <c r="D12" s="19"/>
      <c r="E12" s="20" t="n">
        <f aca="false">OccSF</f>
        <v>72000</v>
      </c>
    </row>
    <row r="13" customFormat="false" ht="15" hidden="false" customHeight="true" outlineLevel="0" collapsed="false">
      <c r="A13" s="19" t="s">
        <v>132</v>
      </c>
      <c r="B13" s="19"/>
      <c r="C13" s="19"/>
      <c r="D13" s="19"/>
      <c r="E13" s="21" t="n">
        <f aca="false">OccUnits/UnitCount</f>
        <v>1</v>
      </c>
    </row>
    <row r="14" customFormat="false" ht="15" hidden="false" customHeight="true" outlineLevel="0" collapsed="false">
      <c r="A14" s="19" t="s">
        <v>133</v>
      </c>
      <c r="B14" s="19"/>
      <c r="C14" s="19"/>
      <c r="D14" s="19"/>
      <c r="E14" s="21" t="n">
        <f aca="false">OccSF/TotalSF</f>
        <v>1</v>
      </c>
    </row>
    <row r="15" customFormat="false" ht="15" hidden="false" customHeight="true" outlineLevel="0" collapsed="false">
      <c r="A15" s="19" t="s">
        <v>134</v>
      </c>
      <c r="B15" s="19"/>
      <c r="C15" s="19"/>
      <c r="D15" s="19"/>
      <c r="E15" s="22" t="n">
        <f aca="false">SUMPRODUCT((D4:D6="Occupied")*E4:E6)</f>
        <v>62000</v>
      </c>
    </row>
    <row r="16" customFormat="false" ht="15" hidden="false" customHeight="true" outlineLevel="0" collapsed="false">
      <c r="A16" s="19" t="s">
        <v>135</v>
      </c>
      <c r="B16" s="19"/>
      <c r="C16" s="19"/>
      <c r="D16" s="19"/>
      <c r="E16" s="22" t="n">
        <f aca="false">SUMPRODUCT((D4:D6="Occupied")*E4:E6)</f>
        <v>62000</v>
      </c>
    </row>
    <row r="18" customFormat="false" ht="15" hidden="false" customHeight="false" outlineLevel="0" collapsed="false">
      <c r="A18" s="2" t="s">
        <v>136</v>
      </c>
    </row>
    <row r="19" customFormat="false" ht="23.85" hidden="false" customHeight="true" outlineLevel="0" collapsed="false">
      <c r="A19" s="19" t="s">
        <v>137</v>
      </c>
      <c r="B19" s="19"/>
      <c r="C19" s="19"/>
      <c r="D19" s="19"/>
      <c r="E19" s="19"/>
      <c r="F19" s="19"/>
      <c r="G19" s="19"/>
    </row>
  </sheetData>
  <mergeCells count="11">
    <mergeCell ref="A1:G1"/>
    <mergeCell ref="A8:G8"/>
    <mergeCell ref="A9:D9"/>
    <mergeCell ref="A10:D10"/>
    <mergeCell ref="A11:D11"/>
    <mergeCell ref="A12:D12"/>
    <mergeCell ref="A13:D13"/>
    <mergeCell ref="A14:D14"/>
    <mergeCell ref="A15:D15"/>
    <mergeCell ref="A16:D16"/>
    <mergeCell ref="A19:G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138</v>
      </c>
      <c r="B1" s="1"/>
      <c r="C1" s="1"/>
      <c r="D1" s="1"/>
    </row>
    <row r="2" customFormat="false" ht="15" hidden="false" customHeight="false" outlineLevel="0" collapsed="false">
      <c r="A2" s="5" t="s">
        <v>59</v>
      </c>
      <c r="B2" s="23" t="n">
        <f aca="false">T_GPR</f>
        <v>744000</v>
      </c>
      <c r="D2" s="24"/>
    </row>
    <row r="3" customFormat="false" ht="15" hidden="false" customHeight="false" outlineLevel="0" collapsed="false">
      <c r="A3" s="5" t="s">
        <v>61</v>
      </c>
      <c r="B3" s="23" t="n">
        <f aca="false">T_VAC</f>
        <v>0</v>
      </c>
      <c r="D3" s="24"/>
    </row>
    <row r="4" customFormat="false" ht="15" hidden="false" customHeight="false" outlineLevel="0" collapsed="false">
      <c r="A4" s="5" t="s">
        <v>139</v>
      </c>
      <c r="B4" s="23" t="n">
        <f aca="false">T_CONC</f>
        <v>-18000</v>
      </c>
      <c r="D4" s="24"/>
    </row>
    <row r="5" customFormat="false" ht="15" hidden="false" customHeight="false" outlineLevel="0" collapsed="false">
      <c r="A5" s="5" t="s">
        <v>140</v>
      </c>
      <c r="B5" s="23" t="n">
        <f aca="false">T_BD</f>
        <v>-2400</v>
      </c>
      <c r="D5" s="24"/>
    </row>
    <row r="6" customFormat="false" ht="15" hidden="false" customHeight="false" outlineLevel="0" collapsed="false">
      <c r="A6" s="5" t="s">
        <v>64</v>
      </c>
      <c r="B6" s="23" t="n">
        <f aca="false">T_OI</f>
        <v>158400</v>
      </c>
      <c r="D6" s="24"/>
    </row>
    <row r="7" customFormat="false" ht="15" hidden="false" customHeight="false" outlineLevel="0" collapsed="false">
      <c r="A7" s="5" t="s">
        <v>141</v>
      </c>
      <c r="B7" s="22" t="n">
        <f aca="false">T_GPR+T_VAC+T_CONC+T_BD+T_OI</f>
        <v>882000</v>
      </c>
      <c r="D7" s="24"/>
    </row>
    <row r="9" customFormat="false" ht="15" hidden="false" customHeight="false" outlineLevel="0" collapsed="false">
      <c r="A9" s="5" t="s">
        <v>65</v>
      </c>
      <c r="B9" s="23" t="n">
        <f aca="false">T_TAX</f>
        <v>102000</v>
      </c>
      <c r="D9" s="24"/>
    </row>
    <row r="10" customFormat="false" ht="15" hidden="false" customHeight="false" outlineLevel="0" collapsed="false">
      <c r="A10" s="5" t="s">
        <v>66</v>
      </c>
      <c r="B10" s="23" t="n">
        <f aca="false">T_INS</f>
        <v>26400</v>
      </c>
      <c r="D10" s="24"/>
    </row>
    <row r="11" customFormat="false" ht="15" hidden="false" customHeight="false" outlineLevel="0" collapsed="false">
      <c r="A11" s="5" t="s">
        <v>67</v>
      </c>
      <c r="B11" s="23" t="n">
        <f aca="false">T_UT</f>
        <v>9600</v>
      </c>
      <c r="D11" s="24"/>
    </row>
    <row r="12" customFormat="false" ht="15" hidden="false" customHeight="false" outlineLevel="0" collapsed="false">
      <c r="A12" s="5" t="s">
        <v>68</v>
      </c>
      <c r="B12" s="23" t="n">
        <f aca="false">T_RM</f>
        <v>19200</v>
      </c>
      <c r="D12" s="24"/>
    </row>
    <row r="13" customFormat="false" ht="15" hidden="false" customHeight="false" outlineLevel="0" collapsed="false">
      <c r="A13" s="5" t="s">
        <v>69</v>
      </c>
      <c r="B13" s="23" t="n">
        <f aca="false">T_PAY</f>
        <v>12000</v>
      </c>
      <c r="D13" s="24"/>
    </row>
    <row r="14" customFormat="false" ht="15" hidden="false" customHeight="false" outlineLevel="0" collapsed="false">
      <c r="A14" s="5" t="s">
        <v>70</v>
      </c>
      <c r="B14" s="23" t="n">
        <f aca="false">T_ADM</f>
        <v>16800</v>
      </c>
      <c r="D14" s="24"/>
    </row>
    <row r="15" customFormat="false" ht="15" hidden="false" customHeight="false" outlineLevel="0" collapsed="false">
      <c r="A15" s="5" t="s">
        <v>71</v>
      </c>
      <c r="B15" s="23" t="n">
        <f aca="false">T_MGMT</f>
        <v>26400</v>
      </c>
      <c r="D15" s="24"/>
    </row>
    <row r="16" customFormat="false" ht="23.85" hidden="false" customHeight="false" outlineLevel="0" collapsed="false">
      <c r="A16" s="5" t="s">
        <v>142</v>
      </c>
      <c r="B16" s="22" t="n">
        <f aca="false">T_TAX+T_INS+T_UT+T_RM+T_PAY+T_ADM+T_MGMT</f>
        <v>212400</v>
      </c>
      <c r="D16" s="24"/>
    </row>
    <row r="18" customFormat="false" ht="15" hidden="false" customHeight="false" outlineLevel="0" collapsed="false">
      <c r="A18" s="5" t="s">
        <v>143</v>
      </c>
      <c r="B18" s="22" t="n">
        <f aca="false">B7-B16</f>
        <v>669600</v>
      </c>
      <c r="D18" s="24"/>
    </row>
    <row r="19" customFormat="false" ht="15" hidden="false" customHeight="false" outlineLevel="0" collapsed="false">
      <c r="A19" s="5" t="s">
        <v>144</v>
      </c>
      <c r="B19" s="23" t="n">
        <f aca="false">T_RES</f>
        <v>14400</v>
      </c>
      <c r="D19" s="24"/>
    </row>
    <row r="20" customFormat="false" ht="15" hidden="false" customHeight="false" outlineLevel="0" collapsed="false">
      <c r="A20" s="5" t="s">
        <v>145</v>
      </c>
      <c r="B20" s="22" t="n">
        <f aca="false">B18-T_RES</f>
        <v>655200</v>
      </c>
      <c r="D20" s="24"/>
    </row>
    <row r="22" customFormat="false" ht="15" hidden="false" customHeight="false" outlineLevel="0" collapsed="false">
      <c r="A22" s="25" t="s">
        <v>146</v>
      </c>
      <c r="B22" s="25"/>
      <c r="C22" s="25"/>
      <c r="D22" s="25"/>
    </row>
    <row r="23" customFormat="false" ht="15" hidden="false" customHeight="false" outlineLevel="0" collapsed="false">
      <c r="A23" s="5" t="s">
        <v>147</v>
      </c>
      <c r="B23" s="23" t="n">
        <v>112000</v>
      </c>
      <c r="D23" s="24" t="s">
        <v>60</v>
      </c>
    </row>
    <row r="24" customFormat="false" ht="15" hidden="false" customHeight="false" outlineLevel="0" collapsed="false">
      <c r="A24" s="5" t="s">
        <v>148</v>
      </c>
      <c r="B24" s="23" t="n">
        <v>294000</v>
      </c>
      <c r="D24" s="24" t="s">
        <v>60</v>
      </c>
    </row>
    <row r="25" customFormat="false" ht="15" hidden="false" customHeight="false" outlineLevel="0" collapsed="false">
      <c r="A25" s="5" t="s">
        <v>149</v>
      </c>
      <c r="B25" s="23" t="n">
        <v>180000</v>
      </c>
      <c r="D25" s="24" t="s">
        <v>60</v>
      </c>
    </row>
  </sheetData>
  <mergeCells count="2">
    <mergeCell ref="A1:D1"/>
    <mergeCell ref="A22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150</v>
      </c>
      <c r="B1" s="1"/>
      <c r="C1" s="1"/>
      <c r="D1" s="1"/>
    </row>
    <row r="2" customFormat="false" ht="15" hidden="false" customHeight="false" outlineLevel="0" collapsed="false">
      <c r="A2" s="5" t="s">
        <v>74</v>
      </c>
      <c r="B2" s="23" t="n">
        <f aca="false">U_GPR</f>
        <v>756000</v>
      </c>
      <c r="D2" s="24"/>
    </row>
    <row r="3" customFormat="false" ht="15" hidden="false" customHeight="false" outlineLevel="0" collapsed="false">
      <c r="A3" s="5" t="s">
        <v>151</v>
      </c>
      <c r="B3" s="23" t="n">
        <f aca="false">-U_GPR*U_LOSS</f>
        <v>-22680</v>
      </c>
      <c r="D3" s="24"/>
    </row>
    <row r="4" customFormat="false" ht="15" hidden="false" customHeight="false" outlineLevel="0" collapsed="false">
      <c r="A4" s="5" t="s">
        <v>152</v>
      </c>
      <c r="B4" s="23" t="n">
        <f aca="false">U_OI</f>
        <v>162000</v>
      </c>
      <c r="D4" s="24"/>
    </row>
    <row r="5" customFormat="false" ht="15" hidden="false" customHeight="false" outlineLevel="0" collapsed="false">
      <c r="A5" s="5" t="s">
        <v>153</v>
      </c>
      <c r="B5" s="26" t="n">
        <f aca="false">B2+B3+B4</f>
        <v>895320</v>
      </c>
      <c r="D5" s="24" t="s">
        <v>154</v>
      </c>
    </row>
    <row r="7" customFormat="false" ht="15" hidden="false" customHeight="false" outlineLevel="0" collapsed="false">
      <c r="A7" s="5" t="s">
        <v>65</v>
      </c>
      <c r="B7" s="23" t="n">
        <f aca="false">U_TAX</f>
        <v>108000</v>
      </c>
      <c r="D7" s="24"/>
    </row>
    <row r="8" customFormat="false" ht="15" hidden="false" customHeight="false" outlineLevel="0" collapsed="false">
      <c r="A8" s="5" t="s">
        <v>155</v>
      </c>
      <c r="B8" s="23" t="n">
        <f aca="false">U_INS</f>
        <v>36000</v>
      </c>
      <c r="D8" s="24" t="s">
        <v>156</v>
      </c>
    </row>
    <row r="9" customFormat="false" ht="15" hidden="false" customHeight="false" outlineLevel="0" collapsed="false">
      <c r="A9" s="5" t="s">
        <v>67</v>
      </c>
      <c r="B9" s="23" t="n">
        <f aca="false">U_UT</f>
        <v>9600</v>
      </c>
      <c r="D9" s="24"/>
    </row>
    <row r="10" customFormat="false" ht="15" hidden="false" customHeight="false" outlineLevel="0" collapsed="false">
      <c r="A10" s="5" t="s">
        <v>68</v>
      </c>
      <c r="B10" s="23" t="n">
        <f aca="false">U_RM</f>
        <v>19200</v>
      </c>
      <c r="D10" s="24"/>
    </row>
    <row r="11" customFormat="false" ht="15" hidden="false" customHeight="false" outlineLevel="0" collapsed="false">
      <c r="A11" s="5" t="s">
        <v>69</v>
      </c>
      <c r="B11" s="23" t="n">
        <f aca="false">U_PAY</f>
        <v>12000</v>
      </c>
      <c r="D11" s="24"/>
    </row>
    <row r="12" customFormat="false" ht="15" hidden="false" customHeight="false" outlineLevel="0" collapsed="false">
      <c r="A12" s="5" t="s">
        <v>70</v>
      </c>
      <c r="B12" s="23" t="n">
        <f aca="false">U_ADM</f>
        <v>16800</v>
      </c>
      <c r="D12" s="24"/>
    </row>
    <row r="13" customFormat="false" ht="23.85" hidden="false" customHeight="false" outlineLevel="0" collapsed="false">
      <c r="A13" s="5" t="s">
        <v>157</v>
      </c>
      <c r="B13" s="26" t="n">
        <f aca="false">MAX(T_MGMT,B5*U_MGMT_PCT)</f>
        <v>26859.6</v>
      </c>
      <c r="D13" s="24" t="s">
        <v>158</v>
      </c>
    </row>
    <row r="14" customFormat="false" ht="23.85" hidden="false" customHeight="false" outlineLevel="0" collapsed="false">
      <c r="A14" s="5" t="s">
        <v>159</v>
      </c>
      <c r="B14" s="26" t="n">
        <f aca="false">U_TAX+U_INS+U_UT+U_RM+U_PAY+U_ADM+B13</f>
        <v>228459.6</v>
      </c>
      <c r="D14" s="24" t="s">
        <v>160</v>
      </c>
    </row>
    <row r="16" customFormat="false" ht="15" hidden="false" customHeight="false" outlineLevel="0" collapsed="false">
      <c r="A16" s="5" t="s">
        <v>143</v>
      </c>
      <c r="B16" s="26" t="n">
        <f aca="false">B5-B14</f>
        <v>666860.4</v>
      </c>
      <c r="D16" s="24" t="s">
        <v>161</v>
      </c>
    </row>
    <row r="17" customFormat="false" ht="15" hidden="false" customHeight="false" outlineLevel="0" collapsed="false">
      <c r="A17" s="5" t="s">
        <v>162</v>
      </c>
      <c r="B17" s="27" t="n">
        <f aca="false">U_RES_PSF*TotalSF</f>
        <v>14400</v>
      </c>
      <c r="D17" s="24" t="s">
        <v>163</v>
      </c>
    </row>
    <row r="18" customFormat="false" ht="15" hidden="false" customHeight="false" outlineLevel="0" collapsed="false">
      <c r="A18" s="5" t="s">
        <v>145</v>
      </c>
      <c r="B18" s="26" t="n">
        <f aca="false">B16-B17</f>
        <v>652460.4</v>
      </c>
      <c r="D18" s="24" t="s">
        <v>164</v>
      </c>
    </row>
    <row r="20" customFormat="false" ht="23.85" hidden="false" customHeight="false" outlineLevel="0" collapsed="false">
      <c r="A20" s="5" t="s">
        <v>165</v>
      </c>
      <c r="B20" s="26" t="n">
        <f aca="false">B16/L_CAP</f>
        <v>10259390.7692308</v>
      </c>
      <c r="D20" s="24" t="s">
        <v>166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16</v>
      </c>
      <c r="B1" s="1"/>
      <c r="C1" s="1"/>
      <c r="D1" s="1"/>
    </row>
    <row r="2" customFormat="false" ht="15" hidden="false" customHeight="false" outlineLevel="0" collapsed="false">
      <c r="A2" s="5" t="s">
        <v>167</v>
      </c>
      <c r="B2" s="28" t="n">
        <f aca="false">L_CR</f>
        <v>0.061</v>
      </c>
      <c r="D2" s="24" t="s">
        <v>168</v>
      </c>
    </row>
    <row r="3" customFormat="false" ht="15" hidden="false" customHeight="false" outlineLevel="0" collapsed="false">
      <c r="A3" s="5" t="s">
        <v>169</v>
      </c>
      <c r="B3" s="29" t="n">
        <f aca="false">MAX(L_CR,L_SR_FLOOR)</f>
        <v>0.075</v>
      </c>
      <c r="D3" s="24" t="s">
        <v>170</v>
      </c>
    </row>
    <row r="4" customFormat="false" ht="15" hidden="false" customHeight="false" outlineLevel="0" collapsed="false">
      <c r="A4" s="5" t="s">
        <v>171</v>
      </c>
      <c r="B4" s="30" t="n">
        <f aca="false">-12*PMT(B3/12,L_AMORT*12,1)</f>
        <v>0.0839057410263335</v>
      </c>
      <c r="D4" s="24" t="s">
        <v>172</v>
      </c>
    </row>
    <row r="6" customFormat="false" ht="15" hidden="false" customHeight="false" outlineLevel="0" collapsed="false">
      <c r="A6" s="5" t="s">
        <v>173</v>
      </c>
      <c r="B6" s="26" t="n">
        <f aca="false">L_LTV*UW_VAL</f>
        <v>6155634.46153846</v>
      </c>
      <c r="D6" s="24" t="s">
        <v>174</v>
      </c>
    </row>
    <row r="7" customFormat="false" ht="15" hidden="false" customHeight="false" outlineLevel="0" collapsed="false">
      <c r="A7" s="5" t="s">
        <v>175</v>
      </c>
      <c r="B7" s="26" t="n">
        <f aca="false">UW_NCF/(L_DSCR*B4)</f>
        <v>5981624.25175529</v>
      </c>
      <c r="D7" s="24" t="s">
        <v>176</v>
      </c>
    </row>
    <row r="8" customFormat="false" ht="15" hidden="false" customHeight="false" outlineLevel="0" collapsed="false">
      <c r="A8" s="5" t="s">
        <v>177</v>
      </c>
      <c r="B8" s="26" t="n">
        <f aca="false">UW_NCF/L_DY</f>
        <v>6868004.21052632</v>
      </c>
      <c r="D8" s="24" t="s">
        <v>178</v>
      </c>
    </row>
    <row r="9" customFormat="false" ht="15" hidden="false" customHeight="false" outlineLevel="0" collapsed="false">
      <c r="A9" s="5" t="s">
        <v>179</v>
      </c>
      <c r="B9" s="26" t="n">
        <f aca="false">MIN(B6,B7,B8)</f>
        <v>5981624.25175529</v>
      </c>
      <c r="D9" s="24" t="s">
        <v>180</v>
      </c>
    </row>
    <row r="10" customFormat="false" ht="15" hidden="false" customHeight="false" outlineLevel="0" collapsed="false">
      <c r="A10" s="5" t="s">
        <v>181</v>
      </c>
      <c r="B10" s="31" t="str">
        <f aca="false">IF(B9=B6,"LTV",IF(B9=B7,"DSCR","Debt yield"))</f>
        <v>DSCR</v>
      </c>
      <c r="D10" s="24" t="s">
        <v>182</v>
      </c>
    </row>
    <row r="12" customFormat="false" ht="15" hidden="false" customHeight="false" outlineLevel="0" collapsed="false">
      <c r="A12" s="5" t="s">
        <v>183</v>
      </c>
      <c r="B12" s="26" t="n">
        <f aca="false">B9*B4</f>
        <v>501892.615384615</v>
      </c>
      <c r="D12" s="24" t="s">
        <v>184</v>
      </c>
    </row>
    <row r="13" customFormat="false" ht="15" hidden="false" customHeight="false" outlineLevel="0" collapsed="false">
      <c r="A13" s="5" t="s">
        <v>185</v>
      </c>
      <c r="B13" s="32" t="n">
        <f aca="false">UW_NCF/B12</f>
        <v>1.3</v>
      </c>
      <c r="D13" s="24" t="s">
        <v>186</v>
      </c>
    </row>
    <row r="14" customFormat="false" ht="15" hidden="false" customHeight="false" outlineLevel="0" collapsed="false">
      <c r="A14" s="5" t="s">
        <v>187</v>
      </c>
      <c r="B14" s="29" t="n">
        <f aca="false">UW_NCF/B9</f>
        <v>0.109077463334234</v>
      </c>
      <c r="D14" s="24" t="s">
        <v>188</v>
      </c>
    </row>
    <row r="16" customFormat="false" ht="23.85" hidden="false" customHeight="false" outlineLevel="0" collapsed="false">
      <c r="A16" s="5" t="s">
        <v>189</v>
      </c>
      <c r="B16" s="26" t="n">
        <f aca="false">B9*L_CR</f>
        <v>364879.079357073</v>
      </c>
      <c r="D16" s="24" t="s">
        <v>190</v>
      </c>
    </row>
    <row r="17" customFormat="false" ht="15" hidden="false" customHeight="false" outlineLevel="0" collapsed="false">
      <c r="A17" s="5" t="s">
        <v>191</v>
      </c>
      <c r="B17" s="33" t="n">
        <f aca="false">L_IO</f>
        <v>12</v>
      </c>
      <c r="D17" s="24"/>
    </row>
    <row r="18" customFormat="false" ht="15" hidden="false" customHeight="false" outlineLevel="0" collapsed="false">
      <c r="A18" s="5" t="s">
        <v>192</v>
      </c>
      <c r="B18" s="27" t="n">
        <f aca="false">B9*B4</f>
        <v>501892.615384615</v>
      </c>
      <c r="D18" s="24" t="s">
        <v>193</v>
      </c>
    </row>
    <row r="20" customFormat="false" ht="15" hidden="false" customHeight="false" outlineLevel="0" collapsed="false">
      <c r="A20" s="3" t="s">
        <v>24</v>
      </c>
      <c r="B20" s="3"/>
      <c r="C20" s="3"/>
      <c r="D20" s="3"/>
    </row>
    <row r="21" customFormat="false" ht="15" hidden="false" customHeight="false" outlineLevel="0" collapsed="false">
      <c r="A21" s="2" t="s">
        <v>194</v>
      </c>
    </row>
    <row r="22" customFormat="false" ht="15" hidden="false" customHeight="false" outlineLevel="0" collapsed="false">
      <c r="A22" s="5" t="s">
        <v>195</v>
      </c>
      <c r="B22" s="23" t="n">
        <f aca="false">B9</f>
        <v>5981624.25175529</v>
      </c>
      <c r="D22" s="24"/>
    </row>
    <row r="23" customFormat="false" ht="15" hidden="false" customHeight="false" outlineLevel="0" collapsed="false">
      <c r="A23" s="2" t="s">
        <v>196</v>
      </c>
    </row>
    <row r="24" customFormat="false" ht="15" hidden="false" customHeight="false" outlineLevel="0" collapsed="false">
      <c r="A24" s="5" t="s">
        <v>197</v>
      </c>
      <c r="B24" s="23" t="n">
        <f aca="false">L_PAYOFF</f>
        <v>3600000</v>
      </c>
      <c r="D24" s="24"/>
    </row>
    <row r="25" customFormat="false" ht="15" hidden="false" customHeight="false" outlineLevel="0" collapsed="false">
      <c r="A25" s="5" t="s">
        <v>198</v>
      </c>
      <c r="B25" s="23" t="n">
        <f aca="false">L_ORIG*B9</f>
        <v>59816.2425175529</v>
      </c>
      <c r="D25" s="24"/>
    </row>
    <row r="26" customFormat="false" ht="15" hidden="false" customHeight="false" outlineLevel="0" collapsed="false">
      <c r="A26" s="5" t="s">
        <v>199</v>
      </c>
      <c r="B26" s="23" t="n">
        <f aca="false">L_CLOSE</f>
        <v>55000</v>
      </c>
      <c r="D26" s="24"/>
    </row>
    <row r="27" customFormat="false" ht="15" hidden="false" customHeight="false" outlineLevel="0" collapsed="false">
      <c r="A27" s="5" t="s">
        <v>200</v>
      </c>
      <c r="B27" s="22" t="n">
        <f aca="false">L_PAYOFF+L_ORIG*B9+L_CLOSE</f>
        <v>3714816.24251755</v>
      </c>
      <c r="D27" s="24"/>
    </row>
    <row r="28" customFormat="false" ht="15" hidden="false" customHeight="false" outlineLevel="0" collapsed="false">
      <c r="A28" s="5" t="s">
        <v>201</v>
      </c>
      <c r="B28" s="26" t="n">
        <f aca="false">B9-B27</f>
        <v>2266808.00923774</v>
      </c>
      <c r="D28" s="24" t="s">
        <v>202</v>
      </c>
    </row>
  </sheetData>
  <mergeCells count="2">
    <mergeCell ref="A1:D1"/>
    <mergeCell ref="A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22</v>
      </c>
      <c r="B1" s="1"/>
      <c r="C1" s="1"/>
      <c r="D1" s="1"/>
    </row>
    <row r="2" customFormat="false" ht="15" hidden="false" customHeight="false" outlineLevel="0" collapsed="false">
      <c r="A2" s="3" t="s">
        <v>203</v>
      </c>
      <c r="B2" s="3"/>
      <c r="C2" s="3"/>
      <c r="D2" s="3"/>
    </row>
    <row r="3" customFormat="false" ht="15" hidden="false" customHeight="false" outlineLevel="0" collapsed="false">
      <c r="A3" s="5" t="s">
        <v>204</v>
      </c>
      <c r="B3" s="26" t="n">
        <f aca="false">UW_EGI*S_EGI</f>
        <v>850554</v>
      </c>
      <c r="D3" s="24" t="s">
        <v>205</v>
      </c>
    </row>
    <row r="4" customFormat="false" ht="23.85" hidden="false" customHeight="false" outlineLevel="0" collapsed="false">
      <c r="A4" s="5" t="s">
        <v>206</v>
      </c>
      <c r="B4" s="26" t="n">
        <f aca="false">MAX(T_MGMT,B3*U_MGMT_PCT)</f>
        <v>26400</v>
      </c>
      <c r="D4" s="24"/>
    </row>
    <row r="5" customFormat="false" ht="15" hidden="false" customHeight="false" outlineLevel="0" collapsed="false">
      <c r="A5" s="5" t="s">
        <v>207</v>
      </c>
      <c r="B5" s="26" t="n">
        <f aca="false">U_TAX+U_INS+U_UT+U_RM+U_PAY+U_ADM+B4</f>
        <v>228000</v>
      </c>
      <c r="D5" s="24"/>
    </row>
    <row r="6" customFormat="false" ht="15" hidden="false" customHeight="false" outlineLevel="0" collapsed="false">
      <c r="A6" s="5" t="s">
        <v>208</v>
      </c>
      <c r="B6" s="26" t="n">
        <f aca="false">B3-B5</f>
        <v>622554</v>
      </c>
      <c r="D6" s="24" t="s">
        <v>209</v>
      </c>
    </row>
    <row r="7" customFormat="false" ht="15" hidden="false" customHeight="false" outlineLevel="0" collapsed="false">
      <c r="A7" s="5" t="s">
        <v>210</v>
      </c>
      <c r="B7" s="26" t="n">
        <f aca="false">B6-UW_RES</f>
        <v>608154</v>
      </c>
      <c r="D7" s="24"/>
    </row>
    <row r="8" customFormat="false" ht="15" hidden="false" customHeight="false" outlineLevel="0" collapsed="false">
      <c r="A8" s="5" t="s">
        <v>211</v>
      </c>
      <c r="B8" s="29" t="n">
        <f aca="false">SIZ_RATE+S_RATE</f>
        <v>0.085</v>
      </c>
      <c r="D8" s="24"/>
    </row>
    <row r="9" customFormat="false" ht="15" hidden="false" customHeight="false" outlineLevel="0" collapsed="false">
      <c r="A9" s="5" t="s">
        <v>212</v>
      </c>
      <c r="B9" s="30" t="n">
        <f aca="false">-12*PMT(B8/12,L_AMORT*12,1)</f>
        <v>0.09226961803012</v>
      </c>
      <c r="D9" s="24"/>
    </row>
    <row r="10" customFormat="false" ht="15" hidden="false" customHeight="false" outlineLevel="0" collapsed="false">
      <c r="A10" s="5" t="s">
        <v>213</v>
      </c>
      <c r="B10" s="26" t="n">
        <f aca="false">B6/L_CAP</f>
        <v>9577753.84615385</v>
      </c>
      <c r="D10" s="24"/>
    </row>
    <row r="11" customFormat="false" ht="15" hidden="false" customHeight="false" outlineLevel="0" collapsed="false">
      <c r="A11" s="5" t="s">
        <v>214</v>
      </c>
      <c r="B11" s="27" t="n">
        <f aca="false">L_LTV*B10</f>
        <v>5746652.30769231</v>
      </c>
      <c r="D11" s="24"/>
    </row>
    <row r="12" customFormat="false" ht="15" hidden="false" customHeight="false" outlineLevel="0" collapsed="false">
      <c r="A12" s="5" t="s">
        <v>215</v>
      </c>
      <c r="B12" s="27" t="n">
        <f aca="false">B7/(L_DSCR*B9)</f>
        <v>5070041.24670874</v>
      </c>
      <c r="D12" s="24"/>
    </row>
    <row r="13" customFormat="false" ht="15" hidden="false" customHeight="false" outlineLevel="0" collapsed="false">
      <c r="A13" s="5" t="s">
        <v>216</v>
      </c>
      <c r="B13" s="27" t="n">
        <f aca="false">B7/L_DY</f>
        <v>6401621.05263158</v>
      </c>
      <c r="D13" s="24"/>
    </row>
    <row r="14" customFormat="false" ht="15" hidden="false" customHeight="false" outlineLevel="0" collapsed="false">
      <c r="A14" s="5" t="s">
        <v>217</v>
      </c>
      <c r="B14" s="26" t="n">
        <f aca="false">MIN(B11,B12,B13)</f>
        <v>5070041.24670874</v>
      </c>
      <c r="D14" s="24" t="s">
        <v>217</v>
      </c>
    </row>
    <row r="15" customFormat="false" ht="15" hidden="false" customHeight="false" outlineLevel="0" collapsed="false">
      <c r="A15" s="5" t="s">
        <v>218</v>
      </c>
      <c r="B15" s="31" t="str">
        <f aca="false">IF(B14=B11,"LTV",IF(B14=B12,"DSCR","Debt yield"))</f>
        <v>DSCR</v>
      </c>
    </row>
    <row r="17" customFormat="false" ht="15" hidden="false" customHeight="false" outlineLevel="0" collapsed="false">
      <c r="A17" s="3" t="s">
        <v>219</v>
      </c>
      <c r="B17" s="3"/>
      <c r="C17" s="3"/>
      <c r="D17" s="3"/>
    </row>
    <row r="18" customFormat="false" ht="15" hidden="false" customHeight="false" outlineLevel="0" collapsed="false">
      <c r="A18" s="5" t="s">
        <v>220</v>
      </c>
      <c r="B18" s="29" t="n">
        <f aca="false">L_CAP+S_CAP</f>
        <v>0.07</v>
      </c>
      <c r="D18" s="24"/>
    </row>
    <row r="19" customFormat="false" ht="15" hidden="false" customHeight="false" outlineLevel="0" collapsed="false">
      <c r="A19" s="5" t="s">
        <v>221</v>
      </c>
      <c r="B19" s="26" t="n">
        <f aca="false">UW_NOI/B18</f>
        <v>9526577.14285714</v>
      </c>
      <c r="D19" s="24"/>
    </row>
    <row r="20" customFormat="false" ht="15" hidden="false" customHeight="false" outlineLevel="0" collapsed="false">
      <c r="A20" s="5" t="s">
        <v>222</v>
      </c>
      <c r="B20" s="27" t="n">
        <f aca="false">L_LTV*B19</f>
        <v>5715946.28571428</v>
      </c>
      <c r="D20" s="24"/>
    </row>
    <row r="21" customFormat="false" ht="15" hidden="false" customHeight="false" outlineLevel="0" collapsed="false">
      <c r="A21" s="5" t="s">
        <v>223</v>
      </c>
      <c r="B21" s="27" t="n">
        <f aca="false">UW_NCF/(L_DSCR*ADC_SIZ)</f>
        <v>5981624.25175529</v>
      </c>
      <c r="D21" s="24"/>
    </row>
    <row r="22" customFormat="false" ht="15" hidden="false" customHeight="false" outlineLevel="0" collapsed="false">
      <c r="A22" s="5" t="s">
        <v>224</v>
      </c>
      <c r="B22" s="27" t="n">
        <f aca="false">UW_NCF/L_DY</f>
        <v>6868004.21052632</v>
      </c>
      <c r="D22" s="24"/>
    </row>
    <row r="23" customFormat="false" ht="15" hidden="false" customHeight="false" outlineLevel="0" collapsed="false">
      <c r="A23" s="5" t="s">
        <v>225</v>
      </c>
      <c r="B23" s="26" t="n">
        <f aca="false">MIN(B20,B21,B22)</f>
        <v>5715946.28571428</v>
      </c>
      <c r="D23" s="24"/>
    </row>
  </sheetData>
  <mergeCells count="3">
    <mergeCell ref="A1:D1"/>
    <mergeCell ref="A2:D2"/>
    <mergeCell ref="A17:D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70"/>
  </cols>
  <sheetData>
    <row r="1" customFormat="false" ht="15" hidden="false" customHeight="true" outlineLevel="0" collapsed="false">
      <c r="A1" s="1" t="s">
        <v>226</v>
      </c>
      <c r="B1" s="1"/>
      <c r="C1" s="1"/>
    </row>
    <row r="2" customFormat="false" ht="15" hidden="false" customHeight="false" outlineLevel="0" collapsed="false">
      <c r="A2" s="15" t="s">
        <v>227</v>
      </c>
      <c r="B2" s="15" t="s">
        <v>228</v>
      </c>
      <c r="C2" s="15" t="s">
        <v>229</v>
      </c>
    </row>
    <row r="3" customFormat="false" ht="26" hidden="false" customHeight="true" outlineLevel="0" collapsed="false">
      <c r="A3" s="2" t="s">
        <v>128</v>
      </c>
      <c r="B3" s="34" t="n">
        <f aca="false">UnitCount</f>
        <v>3</v>
      </c>
      <c r="C3" s="5" t="s">
        <v>230</v>
      </c>
    </row>
    <row r="4" customFormat="false" ht="26" hidden="false" customHeight="true" outlineLevel="0" collapsed="false">
      <c r="A4" s="2" t="s">
        <v>129</v>
      </c>
      <c r="B4" s="34" t="n">
        <f aca="false">OccUnits</f>
        <v>3</v>
      </c>
      <c r="C4" s="5" t="s">
        <v>231</v>
      </c>
    </row>
    <row r="5" customFormat="false" ht="26" hidden="false" customHeight="true" outlineLevel="0" collapsed="false">
      <c r="A5" s="2" t="s">
        <v>130</v>
      </c>
      <c r="B5" s="34" t="n">
        <f aca="false">TotalSF</f>
        <v>72000</v>
      </c>
      <c r="C5" s="5" t="s">
        <v>232</v>
      </c>
    </row>
    <row r="6" customFormat="false" ht="26" hidden="false" customHeight="true" outlineLevel="0" collapsed="false">
      <c r="A6" s="2" t="s">
        <v>131</v>
      </c>
      <c r="B6" s="34" t="n">
        <f aca="false">OccSF</f>
        <v>72000</v>
      </c>
      <c r="C6" s="5" t="s">
        <v>233</v>
      </c>
    </row>
    <row r="7" customFormat="false" ht="26" hidden="false" customHeight="true" outlineLevel="0" collapsed="false">
      <c r="A7" s="2" t="s">
        <v>132</v>
      </c>
      <c r="B7" s="35" t="n">
        <f aca="false">OccUnits/UnitCount*100</f>
        <v>100</v>
      </c>
      <c r="C7" s="5" t="s">
        <v>234</v>
      </c>
    </row>
    <row r="8" customFormat="false" ht="26" hidden="false" customHeight="true" outlineLevel="0" collapsed="false">
      <c r="A8" s="2" t="s">
        <v>133</v>
      </c>
      <c r="B8" s="35" t="n">
        <f aca="false">OccSF/TotalSF*100</f>
        <v>100</v>
      </c>
      <c r="C8" s="5" t="s">
        <v>234</v>
      </c>
    </row>
    <row r="9" customFormat="false" ht="26" hidden="false" customHeight="true" outlineLevel="0" collapsed="false">
      <c r="A9" s="2" t="s">
        <v>134</v>
      </c>
      <c r="B9" s="36" t="n">
        <f aca="false">'Rent Roll'!E15</f>
        <v>62000</v>
      </c>
      <c r="C9" s="5" t="s">
        <v>235</v>
      </c>
    </row>
    <row r="10" customFormat="false" ht="26" hidden="false" customHeight="true" outlineLevel="0" collapsed="false">
      <c r="A10" s="2" t="s">
        <v>236</v>
      </c>
      <c r="B10" s="36" t="n">
        <f aca="false">'Rent Roll'!E16</f>
        <v>62000</v>
      </c>
      <c r="C10" s="5" t="s">
        <v>237</v>
      </c>
    </row>
    <row r="11" customFormat="false" ht="26" hidden="false" customHeight="true" outlineLevel="0" collapsed="false">
      <c r="A11" s="2" t="s">
        <v>238</v>
      </c>
      <c r="B11" s="36" t="n">
        <f aca="false">T_GPR+T_VAC+T_CONC+T_BD+T_OI</f>
        <v>882000</v>
      </c>
      <c r="C11" s="5" t="s">
        <v>239</v>
      </c>
    </row>
    <row r="12" customFormat="false" ht="26" hidden="false" customHeight="true" outlineLevel="0" collapsed="false">
      <c r="A12" s="2" t="s">
        <v>240</v>
      </c>
      <c r="B12" s="36" t="n">
        <f aca="false">T_TAX+T_INS+T_UT+T_RM+T_PAY+T_ADM+T_MGMT</f>
        <v>212400</v>
      </c>
      <c r="C12" s="5" t="s">
        <v>241</v>
      </c>
    </row>
    <row r="13" customFormat="false" ht="26" hidden="false" customHeight="true" outlineLevel="0" collapsed="false">
      <c r="A13" s="2" t="s">
        <v>242</v>
      </c>
      <c r="B13" s="36" t="n">
        <f aca="false">(T_GPR+T_VAC+T_CONC+T_BD+T_OI)-(T_TAX+T_INS+T_UT+T_RM+T_PAY+T_ADM+T_MGMT)</f>
        <v>669600</v>
      </c>
      <c r="C13" s="5" t="s">
        <v>243</v>
      </c>
    </row>
    <row r="14" customFormat="false" ht="26" hidden="false" customHeight="true" outlineLevel="0" collapsed="false">
      <c r="A14" s="2" t="s">
        <v>244</v>
      </c>
      <c r="B14" s="36" t="n">
        <f aca="false">T_RES</f>
        <v>14400</v>
      </c>
      <c r="C14" s="5" t="s">
        <v>245</v>
      </c>
    </row>
    <row r="15" customFormat="false" ht="26" hidden="false" customHeight="true" outlineLevel="0" collapsed="false">
      <c r="A15" s="2" t="s">
        <v>246</v>
      </c>
      <c r="B15" s="36" t="n">
        <f aca="false">(T_GPR+T_VAC+T_CONC+T_BD+T_OI)-(T_TAX+T_INS+T_UT+T_RM+T_PAY+T_ADM+T_MGMT)-T_RES</f>
        <v>655200</v>
      </c>
      <c r="C15" s="5" t="s">
        <v>247</v>
      </c>
    </row>
    <row r="16" customFormat="false" ht="26" hidden="false" customHeight="true" outlineLevel="0" collapsed="false">
      <c r="A16" s="2" t="s">
        <v>154</v>
      </c>
      <c r="B16" s="36" t="n">
        <f aca="false">UW_EGI</f>
        <v>895320</v>
      </c>
      <c r="C16" s="5" t="s">
        <v>248</v>
      </c>
    </row>
    <row r="17" customFormat="false" ht="26" hidden="false" customHeight="true" outlineLevel="0" collapsed="false">
      <c r="A17" s="2" t="s">
        <v>158</v>
      </c>
      <c r="B17" s="36" t="n">
        <f aca="false">UW_MGMT</f>
        <v>26859.6</v>
      </c>
      <c r="C17" s="5" t="s">
        <v>249</v>
      </c>
    </row>
    <row r="18" customFormat="false" ht="26" hidden="false" customHeight="true" outlineLevel="0" collapsed="false">
      <c r="A18" s="2" t="s">
        <v>160</v>
      </c>
      <c r="B18" s="36" t="n">
        <f aca="false">UW_OPEX</f>
        <v>228459.6</v>
      </c>
      <c r="C18" s="5" t="s">
        <v>250</v>
      </c>
    </row>
    <row r="19" customFormat="false" ht="26" hidden="false" customHeight="true" outlineLevel="0" collapsed="false">
      <c r="A19" s="2" t="s">
        <v>161</v>
      </c>
      <c r="B19" s="36" t="n">
        <f aca="false">UW_NOI</f>
        <v>666860.4</v>
      </c>
      <c r="C19" s="5" t="s">
        <v>251</v>
      </c>
    </row>
    <row r="20" customFormat="false" ht="26" hidden="false" customHeight="true" outlineLevel="0" collapsed="false">
      <c r="A20" s="2" t="s">
        <v>163</v>
      </c>
      <c r="B20" s="36" t="n">
        <f aca="false">UW_RES</f>
        <v>14400</v>
      </c>
      <c r="C20" s="5" t="s">
        <v>252</v>
      </c>
    </row>
    <row r="21" customFormat="false" ht="26" hidden="false" customHeight="true" outlineLevel="0" collapsed="false">
      <c r="A21" s="2" t="s">
        <v>164</v>
      </c>
      <c r="B21" s="36" t="n">
        <f aca="false">UW_NCF</f>
        <v>652460.4</v>
      </c>
      <c r="C21" s="5" t="s">
        <v>253</v>
      </c>
    </row>
    <row r="22" customFormat="false" ht="26" hidden="false" customHeight="true" outlineLevel="0" collapsed="false">
      <c r="A22" s="2" t="s">
        <v>166</v>
      </c>
      <c r="B22" s="36" t="n">
        <f aca="false">UW_VAL</f>
        <v>10259390.7692308</v>
      </c>
      <c r="C22" s="5" t="s">
        <v>254</v>
      </c>
    </row>
    <row r="23" customFormat="false" ht="26" hidden="false" customHeight="true" outlineLevel="0" collapsed="false">
      <c r="A23" s="2" t="s">
        <v>168</v>
      </c>
      <c r="B23" s="37" t="n">
        <f aca="false">L_CR</f>
        <v>0.061</v>
      </c>
      <c r="C23" s="5" t="s">
        <v>255</v>
      </c>
    </row>
    <row r="24" customFormat="false" ht="26" hidden="false" customHeight="true" outlineLevel="0" collapsed="false">
      <c r="A24" s="2" t="s">
        <v>170</v>
      </c>
      <c r="B24" s="37" t="n">
        <f aca="false">MAX(L_CR,L_SR_FLOOR)</f>
        <v>0.075</v>
      </c>
      <c r="C24" s="5" t="s">
        <v>256</v>
      </c>
    </row>
    <row r="25" customFormat="false" ht="26" hidden="false" customHeight="true" outlineLevel="0" collapsed="false">
      <c r="A25" s="2" t="s">
        <v>172</v>
      </c>
      <c r="B25" s="37" t="n">
        <f aca="false">ADC_SIZ</f>
        <v>0.0839057410263335</v>
      </c>
      <c r="C25" s="5" t="s">
        <v>257</v>
      </c>
    </row>
    <row r="26" customFormat="false" ht="26" hidden="false" customHeight="true" outlineLevel="0" collapsed="false">
      <c r="A26" s="2" t="s">
        <v>174</v>
      </c>
      <c r="B26" s="36" t="n">
        <f aca="false">L_LTV*UW_VAL</f>
        <v>6155634.46153846</v>
      </c>
      <c r="C26" s="5" t="s">
        <v>258</v>
      </c>
    </row>
    <row r="27" customFormat="false" ht="26" hidden="false" customHeight="true" outlineLevel="0" collapsed="false">
      <c r="A27" s="2" t="s">
        <v>176</v>
      </c>
      <c r="B27" s="36" t="n">
        <f aca="false">UW_NCF/(L_DSCR*ADC_SIZ)</f>
        <v>5981624.25175529</v>
      </c>
      <c r="C27" s="5" t="s">
        <v>259</v>
      </c>
    </row>
    <row r="28" customFormat="false" ht="26" hidden="false" customHeight="true" outlineLevel="0" collapsed="false">
      <c r="A28" s="2" t="s">
        <v>178</v>
      </c>
      <c r="B28" s="36" t="n">
        <f aca="false">UW_NCF/L_DY</f>
        <v>6868004.21052632</v>
      </c>
      <c r="C28" s="5" t="s">
        <v>260</v>
      </c>
    </row>
    <row r="29" customFormat="false" ht="26" hidden="false" customHeight="true" outlineLevel="0" collapsed="false">
      <c r="A29" s="2" t="s">
        <v>180</v>
      </c>
      <c r="B29" s="36" t="n">
        <f aca="false">MAX_LOAN</f>
        <v>5981624.25175529</v>
      </c>
      <c r="C29" s="5" t="s">
        <v>261</v>
      </c>
    </row>
    <row r="30" customFormat="false" ht="26" hidden="false" customHeight="true" outlineLevel="0" collapsed="false">
      <c r="A30" s="2" t="s">
        <v>182</v>
      </c>
      <c r="B30" s="38" t="str">
        <f aca="false">'Loan Sizing'!B10</f>
        <v>DSCR</v>
      </c>
      <c r="C30" s="5" t="s">
        <v>262</v>
      </c>
    </row>
    <row r="31" customFormat="false" ht="26" hidden="false" customHeight="true" outlineLevel="0" collapsed="false">
      <c r="A31" s="2" t="s">
        <v>184</v>
      </c>
      <c r="B31" s="36" t="n">
        <f aca="false">MAX_LOAN*ADC_SIZ</f>
        <v>501892.615384615</v>
      </c>
      <c r="C31" s="5" t="s">
        <v>263</v>
      </c>
    </row>
    <row r="32" customFormat="false" ht="26" hidden="false" customHeight="true" outlineLevel="0" collapsed="false">
      <c r="A32" s="2" t="s">
        <v>186</v>
      </c>
      <c r="B32" s="39" t="n">
        <f aca="false">UW_NCF/(MAX_LOAN*ADC_SIZ)</f>
        <v>1.3</v>
      </c>
      <c r="C32" s="5" t="s">
        <v>264</v>
      </c>
    </row>
    <row r="33" customFormat="false" ht="26" hidden="false" customHeight="true" outlineLevel="0" collapsed="false">
      <c r="A33" s="2" t="s">
        <v>188</v>
      </c>
      <c r="B33" s="37" t="n">
        <f aca="false">UW_NCF/MAX_LOAN</f>
        <v>0.109077463334234</v>
      </c>
      <c r="C33" s="5" t="s">
        <v>265</v>
      </c>
    </row>
    <row r="34" customFormat="false" ht="26" hidden="false" customHeight="true" outlineLevel="0" collapsed="false">
      <c r="A34" s="2" t="s">
        <v>190</v>
      </c>
      <c r="B34" s="36" t="n">
        <f aca="false">MAX_LOAN*L_CR</f>
        <v>364879.079357073</v>
      </c>
      <c r="C34" s="5" t="s">
        <v>266</v>
      </c>
    </row>
    <row r="35" customFormat="false" ht="26" hidden="false" customHeight="true" outlineLevel="0" collapsed="false">
      <c r="A35" s="2" t="s">
        <v>267</v>
      </c>
      <c r="B35" s="36" t="n">
        <f aca="false">MAX_LOAN-(L_PAYOFF+L_ORIG*MAX_LOAN+L_CLOSE)</f>
        <v>2266808.00923774</v>
      </c>
      <c r="C35" s="5" t="s">
        <v>268</v>
      </c>
    </row>
    <row r="36" customFormat="false" ht="26" hidden="false" customHeight="true" outlineLevel="0" collapsed="false">
      <c r="A36" s="2" t="s">
        <v>209</v>
      </c>
      <c r="B36" s="36" t="n">
        <f aca="false">Sensitivity!B6</f>
        <v>622554</v>
      </c>
      <c r="C36" s="5" t="s">
        <v>269</v>
      </c>
    </row>
    <row r="37" customFormat="false" ht="26" hidden="false" customHeight="true" outlineLevel="0" collapsed="false">
      <c r="A37" s="2" t="s">
        <v>217</v>
      </c>
      <c r="B37" s="36" t="n">
        <f aca="false">Sensitivity!B14</f>
        <v>5070041.24670874</v>
      </c>
      <c r="C37" s="5" t="s">
        <v>270</v>
      </c>
    </row>
    <row r="38" customFormat="false" ht="26" hidden="false" customHeight="true" outlineLevel="0" collapsed="false">
      <c r="A38" s="2" t="s">
        <v>271</v>
      </c>
      <c r="B38" s="36" t="n">
        <v>12800</v>
      </c>
      <c r="C38" s="5" t="s">
        <v>272</v>
      </c>
    </row>
    <row r="39" customFormat="false" ht="26" hidden="false" customHeight="true" outlineLevel="0" collapsed="false">
      <c r="A39" s="2" t="s">
        <v>273</v>
      </c>
      <c r="B39" s="38" t="s">
        <v>121</v>
      </c>
      <c r="C39" s="5" t="s">
        <v>274</v>
      </c>
    </row>
    <row r="40" customFormat="false" ht="26" hidden="false" customHeight="true" outlineLevel="0" collapsed="false">
      <c r="A40" s="2" t="s">
        <v>275</v>
      </c>
      <c r="B40" s="36" t="n">
        <v>25600</v>
      </c>
      <c r="C40" s="5" t="s">
        <v>276</v>
      </c>
    </row>
    <row r="41" customFormat="false" ht="26" hidden="false" customHeight="true" outlineLevel="0" collapsed="false">
      <c r="A41" s="2" t="s">
        <v>277</v>
      </c>
      <c r="B41" s="38" t="s">
        <v>278</v>
      </c>
      <c r="C41" s="5" t="s">
        <v>279</v>
      </c>
    </row>
    <row r="42" customFormat="false" ht="26" hidden="false" customHeight="true" outlineLevel="0" collapsed="false">
      <c r="A42" s="2" t="s">
        <v>280</v>
      </c>
      <c r="B42" s="38" t="s">
        <v>281</v>
      </c>
      <c r="C42" s="5" t="s">
        <v>282</v>
      </c>
    </row>
    <row r="43" customFormat="false" ht="26" hidden="false" customHeight="true" outlineLevel="0" collapsed="false">
      <c r="A43" s="2" t="s">
        <v>283</v>
      </c>
      <c r="B43" s="38" t="s">
        <v>284</v>
      </c>
      <c r="C43" s="5" t="s">
        <v>89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