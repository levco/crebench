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T12" sheetId="4" state="visible" r:id="rId4"/>
    <sheet xmlns:r="http://schemas.openxmlformats.org/officeDocument/2006/relationships" name="Underwriting" sheetId="5" state="visible" r:id="rId5"/>
    <sheet xmlns:r="http://schemas.openxmlformats.org/officeDocument/2006/relationships" name="Loan Sizing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Field Report" sheetId="8" state="visible" r:id="rId8"/>
  </sheets>
  <definedNames>
    <definedName name="TotalSF">Assumptions!$B$3</definedName>
    <definedName name="UnitCount">Assumptions!$B$4</definedName>
    <definedName name="OccUnits">Assumptions!$B$5</definedName>
    <definedName name="OccSF">Assumptions!$B$6</definedName>
    <definedName name="T_GPR">Assumptions!$B$9</definedName>
    <definedName name="T_VAC">Assumptions!$B$10</definedName>
    <definedName name="T_CONC">Assumptions!$B$11</definedName>
    <definedName name="T_BD">Assumptions!$B$12</definedName>
    <definedName name="T_OI">Assumptions!$B$13</definedName>
    <definedName name="T_TAX">Assumptions!$B$14</definedName>
    <definedName name="T_INS">Assumptions!$B$15</definedName>
    <definedName name="T_UT">Assumptions!$B$16</definedName>
    <definedName name="T_RM">Assumptions!$B$17</definedName>
    <definedName name="T_PAY">Assumptions!$B$18</definedName>
    <definedName name="T_ADM">Assumptions!$B$19</definedName>
    <definedName name="T_MGMT">Assumptions!$B$20</definedName>
    <definedName name="T_RES">Assumptions!$B$21</definedName>
    <definedName name="U_GPR">Assumptions!$B$24</definedName>
    <definedName name="U_LOSS">Assumptions!$B$25</definedName>
    <definedName name="U_OI">Assumptions!$B$26</definedName>
    <definedName name="U_TAX">Assumptions!$B$27</definedName>
    <definedName name="U_INS">Assumptions!$B$28</definedName>
    <definedName name="U_UT">Assumptions!$B$29</definedName>
    <definedName name="U_RM">Assumptions!$B$30</definedName>
    <definedName name="U_PAY">Assumptions!$B$31</definedName>
    <definedName name="U_ADM">Assumptions!$B$32</definedName>
    <definedName name="U_MGMT_PCT">Assumptions!$B$33</definedName>
    <definedName name="U_RES_PSF">Assumptions!$B$34</definedName>
    <definedName name="L_CAP">Assumptions!$B$37</definedName>
    <definedName name="L_LTV">Assumptions!$B$38</definedName>
    <definedName name="L_DSCR">Assumptions!$B$39</definedName>
    <definedName name="L_DY">Assumptions!$B$40</definedName>
    <definedName name="L_CR">Assumptions!$B$41</definedName>
    <definedName name="L_SR_FLOOR">Assumptions!$B$42</definedName>
    <definedName name="L_AMORT">Assumptions!$B$43</definedName>
    <definedName name="L_IO">Assumptions!$B$44</definedName>
    <definedName name="L_MAT">Assumptions!$B$45</definedName>
    <definedName name="L_ORIG">Assumptions!$B$46</definedName>
    <definedName name="L_PAYOFF">Assumptions!$B$47</definedName>
    <definedName name="L_CLOSE">Assumptions!$B$48</definedName>
    <definedName name="S_EGI">Assumptions!$B$51</definedName>
    <definedName name="S_RATE">Assumptions!$B$52</definedName>
    <definedName name="S_CAP">Assumptions!$B$53</definedName>
    <definedName name="UW_EGI">Underwriting!$B$5</definedName>
    <definedName name="UW_MGMT">Underwriting!$B$13</definedName>
    <definedName name="UW_OPEX">Underwriting!$B$14</definedName>
    <definedName name="UW_NOI">Underwriting!$B$16</definedName>
    <definedName name="UW_RES">Underwriting!$B$17</definedName>
    <definedName name="UW_NCF">Underwriting!$B$18</definedName>
    <definedName name="UW_VAL">Underwriting!$B$20</definedName>
    <definedName name="MAX_LOAN">'Loan Sizing'!$B$9</definedName>
    <definedName name="SIZ_RATE">'Loan Sizing'!$B$3</definedName>
    <definedName name="ADC_SIZ">'Loan Sizing'!$B$4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&quot;$&quot;0.00"/>
    <numFmt numFmtId="166" formatCode="0.0000%"/>
    <numFmt numFmtId="167" formatCode="0.0000&quot;x&quot;"/>
    <numFmt numFmtId="168" formatCode="&quot;$&quot;#,##0.00"/>
    <numFmt numFmtId="169" formatCode="0.000000"/>
    <numFmt numFmtId="170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5" borderId="0" pivotButton="0" quotePrefix="0" xfId="0"/>
    <xf numFmtId="3" fontId="0" fillId="4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0" fillId="4" borderId="0" pivotButton="0" quotePrefix="0" xfId="0"/>
    <xf numFmtId="10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3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3" fillId="0" borderId="0" pivotButton="0" quotePrefix="0" xfId="0"/>
    <xf numFmtId="168" fontId="0" fillId="5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6" fontId="0" fillId="5" borderId="0" pivotButton="0" quotePrefix="0" xfId="0"/>
    <xf numFmtId="169" fontId="0" fillId="5" borderId="0" pivotButton="0" quotePrefix="0" xfId="0"/>
    <xf numFmtId="0" fontId="0" fillId="5" borderId="0" applyAlignment="1" pivotButton="0" quotePrefix="0" xfId="0">
      <alignment horizontal="center" vertical="center"/>
    </xf>
    <xf numFmtId="167" fontId="0" fillId="5" borderId="0" pivotButton="0" quotePrefix="0" xfId="0"/>
    <xf numFmtId="3" fontId="0" fillId="0" borderId="0" pivotButton="0" quotePrefix="0" xfId="0"/>
    <xf numFmtId="3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168" fontId="0" fillId="5" borderId="0" applyAlignment="1" pivotButton="0" quotePrefix="0" xfId="0">
      <alignment horizontal="center" vertical="center"/>
    </xf>
    <xf numFmtId="169" fontId="0" fillId="5" borderId="0" applyAlignment="1" pivotButton="0" quotePrefix="0" xfId="0">
      <alignment horizontal="center" vertical="center"/>
    </xf>
    <xf numFmtId="49" fontId="0" fillId="5" borderId="0" applyAlignment="1" pivotButton="0" quotePrefix="0" xfId="0">
      <alignment horizontal="center" vertical="center"/>
    </xf>
    <xf numFmtId="17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6" customHeight="1">
      <c r="A1" s="1" t="inlineStr">
        <is>
          <t>Meadow Commerce | Refinance Underwriting Workbook</t>
        </is>
      </c>
      <c r="B1" s="2" t="n"/>
    </row>
    <row r="2">
      <c r="A2" s="3" t="inlineStr">
        <is>
          <t>As of</t>
        </is>
      </c>
      <c r="B2" t="inlineStr">
        <is>
          <t>August 31, 2026</t>
        </is>
      </c>
    </row>
    <row r="3">
      <c r="A3" s="3" t="inlineStr">
        <is>
          <t>Property</t>
        </is>
      </c>
      <c r="B3" t="inlineStr">
        <is>
          <t>Meadow Commerce | 6100 Meadow Bench Parkway, Richmond, VA 23234 (fictional)</t>
        </is>
      </c>
    </row>
    <row r="4">
      <c r="A4" s="3" t="inlineStr">
        <is>
          <t>Sponsor</t>
        </is>
      </c>
      <c r="B4" t="inlineStr">
        <is>
          <t>Meadow Commerce Owner LLC (fictional)</t>
        </is>
      </c>
    </row>
    <row r="5">
      <c r="A5" s="3" t="inlineStr">
        <is>
          <t>Loan purpose</t>
        </is>
      </c>
      <c r="B5" t="inlineStr">
        <is>
          <t>First-mortgage refinance; cash-out if proceeds permit</t>
        </is>
      </c>
    </row>
    <row r="6">
      <c r="A6" s="3" t="inlineStr">
        <is>
          <t>Currency</t>
        </is>
      </c>
      <c r="B6" t="inlineStr">
        <is>
          <t>USD; rates in decimal (workbook displays percent where noted)</t>
        </is>
      </c>
    </row>
    <row r="8">
      <c r="A8" s="4" t="inlineStr">
        <is>
          <t>How to use this workbook</t>
        </is>
      </c>
      <c r="B8" s="5" t="n"/>
    </row>
    <row r="9" ht="30" customHeight="1">
      <c r="A9" s="6" t="inlineStr">
        <is>
          <t>Editable inputs</t>
        </is>
      </c>
      <c r="B9" s="7" t="inlineStr">
        <is>
          <t>All yellow-shaded cells on the Assumptions sheet are reviewer-editable.</t>
        </is>
      </c>
    </row>
    <row r="10" ht="30" customHeight="1">
      <c r="A10" s="6" t="inlineStr">
        <is>
          <t>Key levers</t>
        </is>
      </c>
      <c r="B10" s="7" t="inlineStr">
        <is>
          <t>Change cap rate, sizing rate, EGI drivers (GPR, revenue loss %, other income) — every downstream figure recalculates.</t>
        </is>
      </c>
    </row>
    <row r="11" ht="30" customHeight="1">
      <c r="A11" s="6" t="inlineStr">
        <is>
          <t>Loan sizing</t>
        </is>
      </c>
      <c r="B11" s="7" t="inlineStr">
        <is>
          <t>Loan Sizing sheet computes LTV, DSCR and Debt Yield limits from live NOI/NCF; binding constraint auto-selects the minimum.</t>
        </is>
      </c>
    </row>
    <row r="12" ht="30" customHeight="1">
      <c r="A12" s="6" t="inlineStr">
        <is>
          <t>First-year DS</t>
        </is>
      </c>
      <c r="B12" s="7" t="inlineStr">
        <is>
          <t>First-year contractual debt service uses the contract rate and honors the 12-month IO period (interest-only).</t>
        </is>
      </c>
    </row>
    <row r="13" ht="30" customHeight="1">
      <c r="A13" s="6" t="inlineStr">
        <is>
          <t>Sizing DS</t>
        </is>
      </c>
      <c r="B13" s="7" t="inlineStr">
        <is>
          <t>Sizing DSCR and sizing debt yield both use the amortizing debt constant at the sizing rate, per lender convention.</t>
        </is>
      </c>
    </row>
    <row r="14" ht="30" customHeight="1">
      <c r="A14" s="6" t="inlineStr">
        <is>
          <t>Sensitivity</t>
        </is>
      </c>
      <c r="B14" s="7" t="inlineStr">
        <is>
          <t>Sensitivity sheet shows the combined downside (EGI -5% AND sizing rate +100 bps, cap rate unchanged) and a separate cap-rate +50 bps case.</t>
        </is>
      </c>
    </row>
    <row r="15" ht="30" customHeight="1">
      <c r="A15" s="6" t="inlineStr">
        <is>
          <t>Sources &amp; Uses</t>
        </is>
      </c>
      <c r="B15" s="7" t="inlineStr">
        <is>
          <t>Uses = existing payoff + origination fee (1% of principal) + fixed closing costs. Cash to borrower = loan - uses. Negative = cash-in.</t>
        </is>
      </c>
    </row>
    <row r="16" ht="30" customHeight="1">
      <c r="A16" s="6" t="inlineStr">
        <is>
          <t>Provisional insurance</t>
        </is>
      </c>
      <c r="B16" s="7" t="inlineStr">
        <is>
          <t>$36,000 is the underwriting placeholder only; no verified renewal quote/binder was delivered.</t>
        </is>
      </c>
    </row>
    <row r="17" ht="30" customHeight="1">
      <c r="A17" s="6" t="inlineStr">
        <is>
          <t>Renewal option (Unit 101)</t>
        </is>
      </c>
      <c r="B17" s="7" t="inlineStr">
        <is>
          <t>Not exercised in delivered materials. Current expiry remains 2028-08-31.</t>
        </is>
      </c>
    </row>
    <row r="19">
      <c r="A19" s="4" t="inlineStr">
        <is>
          <t>Sheet map</t>
        </is>
      </c>
      <c r="B19" s="5" t="n"/>
    </row>
    <row r="20" ht="28" customHeight="1">
      <c r="A20" s="3" t="inlineStr">
        <is>
          <t>Assumptions</t>
        </is>
      </c>
      <c r="B20" s="7" t="inlineStr">
        <is>
          <t>All editable inputs (property, rent roll, T12 annual totals, underwriting scenario, lender terms). Named ranges used throughout.</t>
        </is>
      </c>
    </row>
    <row r="21" ht="28" customHeight="1">
      <c r="A21" s="3" t="inlineStr">
        <is>
          <t>Rent Roll</t>
        </is>
      </c>
      <c r="B21" s="7" t="inlineStr">
        <is>
          <t>Unit-level rent roll and occupancy KPIs (formulas).</t>
        </is>
      </c>
    </row>
    <row r="22" ht="28" customHeight="1">
      <c r="A22" s="3" t="inlineStr">
        <is>
          <t>T12</t>
        </is>
      </c>
      <c r="B22" s="7" t="inlineStr">
        <is>
          <t>Historical annual T12 EGI, opex, NOI before/after reserves, NCF.</t>
        </is>
      </c>
    </row>
    <row r="23" ht="28" customHeight="1">
      <c r="A23" s="3" t="inlineStr">
        <is>
          <t>Underwriting</t>
        </is>
      </c>
      <c r="B23" s="7" t="inlineStr">
        <is>
          <t>Underwritten EGI, management fee (greater-of), opex, NOI, NCF, capitalization value.</t>
        </is>
      </c>
    </row>
    <row r="24" ht="28" customHeight="1">
      <c r="A24" s="3" t="inlineStr">
        <is>
          <t>Loan Sizing</t>
        </is>
      </c>
      <c r="B24" s="7" t="inlineStr">
        <is>
          <t>LTV / DSCR / Debt Yield tests, binding constraint, sizing DS, first-year DS, sources &amp; uses, cash to borrower.</t>
        </is>
      </c>
    </row>
    <row r="25" ht="28" customHeight="1">
      <c r="A25" s="3" t="inlineStr">
        <is>
          <t>Sensitivity</t>
        </is>
      </c>
      <c r="B25" s="7" t="inlineStr">
        <is>
          <t>Combined downside and a separate cap-rate +50 bps case.</t>
        </is>
      </c>
    </row>
    <row r="26" ht="28" customHeight="1">
      <c r="A26" s="3" t="inlineStr">
        <is>
          <t>Field Report</t>
        </is>
      </c>
      <c r="B26" s="7" t="inlineStr">
        <is>
          <t>Every requested field ID mapped to its computed value with a source cite.</t>
        </is>
      </c>
    </row>
    <row r="28">
      <c r="A28" s="4" t="inlineStr">
        <is>
          <t>Legend</t>
        </is>
      </c>
      <c r="B28" s="5" t="n"/>
    </row>
    <row r="29">
      <c r="A29" s="8" t="inlineStr">
        <is>
          <t>Yellow</t>
        </is>
      </c>
      <c r="B29" t="inlineStr">
        <is>
          <t>Editable input</t>
        </is>
      </c>
    </row>
    <row r="30">
      <c r="A30" s="9" t="inlineStr">
        <is>
          <t>Green</t>
        </is>
      </c>
      <c r="B30" t="inlineStr">
        <is>
          <t>Key computed output</t>
        </is>
      </c>
    </row>
  </sheetData>
  <mergeCells count="4">
    <mergeCell ref="A8:B8"/>
    <mergeCell ref="A19:B19"/>
    <mergeCell ref="A1:B1"/>
    <mergeCell ref="A28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8" customWidth="1" min="3" max="3"/>
    <col width="60" customWidth="1" min="4" max="4"/>
  </cols>
  <sheetData>
    <row r="1">
      <c r="A1" s="1" t="inlineStr">
        <is>
          <t>Assumptions — editable inputs (yellow)</t>
        </is>
      </c>
      <c r="B1" s="2" t="n"/>
      <c r="C1" s="2" t="n"/>
      <c r="D1" s="2" t="n"/>
    </row>
    <row r="2">
      <c r="A2" s="4" t="inlineStr">
        <is>
          <t>Property</t>
        </is>
      </c>
      <c r="B2" s="5" t="n"/>
      <c r="C2" s="5" t="n"/>
      <c r="D2" s="5" t="n"/>
    </row>
    <row r="3">
      <c r="A3" s="7" t="inlineStr">
        <is>
          <t>Total rentable SF</t>
        </is>
      </c>
      <c r="B3" s="10" t="n">
        <v>72000</v>
      </c>
      <c r="D3" s="11" t="inlineStr">
        <is>
          <t>Rent-Roll.xlsx sum of E7:E9</t>
        </is>
      </c>
    </row>
    <row r="4">
      <c r="A4" s="7" t="inlineStr">
        <is>
          <t>Unit / suite count</t>
        </is>
      </c>
      <c r="B4" s="10" t="n">
        <v>3</v>
      </c>
      <c r="D4" s="11" t="inlineStr">
        <is>
          <t>Rent-Roll.xlsx C7:C9</t>
        </is>
      </c>
    </row>
    <row r="5">
      <c r="A5" s="7" t="inlineStr">
        <is>
          <t>Occupied unit count</t>
        </is>
      </c>
      <c r="B5" s="10" t="n">
        <v>3</v>
      </c>
      <c r="D5" s="11" t="inlineStr">
        <is>
          <t>Rent-Roll.xlsx F7:F9 = 'Occupied'</t>
        </is>
      </c>
    </row>
    <row r="6">
      <c r="A6" s="7" t="inlineStr">
        <is>
          <t>Occupied SF</t>
        </is>
      </c>
      <c r="B6" s="10" t="n">
        <v>72000</v>
      </c>
      <c r="D6" s="11" t="inlineStr">
        <is>
          <t>Sum of Area SF where Status='Occupied'</t>
        </is>
      </c>
    </row>
    <row r="8">
      <c r="A8" s="4" t="inlineStr">
        <is>
          <t>Historical T12 annual totals (Sep-2025 through Aug-2026)</t>
        </is>
      </c>
      <c r="B8" s="5" t="n"/>
      <c r="C8" s="5" t="n"/>
      <c r="D8" s="5" t="n"/>
    </row>
    <row r="9">
      <c r="A9" s="7" t="inlineStr">
        <is>
          <t>GPR</t>
        </is>
      </c>
      <c r="B9" s="12" t="n">
        <v>744000</v>
      </c>
      <c r="D9" s="11" t="inlineStr">
        <is>
          <t>T12-Statement.pdf p.2 annual</t>
        </is>
      </c>
    </row>
    <row r="10">
      <c r="A10" s="7" t="inlineStr">
        <is>
          <t>Vacancy loss</t>
        </is>
      </c>
      <c r="B10" s="12" t="n">
        <v>0</v>
      </c>
      <c r="D10" s="11" t="inlineStr">
        <is>
          <t>T12-Statement.pdf p.2 annual</t>
        </is>
      </c>
    </row>
    <row r="11">
      <c r="A11" s="7" t="inlineStr">
        <is>
          <t>Concessions (negative)</t>
        </is>
      </c>
      <c r="B11" s="12" t="n">
        <v>-18000</v>
      </c>
      <c r="D11" s="11" t="inlineStr">
        <is>
          <t>T12-Statement.pdf p.2 annual</t>
        </is>
      </c>
    </row>
    <row r="12">
      <c r="A12" s="7" t="inlineStr">
        <is>
          <t>Bad debt (negative)</t>
        </is>
      </c>
      <c r="B12" s="12" t="n">
        <v>-2400</v>
      </c>
      <c r="D12" s="11" t="inlineStr">
        <is>
          <t>T12-Statement.pdf p.2 annual</t>
        </is>
      </c>
    </row>
    <row r="13">
      <c r="A13" s="7" t="inlineStr">
        <is>
          <t>Other income / recoveries</t>
        </is>
      </c>
      <c r="B13" s="12" t="n">
        <v>158400</v>
      </c>
      <c r="D13" s="11" t="inlineStr">
        <is>
          <t>T12-Statement.pdf p.2 annual</t>
        </is>
      </c>
    </row>
    <row r="14">
      <c r="A14" s="7" t="inlineStr">
        <is>
          <t>Real estate taxes</t>
        </is>
      </c>
      <c r="B14" s="12" t="n">
        <v>102000</v>
      </c>
      <c r="D14" s="11" t="inlineStr">
        <is>
          <t>T12-Statement.pdf p.2 annual</t>
        </is>
      </c>
    </row>
    <row r="15">
      <c r="A15" s="7" t="inlineStr">
        <is>
          <t>Property insurance</t>
        </is>
      </c>
      <c r="B15" s="12" t="n">
        <v>26400</v>
      </c>
      <c r="D15" s="11" t="inlineStr">
        <is>
          <t>T12-Statement.pdf p.2 annual</t>
        </is>
      </c>
    </row>
    <row r="16">
      <c r="A16" s="7" t="inlineStr">
        <is>
          <t>Utilities</t>
        </is>
      </c>
      <c r="B16" s="12" t="n">
        <v>9600</v>
      </c>
      <c r="D16" s="11" t="inlineStr">
        <is>
          <t>T12-Statement.pdf p.2 annual</t>
        </is>
      </c>
    </row>
    <row r="17">
      <c r="A17" s="7" t="inlineStr">
        <is>
          <t>Repairs &amp; maintenance</t>
        </is>
      </c>
      <c r="B17" s="12" t="n">
        <v>19200</v>
      </c>
      <c r="D17" s="11" t="inlineStr">
        <is>
          <t>T12-Statement.pdf p.2 annual</t>
        </is>
      </c>
    </row>
    <row r="18">
      <c r="A18" s="7" t="inlineStr">
        <is>
          <t>Payroll / contract labor</t>
        </is>
      </c>
      <c r="B18" s="12" t="n">
        <v>12000</v>
      </c>
      <c r="D18" s="11" t="inlineStr">
        <is>
          <t>T12-Statement.pdf p.2 annual</t>
        </is>
      </c>
    </row>
    <row r="19">
      <c r="A19" s="7" t="inlineStr">
        <is>
          <t>Administrative / legal</t>
        </is>
      </c>
      <c r="B19" s="12" t="n">
        <v>16800</v>
      </c>
      <c r="D19" s="11" t="inlineStr">
        <is>
          <t>T12-Statement.pdf p.2 annual</t>
        </is>
      </c>
    </row>
    <row r="20">
      <c r="A20" s="7" t="inlineStr">
        <is>
          <t>Management fee (T12 actual)</t>
        </is>
      </c>
      <c r="B20" s="12" t="n">
        <v>26400</v>
      </c>
      <c r="D20" s="11" t="inlineStr">
        <is>
          <t>T12-Statement.pdf p.2 annual</t>
        </is>
      </c>
    </row>
    <row r="21">
      <c r="A21" s="7" t="inlineStr">
        <is>
          <t>Replacement reserves (T12)</t>
        </is>
      </c>
      <c r="B21" s="12" t="n">
        <v>14400</v>
      </c>
      <c r="D21" s="11" t="inlineStr">
        <is>
          <t>T12-Statement.pdf p.2 annual</t>
        </is>
      </c>
    </row>
    <row r="23">
      <c r="A23" s="4" t="inlineStr">
        <is>
          <t>Underwriting scenario</t>
        </is>
      </c>
      <c r="B23" s="5" t="n"/>
      <c r="C23" s="5" t="n"/>
      <c r="D23" s="5" t="n"/>
    </row>
    <row r="24">
      <c r="A24" s="7" t="inlineStr">
        <is>
          <t>Underwritten GPR</t>
        </is>
      </c>
      <c r="B24" s="12" t="n">
        <v>756000</v>
      </c>
      <c r="D24" s="11" t="inlineStr">
        <is>
          <t>Property-and-Plan.pdf p.2</t>
        </is>
      </c>
    </row>
    <row r="25">
      <c r="A25" s="7" t="inlineStr">
        <is>
          <t>Revenue loss % of GPR</t>
        </is>
      </c>
      <c r="B25" s="13" t="n">
        <v>0.03</v>
      </c>
      <c r="D25" s="11" t="inlineStr">
        <is>
          <t>Property-and-Plan.pdf p.2 (vac+conc+bad debt)</t>
        </is>
      </c>
    </row>
    <row r="26">
      <c r="A26" s="7" t="inlineStr">
        <is>
          <t>Other income / recoveries</t>
        </is>
      </c>
      <c r="B26" s="12" t="n">
        <v>162000</v>
      </c>
      <c r="D26" s="11" t="inlineStr">
        <is>
          <t>Property-and-Plan.pdf p.2</t>
        </is>
      </c>
    </row>
    <row r="27">
      <c r="A27" s="7" t="inlineStr">
        <is>
          <t>Real estate taxes</t>
        </is>
      </c>
      <c r="B27" s="12" t="n">
        <v>108000</v>
      </c>
      <c r="D27" s="11" t="inlineStr">
        <is>
          <t>Property-and-Plan.pdf p.2</t>
        </is>
      </c>
    </row>
    <row r="28">
      <c r="A28" s="7" t="inlineStr">
        <is>
          <t>Insurance (provisional allowance)</t>
        </is>
      </c>
      <c r="B28" s="12" t="n">
        <v>36000</v>
      </c>
      <c r="D28" s="11" t="inlineStr">
        <is>
          <t>Property-and-Plan.pdf p.2 — verified quote NOT delivered</t>
        </is>
      </c>
    </row>
    <row r="29">
      <c r="A29" s="7" t="inlineStr">
        <is>
          <t>Utilities (T12 actual)</t>
        </is>
      </c>
      <c r="B29" s="12" t="n">
        <v>9600</v>
      </c>
      <c r="D29" s="11" t="inlineStr">
        <is>
          <t>Property-and-Plan.pdf p.2</t>
        </is>
      </c>
    </row>
    <row r="30">
      <c r="A30" s="7" t="inlineStr">
        <is>
          <t>Repairs &amp; maintenance (T12 actual)</t>
        </is>
      </c>
      <c r="B30" s="12" t="n">
        <v>19200</v>
      </c>
      <c r="D30" s="11" t="inlineStr">
        <is>
          <t>Property-and-Plan.pdf p.2</t>
        </is>
      </c>
    </row>
    <row r="31">
      <c r="A31" s="7" t="inlineStr">
        <is>
          <t>Payroll / contract labor (T12 actual)</t>
        </is>
      </c>
      <c r="B31" s="12" t="n">
        <v>12000</v>
      </c>
      <c r="D31" s="11" t="inlineStr">
        <is>
          <t>Property-and-Plan.pdf p.2</t>
        </is>
      </c>
    </row>
    <row r="32">
      <c r="A32" s="7" t="inlineStr">
        <is>
          <t>Administrative / legal (T12 actual)</t>
        </is>
      </c>
      <c r="B32" s="12" t="n">
        <v>16800</v>
      </c>
      <c r="D32" s="11" t="inlineStr">
        <is>
          <t>Property-and-Plan.pdf p.2</t>
        </is>
      </c>
    </row>
    <row r="33">
      <c r="A33" s="7" t="inlineStr">
        <is>
          <t>Management minimum % of EGI</t>
        </is>
      </c>
      <c r="B33" s="13" t="n">
        <v>0.03</v>
      </c>
      <c r="D33" s="11" t="inlineStr">
        <is>
          <t>Property-and-Plan.pdf p.2 (greater-of vs T12 actual)</t>
        </is>
      </c>
    </row>
    <row r="34">
      <c r="A34" s="7" t="inlineStr">
        <is>
          <t>Replacement reserves ($/SF/yr)</t>
        </is>
      </c>
      <c r="B34" s="14" t="n">
        <v>0.2</v>
      </c>
      <c r="D34" s="11" t="inlineStr">
        <is>
          <t>Property-and-Plan.pdf p.2</t>
        </is>
      </c>
    </row>
    <row r="36">
      <c r="A36" s="4" t="inlineStr">
        <is>
          <t>Lender terms</t>
        </is>
      </c>
      <c r="B36" s="5" t="n"/>
      <c r="C36" s="5" t="n"/>
      <c r="D36" s="5" t="n"/>
    </row>
    <row r="37">
      <c r="A37" s="7" t="inlineStr">
        <is>
          <t>Cap rate (valuation)</t>
        </is>
      </c>
      <c r="B37" s="15" t="n">
        <v>0.065</v>
      </c>
      <c r="D37" s="11" t="inlineStr">
        <is>
          <t>Lender-Terms.pdf</t>
        </is>
      </c>
    </row>
    <row r="38">
      <c r="A38" s="7" t="inlineStr">
        <is>
          <t>LTV maximum</t>
        </is>
      </c>
      <c r="B38" s="13" t="n">
        <v>0.6</v>
      </c>
      <c r="D38" s="11" t="inlineStr">
        <is>
          <t>Lender-Terms.pdf</t>
        </is>
      </c>
    </row>
    <row r="39">
      <c r="A39" s="7" t="inlineStr">
        <is>
          <t>DSCR minimum</t>
        </is>
      </c>
      <c r="B39" s="16" t="n">
        <v>1.3</v>
      </c>
      <c r="D39" s="11" t="inlineStr">
        <is>
          <t>Lender-Terms.pdf</t>
        </is>
      </c>
    </row>
    <row r="40">
      <c r="A40" s="7" t="inlineStr">
        <is>
          <t>Debt yield minimum</t>
        </is>
      </c>
      <c r="B40" s="15" t="n">
        <v>0.095</v>
      </c>
      <c r="D40" s="11" t="inlineStr">
        <is>
          <t>Lender-Terms.pdf</t>
        </is>
      </c>
    </row>
    <row r="41">
      <c r="A41" s="7" t="inlineStr">
        <is>
          <t>Contract rate (fixed)</t>
        </is>
      </c>
      <c r="B41" s="15" t="n">
        <v>0.061</v>
      </c>
      <c r="D41" s="11" t="inlineStr">
        <is>
          <t>Lender-Terms.pdf</t>
        </is>
      </c>
    </row>
    <row r="42">
      <c r="A42" s="7" t="inlineStr">
        <is>
          <t>Sizing rate floor</t>
        </is>
      </c>
      <c r="B42" s="15" t="n">
        <v>0.065</v>
      </c>
      <c r="D42" s="11" t="inlineStr">
        <is>
          <t>Lender-Terms.pdf (greater of contract &amp; floor)</t>
        </is>
      </c>
    </row>
    <row r="43">
      <c r="A43" s="7" t="inlineStr">
        <is>
          <t>Amortization (years)</t>
        </is>
      </c>
      <c r="B43" s="10" t="n">
        <v>30</v>
      </c>
      <c r="D43" s="11" t="inlineStr">
        <is>
          <t>Lender-Terms.pdf</t>
        </is>
      </c>
    </row>
    <row r="44">
      <c r="A44" s="7" t="inlineStr">
        <is>
          <t>Interest-only period (months)</t>
        </is>
      </c>
      <c r="B44" s="10" t="n">
        <v>12</v>
      </c>
      <c r="D44" s="11" t="inlineStr">
        <is>
          <t>Lender-Terms.pdf</t>
        </is>
      </c>
    </row>
    <row r="45">
      <c r="A45" s="7" t="inlineStr">
        <is>
          <t>Maturity (months)</t>
        </is>
      </c>
      <c r="B45" s="10" t="n">
        <v>60</v>
      </c>
      <c r="D45" s="11" t="inlineStr">
        <is>
          <t>Lender-Terms.pdf</t>
        </is>
      </c>
    </row>
    <row r="46">
      <c r="A46" s="7" t="inlineStr">
        <is>
          <t>Origination fee % of loan</t>
        </is>
      </c>
      <c r="B46" s="13" t="n">
        <v>0.01</v>
      </c>
      <c r="D46" s="11" t="inlineStr">
        <is>
          <t>Lender-Terms.pdf</t>
        </is>
      </c>
    </row>
    <row r="47">
      <c r="A47" s="7" t="inlineStr">
        <is>
          <t>Existing debt payoff</t>
        </is>
      </c>
      <c r="B47" s="12" t="n">
        <v>3600000</v>
      </c>
      <c r="D47" s="11" t="inlineStr">
        <is>
          <t>Property-and-Plan.pdf p.1</t>
        </is>
      </c>
    </row>
    <row r="48">
      <c r="A48" s="7" t="inlineStr">
        <is>
          <t>Fixed closing costs</t>
        </is>
      </c>
      <c r="B48" s="12" t="n">
        <v>55000</v>
      </c>
      <c r="D48" s="11" t="inlineStr">
        <is>
          <t>Property-and-Plan.pdf p.1</t>
        </is>
      </c>
    </row>
    <row r="50">
      <c r="A50" s="4" t="inlineStr">
        <is>
          <t>Sensitivity switches</t>
        </is>
      </c>
      <c r="B50" s="5" t="n"/>
      <c r="C50" s="5" t="n"/>
      <c r="D50" s="5" t="n"/>
    </row>
    <row r="51">
      <c r="A51" s="7" t="inlineStr">
        <is>
          <t>EGI stress (multiplier)</t>
        </is>
      </c>
      <c r="B51" s="13" t="n">
        <v>0.95</v>
      </c>
      <c r="D51" s="11" t="inlineStr">
        <is>
          <t>Downside: EGI -5%</t>
        </is>
      </c>
    </row>
    <row r="52">
      <c r="A52" s="7" t="inlineStr">
        <is>
          <t>Sizing rate bump (decimal)</t>
        </is>
      </c>
      <c r="B52" s="15" t="n">
        <v>0.01</v>
      </c>
      <c r="D52" s="11" t="inlineStr">
        <is>
          <t>Downside: +100 bps</t>
        </is>
      </c>
    </row>
    <row r="53">
      <c r="A53" s="7" t="inlineStr">
        <is>
          <t>Cap rate bump (separate sensitivity)</t>
        </is>
      </c>
      <c r="B53" s="15" t="n">
        <v>0.005</v>
      </c>
      <c r="D53" s="11" t="inlineStr">
        <is>
          <t>Separate: +50 bps</t>
        </is>
      </c>
    </row>
  </sheetData>
  <mergeCells count="6">
    <mergeCell ref="A1:D1"/>
    <mergeCell ref="A23:D23"/>
    <mergeCell ref="A8:D8"/>
    <mergeCell ref="A50:D50"/>
    <mergeCell ref="A2:D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Rent Roll — as of 2026-08-31 (source: Rent-Roll.xlsx)</t>
        </is>
      </c>
      <c r="B1" s="2" t="n"/>
      <c r="C1" s="2" t="n"/>
      <c r="D1" s="2" t="n"/>
      <c r="E1" s="2" t="n"/>
      <c r="F1" s="2" t="n"/>
      <c r="G1" s="2" t="n"/>
    </row>
    <row r="3">
      <c r="A3" s="17" t="inlineStr">
        <is>
          <t>Unit / suite</t>
        </is>
      </c>
      <c r="B3" s="17" t="inlineStr">
        <is>
          <t>Tenant</t>
        </is>
      </c>
      <c r="C3" s="17" t="inlineStr">
        <is>
          <t>Area SF</t>
        </is>
      </c>
      <c r="D3" s="17" t="inlineStr">
        <is>
          <t>Status</t>
        </is>
      </c>
      <c r="E3" s="17" t="inlineStr">
        <is>
          <t>Monthly base rent</t>
        </is>
      </c>
      <c r="F3" s="17" t="inlineStr">
        <is>
          <t>Market monthly rent</t>
        </is>
      </c>
      <c r="G3" s="17" t="inlineStr">
        <is>
          <t>Lease expiry</t>
        </is>
      </c>
    </row>
    <row r="4">
      <c r="A4" s="18" t="inlineStr">
        <is>
          <t>101</t>
        </is>
      </c>
      <c r="B4" s="18" t="inlineStr">
        <is>
          <t>Tenant A LLC</t>
        </is>
      </c>
      <c r="C4" s="19" t="n">
        <v>16000</v>
      </c>
      <c r="D4" s="18" t="inlineStr">
        <is>
          <t>Occupied</t>
        </is>
      </c>
      <c r="E4" s="20" t="n">
        <v>12800</v>
      </c>
      <c r="F4" s="20" t="n">
        <v>12800</v>
      </c>
      <c r="G4" s="18" t="inlineStr">
        <is>
          <t>2028-08-31</t>
        </is>
      </c>
    </row>
    <row r="5">
      <c r="A5" s="18" t="inlineStr">
        <is>
          <t>102</t>
        </is>
      </c>
      <c r="B5" s="18" t="inlineStr">
        <is>
          <t>Tenant B LLC</t>
        </is>
      </c>
      <c r="C5" s="19" t="n">
        <v>24000</v>
      </c>
      <c r="D5" s="18" t="inlineStr">
        <is>
          <t>Occupied</t>
        </is>
      </c>
      <c r="E5" s="20" t="n">
        <v>20400</v>
      </c>
      <c r="F5" s="20" t="n">
        <v>20400</v>
      </c>
      <c r="G5" s="18" t="inlineStr">
        <is>
          <t>2028-08-31</t>
        </is>
      </c>
    </row>
    <row r="6">
      <c r="A6" s="18" t="inlineStr">
        <is>
          <t>103</t>
        </is>
      </c>
      <c r="B6" s="18" t="inlineStr">
        <is>
          <t>Tenant C LLC</t>
        </is>
      </c>
      <c r="C6" s="19" t="n">
        <v>32000</v>
      </c>
      <c r="D6" s="18" t="inlineStr">
        <is>
          <t>Occupied</t>
        </is>
      </c>
      <c r="E6" s="20" t="n">
        <v>28800</v>
      </c>
      <c r="F6" s="20" t="n">
        <v>28800</v>
      </c>
      <c r="G6" s="18" t="inlineStr">
        <is>
          <t>2029-08-31</t>
        </is>
      </c>
    </row>
    <row r="8">
      <c r="A8" s="4" t="inlineStr">
        <is>
          <t>KPIs</t>
        </is>
      </c>
    </row>
    <row r="9">
      <c r="A9" s="7" t="inlineStr">
        <is>
          <t>space_count</t>
        </is>
      </c>
      <c r="E9" s="21">
        <f>UnitCount</f>
        <v/>
      </c>
    </row>
    <row r="10">
      <c r="A10" s="7" t="inlineStr">
        <is>
          <t>occupied_count</t>
        </is>
      </c>
      <c r="E10" s="21">
        <f>OccUnits</f>
        <v/>
      </c>
    </row>
    <row r="11">
      <c r="A11" s="7" t="inlineStr">
        <is>
          <t>total_area_sf</t>
        </is>
      </c>
      <c r="E11" s="21">
        <f>TotalSF</f>
        <v/>
      </c>
    </row>
    <row r="12">
      <c r="A12" s="7" t="inlineStr">
        <is>
          <t>occupied_area_sf</t>
        </is>
      </c>
      <c r="E12" s="21">
        <f>OccSF</f>
        <v/>
      </c>
    </row>
    <row r="13">
      <c r="A13" s="7" t="inlineStr">
        <is>
          <t>occupancy_count_pct</t>
        </is>
      </c>
      <c r="E13" s="22">
        <f>OccUnits/UnitCount</f>
        <v/>
      </c>
    </row>
    <row r="14">
      <c r="A14" s="7" t="inlineStr">
        <is>
          <t>occupancy_area_pct</t>
        </is>
      </c>
      <c r="E14" s="22">
        <f>OccSF/TotalSF</f>
        <v/>
      </c>
    </row>
    <row r="15">
      <c r="A15" s="7" t="inlineStr">
        <is>
          <t>rent_roll_monthly_base</t>
        </is>
      </c>
      <c r="E15" s="23">
        <f>SUMPRODUCT((D4:D6="Occupied")*E4:E6)</f>
        <v/>
      </c>
    </row>
    <row r="16">
      <c r="A16" s="7" t="inlineStr">
        <is>
          <t>effective_monthly_base (lease-authoritative)</t>
        </is>
      </c>
      <c r="E16" s="23">
        <f>SUMPRODUCT((D4:D6="Occupied")*E4:E6)</f>
        <v/>
      </c>
    </row>
    <row r="18">
      <c r="A18" s="3" t="inlineStr">
        <is>
          <t>Notes</t>
        </is>
      </c>
    </row>
    <row r="19">
      <c r="A19" s="7" t="inlineStr">
        <is>
          <t>• Effective monthly base equals lease-authoritative rent. Unit 101 lease confirms $12,800/mo; no renewal option exercised in the packet.</t>
        </is>
      </c>
    </row>
  </sheetData>
  <mergeCells count="11">
    <mergeCell ref="A9:D9"/>
    <mergeCell ref="A1:G1"/>
    <mergeCell ref="A8:G8"/>
    <mergeCell ref="A12:D12"/>
    <mergeCell ref="A15:D15"/>
    <mergeCell ref="A16:D16"/>
    <mergeCell ref="A11:D11"/>
    <mergeCell ref="A10:D10"/>
    <mergeCell ref="A19:G19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" customWidth="1" min="3" max="3"/>
    <col width="60" customWidth="1" min="4" max="4"/>
  </cols>
  <sheetData>
    <row r="1">
      <c r="A1" s="1" t="inlineStr">
        <is>
          <t>Historical T12 (Sep-2025 through Aug-2026)</t>
        </is>
      </c>
      <c r="B1" s="2" t="n"/>
      <c r="C1" s="2" t="n"/>
      <c r="D1" s="2" t="n"/>
    </row>
    <row r="2">
      <c r="A2" s="7" t="inlineStr">
        <is>
          <t>GPR</t>
        </is>
      </c>
      <c r="B2" s="24">
        <f>T_GPR</f>
        <v/>
      </c>
      <c r="D2" s="25" t="inlineStr"/>
    </row>
    <row r="3">
      <c r="A3" s="7" t="inlineStr">
        <is>
          <t>Vacancy loss</t>
        </is>
      </c>
      <c r="B3" s="24">
        <f>T_VAC</f>
        <v/>
      </c>
      <c r="D3" s="25" t="inlineStr"/>
    </row>
    <row r="4">
      <c r="A4" s="7" t="inlineStr">
        <is>
          <t>Concessions</t>
        </is>
      </c>
      <c r="B4" s="24">
        <f>T_CONC</f>
        <v/>
      </c>
      <c r="D4" s="25" t="inlineStr"/>
    </row>
    <row r="5">
      <c r="A5" s="7" t="inlineStr">
        <is>
          <t>Bad debt</t>
        </is>
      </c>
      <c r="B5" s="24">
        <f>T_BD</f>
        <v/>
      </c>
      <c r="D5" s="25" t="inlineStr"/>
    </row>
    <row r="6">
      <c r="A6" s="7" t="inlineStr">
        <is>
          <t>Other income / recoveries</t>
        </is>
      </c>
      <c r="B6" s="24">
        <f>T_OI</f>
        <v/>
      </c>
      <c r="D6" s="25" t="inlineStr"/>
    </row>
    <row r="7">
      <c r="A7" s="7" t="inlineStr">
        <is>
          <t>EGI (historical)</t>
        </is>
      </c>
      <c r="B7" s="23">
        <f>T_GPR+T_VAC+T_CONC+T_BD+T_OI</f>
        <v/>
      </c>
      <c r="D7" s="25" t="inlineStr"/>
    </row>
    <row r="9">
      <c r="A9" s="7" t="inlineStr">
        <is>
          <t>Real estate taxes</t>
        </is>
      </c>
      <c r="B9" s="24">
        <f>T_TAX</f>
        <v/>
      </c>
      <c r="D9" s="25" t="inlineStr"/>
    </row>
    <row r="10">
      <c r="A10" s="7" t="inlineStr">
        <is>
          <t>Property insurance</t>
        </is>
      </c>
      <c r="B10" s="24">
        <f>T_INS</f>
        <v/>
      </c>
      <c r="D10" s="25" t="inlineStr"/>
    </row>
    <row r="11">
      <c r="A11" s="7" t="inlineStr">
        <is>
          <t>Utilities</t>
        </is>
      </c>
      <c r="B11" s="24">
        <f>T_UT</f>
        <v/>
      </c>
      <c r="D11" s="25" t="inlineStr"/>
    </row>
    <row r="12">
      <c r="A12" s="7" t="inlineStr">
        <is>
          <t>Repairs &amp; maintenance</t>
        </is>
      </c>
      <c r="B12" s="24">
        <f>T_RM</f>
        <v/>
      </c>
      <c r="D12" s="25" t="inlineStr"/>
    </row>
    <row r="13">
      <c r="A13" s="7" t="inlineStr">
        <is>
          <t>Payroll / contract labor</t>
        </is>
      </c>
      <c r="B13" s="24">
        <f>T_PAY</f>
        <v/>
      </c>
      <c r="D13" s="25" t="inlineStr"/>
    </row>
    <row r="14">
      <c r="A14" s="7" t="inlineStr">
        <is>
          <t>Administrative / legal</t>
        </is>
      </c>
      <c r="B14" s="24">
        <f>T_ADM</f>
        <v/>
      </c>
      <c r="D14" s="25" t="inlineStr"/>
    </row>
    <row r="15">
      <c r="A15" s="7" t="inlineStr">
        <is>
          <t>Management fee (T12 actual)</t>
        </is>
      </c>
      <c r="B15" s="24">
        <f>T_MGMT</f>
        <v/>
      </c>
      <c r="D15" s="25" t="inlineStr"/>
    </row>
    <row r="16">
      <c r="A16" s="7" t="inlineStr">
        <is>
          <t>Operating expenses (excl. reserves/capex/debt/depr.)</t>
        </is>
      </c>
      <c r="B16" s="23">
        <f>T_TAX+T_INS+T_UT+T_RM+T_PAY+T_ADM+T_MGMT</f>
        <v/>
      </c>
      <c r="D16" s="25" t="inlineStr"/>
    </row>
    <row r="18">
      <c r="A18" s="7" t="inlineStr">
        <is>
          <t>NOI before replacement reserves</t>
        </is>
      </c>
      <c r="B18" s="23">
        <f>B7-B16</f>
        <v/>
      </c>
      <c r="D18" s="25" t="inlineStr"/>
    </row>
    <row r="19">
      <c r="A19" s="7" t="inlineStr">
        <is>
          <t>Less: replacement reserves</t>
        </is>
      </c>
      <c r="B19" s="24">
        <f>T_RES</f>
        <v/>
      </c>
      <c r="D19" s="25" t="inlineStr"/>
    </row>
    <row r="20">
      <c r="A20" s="7" t="inlineStr">
        <is>
          <t>NCF after reserves</t>
        </is>
      </c>
      <c r="B20" s="23">
        <f>B18-T_RES</f>
        <v/>
      </c>
      <c r="D20" s="25" t="inlineStr"/>
    </row>
    <row r="22">
      <c r="A22" s="25" t="inlineStr">
        <is>
          <t>Below-the-line reference items (not operating expense):</t>
        </is>
      </c>
    </row>
    <row r="23">
      <c r="A23" s="7" t="inlineStr">
        <is>
          <t>Capital improvements (T12)</t>
        </is>
      </c>
      <c r="B23" s="24" t="n">
        <v>112000</v>
      </c>
      <c r="D23" s="25" t="inlineStr">
        <is>
          <t>T12-Statement.pdf p.2 annual</t>
        </is>
      </c>
    </row>
    <row r="24">
      <c r="A24" s="7" t="inlineStr">
        <is>
          <t>Loan principal &amp; interest (T12)</t>
        </is>
      </c>
      <c r="B24" s="24" t="n">
        <v>294000</v>
      </c>
      <c r="D24" s="25" t="inlineStr">
        <is>
          <t>T12-Statement.pdf p.2 annual</t>
        </is>
      </c>
    </row>
    <row r="25">
      <c r="A25" s="7" t="inlineStr">
        <is>
          <t>Depreciation (noncash)</t>
        </is>
      </c>
      <c r="B25" s="24" t="n">
        <v>180000</v>
      </c>
      <c r="D25" s="25" t="inlineStr">
        <is>
          <t>T12-Statement.pdf p.2 annual</t>
        </is>
      </c>
    </row>
  </sheetData>
  <mergeCells count="2">
    <mergeCell ref="A22:D22"/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4" customWidth="1" min="3" max="3"/>
    <col width="60" customWidth="1" min="4" max="4"/>
  </cols>
  <sheetData>
    <row r="1">
      <c r="A1" s="1" t="inlineStr">
        <is>
          <t>Underwriting scenario — annual</t>
        </is>
      </c>
      <c r="B1" s="2" t="n"/>
      <c r="C1" s="2" t="n"/>
      <c r="D1" s="2" t="n"/>
    </row>
    <row r="2">
      <c r="A2" s="7" t="inlineStr">
        <is>
          <t>Underwritten GPR</t>
        </is>
      </c>
      <c r="B2" s="24">
        <f>U_GPR</f>
        <v/>
      </c>
      <c r="D2" s="25" t="inlineStr"/>
    </row>
    <row r="3">
      <c r="A3" s="7" t="inlineStr">
        <is>
          <t>Less: revenue loss (vac/conc/bad debt)</t>
        </is>
      </c>
      <c r="B3" s="24">
        <f>-U_GPR*U_LOSS</f>
        <v/>
      </c>
      <c r="D3" s="25" t="inlineStr"/>
    </row>
    <row r="4">
      <c r="A4" s="7" t="inlineStr">
        <is>
          <t>Plus: other income / recoveries</t>
        </is>
      </c>
      <c r="B4" s="24">
        <f>U_OI</f>
        <v/>
      </c>
      <c r="D4" s="25" t="inlineStr"/>
    </row>
    <row r="5">
      <c r="A5" s="7" t="inlineStr">
        <is>
          <t>Underwritten EGI</t>
        </is>
      </c>
      <c r="B5" s="26">
        <f>B2+B3+B4</f>
        <v/>
      </c>
      <c r="D5" s="25" t="inlineStr">
        <is>
          <t>uw_egi</t>
        </is>
      </c>
    </row>
    <row r="7">
      <c r="A7" s="7" t="inlineStr">
        <is>
          <t>Real estate taxes</t>
        </is>
      </c>
      <c r="B7" s="24">
        <f>U_TAX</f>
        <v/>
      </c>
      <c r="D7" s="25" t="inlineStr"/>
    </row>
    <row r="8">
      <c r="A8" s="7" t="inlineStr">
        <is>
          <t>Insurance (provisional)</t>
        </is>
      </c>
      <c r="B8" s="24">
        <f>U_INS</f>
        <v/>
      </c>
      <c r="D8" s="25" t="inlineStr">
        <is>
          <t>No renewal binder delivered — placeholder only</t>
        </is>
      </c>
    </row>
    <row r="9">
      <c r="A9" s="7" t="inlineStr">
        <is>
          <t>Utilities</t>
        </is>
      </c>
      <c r="B9" s="24">
        <f>U_UT</f>
        <v/>
      </c>
      <c r="D9" s="25" t="inlineStr"/>
    </row>
    <row r="10">
      <c r="A10" s="7" t="inlineStr">
        <is>
          <t>Repairs &amp; maintenance</t>
        </is>
      </c>
      <c r="B10" s="24">
        <f>U_RM</f>
        <v/>
      </c>
      <c r="D10" s="25" t="inlineStr"/>
    </row>
    <row r="11">
      <c r="A11" s="7" t="inlineStr">
        <is>
          <t>Payroll / contract labor</t>
        </is>
      </c>
      <c r="B11" s="24">
        <f>U_PAY</f>
        <v/>
      </c>
      <c r="D11" s="25" t="inlineStr"/>
    </row>
    <row r="12">
      <c r="A12" s="7" t="inlineStr">
        <is>
          <t>Administrative / legal</t>
        </is>
      </c>
      <c r="B12" s="24">
        <f>U_ADM</f>
        <v/>
      </c>
      <c r="D12" s="25" t="inlineStr"/>
    </row>
    <row r="13">
      <c r="A13" s="7" t="inlineStr">
        <is>
          <t>Management fee (greater of T12 actual or % of EGI)</t>
        </is>
      </c>
      <c r="B13" s="26">
        <f>MAX(T_MGMT,B5*U_MGMT_PCT)</f>
        <v/>
      </c>
      <c r="D13" s="25" t="inlineStr">
        <is>
          <t>uw_management_fee</t>
        </is>
      </c>
    </row>
    <row r="14">
      <c r="A14" s="7" t="inlineStr">
        <is>
          <t>Underwritten operating expenses (before reserves)</t>
        </is>
      </c>
      <c r="B14" s="26">
        <f>U_TAX+U_INS+U_UT+U_RM+U_PAY+U_ADM+B13</f>
        <v/>
      </c>
      <c r="D14" s="25" t="inlineStr">
        <is>
          <t>uw_operating_expenses</t>
        </is>
      </c>
    </row>
    <row r="16">
      <c r="A16" s="7" t="inlineStr">
        <is>
          <t>NOI before replacement reserves</t>
        </is>
      </c>
      <c r="B16" s="26">
        <f>B5-B14</f>
        <v/>
      </c>
      <c r="D16" s="25" t="inlineStr">
        <is>
          <t>uw_noi_before_reserves</t>
        </is>
      </c>
    </row>
    <row r="17">
      <c r="A17" s="7" t="inlineStr">
        <is>
          <t>Less: replacement reserves ($/SF/yr × SF)</t>
        </is>
      </c>
      <c r="B17" s="27">
        <f>U_RES_PSF*TotalSF</f>
        <v/>
      </c>
      <c r="D17" s="25" t="inlineStr">
        <is>
          <t>uw_reserves</t>
        </is>
      </c>
    </row>
    <row r="18">
      <c r="A18" s="7" t="inlineStr">
        <is>
          <t>NCF after reserves</t>
        </is>
      </c>
      <c r="B18" s="26">
        <f>B16-B17</f>
        <v/>
      </c>
      <c r="D18" s="25" t="inlineStr">
        <is>
          <t>uw_ncf</t>
        </is>
      </c>
    </row>
    <row r="20">
      <c r="A20" s="7" t="inlineStr">
        <is>
          <t>Capitalization value (NOI before reserves / cap rate)</t>
        </is>
      </c>
      <c r="B20" s="26">
        <f>B16/L_CAP</f>
        <v/>
      </c>
      <c r="D20" s="25" t="inlineStr">
        <is>
          <t>capitalization_value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4" customWidth="1" min="3" max="3"/>
    <col width="60" customWidth="1" min="4" max="4"/>
  </cols>
  <sheetData>
    <row r="1">
      <c r="A1" s="1" t="inlineStr">
        <is>
          <t>Loan sizing</t>
        </is>
      </c>
      <c r="B1" s="2" t="n"/>
      <c r="C1" s="2" t="n"/>
      <c r="D1" s="2" t="n"/>
    </row>
    <row r="2">
      <c r="A2" s="7" t="inlineStr">
        <is>
          <t>Contract rate</t>
        </is>
      </c>
      <c r="B2" s="28">
        <f>L_CR</f>
        <v/>
      </c>
      <c r="D2" s="25" t="inlineStr">
        <is>
          <t>contract_rate</t>
        </is>
      </c>
    </row>
    <row r="3">
      <c r="A3" s="7" t="inlineStr">
        <is>
          <t>Sizing rate (greater of contract &amp; floor)</t>
        </is>
      </c>
      <c r="B3" s="29">
        <f>MAX(L_CR,L_SR_FLOOR)</f>
        <v/>
      </c>
      <c r="D3" s="25" t="inlineStr">
        <is>
          <t>sizing_rate</t>
        </is>
      </c>
    </row>
    <row r="4">
      <c r="A4" s="7" t="inlineStr">
        <is>
          <t>Annual debt constant (30-yr amort, monthly)</t>
        </is>
      </c>
      <c r="B4" s="30">
        <f>-12*PMT(B3/12,L_AMORT*12,1)</f>
        <v/>
      </c>
      <c r="D4" s="25" t="inlineStr">
        <is>
          <t>annual_debt_constant</t>
        </is>
      </c>
    </row>
    <row r="6">
      <c r="A6" s="7" t="inlineStr">
        <is>
          <t>LTV limit  =  LTV × value</t>
        </is>
      </c>
      <c r="B6" s="26">
        <f>L_LTV*UW_VAL</f>
        <v/>
      </c>
      <c r="D6" s="25" t="inlineStr">
        <is>
          <t>ltv_limit</t>
        </is>
      </c>
    </row>
    <row r="7">
      <c r="A7" s="7" t="inlineStr">
        <is>
          <t>DSCR limit  =  NCF / (DSCR × ADC)</t>
        </is>
      </c>
      <c r="B7" s="26">
        <f>UW_NCF/(L_DSCR*B4)</f>
        <v/>
      </c>
      <c r="D7" s="25" t="inlineStr">
        <is>
          <t>dscr_limit</t>
        </is>
      </c>
    </row>
    <row r="8">
      <c r="A8" s="7" t="inlineStr">
        <is>
          <t>Debt yield limit  =  NCF / DY</t>
        </is>
      </c>
      <c r="B8" s="26">
        <f>UW_NCF/L_DY</f>
        <v/>
      </c>
      <c r="D8" s="25" t="inlineStr">
        <is>
          <t>debt_yield_limit</t>
        </is>
      </c>
    </row>
    <row r="9">
      <c r="A9" s="7" t="inlineStr">
        <is>
          <t>Maximum loan  =  MIN of three constraints</t>
        </is>
      </c>
      <c r="B9" s="26">
        <f>MIN(B6,B7,B8)</f>
        <v/>
      </c>
      <c r="D9" s="25" t="inlineStr">
        <is>
          <t>maximum_loan</t>
        </is>
      </c>
    </row>
    <row r="10">
      <c r="A10" s="7" t="inlineStr">
        <is>
          <t>Binding constraint</t>
        </is>
      </c>
      <c r="B10" s="31">
        <f>IF(B9=B6,"LTV",IF(B9=B7,"DSCR","Debt yield"))</f>
        <v/>
      </c>
      <c r="D10" s="25" t="inlineStr">
        <is>
          <t>binding_constraint</t>
        </is>
      </c>
    </row>
    <row r="12">
      <c r="A12" s="7" t="inlineStr">
        <is>
          <t>Sizing annual debt service</t>
        </is>
      </c>
      <c r="B12" s="26">
        <f>B9*B4</f>
        <v/>
      </c>
      <c r="D12" s="25" t="inlineStr">
        <is>
          <t>sizing_annual_debt_service</t>
        </is>
      </c>
    </row>
    <row r="13">
      <c r="A13" s="7" t="inlineStr">
        <is>
          <t>Sizing DSCR  (NCF / DS)</t>
        </is>
      </c>
      <c r="B13" s="32">
        <f>UW_NCF/B12</f>
        <v/>
      </c>
      <c r="D13" s="25" t="inlineStr">
        <is>
          <t>sizing_dscr</t>
        </is>
      </c>
    </row>
    <row r="14">
      <c r="A14" s="7" t="inlineStr">
        <is>
          <t>Sizing debt yield  (NCF / Loan)</t>
        </is>
      </c>
      <c r="B14" s="29">
        <f>UW_NCF/B9</f>
        <v/>
      </c>
      <c r="D14" s="25" t="inlineStr">
        <is>
          <t>sizing_debt_yield</t>
        </is>
      </c>
    </row>
    <row r="16">
      <c r="A16" s="7" t="inlineStr">
        <is>
          <t>First-year contractual debt service (12 mo IO at contract rate)</t>
        </is>
      </c>
      <c r="B16" s="26">
        <f>B9*L_CR</f>
        <v/>
      </c>
      <c r="D16" s="25" t="inlineStr">
        <is>
          <t>first_year_debt_service</t>
        </is>
      </c>
    </row>
    <row r="17">
      <c r="A17" s="7" t="inlineStr">
        <is>
          <t xml:space="preserve">  Memo: interest-only period (months)</t>
        </is>
      </c>
      <c r="B17" s="33">
        <f>L_IO</f>
        <v/>
      </c>
      <c r="D17" s="25" t="inlineStr"/>
    </row>
    <row r="18">
      <c r="A18" s="7" t="inlineStr">
        <is>
          <t xml:space="preserve">  Memo: amortizing DS if IO were 0 (12 mo)</t>
        </is>
      </c>
      <c r="B18" s="27">
        <f>B9*B4</f>
        <v/>
      </c>
      <c r="D18" s="25" t="inlineStr">
        <is>
          <t>For reference only; year-1 is IO per lender term sheet.</t>
        </is>
      </c>
    </row>
    <row r="20">
      <c r="A20" s="4" t="inlineStr">
        <is>
          <t>Sources &amp; Uses</t>
        </is>
      </c>
      <c r="B20" s="5" t="n"/>
      <c r="C20" s="5" t="n"/>
      <c r="D20" s="5" t="n"/>
    </row>
    <row r="21">
      <c r="A21" s="3" t="inlineStr">
        <is>
          <t>Sources</t>
        </is>
      </c>
    </row>
    <row r="22">
      <c r="A22" s="7" t="inlineStr">
        <is>
          <t xml:space="preserve">  New first mortgage</t>
        </is>
      </c>
      <c r="B22" s="24">
        <f>B9</f>
        <v/>
      </c>
      <c r="D22" s="25" t="inlineStr"/>
    </row>
    <row r="23">
      <c r="A23" s="3" t="inlineStr">
        <is>
          <t>Uses</t>
        </is>
      </c>
    </row>
    <row r="24">
      <c r="A24" s="7" t="inlineStr">
        <is>
          <t xml:space="preserve">  Existing debt payoff</t>
        </is>
      </c>
      <c r="B24" s="24">
        <f>L_PAYOFF</f>
        <v/>
      </c>
      <c r="D24" s="25" t="inlineStr"/>
    </row>
    <row r="25">
      <c r="A25" s="7" t="inlineStr">
        <is>
          <t xml:space="preserve">  Origination fee (1% × loan)</t>
        </is>
      </c>
      <c r="B25" s="24">
        <f>L_ORIG*B9</f>
        <v/>
      </c>
      <c r="D25" s="25" t="inlineStr"/>
    </row>
    <row r="26">
      <c r="A26" s="7" t="inlineStr">
        <is>
          <t xml:space="preserve">  Fixed closing costs</t>
        </is>
      </c>
      <c r="B26" s="24">
        <f>L_CLOSE</f>
        <v/>
      </c>
      <c r="D26" s="25" t="inlineStr"/>
    </row>
    <row r="27">
      <c r="A27" s="7" t="inlineStr">
        <is>
          <t xml:space="preserve">  Total uses</t>
        </is>
      </c>
      <c r="B27" s="23">
        <f>L_PAYOFF+L_ORIG*B9+L_CLOSE</f>
        <v/>
      </c>
      <c r="D27" s="25" t="inlineStr"/>
    </row>
    <row r="28">
      <c r="A28" s="7" t="inlineStr">
        <is>
          <t>Cash to (from) borrower  =  Loan − Uses</t>
        </is>
      </c>
      <c r="B28" s="26">
        <f>B9-B27</f>
        <v/>
      </c>
      <c r="D28" s="25" t="inlineStr">
        <is>
          <t>Positive = cash to borrower; negative = cash in required</t>
        </is>
      </c>
    </row>
  </sheetData>
  <mergeCells count="2">
    <mergeCell ref="A1:D1"/>
    <mergeCell ref="A20:D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4" customWidth="1" min="3" max="3"/>
    <col width="60" customWidth="1" min="4" max="4"/>
  </cols>
  <sheetData>
    <row r="1">
      <c r="A1" s="1" t="inlineStr">
        <is>
          <t>Sensitivity</t>
        </is>
      </c>
      <c r="B1" s="2" t="n"/>
      <c r="C1" s="2" t="n"/>
      <c r="D1" s="2" t="n"/>
    </row>
    <row r="2">
      <c r="A2" s="4" t="inlineStr">
        <is>
          <t>Combined downside: EGI × S_EGI AND sizing rate + S_RATE; cap rate unchanged; management recalculated</t>
        </is>
      </c>
      <c r="B2" s="5" t="n"/>
      <c r="C2" s="5" t="n"/>
      <c r="D2" s="5" t="n"/>
    </row>
    <row r="3">
      <c r="A3" s="7" t="inlineStr">
        <is>
          <t>Stress EGI</t>
        </is>
      </c>
      <c r="B3" s="26">
        <f>UW_EGI*S_EGI</f>
        <v/>
      </c>
      <c r="D3" s="25" t="inlineStr">
        <is>
          <t>EGI × 0.95 by default</t>
        </is>
      </c>
    </row>
    <row r="4">
      <c r="A4" s="7" t="inlineStr">
        <is>
          <t>Stress management fee (greater of T12 actual or % of stress EGI)</t>
        </is>
      </c>
      <c r="B4" s="26">
        <f>MAX(T_MGMT,B3*U_MGMT_PCT)</f>
        <v/>
      </c>
      <c r="D4" s="25" t="inlineStr"/>
    </row>
    <row r="5">
      <c r="A5" s="7" t="inlineStr">
        <is>
          <t>Stress operating expenses (before reserves)</t>
        </is>
      </c>
      <c r="B5" s="26">
        <f>U_TAX+U_INS+U_UT+U_RM+U_PAY+U_ADM+B4</f>
        <v/>
      </c>
      <c r="D5" s="25" t="inlineStr"/>
    </row>
    <row r="6">
      <c r="A6" s="7" t="inlineStr">
        <is>
          <t>stress_uw_noi (before reserves)</t>
        </is>
      </c>
      <c r="B6" s="26">
        <f>B3-B5</f>
        <v/>
      </c>
      <c r="D6" s="25" t="inlineStr">
        <is>
          <t>stress_uw_noi</t>
        </is>
      </c>
    </row>
    <row r="7">
      <c r="A7" s="7" t="inlineStr">
        <is>
          <t>Stress NCF (after reserves)</t>
        </is>
      </c>
      <c r="B7" s="26">
        <f>B6-UW_RES</f>
        <v/>
      </c>
      <c r="D7" s="25" t="inlineStr"/>
    </row>
    <row r="8">
      <c r="A8" s="7" t="inlineStr">
        <is>
          <t>Stress sizing rate</t>
        </is>
      </c>
      <c r="B8" s="29">
        <f>SIZ_RATE+S_RATE</f>
        <v/>
      </c>
      <c r="D8" s="25" t="inlineStr"/>
    </row>
    <row r="9">
      <c r="A9" s="7" t="inlineStr">
        <is>
          <t>Stress annual debt constant</t>
        </is>
      </c>
      <c r="B9" s="30">
        <f>-12*PMT(B8/12,L_AMORT*12,1)</f>
        <v/>
      </c>
      <c r="D9" s="25" t="inlineStr"/>
    </row>
    <row r="10">
      <c r="A10" s="7" t="inlineStr">
        <is>
          <t>Stress capitalization value (cap rate unchanged)</t>
        </is>
      </c>
      <c r="B10" s="26">
        <f>B6/L_CAP</f>
        <v/>
      </c>
      <c r="D10" s="25" t="inlineStr"/>
    </row>
    <row r="11">
      <c r="A11" s="7" t="inlineStr">
        <is>
          <t>Stress LTV limit</t>
        </is>
      </c>
      <c r="B11" s="27">
        <f>L_LTV*B10</f>
        <v/>
      </c>
      <c r="D11" s="25" t="inlineStr"/>
    </row>
    <row r="12">
      <c r="A12" s="7" t="inlineStr">
        <is>
          <t>Stress DSCR limit</t>
        </is>
      </c>
      <c r="B12" s="27">
        <f>B7/(L_DSCR*B9)</f>
        <v/>
      </c>
      <c r="D12" s="25" t="inlineStr"/>
    </row>
    <row r="13">
      <c r="A13" s="7" t="inlineStr">
        <is>
          <t>Stress Debt-yield limit</t>
        </is>
      </c>
      <c r="B13" s="27">
        <f>B7/L_DY</f>
        <v/>
      </c>
      <c r="D13" s="25" t="inlineStr"/>
    </row>
    <row r="14">
      <c r="A14" s="7" t="inlineStr">
        <is>
          <t>stress_maximum_loan</t>
        </is>
      </c>
      <c r="B14" s="26">
        <f>MIN(B11,B12,B13)</f>
        <v/>
      </c>
      <c r="D14" s="25" t="inlineStr">
        <is>
          <t>stress_maximum_loan</t>
        </is>
      </c>
    </row>
    <row r="15">
      <c r="A15" s="7" t="inlineStr">
        <is>
          <t>Stress binding constraint</t>
        </is>
      </c>
      <c r="B15" s="31">
        <f>IF(B14=B11,"LTV",IF(B14=B12,"DSCR","Debt yield"))</f>
        <v/>
      </c>
    </row>
    <row r="17">
      <c r="A17" s="4" t="inlineStr">
        <is>
          <t>Separate sensitivity: cap rate +S_CAP (all other inputs at base case)</t>
        </is>
      </c>
      <c r="B17" s="5" t="n"/>
      <c r="C17" s="5" t="n"/>
      <c r="D17" s="5" t="n"/>
    </row>
    <row r="18">
      <c r="A18" s="7" t="inlineStr">
        <is>
          <t>Adjusted cap rate</t>
        </is>
      </c>
      <c r="B18" s="29">
        <f>L_CAP+S_CAP</f>
        <v/>
      </c>
      <c r="D18" s="25" t="inlineStr"/>
    </row>
    <row r="19">
      <c r="A19" s="7" t="inlineStr">
        <is>
          <t>Adjusted value</t>
        </is>
      </c>
      <c r="B19" s="26">
        <f>UW_NOI/B18</f>
        <v/>
      </c>
      <c r="D19" s="25" t="inlineStr"/>
    </row>
    <row r="20">
      <c r="A20" s="7" t="inlineStr">
        <is>
          <t>Adjusted LTV limit</t>
        </is>
      </c>
      <c r="B20" s="27">
        <f>L_LTV*B19</f>
        <v/>
      </c>
      <c r="D20" s="25" t="inlineStr"/>
    </row>
    <row r="21">
      <c r="A21" s="7" t="inlineStr">
        <is>
          <t>DSCR limit (base NCF/rate)</t>
        </is>
      </c>
      <c r="B21" s="27">
        <f>UW_NCF/(L_DSCR*ADC_SIZ)</f>
        <v/>
      </c>
      <c r="D21" s="25" t="inlineStr"/>
    </row>
    <row r="22">
      <c r="A22" s="7" t="inlineStr">
        <is>
          <t>Debt yield limit (base)</t>
        </is>
      </c>
      <c r="B22" s="27">
        <f>UW_NCF/L_DY</f>
        <v/>
      </c>
      <c r="D22" s="25" t="inlineStr"/>
    </row>
    <row r="23">
      <c r="A23" s="7" t="inlineStr">
        <is>
          <t>Cap-rate +50 bps maximum loan</t>
        </is>
      </c>
      <c r="B23" s="26">
        <f>MIN(B20,B21,B22)</f>
        <v/>
      </c>
      <c r="D23" s="25" t="inlineStr"/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70" customWidth="1" min="3" max="3"/>
  </cols>
  <sheetData>
    <row r="1">
      <c r="A1" s="1" t="inlineStr">
        <is>
          <t>Requested field IDs — computed values with source</t>
        </is>
      </c>
      <c r="B1" s="2" t="n"/>
      <c r="C1" s="2" t="n"/>
    </row>
    <row r="2">
      <c r="A2" s="17" t="inlineStr">
        <is>
          <t>field_id</t>
        </is>
      </c>
      <c r="B2" s="17" t="inlineStr">
        <is>
          <t>value</t>
        </is>
      </c>
      <c r="C2" s="17" t="inlineStr">
        <is>
          <t>source / note</t>
        </is>
      </c>
    </row>
    <row r="3" ht="26" customHeight="1">
      <c r="A3" s="3" t="inlineStr">
        <is>
          <t>space_count</t>
        </is>
      </c>
      <c r="B3" s="34">
        <f>UnitCount</f>
        <v/>
      </c>
      <c r="C3" s="7" t="inlineStr">
        <is>
          <t>Rent-Roll.xlsx C7:C9 (three units)</t>
        </is>
      </c>
    </row>
    <row r="4" ht="26" customHeight="1">
      <c r="A4" s="3" t="inlineStr">
        <is>
          <t>occupied_count</t>
        </is>
      </c>
      <c r="B4" s="34">
        <f>OccUnits</f>
        <v/>
      </c>
      <c r="C4" s="7" t="inlineStr">
        <is>
          <t>Rent-Roll.xlsx F7:F9 all = 'Occupied'</t>
        </is>
      </c>
    </row>
    <row r="5" ht="26" customHeight="1">
      <c r="A5" s="3" t="inlineStr">
        <is>
          <t>total_area_sf</t>
        </is>
      </c>
      <c r="B5" s="34">
        <f>TotalSF</f>
        <v/>
      </c>
      <c r="C5" s="7" t="inlineStr">
        <is>
          <t>Rent-Roll.xlsx E7:E9 sum</t>
        </is>
      </c>
    </row>
    <row r="6" ht="26" customHeight="1">
      <c r="A6" s="3" t="inlineStr">
        <is>
          <t>occupied_area_sf</t>
        </is>
      </c>
      <c r="B6" s="34">
        <f>OccSF</f>
        <v/>
      </c>
      <c r="C6" s="7" t="inlineStr">
        <is>
          <t>Rent-Roll.xlsx E7:E9 sum (all occupied)</t>
        </is>
      </c>
    </row>
    <row r="7" ht="26" customHeight="1">
      <c r="A7" s="3" t="inlineStr">
        <is>
          <t>occupancy_count_pct</t>
        </is>
      </c>
      <c r="B7" s="35">
        <f>OccUnits/UnitCount*100</f>
        <v/>
      </c>
      <c r="C7" s="7" t="inlineStr">
        <is>
          <t>Percent 0-100</t>
        </is>
      </c>
    </row>
    <row r="8" ht="26" customHeight="1">
      <c r="A8" s="3" t="inlineStr">
        <is>
          <t>occupancy_area_pct</t>
        </is>
      </c>
      <c r="B8" s="35">
        <f>OccSF/TotalSF*100</f>
        <v/>
      </c>
      <c r="C8" s="7" t="inlineStr">
        <is>
          <t>Percent 0-100</t>
        </is>
      </c>
    </row>
    <row r="9" ht="26" customHeight="1">
      <c r="A9" s="3" t="inlineStr">
        <is>
          <t>rent_roll_monthly_base</t>
        </is>
      </c>
      <c r="B9" s="36">
        <f>'Rent Roll'!E15</f>
        <v/>
      </c>
      <c r="C9" s="7" t="inlineStr">
        <is>
          <t>Rent-Roll.xlsx SUMPRODUCT Occupied</t>
        </is>
      </c>
    </row>
    <row r="10" ht="26" customHeight="1">
      <c r="A10" s="3" t="inlineStr">
        <is>
          <t>effective_monthly_base</t>
        </is>
      </c>
      <c r="B10" s="36">
        <f>'Rent Roll'!E16</f>
        <v/>
      </c>
      <c r="C10" s="7" t="inlineStr">
        <is>
          <t>Lease-authoritative; matches rent roll; no amendments/option exercise in packet</t>
        </is>
      </c>
    </row>
    <row r="11" ht="26" customHeight="1">
      <c r="A11" s="3" t="inlineStr">
        <is>
          <t>t12_egi</t>
        </is>
      </c>
      <c r="B11" s="36">
        <f>T_GPR+T_VAC+T_CONC+T_BD+T_OI</f>
        <v/>
      </c>
      <c r="C11" s="7" t="inlineStr">
        <is>
          <t>T12-Statement.pdf p.2 annual column</t>
        </is>
      </c>
    </row>
    <row r="12" ht="26" customHeight="1">
      <c r="A12" s="3" t="inlineStr">
        <is>
          <t>t12_operating_expenses</t>
        </is>
      </c>
      <c r="B12" s="36">
        <f>T_TAX+T_INS+T_UT+T_RM+T_PAY+T_ADM+T_MGMT</f>
        <v/>
      </c>
      <c r="C12" s="7" t="inlineStr">
        <is>
          <t>T12-Statement.pdf p.2 annual (excl. reserves/capex/debt/depr.)</t>
        </is>
      </c>
    </row>
    <row r="13" ht="26" customHeight="1">
      <c r="A13" s="3" t="inlineStr">
        <is>
          <t>t12_noi_before_reserves</t>
        </is>
      </c>
      <c r="B13" s="36">
        <f>(T_GPR+T_VAC+T_CONC+T_BD+T_OI)-(T_TAX+T_INS+T_UT+T_RM+T_PAY+T_ADM+T_MGMT)</f>
        <v/>
      </c>
      <c r="C13" s="7" t="inlineStr">
        <is>
          <t>EGI − Opex</t>
        </is>
      </c>
    </row>
    <row r="14" ht="26" customHeight="1">
      <c r="A14" s="3" t="inlineStr">
        <is>
          <t>t12_reserves</t>
        </is>
      </c>
      <c r="B14" s="36">
        <f>T_RES</f>
        <v/>
      </c>
      <c r="C14" s="7" t="inlineStr">
        <is>
          <t>T12-Statement.pdf p.2 (below NOI)</t>
        </is>
      </c>
    </row>
    <row r="15" ht="26" customHeight="1">
      <c r="A15" s="3" t="inlineStr">
        <is>
          <t>t12_ncf</t>
        </is>
      </c>
      <c r="B15" s="36">
        <f>(T_GPR+T_VAC+T_CONC+T_BD+T_OI)-(T_TAX+T_INS+T_UT+T_RM+T_PAY+T_ADM+T_MGMT)-T_RES</f>
        <v/>
      </c>
      <c r="C15" s="7" t="inlineStr">
        <is>
          <t>NOI − reserves</t>
        </is>
      </c>
    </row>
    <row r="16" ht="26" customHeight="1">
      <c r="A16" s="3" t="inlineStr">
        <is>
          <t>uw_egi</t>
        </is>
      </c>
      <c r="B16" s="36">
        <f>UW_EGI</f>
        <v/>
      </c>
      <c r="C16" s="7" t="inlineStr">
        <is>
          <t>Property-and-Plan.pdf p.2 — GPR − 3% loss + Other income</t>
        </is>
      </c>
    </row>
    <row r="17" ht="26" customHeight="1">
      <c r="A17" s="3" t="inlineStr">
        <is>
          <t>uw_management_fee</t>
        </is>
      </c>
      <c r="B17" s="36">
        <f>UW_MGMT</f>
        <v/>
      </c>
      <c r="C17" s="7" t="inlineStr">
        <is>
          <t>Greater of T12 actual ($26,400) or 3% × UW EGI</t>
        </is>
      </c>
    </row>
    <row r="18" ht="26" customHeight="1">
      <c r="A18" s="3" t="inlineStr">
        <is>
          <t>uw_operating_expenses</t>
        </is>
      </c>
      <c r="B18" s="36">
        <f>UW_OPEX</f>
        <v/>
      </c>
      <c r="C18" s="7" t="inlineStr">
        <is>
          <t>Property-and-Plan.pdf p.2 categories (before reserves)</t>
        </is>
      </c>
    </row>
    <row r="19" ht="26" customHeight="1">
      <c r="A19" s="3" t="inlineStr">
        <is>
          <t>uw_noi_before_reserves</t>
        </is>
      </c>
      <c r="B19" s="36">
        <f>UW_NOI</f>
        <v/>
      </c>
      <c r="C19" s="7" t="inlineStr">
        <is>
          <t>UW EGI − UW opex</t>
        </is>
      </c>
    </row>
    <row r="20" ht="26" customHeight="1">
      <c r="A20" s="3" t="inlineStr">
        <is>
          <t>uw_reserves</t>
        </is>
      </c>
      <c r="B20" s="36">
        <f>UW_RES</f>
        <v/>
      </c>
      <c r="C20" s="7" t="inlineStr">
        <is>
          <t>$0.20/SF × 72,000 SF</t>
        </is>
      </c>
    </row>
    <row r="21" ht="26" customHeight="1">
      <c r="A21" s="3" t="inlineStr">
        <is>
          <t>uw_ncf</t>
        </is>
      </c>
      <c r="B21" s="36">
        <f>UW_NCF</f>
        <v/>
      </c>
      <c r="C21" s="7" t="inlineStr">
        <is>
          <t>UW NOI − reserves</t>
        </is>
      </c>
    </row>
    <row r="22" ht="26" customHeight="1">
      <c r="A22" s="3" t="inlineStr">
        <is>
          <t>capitalization_value</t>
        </is>
      </c>
      <c r="B22" s="36">
        <f>UW_VAL</f>
        <v/>
      </c>
      <c r="C22" s="7" t="inlineStr">
        <is>
          <t>UW NOI before reserves / 6.50% cap rate</t>
        </is>
      </c>
    </row>
    <row r="23" ht="26" customHeight="1">
      <c r="A23" s="3" t="inlineStr">
        <is>
          <t>contract_rate</t>
        </is>
      </c>
      <c r="B23" s="37">
        <f>L_CR</f>
        <v/>
      </c>
      <c r="C23" s="7" t="inlineStr">
        <is>
          <t>Lender-Terms.pdf (decimal)</t>
        </is>
      </c>
    </row>
    <row r="24" ht="26" customHeight="1">
      <c r="A24" s="3" t="inlineStr">
        <is>
          <t>sizing_rate</t>
        </is>
      </c>
      <c r="B24" s="37">
        <f>MAX(L_CR,L_SR_FLOOR)</f>
        <v/>
      </c>
      <c r="C24" s="7" t="inlineStr">
        <is>
          <t>Greater of contract &amp; 6.50% floor</t>
        </is>
      </c>
    </row>
    <row r="25" ht="26" customHeight="1">
      <c r="A25" s="3" t="inlineStr">
        <is>
          <t>annual_debt_constant</t>
        </is>
      </c>
      <c r="B25" s="37">
        <f>ADC_SIZ</f>
        <v/>
      </c>
      <c r="C25" s="7" t="inlineStr">
        <is>
          <t>12 × PMT at sizing rate, 30-yr monthly amort</t>
        </is>
      </c>
    </row>
    <row r="26" ht="26" customHeight="1">
      <c r="A26" s="3" t="inlineStr">
        <is>
          <t>ltv_limit</t>
        </is>
      </c>
      <c r="B26" s="36">
        <f>L_LTV*UW_VAL</f>
        <v/>
      </c>
      <c r="C26" s="7" t="inlineStr">
        <is>
          <t>60% × indicative value</t>
        </is>
      </c>
    </row>
    <row r="27" ht="26" customHeight="1">
      <c r="A27" s="3" t="inlineStr">
        <is>
          <t>dscr_limit</t>
        </is>
      </c>
      <c r="B27" s="36">
        <f>UW_NCF/(L_DSCR*ADC_SIZ)</f>
        <v/>
      </c>
      <c r="C27" s="7" t="inlineStr">
        <is>
          <t>NCF / (1.30 × ADC)</t>
        </is>
      </c>
    </row>
    <row r="28" ht="26" customHeight="1">
      <c r="A28" s="3" t="inlineStr">
        <is>
          <t>debt_yield_limit</t>
        </is>
      </c>
      <c r="B28" s="36">
        <f>UW_NCF/L_DY</f>
        <v/>
      </c>
      <c r="C28" s="7" t="inlineStr">
        <is>
          <t>NCF / 9.50%</t>
        </is>
      </c>
    </row>
    <row r="29" ht="26" customHeight="1">
      <c r="A29" s="3" t="inlineStr">
        <is>
          <t>maximum_loan</t>
        </is>
      </c>
      <c r="B29" s="36">
        <f>MAX_LOAN</f>
        <v/>
      </c>
      <c r="C29" s="7" t="inlineStr">
        <is>
          <t>MIN of three constraints</t>
        </is>
      </c>
    </row>
    <row r="30" ht="26" customHeight="1">
      <c r="A30" s="3" t="inlineStr">
        <is>
          <t>binding_constraint</t>
        </is>
      </c>
      <c r="B30" s="38">
        <f>'Loan Sizing'!B10</f>
        <v/>
      </c>
      <c r="C30" s="7" t="inlineStr">
        <is>
          <t>LTV</t>
        </is>
      </c>
    </row>
    <row r="31" ht="26" customHeight="1">
      <c r="A31" s="3" t="inlineStr">
        <is>
          <t>sizing_annual_debt_service</t>
        </is>
      </c>
      <c r="B31" s="36">
        <f>MAX_LOAN*ADC_SIZ</f>
        <v/>
      </c>
      <c r="C31" s="7" t="inlineStr">
        <is>
          <t>Max loan × ADC (sizing rate, amortizing)</t>
        </is>
      </c>
    </row>
    <row r="32" ht="26" customHeight="1">
      <c r="A32" s="3" t="inlineStr">
        <is>
          <t>sizing_dscr</t>
        </is>
      </c>
      <c r="B32" s="39">
        <f>UW_NCF/(MAX_LOAN*ADC_SIZ)</f>
        <v/>
      </c>
      <c r="C32" s="7" t="inlineStr">
        <is>
          <t>NCF / sizing DS</t>
        </is>
      </c>
    </row>
    <row r="33" ht="26" customHeight="1">
      <c r="A33" s="3" t="inlineStr">
        <is>
          <t>sizing_debt_yield</t>
        </is>
      </c>
      <c r="B33" s="37">
        <f>UW_NCF/MAX_LOAN</f>
        <v/>
      </c>
      <c r="C33" s="7" t="inlineStr">
        <is>
          <t>NCF / max loan</t>
        </is>
      </c>
    </row>
    <row r="34" ht="26" customHeight="1">
      <c r="A34" s="3" t="inlineStr">
        <is>
          <t>first_year_debt_service</t>
        </is>
      </c>
      <c r="B34" s="36">
        <f>MAX_LOAN*L_CR</f>
        <v/>
      </c>
      <c r="C34" s="7" t="inlineStr">
        <is>
          <t>12 months IO × contract rate</t>
        </is>
      </c>
    </row>
    <row r="35" ht="26" customHeight="1">
      <c r="A35" s="3" t="inlineStr">
        <is>
          <t>cash_to_borrower</t>
        </is>
      </c>
      <c r="B35" s="36">
        <f>MAX_LOAN-(L_PAYOFF+L_ORIG*MAX_LOAN+L_CLOSE)</f>
        <v/>
      </c>
      <c r="C35" s="7" t="inlineStr">
        <is>
          <t>Loan − payoff − origination fee − closing</t>
        </is>
      </c>
    </row>
    <row r="36" ht="26" customHeight="1">
      <c r="A36" s="3" t="inlineStr">
        <is>
          <t>stress_uw_noi</t>
        </is>
      </c>
      <c r="B36" s="36">
        <f>Sensitivity!B6</f>
        <v/>
      </c>
      <c r="C36" s="7" t="inlineStr">
        <is>
          <t>EGI −5% with management recalculated; other opex unchanged</t>
        </is>
      </c>
    </row>
    <row r="37" ht="26" customHeight="1">
      <c r="A37" s="3" t="inlineStr">
        <is>
          <t>stress_maximum_loan</t>
        </is>
      </c>
      <c r="B37" s="36">
        <f>Sensitivity!B14</f>
        <v/>
      </c>
      <c r="C37" s="7" t="inlineStr">
        <is>
          <t>EGI −5% AND sizing rate +100 bps; cap rate unchanged; binding = DSCR</t>
        </is>
      </c>
    </row>
    <row r="38" ht="26" customHeight="1">
      <c r="A38" s="3" t="inlineStr">
        <is>
          <t>subject_lease_monthly_rent</t>
        </is>
      </c>
      <c r="B38" s="36" t="n">
        <v>12800</v>
      </c>
      <c r="C38" s="7" t="inlineStr">
        <is>
          <t>Lease-File.pdf §3 (Unit 101)</t>
        </is>
      </c>
    </row>
    <row r="39" ht="26" customHeight="1">
      <c r="A39" s="3" t="inlineStr">
        <is>
          <t>subject_lease_expiry</t>
        </is>
      </c>
      <c r="B39" s="38" t="inlineStr">
        <is>
          <t>2028-08-31</t>
        </is>
      </c>
      <c r="C39" s="7" t="inlineStr">
        <is>
          <t>Lease-File.pdf §2 (renewal option NOT exercised)</t>
        </is>
      </c>
    </row>
    <row r="40" ht="26" customHeight="1">
      <c r="A40" s="3" t="inlineStr">
        <is>
          <t>subject_lease_deposit</t>
        </is>
      </c>
      <c r="B40" s="36" t="n">
        <v>25600</v>
      </c>
      <c r="C40" s="7" t="inlineStr">
        <is>
          <t>Lease-File.pdf §4</t>
        </is>
      </c>
    </row>
    <row r="41" ht="26" customHeight="1">
      <c r="A41" s="3" t="inlineStr">
        <is>
          <t>verified_renewal_insurance</t>
        </is>
      </c>
      <c r="B41" s="38" t="inlineStr">
        <is>
          <t>unknown</t>
        </is>
      </c>
      <c r="C41" s="7" t="inlineStr">
        <is>
          <t>No binder / renewal quote delivered; $36,000 UW is provisional only</t>
        </is>
      </c>
    </row>
    <row r="42" ht="26" customHeight="1">
      <c r="A42" s="3" t="inlineStr">
        <is>
          <t>renewal_option_exercised</t>
        </is>
      </c>
      <c r="B42" s="38" t="inlineStr">
        <is>
          <t>FALSE</t>
        </is>
      </c>
      <c r="C42" s="7" t="inlineStr">
        <is>
          <t>Lease-File.pdf §5; no exercise notice or amendment in packet</t>
        </is>
      </c>
    </row>
    <row r="43" ht="26" customHeight="1">
      <c r="A43" s="3" t="inlineStr">
        <is>
          <t>prepayment_friction</t>
        </is>
      </c>
      <c r="B43" s="38" t="inlineStr">
        <is>
          <t>1% of outstanding principal in years 1–2; none stated thereafter; no swap assumed</t>
        </is>
      </c>
      <c r="C43" s="7" t="inlineStr">
        <is>
          <t>Lender-Terms.pdf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2026-09-06T22:02:50Z</dcterms:created>
  <dcterms:modified xmlns:dcterms="http://purl.org/dc/terms/" xmlns:xsi="http://www.w3.org/2001/XMLSchema-instance" xsi:type="dcterms:W3CDTF">2026-09-06T22:02:50Z</dcterms:modified>
</cp:coreProperties>
</file>