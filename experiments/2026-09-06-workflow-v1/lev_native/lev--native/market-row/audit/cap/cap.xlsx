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Rent Roll" sheetId="3" state="visible" r:id="rId5"/>
    <sheet name="T12" sheetId="4" state="visible" r:id="rId6"/>
    <sheet name="Underwriting" sheetId="5" state="visible" r:id="rId7"/>
    <sheet name="Loan Sizing" sheetId="6" state="visible" r:id="rId8"/>
    <sheet name="Sensitivity" sheetId="7" state="visible" r:id="rId9"/>
    <sheet name="Fields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<sst xmlns="http://schemas.openxmlformats.org/spreadsheetml/2006/main" count="358" uniqueCount="290">
  <si>
    <t xml:space="preserve">Market Row | Refinance Underwriting Workbook</t>
  </si>
  <si>
    <t xml:space="preserve">Prepared September 1, 2026  |  As of August 31, 2026  |  Fictional evaluation material</t>
  </si>
  <si>
    <t xml:space="preserve">Color legend</t>
  </si>
  <si>
    <t xml:space="preserve">Yellow</t>
  </si>
  <si>
    <t xml:space="preserve">Editable assumption — change these to re-run the model.</t>
  </si>
  <si>
    <t xml:space="preserve">Green</t>
  </si>
  <si>
    <t xml:space="preserve">Computed output driven by formulas.</t>
  </si>
  <si>
    <t xml:space="preserve">Blue header</t>
  </si>
  <si>
    <t xml:space="preserve">Section header.</t>
  </si>
  <si>
    <t xml:space="preserve">Sheet map</t>
  </si>
  <si>
    <t xml:space="preserve">Assumptions</t>
  </si>
  <si>
    <t xml:space="preserve">All editable inputs. Change cap rate, sizing rate, EGI drivers, opex, reserves, loan terms here.</t>
  </si>
  <si>
    <t xml:space="preserve">Rent Roll</t>
  </si>
  <si>
    <t xml:space="preserve">Rent roll with authoritative amendment applied to Unit 101.</t>
  </si>
  <si>
    <t xml:space="preserve">T12</t>
  </si>
  <si>
    <t xml:space="preserve">Trailing 12-month historical actuals (Sep-25 to Aug-26).</t>
  </si>
  <si>
    <t xml:space="preserve">Underwriting</t>
  </si>
  <si>
    <t xml:space="preserve">Underwritten EGI, opex, NOI, NCF — all live formulas from Assumptions.</t>
  </si>
  <si>
    <t xml:space="preserve">Loan Sizing</t>
  </si>
  <si>
    <t xml:space="preserve">LTV / DSCR / Debt Yield constraints, binding max, sources &amp; uses, first-year DS.</t>
  </si>
  <si>
    <t xml:space="preserve">Sensitivity</t>
  </si>
  <si>
    <t xml:space="preserve">Combined downside (EGI -5% AND sizing +100 bps) and cap-rate +50 bps sensitivity.</t>
  </si>
  <si>
    <t xml:space="preserve">Fields</t>
  </si>
  <si>
    <t xml:space="preserve">Requested reporting fields with sources.</t>
  </si>
  <si>
    <t xml:space="preserve">Key output locations</t>
  </si>
  <si>
    <t xml:space="preserve">Cap rate</t>
  </si>
  <si>
    <t xml:space="preserve">Assumptions!C7</t>
  </si>
  <si>
    <t xml:space="preserve">Sizing rate (computed)</t>
  </si>
  <si>
    <t xml:space="preserve">Assumptions!C22</t>
  </si>
  <si>
    <t xml:space="preserve">Underwritten EGI</t>
  </si>
  <si>
    <t xml:space="preserve">Underwriting!C11</t>
  </si>
  <si>
    <t xml:space="preserve">Underwritten NOI (before reserves)</t>
  </si>
  <si>
    <t xml:space="preserve">Underwriting!C21</t>
  </si>
  <si>
    <t xml:space="preserve">Underwritten NCF</t>
  </si>
  <si>
    <t xml:space="preserve">Underwriting!C23</t>
  </si>
  <si>
    <t xml:space="preserve">Indicative value (cap rate)</t>
  </si>
  <si>
    <t xml:space="preserve">Loan Sizing!C7</t>
  </si>
  <si>
    <t xml:space="preserve">Maximum loan (binding)</t>
  </si>
  <si>
    <t xml:space="preserve">Loan Sizing!C18</t>
  </si>
  <si>
    <t xml:space="preserve">Cash to / (from) borrower</t>
  </si>
  <si>
    <t xml:space="preserve">Loan Sizing!C33</t>
  </si>
  <si>
    <t xml:space="preserve">Notes</t>
  </si>
  <si>
    <t xml:space="preserve">All figures derive from the supplied packet. Unit 101 monthly rent reflects the executed First Amendment (effective 8/1/2026) at $7,500. Insurance uses the fictional renewal quote of $27,600. This workbook is an internal-review underwriting model, not a lender commitment.</t>
  </si>
  <si>
    <t xml:space="preserve">MARKET ROW — EDITABLE ASSUMPTIONS</t>
  </si>
  <si>
    <t xml:space="preserve">Property</t>
  </si>
  <si>
    <t xml:space="preserve">Total rentable SF</t>
  </si>
  <si>
    <t xml:space="preserve">Sum of rent roll areas.</t>
  </si>
  <si>
    <t xml:space="preserve">Occupied SF</t>
  </si>
  <si>
    <t xml:space="preserve">Sum of 7 occupied units.</t>
  </si>
  <si>
    <t xml:space="preserve">Valuation</t>
  </si>
  <si>
    <t xml:space="preserve">Applied to UW NOI BEFORE reserves.</t>
  </si>
  <si>
    <t xml:space="preserve">Cap rate sensitivity delta (bps)</t>
  </si>
  <si>
    <t xml:space="preserve">+50 bps stress case (workbook only).</t>
  </si>
  <si>
    <t xml:space="preserve">Underwriting — revenue</t>
  </si>
  <si>
    <t xml:space="preserve">Gross potential base rent (annual)</t>
  </si>
  <si>
    <t xml:space="preserve">Property plan — supplied scenario.</t>
  </si>
  <si>
    <t xml:space="preserve">Combined revenue loss %</t>
  </si>
  <si>
    <t xml:space="preserve">Vacancy + concessions + bad debt.</t>
  </si>
  <si>
    <t xml:space="preserve">Other income / recoveries (annual)</t>
  </si>
  <si>
    <t xml:space="preserve">Add after revenue loss.</t>
  </si>
  <si>
    <t xml:space="preserve">Underwriting — operating expenses</t>
  </si>
  <si>
    <t xml:space="preserve">Real estate taxes</t>
  </si>
  <si>
    <t xml:space="preserve">Plan: $90,000.</t>
  </si>
  <si>
    <t xml:space="preserve">Property insurance</t>
  </si>
  <si>
    <t xml:space="preserve">Fictional renewal quote 8/25/2026.</t>
  </si>
  <si>
    <t xml:space="preserve">Utilities</t>
  </si>
  <si>
    <t xml:space="preserve">Use T12 actual.</t>
  </si>
  <si>
    <t xml:space="preserve">Repairs &amp; maintenance</t>
  </si>
  <si>
    <t xml:space="preserve">T12 $28,800 less $4,800 one-time casualty cleanup.</t>
  </si>
  <si>
    <t xml:space="preserve">Payroll / contract labor</t>
  </si>
  <si>
    <t xml:space="preserve">Administrative / legal</t>
  </si>
  <si>
    <t xml:space="preserve">Management fee — T12 actual (floor)</t>
  </si>
  <si>
    <t xml:space="preserve">Greater of T12 actual and 4% of EGI.</t>
  </si>
  <si>
    <t xml:space="preserve">Management fee — % of EGI</t>
  </si>
  <si>
    <t xml:space="preserve">Reserves</t>
  </si>
  <si>
    <t xml:space="preserve">Replacement reserves ($/SF/yr)</t>
  </si>
  <si>
    <t xml:space="preserve">Plan: $0.20/SF; deducted after NOI.</t>
  </si>
  <si>
    <t xml:space="preserve">Loan terms — lender</t>
  </si>
  <si>
    <t xml:space="preserve">Contract rate (annual)</t>
  </si>
  <si>
    <t xml:space="preserve">Fixed contractual rate.</t>
  </si>
  <si>
    <t xml:space="preserve">Sizing rate floor</t>
  </si>
  <si>
    <t xml:space="preserve">Greater of contract rate and floor.</t>
  </si>
  <si>
    <t xml:space="preserve">Sizing rate stress delta (bps)</t>
  </si>
  <si>
    <t xml:space="preserve">+100 bps for combined downside.</t>
  </si>
  <si>
    <t xml:space="preserve">Amortization (years)</t>
  </si>
  <si>
    <t xml:space="preserve">Monthly payments.</t>
  </si>
  <si>
    <t xml:space="preserve">Interest-only period (months)</t>
  </si>
  <si>
    <t xml:space="preserve">Underwriting DSCR still uses amortizing DS.</t>
  </si>
  <si>
    <t xml:space="preserve">Maturity (months)</t>
  </si>
  <si>
    <t xml:space="preserve">5-year term.</t>
  </si>
  <si>
    <t xml:space="preserve">Origination fee</t>
  </si>
  <si>
    <t xml:space="preserve">% of actual initial principal.</t>
  </si>
  <si>
    <t xml:space="preserve">Constraints</t>
  </si>
  <si>
    <t xml:space="preserve">Max LTV</t>
  </si>
  <si>
    <t xml:space="preserve">Loan / indicative value.</t>
  </si>
  <si>
    <t xml:space="preserve">Min DSCR</t>
  </si>
  <si>
    <t xml:space="preserve">NCF (after reserves) / amortizing DS at sizing rate.</t>
  </si>
  <si>
    <t xml:space="preserve">Min debt yield</t>
  </si>
  <si>
    <t xml:space="preserve">NOI (before reserves) / loan.</t>
  </si>
  <si>
    <t xml:space="preserve">EGI downside %</t>
  </si>
  <si>
    <t xml:space="preserve">For combined downside.</t>
  </si>
  <si>
    <t xml:space="preserve">Sources &amp; Uses</t>
  </si>
  <si>
    <t xml:space="preserve">Existing debt payoff</t>
  </si>
  <si>
    <t xml:space="preserve">Property plan.</t>
  </si>
  <si>
    <t xml:space="preserve">Fixed closing costs</t>
  </si>
  <si>
    <t xml:space="preserve">Derived (formulas)</t>
  </si>
  <si>
    <t xml:space="preserve">Sizing rate (greater of contract &amp; floor)</t>
  </si>
  <si>
    <t xml:space="preserve">Stress sizing rate</t>
  </si>
  <si>
    <t xml:space="preserve">RENT ROLL — as of 2026-08-31 (Unit 101 reflects executed First Amendment)</t>
  </si>
  <si>
    <t xml:space="preserve">Unit</t>
  </si>
  <si>
    <t xml:space="preserve">Tenant</t>
  </si>
  <si>
    <t xml:space="preserve">Area SF</t>
  </si>
  <si>
    <t xml:space="preserve">Status</t>
  </si>
  <si>
    <t xml:space="preserve">Rent Roll Monthly</t>
  </si>
  <si>
    <t xml:space="preserve">Effective Monthly*</t>
  </si>
  <si>
    <t xml:space="preserve">Market Monthly</t>
  </si>
  <si>
    <t xml:space="preserve">Lease Expiry</t>
  </si>
  <si>
    <t xml:space="preserve">101</t>
  </si>
  <si>
    <t xml:space="preserve">Tenant A LLC</t>
  </si>
  <si>
    <t xml:space="preserve">Occupied</t>
  </si>
  <si>
    <t xml:space="preserve">2031-08-31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</si>
  <si>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</si>
  <si>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</si>
  <si>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</si>
  <si>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</si>
  <si>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</si>
  <si>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</si>
  <si>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</si>
  <si>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</si>
  <si>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</si>
  <si>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</si>
  <si>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</si>
  <si>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</si>
  <si>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</si>
  <si>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</si>
  <si>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</si>
  <si>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</si>
  <si>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</si>
  <si>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Vacant</t>
  </si>
  <si>
    <t xml:space="preserve">TOTAL</t>
  </si>
  <si>
    <t xml:space="preserve">Rent roll summary</t>
  </si>
  <si>
    <t xml:space="preserve">Space count (units)</t>
  </si>
  <si>
    <t xml:space="preserve">Occupied count</t>
  </si>
  <si>
    <t xml:space="preserve">Occupancy by count %</t>
  </si>
  <si>
    <t xml:space="preserve">Occupancy by area %</t>
  </si>
  <si>
    <t xml:space="preserve">Rent roll monthly base (as printed)</t>
  </si>
  <si>
    <t xml:space="preserve">Effective monthly base (post-amendment)</t>
  </si>
  <si>
    <t xml:space="preserve">Effective annual base</t>
  </si>
  <si>
    <t xml:space="preserve">* Effective Monthly for Unit 101 reflects executed First Amendment (8/1/2026: $7,500).</t>
  </si>
  <si>
    <t xml:space="preserve">TRAILING 12-MONTH ACTUALS — September 2025 through August 2026</t>
  </si>
  <si>
    <t xml:space="preserve">Revenue</t>
  </si>
  <si>
    <t xml:space="preserve">Gross potential base rent</t>
  </si>
  <si>
    <t xml:space="preserve">T12 statement, Annual column</t>
  </si>
  <si>
    <t xml:space="preserve">Vacancy loss</t>
  </si>
  <si>
    <t xml:space="preserve">T12 statement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</si>
  <si>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</si>
  <si>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</si>
  <si>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</si>
  <si>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</si>
  <si>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Operating expenses</t>
  </si>
  <si>
    <t xml:space="preserve">Management fee</t>
  </si>
  <si>
    <t xml:space="preserve">Total operating expenses</t>
  </si>
  <si>
    <t xml:space="preserve">NOI before replacement reserves</t>
  </si>
  <si>
    <t xml:space="preserve">Replacement reserves</t>
  </si>
  <si>
    <t xml:space="preserve">NCF after reserves</t>
  </si>
  <si>
    <t xml:space="preserve">Memo — below NOI/NCF (not opex)</t>
  </si>
  <si>
    <t xml:space="preserve">Capital improvements</t>
  </si>
  <si>
    <t xml:space="preserve">Loan P&amp;I (existing)</t>
  </si>
  <si>
    <t xml:space="preserve">Depreciation (noncash)</t>
  </si>
  <si>
    <t xml:space="preserve">UNDERWRITING — Sept 2026 forward (live formulas from Assumptions)</t>
  </si>
  <si>
    <t xml:space="preserve">Less: combined revenue loss (vacancy/conc/bad debt)</t>
  </si>
  <si>
    <t xml:space="preserve">Effective gross rent</t>
  </si>
  <si>
    <t xml:space="preserve">Property insurance (renewal quote)</t>
  </si>
  <si>
    <t xml:space="preserve">Repairs &amp; maintenance (normalized)</t>
  </si>
  <si>
    <t xml:space="preserve">Management fee (max of T12 &amp; 4% EGI)</t>
  </si>
  <si>
    <t xml:space="preserve">Replacement reserves ($/SF × total SF)</t>
  </si>
  <si>
    <t xml:space="preserve">LOAN SIZING — LTV / DSCR / Debt Yield (live formulas)</t>
  </si>
  <si>
    <t xml:space="preserve">Rates &amp; valuation</t>
  </si>
  <si>
    <t xml:space="preserve">Contract rate</t>
  </si>
  <si>
    <t xml:space="preserve">Indicative value = UW NOI (before reserves) / cap rate</t>
  </si>
  <si>
    <t xml:space="preserve">Debt constants</t>
  </si>
  <si>
    <t xml:space="preserve">Amortization (months)</t>
  </si>
  <si>
    <t xml:space="preserve">Monthly PMT per $1 principal at sizing rate</t>
  </si>
  <si>
    <t xml:space="preserve">Annual debt constant at sizing rate</t>
  </si>
  <si>
    <t xml:space="preserve">Annual debt constant at contract rate</t>
  </si>
  <si>
    <t xml:space="preserve">Constraint maxima</t>
  </si>
  <si>
    <t xml:space="preserve">Max under LTV = value × max LTV</t>
  </si>
  <si>
    <t xml:space="preserve">Max under DSCR = NCF / (min DSCR × ADC sizing)</t>
  </si>
  <si>
    <t xml:space="preserve">Max under Debt Yield = NOI / min DY</t>
  </si>
  <si>
    <t xml:space="preserve">MAXIMUM LOAN (min of three)</t>
  </si>
  <si>
    <t xml:space="preserve">Binding constraint</t>
  </si>
  <si>
    <t xml:space="preserve">Debt-service checks</t>
  </si>
  <si>
    <t xml:space="preserve">Sizing annual debt service (at sizing rate)</t>
  </si>
  <si>
    <t xml:space="preserve">Sizing DSCR (NCF / sizing DS)</t>
  </si>
  <si>
    <t xml:space="preserve">Sizing debt yield (NOI / loan)</t>
  </si>
  <si>
    <t xml:space="preserve">First-year contractual debt service (at contract rate, IO = 0)</t>
  </si>
  <si>
    <t xml:space="preserve">First-year contractual DSCR (NCF / first-year DS)</t>
  </si>
  <si>
    <t xml:space="preserve">Loan proceeds (max loan)</t>
  </si>
  <si>
    <t xml:space="preserve">Less: existing debt payoff</t>
  </si>
  <si>
    <t xml:space="preserve">Less: origination fee (% of loan)</t>
  </si>
  <si>
    <t xml:space="preserve">Less: fixed closing costs</t>
  </si>
  <si>
    <t xml:space="preserve">SENSITIVITY — Combined downside &amp; cap-rate stress</t>
  </si>
  <si>
    <t xml:space="preserve">Base Case</t>
  </si>
  <si>
    <t xml:space="preserve">EGI -5%  (mgmt recalc)</t>
  </si>
  <si>
    <t xml:space="preserve">Combined (EGI-5% + rate+100bps)</t>
  </si>
  <si>
    <t xml:space="preserve">EGI</t>
  </si>
  <si>
    <t xml:space="preserve">All other operating expenses (unchanged)</t>
  </si>
  <si>
    <t xml:space="preserve">NOI before reserves</t>
  </si>
  <si>
    <t xml:space="preserve">Sizing rate</t>
  </si>
  <si>
    <t xml:space="preserve">Annual debt constant</t>
  </si>
  <si>
    <t xml:space="preserve">Cap rate (unchanged in combined downside)</t>
  </si>
  <si>
    <t xml:space="preserve">Indicative value</t>
  </si>
  <si>
    <t xml:space="preserve">Max under LTV</t>
  </si>
  <si>
    <t xml:space="preserve">Max under DSCR</t>
  </si>
  <si>
    <t xml:space="preserve">Max under Debt Yield</t>
  </si>
  <si>
    <t xml:space="preserve">MAXIMUM LOAN</t>
  </si>
  <si>
    <t xml:space="preserve">Separate case — cap rate +50 bps (all other assumptions unchanged)</t>
  </si>
  <si>
    <t xml:space="preserve">Stressed cap rate</t>
  </si>
  <si>
    <t xml:space="preserve">Indicative value (stressed cap)</t>
  </si>
  <si>
    <t xml:space="preserve">Max under LTV (stressed cap)</t>
  </si>
  <si>
    <t xml:space="preserve">Max under DSCR (base rate)</t>
  </si>
  <si>
    <t xml:space="preserve">Max under Debt Yield (base)</t>
  </si>
  <si>
    <t xml:space="preserve">MAXIMUM LOAN (cap +50 bps)</t>
  </si>
  <si>
    <t xml:space="preserve">REQUESTED REPORTING FIELDS</t>
  </si>
  <si>
    <t xml:space="preserve">Field ID</t>
  </si>
  <si>
    <t xml:space="preserve">Value / formula</t>
  </si>
  <si>
    <t xml:space="preserve">Source</t>
  </si>
  <si>
    <t xml:space="preserve">space_count</t>
  </si>
  <si>
    <t xml:space="preserve">Rent-Roll.xlsx, Rent Roll sheet</t>
  </si>
  <si>
    <t xml:space="preserve">occupied_count</t>
  </si>
  <si>
    <t xml:space="preserve">total_area_sf</t>
  </si>
  <si>
    <t xml:space="preserve">Rent-Roll.xlsx</t>
  </si>
  <si>
    <t xml:space="preserve">occupied_area_sf</t>
  </si>
  <si>
    <t xml:space="preserve">occupancy_count_pct</t>
  </si>
  <si>
    <t xml:space="preserve">Derived</t>
  </si>
  <si>
    <t xml:space="preserve">occupancy_area_pct</t>
  </si>
  <si>
    <t xml:space="preserve">rent_roll_monthly_base</t>
  </si>
  <si>
    <t xml:space="preserve">Rent-Roll.xlsx sum as printed (Unit 101 $7,000)</t>
  </si>
  <si>
    <t xml:space="preserve">effective_monthly_base</t>
  </si>
  <si>
    <t xml:space="preserve">Rent-Roll.xlsx + Lease-File.pdf p.2 First Amendment ($7,500)</t>
  </si>
  <si>
    <t xml:space="preserve">t12_egi</t>
  </si>
  <si>
    <t xml:space="preserve">T12-Statement.pdf Annual column</t>
  </si>
  <si>
    <t xml:space="preserve">t12_operating_expenses</t>
  </si>
  <si>
    <t xml:space="preserve">T12-Statement.pdf</t>
  </si>
  <si>
    <t xml:space="preserve">t12_noi_before_reserves</t>
  </si>
  <si>
    <t xml:space="preserve">t12_reserves</t>
  </si>
  <si>
    <t xml:space="preserve">t12_ncf</t>
  </si>
  <si>
    <t xml:space="preserve">uw_egi</t>
  </si>
  <si>
    <t xml:space="preserve">Property-and-Plan.pdf p.2</t>
  </si>
  <si>
    <t xml:space="preserve">uw_management_fee</t>
  </si>
  <si>
    <t xml:space="preserve">Plan: greater of T12 &amp; 4% EGI</t>
  </si>
  <si>
    <t xml:space="preserve">uw_operating_expenses</t>
  </si>
  <si>
    <t xml:space="preserve">uw_noi_before_reserves</t>
  </si>
  <si>
    <t xml:space="preserve">uw_reserves</t>
  </si>
  <si>
    <t xml:space="preserve">Plan: $0.20/SF × total SF</t>
  </si>
  <si>
    <t xml:space="preserve">uw_ncf</t>
  </si>
  <si>
    <t xml:space="preserve">capitalization_value</t>
  </si>
  <si>
    <t xml:space="preserve">contract_rate</t>
  </si>
  <si>
    <t xml:space="preserve">Lender-Terms.pdf</t>
  </si>
  <si>
    <t xml:space="preserve">sizing_rate</t>
  </si>
  <si>
    <t xml:space="preserve">annual_debt_constant</t>
  </si>
  <si>
    <t xml:space="preserve">ltv_limit</t>
  </si>
  <si>
    <t xml:space="preserve">dscr_limit</t>
  </si>
  <si>
    <t xml:space="preserve">debt_yield_limit</t>
  </si>
  <si>
    <t xml:space="preserve">maximum_loan</t>
  </si>
  <si>
    <t xml:space="preserve">Min of three</t>
  </si>
  <si>
    <t xml:space="preserve">binding_constraint</t>
  </si>
  <si>
    <t xml:space="preserve">sizing_annual_debt_service</t>
  </si>
  <si>
    <t xml:space="preserve">sizing_dscr</t>
  </si>
  <si>
    <t xml:space="preserve">sizing_debt_yield</t>
  </si>
  <si>
    <t xml:space="preserve">first_year_debt_service</t>
  </si>
  <si>
    <t xml:space="preserve">Contract rate × ADC(contract) × loan</t>
  </si>
  <si>
    <t xml:space="preserve">cash_to_borrower</t>
  </si>
  <si>
    <t xml:space="preserve">stress_uw_noi</t>
  </si>
  <si>
    <t xml:space="preserve">EGI -5%, mgmt recalc — NOI before reserves</t>
  </si>
  <si>
    <t xml:space="preserve">stress_maximum_loan</t>
  </si>
  <si>
    <t xml:space="preserve">EGI -5% AND sizing +100 bps</t>
  </si>
  <si>
    <t xml:space="preserve">subject_lease_monthly_rent</t>
  </si>
  <si>
    <t xml:space="preserve">Lease-File.pdf p.2 First Amendment</t>
  </si>
  <si>
    <t xml:space="preserve">subject_lease_expiry</t>
  </si>
  <si>
    <t xml:space="preserve">Lease-File.pdf §2 (renewal not exercised)</t>
  </si>
  <si>
    <t xml:space="preserve">subject_lease_deposit</t>
  </si>
  <si>
    <t xml:space="preserve">Lease-File.pdf §4</t>
  </si>
  <si>
    <t xml:space="preserve">verified_renewal_insurance</t>
  </si>
  <si>
    <t xml:space="preserve">Property-and-Plan.pdf p.2 (fictional renewal quote)</t>
  </si>
  <si>
    <t xml:space="preserve">renewal_option_exercised</t>
  </si>
  <si>
    <t xml:space="preserve">No</t>
  </si>
  <si>
    <t xml:space="preserve">Lease-File.pdf §5 — no exercise notice in packet</t>
  </si>
  <si>
    <t xml:space="preserve">prepayment_friction</t>
  </si>
  <si>
    <t xml:space="preserve">1% of outstanding principal in years 1-2; none thereafter; no swap.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</si>
</sst>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0%"/>
    <numFmt numFmtId="167" formatCode="\$0.00"/>
    <numFmt numFmtId="168" formatCode="0.000%"/>
    <numFmt numFmtId="169" formatCode="0"/>
    <numFmt numFmtId="170" formatCode="0.00"/>
    <numFmt numFmtId="171" formatCode="\$#,##0"/>
    <numFmt numFmtId="172" formatCode="#,##0;\(#,##0\)"/>
    <numFmt numFmtId="173" formatCode="0.00000000"/>
    <numFmt numFmtId="174" formatCode="0.000"/>
    <numFmt numFmtId="175" formatCode="\$#,##0;&quot;($&quot;#,##0\)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6"/>
      <color rgb="FF1F386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sz val="10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1" xfId="2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1" xfId="2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0" t="s">
        <v>4</v>
      </c>
    </row>
    <row r="6" customFormat="false" ht="15" hidden="false" customHeight="false" outlineLevel="0" collapsed="false">
      <c r="B6" s="5" t="s">
        <v>5</v>
      </c>
      <c r="C6" s="0" t="s">
        <v>6</v>
      </c>
    </row>
    <row r="7" customFormat="false" ht="15" hidden="false" customHeight="false" outlineLevel="0" collapsed="false">
      <c r="B7" s="6" t="s">
        <v>7</v>
      </c>
      <c r="C7" s="0" t="s">
        <v>8</v>
      </c>
    </row>
    <row r="9" customFormat="false" ht="15" hidden="false" customHeight="false" outlineLevel="0" collapsed="false">
      <c r="B9" s="3" t="s">
        <v>9</v>
      </c>
    </row>
    <row r="10" customFormat="false" ht="23.85" hidden="false" customHeight="false" outlineLevel="0" collapsed="false">
      <c r="B10" s="7" t="s">
        <v>10</v>
      </c>
      <c r="C10" s="8" t="s">
        <v>11</v>
      </c>
    </row>
    <row r="11" customFormat="false" ht="15" hidden="false" customHeight="false" outlineLevel="0" collapsed="false">
      <c r="B11" s="7" t="s">
        <v>12</v>
      </c>
      <c r="C11" s="8" t="s">
        <v>13</v>
      </c>
    </row>
    <row r="12" customFormat="false" ht="15" hidden="false" customHeight="false" outlineLevel="0" collapsed="false">
      <c r="B12" s="7" t="s">
        <v>14</v>
      </c>
      <c r="C12" s="8" t="s">
        <v>15</v>
      </c>
    </row>
    <row r="13" customFormat="false" ht="15" hidden="false" customHeight="false" outlineLevel="0" collapsed="false">
      <c r="B13" s="7" t="s">
        <v>16</v>
      </c>
      <c r="C13" s="8" t="s">
        <v>17</v>
      </c>
    </row>
    <row r="14" customFormat="false" ht="15" hidden="false" customHeight="false" outlineLevel="0" collapsed="false">
      <c r="B14" s="7" t="s">
        <v>18</v>
      </c>
      <c r="C14" s="8" t="s">
        <v>19</v>
      </c>
    </row>
    <row r="15" customFormat="false" ht="23.85" hidden="false" customHeight="false" outlineLevel="0" collapsed="false">
      <c r="B15" s="7" t="s">
        <v>20</v>
      </c>
      <c r="C15" s="8" t="s">
        <v>21</v>
      </c>
    </row>
    <row r="16" customFormat="false" ht="15" hidden="false" customHeight="false" outlineLevel="0" collapsed="false">
      <c r="B16" s="7" t="s">
        <v>22</v>
      </c>
      <c r="C16" s="8" t="s">
        <v>23</v>
      </c>
    </row>
    <row r="20" customFormat="false" ht="15" hidden="false" customHeight="false" outlineLevel="0" collapsed="false">
      <c r="B20" s="3" t="s">
        <v>24</v>
      </c>
    </row>
    <row r="21" customFormat="false" ht="15" hidden="false" customHeight="false" outlineLevel="0" collapsed="false">
      <c r="B21" s="7" t="s">
        <v>25</v>
      </c>
      <c r="C21" s="0" t="s">
        <v>26</v>
      </c>
    </row>
    <row r="22" customFormat="false" ht="15" hidden="false" customHeight="false" outlineLevel="0" collapsed="false">
      <c r="B22" s="7" t="s">
        <v>27</v>
      </c>
      <c r="C22" s="0" t="s">
        <v>28</v>
      </c>
    </row>
    <row r="23" customFormat="false" ht="15" hidden="false" customHeight="false" outlineLevel="0" collapsed="false">
      <c r="B23" s="7" t="s">
        <v>29</v>
      </c>
      <c r="C23" s="0" t="s">
        <v>30</v>
      </c>
    </row>
    <row r="24" customFormat="false" ht="15" hidden="false" customHeight="false" outlineLevel="0" collapsed="false">
      <c r="B24" s="7" t="s">
        <v>31</v>
      </c>
      <c r="C24" s="0" t="s">
        <v>32</v>
      </c>
    </row>
    <row r="25" customFormat="false" ht="15" hidden="false" customHeight="false" outlineLevel="0" collapsed="false">
      <c r="B25" s="7" t="s">
        <v>33</v>
      </c>
      <c r="C25" s="0" t="s">
        <v>34</v>
      </c>
    </row>
    <row r="26" customFormat="false" ht="15" hidden="false" customHeight="false" outlineLevel="0" collapsed="false">
      <c r="B26" s="7" t="s">
        <v>35</v>
      </c>
      <c r="C26" s="0" t="s">
        <v>36</v>
      </c>
    </row>
    <row r="27" customFormat="false" ht="15" hidden="false" customHeight="false" outlineLevel="0" collapsed="false">
      <c r="B27" s="7" t="s">
        <v>37</v>
      </c>
      <c r="C27" s="0" t="s">
        <v>38</v>
      </c>
    </row>
    <row r="28" customFormat="false" ht="15" hidden="false" customHeight="false" outlineLevel="0" collapsed="false">
      <c r="B28" s="7" t="s">
        <v>39</v>
      </c>
      <c r="C28" s="0" t="s">
        <v>40</v>
      </c>
    </row>
    <row r="31" customFormat="false" ht="15" hidden="false" customHeight="false" outlineLevel="0" collapsed="false">
      <c r="B31" s="3" t="s">
        <v>41</v>
      </c>
    </row>
    <row r="32" customFormat="false" ht="60" hidden="false" customHeight="true" outlineLevel="0" collapsed="false">
      <c r="B32" s="8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5"/>
  </cols>
  <sheetData>
    <row r="1" customFormat="false" ht="15" hidden="false" customHeight="false" outlineLevel="0" collapsed="false">
      <c r="B1" s="9" t="s">
        <v>43</v>
      </c>
      <c r="C1" s="9"/>
      <c r="D1" s="9"/>
    </row>
    <row r="3" customFormat="false" ht="15" hidden="false" customHeight="false" outlineLevel="0" collapsed="false">
      <c r="B3" s="10" t="s">
        <v>44</v>
      </c>
      <c r="C3" s="10"/>
      <c r="D3" s="10"/>
    </row>
    <row r="4" customFormat="false" ht="15" hidden="false" customHeight="false" outlineLevel="0" collapsed="false">
      <c r="B4" s="0" t="s">
        <v>45</v>
      </c>
      <c r="C4" s="11" t="n">
        <v>23000</v>
      </c>
      <c r="D4" s="12" t="s">
        <v>46</v>
      </c>
    </row>
    <row r="5" customFormat="false" ht="15" hidden="false" customHeight="false" outlineLevel="0" collapsed="false">
      <c r="B5" s="0" t="s">
        <v>47</v>
      </c>
      <c r="C5" s="11" t="n">
        <v>20200</v>
      </c>
      <c r="D5" s="12" t="s">
        <v>48</v>
      </c>
    </row>
    <row r="6" customFormat="false" ht="15" hidden="false" customHeight="false" outlineLevel="0" collapsed="false">
      <c r="B6" s="10" t="s">
        <v>49</v>
      </c>
      <c r="C6" s="10"/>
      <c r="D6" s="10"/>
    </row>
    <row r="7" customFormat="false" ht="15" hidden="false" customHeight="false" outlineLevel="0" collapsed="false">
      <c r="B7" s="0" t="s">
        <v>25</v>
      </c>
      <c r="C7" s="13" t="n">
        <v>0.07</v>
      </c>
      <c r="D7" s="12" t="s">
        <v>50</v>
      </c>
    </row>
    <row r="8" customFormat="false" ht="15" hidden="false" customHeight="false" outlineLevel="0" collapsed="false">
      <c r="B8" s="0" t="s">
        <v>51</v>
      </c>
      <c r="C8" s="13" t="n">
        <v>0.005</v>
      </c>
      <c r="D8" s="12" t="s">
        <v>52</v>
      </c>
    </row>
    <row r="9" customFormat="false" ht="15" hidden="false" customHeight="false" outlineLevel="0" collapsed="false">
      <c r="B9" s="10" t="s">
        <v>53</v>
      </c>
      <c r="C9" s="10"/>
      <c r="D9" s="10"/>
    </row>
    <row r="10" customFormat="false" ht="15" hidden="false" customHeight="false" outlineLevel="0" collapsed="false">
      <c r="B10" s="0" t="s">
        <v>54</v>
      </c>
      <c r="C10" s="11" t="n">
        <v>657600</v>
      </c>
      <c r="D10" s="12" t="s">
        <v>55</v>
      </c>
    </row>
    <row r="11" customFormat="false" ht="15" hidden="false" customHeight="false" outlineLevel="0" collapsed="false">
      <c r="B11" s="0" t="s">
        <v>56</v>
      </c>
      <c r="C11" s="13" t="n">
        <v>0.06</v>
      </c>
      <c r="D11" s="12" t="s">
        <v>57</v>
      </c>
    </row>
    <row r="12" customFormat="false" ht="15" hidden="false" customHeight="false" outlineLevel="0" collapsed="false">
      <c r="B12" s="0" t="s">
        <v>58</v>
      </c>
      <c r="C12" s="11" t="n">
        <v>150000</v>
      </c>
      <c r="D12" s="12" t="s">
        <v>59</v>
      </c>
    </row>
    <row r="13" customFormat="false" ht="15" hidden="false" customHeight="false" outlineLevel="0" collapsed="false">
      <c r="B13" s="10" t="s">
        <v>60</v>
      </c>
      <c r="C13" s="10"/>
      <c r="D13" s="10"/>
    </row>
    <row r="14" customFormat="false" ht="15" hidden="false" customHeight="false" outlineLevel="0" collapsed="false">
      <c r="B14" s="0" t="s">
        <v>61</v>
      </c>
      <c r="C14" s="11" t="n">
        <v>90000</v>
      </c>
      <c r="D14" s="12" t="s">
        <v>62</v>
      </c>
    </row>
    <row r="15" customFormat="false" ht="15" hidden="false" customHeight="false" outlineLevel="0" collapsed="false">
      <c r="B15" s="0" t="s">
        <v>63</v>
      </c>
      <c r="C15" s="11" t="n">
        <v>27600</v>
      </c>
      <c r="D15" s="12" t="s">
        <v>64</v>
      </c>
    </row>
    <row r="16" customFormat="false" ht="15" hidden="false" customHeight="false" outlineLevel="0" collapsed="false">
      <c r="B16" s="0" t="s">
        <v>65</v>
      </c>
      <c r="C16" s="11" t="n">
        <v>19200</v>
      </c>
      <c r="D16" s="12" t="s">
        <v>66</v>
      </c>
    </row>
    <row r="17" customFormat="false" ht="15" hidden="false" customHeight="false" outlineLevel="0" collapsed="false">
      <c r="B17" s="0" t="s">
        <v>67</v>
      </c>
      <c r="C17" s="11" t="n">
        <v>24000</v>
      </c>
      <c r="D17" s="12" t="s">
        <v>68</v>
      </c>
    </row>
    <row r="18" customFormat="false" ht="15" hidden="false" customHeight="false" outlineLevel="0" collapsed="false">
      <c r="B18" s="0" t="s">
        <v>69</v>
      </c>
      <c r="C18" s="11" t="n">
        <v>18000</v>
      </c>
      <c r="D18" s="12" t="s">
        <v>66</v>
      </c>
    </row>
    <row r="19" customFormat="false" ht="15" hidden="false" customHeight="false" outlineLevel="0" collapsed="false">
      <c r="B19" s="0" t="s">
        <v>70</v>
      </c>
      <c r="C19" s="11" t="n">
        <v>14400</v>
      </c>
      <c r="D19" s="12" t="s">
        <v>66</v>
      </c>
    </row>
    <row r="20" customFormat="false" ht="15" hidden="false" customHeight="false" outlineLevel="0" collapsed="false">
      <c r="B20" s="0" t="s">
        <v>71</v>
      </c>
      <c r="C20" s="11" t="n">
        <v>24000</v>
      </c>
      <c r="D20" s="12" t="s">
        <v>72</v>
      </c>
    </row>
    <row r="21" customFormat="false" ht="15" hidden="false" customHeight="false" outlineLevel="0" collapsed="false">
      <c r="B21" s="0" t="s">
        <v>73</v>
      </c>
      <c r="C21" s="13" t="n">
        <v>0.04</v>
      </c>
      <c r="D21" s="12" t="s">
        <v>72</v>
      </c>
    </row>
    <row r="22" customFormat="false" ht="15" hidden="false" customHeight="false" outlineLevel="0" collapsed="false">
      <c r="B22" s="10" t="s">
        <v>74</v>
      </c>
      <c r="C22" s="10"/>
      <c r="D22" s="10"/>
    </row>
    <row r="23" customFormat="false" ht="15" hidden="false" customHeight="false" outlineLevel="0" collapsed="false">
      <c r="B23" s="0" t="s">
        <v>75</v>
      </c>
      <c r="C23" s="14" t="n">
        <v>0.2</v>
      </c>
      <c r="D23" s="12" t="s">
        <v>76</v>
      </c>
    </row>
    <row r="24" customFormat="false" ht="15" hidden="false" customHeight="false" outlineLevel="0" collapsed="false">
      <c r="B24" s="10" t="s">
        <v>77</v>
      </c>
      <c r="C24" s="10"/>
      <c r="D24" s="10"/>
    </row>
    <row r="25" customFormat="false" ht="15" hidden="false" customHeight="false" outlineLevel="0" collapsed="false">
      <c r="B25" s="0" t="s">
        <v>78</v>
      </c>
      <c r="C25" s="15" t="n">
        <v>0.0625</v>
      </c>
      <c r="D25" s="12" t="s">
        <v>79</v>
      </c>
    </row>
    <row r="26" customFormat="false" ht="15" hidden="false" customHeight="false" outlineLevel="0" collapsed="false">
      <c r="B26" s="0" t="s">
        <v>80</v>
      </c>
      <c r="C26" s="15" t="n">
        <v>0.065</v>
      </c>
      <c r="D26" s="12" t="s">
        <v>81</v>
      </c>
    </row>
    <row r="27" customFormat="false" ht="15" hidden="false" customHeight="false" outlineLevel="0" collapsed="false">
      <c r="B27" s="0" t="s">
        <v>82</v>
      </c>
      <c r="C27" s="15" t="n">
        <v>0.01</v>
      </c>
      <c r="D27" s="12" t="s">
        <v>83</v>
      </c>
    </row>
    <row r="28" customFormat="false" ht="15" hidden="false" customHeight="false" outlineLevel="0" collapsed="false">
      <c r="B28" s="0" t="s">
        <v>84</v>
      </c>
      <c r="C28" s="16" t="n">
        <v>25</v>
      </c>
      <c r="D28" s="12" t="s">
        <v>85</v>
      </c>
    </row>
    <row r="29" customFormat="false" ht="15" hidden="false" customHeight="false" outlineLevel="0" collapsed="false">
      <c r="B29" s="0" t="s">
        <v>86</v>
      </c>
      <c r="C29" s="16" t="n">
        <v>0</v>
      </c>
      <c r="D29" s="12" t="s">
        <v>87</v>
      </c>
    </row>
    <row r="30" customFormat="false" ht="15" hidden="false" customHeight="false" outlineLevel="0" collapsed="false">
      <c r="B30" s="0" t="s">
        <v>88</v>
      </c>
      <c r="C30" s="16" t="n">
        <v>60</v>
      </c>
      <c r="D30" s="12" t="s">
        <v>89</v>
      </c>
    </row>
    <row r="31" customFormat="false" ht="15" hidden="false" customHeight="false" outlineLevel="0" collapsed="false">
      <c r="B31" s="0" t="s">
        <v>90</v>
      </c>
      <c r="C31" s="13" t="n">
        <v>0.01</v>
      </c>
      <c r="D31" s="12" t="s">
        <v>91</v>
      </c>
    </row>
    <row r="32" customFormat="false" ht="15" hidden="false" customHeight="false" outlineLevel="0" collapsed="false">
      <c r="B32" s="10" t="s">
        <v>92</v>
      </c>
      <c r="C32" s="10"/>
      <c r="D32" s="10"/>
    </row>
    <row r="33" customFormat="false" ht="15" hidden="false" customHeight="false" outlineLevel="0" collapsed="false">
      <c r="B33" s="0" t="s">
        <v>93</v>
      </c>
      <c r="C33" s="13" t="n">
        <v>0.65</v>
      </c>
      <c r="D33" s="12" t="s">
        <v>94</v>
      </c>
    </row>
    <row r="34" customFormat="false" ht="15" hidden="false" customHeight="false" outlineLevel="0" collapsed="false">
      <c r="B34" s="0" t="s">
        <v>95</v>
      </c>
      <c r="C34" s="17" t="n">
        <v>1.25</v>
      </c>
      <c r="D34" s="12" t="s">
        <v>96</v>
      </c>
    </row>
    <row r="35" customFormat="false" ht="15" hidden="false" customHeight="false" outlineLevel="0" collapsed="false">
      <c r="B35" s="0" t="s">
        <v>97</v>
      </c>
      <c r="C35" s="13" t="n">
        <v>0.09</v>
      </c>
      <c r="D35" s="12" t="s">
        <v>98</v>
      </c>
    </row>
    <row r="36" customFormat="false" ht="15" hidden="false" customHeight="false" outlineLevel="0" collapsed="false">
      <c r="B36" s="0" t="s">
        <v>99</v>
      </c>
      <c r="C36" s="13" t="n">
        <v>-0.05</v>
      </c>
      <c r="D36" s="12" t="s">
        <v>100</v>
      </c>
    </row>
    <row r="37" customFormat="false" ht="15" hidden="false" customHeight="false" outlineLevel="0" collapsed="false">
      <c r="B37" s="10" t="s">
        <v>101</v>
      </c>
      <c r="C37" s="10"/>
      <c r="D37" s="10"/>
    </row>
    <row r="38" customFormat="false" ht="15" hidden="false" customHeight="false" outlineLevel="0" collapsed="false">
      <c r="B38" s="0" t="s">
        <v>102</v>
      </c>
      <c r="C38" s="11" t="n">
        <v>3400000</v>
      </c>
      <c r="D38" s="12" t="s">
        <v>103</v>
      </c>
    </row>
    <row r="39" customFormat="false" ht="15" hidden="false" customHeight="false" outlineLevel="0" collapsed="false">
      <c r="B39" s="0" t="s">
        <v>104</v>
      </c>
      <c r="C39" s="11" t="n">
        <v>48000</v>
      </c>
      <c r="D39" s="12" t="s">
        <v>103</v>
      </c>
    </row>
    <row r="41" customFormat="false" ht="15" hidden="false" customHeight="false" outlineLevel="0" collapsed="false">
      <c r="B41" s="10" t="s">
        <v>105</v>
      </c>
      <c r="C41" s="10"/>
      <c r="D41" s="10"/>
    </row>
    <row r="42" customFormat="false" ht="15" hidden="false" customHeight="false" outlineLevel="0" collapsed="false">
      <c r="B42" s="0" t="s">
        <v>106</v>
      </c>
      <c r="C42" s="18" t="n">
        <f aca="false">MAX(C25,C26)</f>
        <v>0.065</v>
      </c>
    </row>
    <row r="43" customFormat="false" ht="15" hidden="false" customHeight="false" outlineLevel="0" collapsed="false">
      <c r="B43" s="0" t="s">
        <v>107</v>
      </c>
      <c r="C43" s="18" t="n">
        <f aca="false">C42+C27</f>
        <v>0.075</v>
      </c>
    </row>
  </sheetData>
  <mergeCells count="10">
    <mergeCell ref="B1:D1"/>
    <mergeCell ref="B3:D3"/>
    <mergeCell ref="B6:D6"/>
    <mergeCell ref="B9:D9"/>
    <mergeCell ref="B13:D13"/>
    <mergeCell ref="B22:D22"/>
    <mergeCell ref="B24:D24"/>
    <mergeCell ref="B32:D32"/>
    <mergeCell ref="B37:D37"/>
    <mergeCell ref="B41:D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9" min="8" style="0" width="14"/>
  </cols>
  <sheetData>
    <row r="1" customFormat="false" ht="15" hidden="false" customHeight="false" outlineLevel="0" collapsed="false">
      <c r="B1" s="9" t="s">
        <v>108</v>
      </c>
      <c r="C1" s="9"/>
      <c r="D1" s="9"/>
      <c r="E1" s="9"/>
      <c r="F1" s="9"/>
      <c r="G1" s="9"/>
      <c r="H1" s="9"/>
      <c r="I1" s="9"/>
    </row>
    <row r="3" customFormat="false" ht="15" hidden="false" customHeight="false" outlineLevel="0" collapsed="false">
      <c r="B3" s="19" t="s">
        <v>109</v>
      </c>
      <c r="C3" s="19" t="s">
        <v>110</v>
      </c>
      <c r="D3" s="19" t="s">
        <v>111</v>
      </c>
      <c r="E3" s="19" t="s">
        <v>112</v>
      </c>
      <c r="F3" s="19" t="s">
        <v>113</v>
      </c>
      <c r="G3" s="19" t="s">
        <v>114</v>
      </c>
      <c r="H3" s="19" t="s">
        <v>115</v>
      </c>
      <c r="I3" s="19" t="s">
        <v>116</v>
      </c>
    </row>
    <row r="4" customFormat="false" ht="15" hidden="false" customHeight="false" outlineLevel="0" collapsed="false">
      <c r="B4" s="20" t="s">
        <v>117</v>
      </c>
      <c r="C4" s="21" t="s">
        <v>118</v>
      </c>
      <c r="D4" s="22" t="n">
        <v>1800</v>
      </c>
      <c r="E4" s="20" t="s">
        <v>119</v>
      </c>
      <c r="F4" s="23" t="n">
        <v>7000</v>
      </c>
      <c r="G4" s="23" t="n">
        <v>7500</v>
      </c>
      <c r="H4" s="23" t="n">
        <v>7000</v>
      </c>
      <c r="I4" s="20" t="s">
        <v>120</v>
      </c>
    </row>
    <row r="5" customFormat="false" ht="15" hidden="false" customHeight="false" outlineLevel="0" collapsed="false">
      <c r="B5" s="20" t="s">
        <v>121</v>
      </c>
      <c r="C5" s="21" t="s">
        <v>122</v>
      </c>
      <c r="D5" s="22" t="n">
        <v>2200</v>
      </c>
      <c r="E5" s="20" t="s">
        <v>119</v>
      </c>
      <c r="F5" s="23" t="n">
        <v>5500</v>
      </c>
      <c r="G5" s="23" t="n">
        <v>5500</v>
      </c>
      <c r="H5" s="23" t="n">
        <v>5500</v>
      </c>
      <c r="I5" s="20" t="s">
        <v>123</v>
      </c>
    </row>
    <row r="6" customFormat="false" ht="15" hidden="false" customHeight="false" outlineLevel="0" collapsed="false">
      <c r="B6" s="20" t="s">
        <v>124</v>
      </c>
      <c r="C6" s="21" t="s">
        <v>125</v>
      </c>
      <c r="D6" s="22" t="n">
        <v>2500</v>
      </c>
      <c r="E6" s="20" t="s">
        <v>119</v>
      </c>
      <c r="F6" s="23" t="n">
        <v>6000</v>
      </c>
      <c r="G6" s="23" t="n">
        <v>6000</v>
      </c>
      <c r="H6" s="23" t="n">
        <v>6000</v>
      </c>
      <c r="I6" s="20" t="s">
        <v>126</v>
      </c>
    </row>
    <row r="7" customFormat="false" ht="15" hidden="false" customHeight="false" outlineLevel="0" collapsed="false">
      <c r="B7" s="20" t="s">
        <v>127</v>
      </c>
      <c r="C7" s="21" t="s">
        <v>128</v>
      </c>
      <c r="D7" s="22" t="n">
        <v>3200</v>
      </c>
      <c r="E7" s="20" t="s">
        <v>119</v>
      </c>
      <c r="F7" s="23" t="n">
        <v>7200</v>
      </c>
      <c r="G7" s="23" t="n">
        <v>7200</v>
      </c>
      <c r="H7" s="23" t="n">
        <v>7200</v>
      </c>
      <c r="I7" s="20" t="s">
        <v>129</v>
      </c>
    </row>
    <row r="8" customFormat="false" ht="15" hidden="false" customHeight="false" outlineLevel="0" collapsed="false">
      <c r="B8" s="20" t="s">
        <v>130</v>
      </c>
      <c r="C8" s="21" t="s">
        <v>131</v>
      </c>
      <c r="D8" s="22" t="n">
        <v>4000</v>
      </c>
      <c r="E8" s="20" t="s">
        <v>119</v>
      </c>
      <c r="F8" s="23" t="n">
        <v>9000</v>
      </c>
      <c r="G8" s="23" t="n">
        <v>9000</v>
      </c>
      <c r="H8" s="23" t="n">
        <v>9000</v>
      </c>
      <c r="I8" s="20" t="s">
        <v>120</v>
      </c>
    </row>
    <row r="9" customFormat="false" ht="15" hidden="false" customHeight="false" outlineLevel="0" collapsed="false">
      <c r="B9" s="20" t="s">
        <v>132</v>
      </c>
      <c r="C9" s="21" t="s">
        <v>133</v>
      </c>
      <c r="D9" s="22" t="n">
        <v>5000</v>
      </c>
      <c r="E9" s="20" t="s">
        <v>119</v>
      </c>
      <c r="F9" s="23" t="n">
        <v>10500</v>
      </c>
      <c r="G9" s="23" t="n">
        <v>10500</v>
      </c>
      <c r="H9" s="23" t="n">
        <v>10500</v>
      </c>
      <c r="I9" s="20" t="s">
        <v>134</v>
      </c>
    </row>
    <row r="10" customFormat="false" ht="15" hidden="false" customHeight="false" outlineLevel="0" collapsed="false">
      <c r="B10" s="20" t="s">
        <v>135</v>
      </c>
      <c r="C10" s="21" t="s">
        <v>136</v>
      </c>
      <c r="D10" s="22" t="n">
        <v>1500</v>
      </c>
      <c r="E10" s="20" t="s">
        <v>119</v>
      </c>
      <c r="F10" s="23" t="n">
        <v>3400</v>
      </c>
      <c r="G10" s="23" t="n">
        <v>3400</v>
      </c>
      <c r="H10" s="23" t="n">
        <v>3400</v>
      </c>
      <c r="I10" s="20" t="s">
        <v>123</v>
      </c>
    </row>
    <row r="11" customFormat="false" ht="15" hidden="false" customHeight="false" outlineLevel="0" collapsed="false">
      <c r="B11" s="20" t="s">
        <v>137</v>
      </c>
      <c r="C11" s="21" t="s">
        <v>138</v>
      </c>
      <c r="D11" s="22" t="n">
        <v>2800</v>
      </c>
      <c r="E11" s="20" t="s">
        <v>138</v>
      </c>
      <c r="F11" s="23" t="n">
        <v>0</v>
      </c>
      <c r="G11" s="23" t="n">
        <v>0</v>
      </c>
      <c r="H11" s="23" t="n">
        <v>5200</v>
      </c>
      <c r="I11" s="20"/>
    </row>
    <row r="12" customFormat="false" ht="15" hidden="false" customHeight="false" outlineLevel="0" collapsed="false">
      <c r="B12" s="24" t="s">
        <v>139</v>
      </c>
      <c r="C12" s="25"/>
      <c r="D12" s="26" t="n">
        <f aca="false">SUM(D4:D11)</f>
        <v>23000</v>
      </c>
      <c r="E12" s="25"/>
      <c r="F12" s="27" t="n">
        <f aca="false">SUM(F4:F11)</f>
        <v>48600</v>
      </c>
      <c r="G12" s="27" t="n">
        <f aca="false">SUM(G4:G11)</f>
        <v>49100</v>
      </c>
      <c r="H12" s="25"/>
      <c r="I12" s="25"/>
    </row>
    <row r="14" customFormat="false" ht="15" hidden="false" customHeight="false" outlineLevel="0" collapsed="false">
      <c r="B14" s="10" t="s">
        <v>140</v>
      </c>
      <c r="C14" s="10"/>
      <c r="D14" s="10"/>
      <c r="E14" s="10"/>
      <c r="F14" s="10"/>
      <c r="G14" s="10"/>
      <c r="H14" s="10"/>
      <c r="I14" s="10"/>
    </row>
    <row r="15" customFormat="false" ht="15" hidden="false" customHeight="false" outlineLevel="0" collapsed="false">
      <c r="B15" s="0" t="s">
        <v>141</v>
      </c>
      <c r="C15" s="26" t="n">
        <f aca="false">COUNTA(B4:B11)</f>
        <v>8</v>
      </c>
    </row>
    <row r="16" customFormat="false" ht="15" hidden="false" customHeight="false" outlineLevel="0" collapsed="false">
      <c r="B16" s="0" t="s">
        <v>142</v>
      </c>
      <c r="C16" s="26" t="n">
        <f aca="false">COUNTIF(E4:E11,"Occupied")</f>
        <v>7</v>
      </c>
    </row>
    <row r="17" customFormat="false" ht="15" hidden="false" customHeight="false" outlineLevel="0" collapsed="false">
      <c r="B17" s="0" t="s">
        <v>45</v>
      </c>
      <c r="C17" s="26" t="n">
        <f aca="false">SUM(D4:D11)</f>
        <v>23000</v>
      </c>
    </row>
    <row r="18" customFormat="false" ht="15" hidden="false" customHeight="false" outlineLevel="0" collapsed="false">
      <c r="B18" s="0" t="s">
        <v>47</v>
      </c>
      <c r="C18" s="26" t="n">
        <f aca="false">SUMIF(E4:E11,"Occupied",D4:D11)</f>
        <v>20200</v>
      </c>
    </row>
    <row r="19" customFormat="false" ht="15" hidden="false" customHeight="false" outlineLevel="0" collapsed="false">
      <c r="B19" s="0" t="s">
        <v>143</v>
      </c>
      <c r="C19" s="28" t="n">
        <f aca="false">COUNTIF(E4:E11,"Occupied")/COUNTA(B4:B11)</f>
        <v>0.875</v>
      </c>
    </row>
    <row r="20" customFormat="false" ht="15" hidden="false" customHeight="false" outlineLevel="0" collapsed="false">
      <c r="B20" s="0" t="s">
        <v>144</v>
      </c>
      <c r="C20" s="28" t="n">
        <f aca="false">SUMIF(E4:E11,"Occupied",D4:D11)/SUM(D4:D11)</f>
        <v>0.878260869565217</v>
      </c>
    </row>
    <row r="21" customFormat="false" ht="15" hidden="false" customHeight="false" outlineLevel="0" collapsed="false">
      <c r="B21" s="0" t="s">
        <v>145</v>
      </c>
      <c r="C21" s="27" t="n">
        <f aca="false">SUM(F4:F11)</f>
        <v>48600</v>
      </c>
    </row>
    <row r="22" customFormat="false" ht="15" hidden="false" customHeight="false" outlineLevel="0" collapsed="false">
      <c r="B22" s="0" t="s">
        <v>146</v>
      </c>
      <c r="C22" s="27" t="n">
        <f aca="false">SUM(G4:G11)</f>
        <v>49100</v>
      </c>
    </row>
    <row r="23" customFormat="false" ht="15" hidden="false" customHeight="false" outlineLevel="0" collapsed="false">
      <c r="B23" s="0" t="s">
        <v>147</v>
      </c>
      <c r="C23" s="27" t="n">
        <f aca="false">SUM(G4:G11)*12</f>
        <v>589200</v>
      </c>
    </row>
    <row r="24" customFormat="false" ht="15" hidden="false" customHeight="false" outlineLevel="0" collapsed="false">
      <c r="B24" s="29" t="s">
        <v>148</v>
      </c>
      <c r="C24" s="29"/>
      <c r="D24" s="29"/>
      <c r="E24" s="29"/>
      <c r="F24" s="29"/>
      <c r="G24" s="29"/>
      <c r="H24" s="29"/>
      <c r="I24" s="29"/>
    </row>
  </sheetData>
  <mergeCells count="3">
    <mergeCell ref="B1:I1"/>
    <mergeCell ref="B14:I14"/>
    <mergeCell ref="B24:I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55"/>
  </cols>
  <sheetData>
    <row r="1" customFormat="false" ht="15" hidden="false" customHeight="false" outlineLevel="0" collapsed="false">
      <c r="B1" s="9" t="s">
        <v>149</v>
      </c>
      <c r="C1" s="9"/>
      <c r="D1" s="9"/>
    </row>
    <row r="3" customFormat="false" ht="15" hidden="false" customHeight="false" outlineLevel="0" collapsed="false">
      <c r="B3" s="10" t="s">
        <v>150</v>
      </c>
      <c r="C3" s="10"/>
      <c r="D3" s="10"/>
    </row>
    <row r="4" customFormat="false" ht="15" hidden="false" customHeight="false" outlineLevel="0" collapsed="false">
      <c r="B4" s="0" t="s">
        <v>151</v>
      </c>
      <c r="C4" s="30" t="n">
        <v>645600</v>
      </c>
      <c r="D4" s="31" t="s">
        <v>152</v>
      </c>
    </row>
    <row r="5" customFormat="false" ht="15" hidden="false" customHeight="false" outlineLevel="0" collapsed="false">
      <c r="B5" s="0" t="s">
        <v>153</v>
      </c>
      <c r="C5" s="30" t="n">
        <v>-46800</v>
      </c>
      <c r="D5" s="31" t="s">
        <v>154</v>
      </c>
    </row>
    <row r="6" customFormat="false" ht="15" hidden="false" customHeight="false" outlineLevel="0" collapsed="false">
      <c r="B6" s="0" t="s">
        <v>155</v>
      </c>
      <c r="C6" s="30" t="n">
        <v>-14400</v>
      </c>
      <c r="D6" s="31" t="s">
        <v>154</v>
      </c>
    </row>
    <row r="7" customFormat="false" ht="15" hidden="false" customHeight="false" outlineLevel="0" collapsed="false">
      <c r="B7" s="0" t="s">
        <v>156</v>
      </c>
      <c r="C7" s="30" t="n">
        <v>-3600</v>
      </c>
      <c r="D7" s="31" t="s">
        <v>154</v>
      </c>
    </row>
    <row r="8" customFormat="false" ht="15" hidden="false" customHeight="false" outlineLevel="0" collapsed="false">
      <c r="B8" s="0" t="s">
        <v>157</v>
      </c>
      <c r="C8" s="30" t="n">
        <v>142800</v>
      </c>
      <c r="D8" s="31" t="s">
        <v>154</v>
      </c>
    </row>
    <row r="9" customFormat="false" ht="15" hidden="false" customHeight="false" outlineLevel="0" collapsed="false">
      <c r="B9" s="7" t="s">
        <v>158</v>
      </c>
      <c r="C9" s="26" t="n">
        <f aca="false">SUM(C4:C8)</f>
        <v>723600</v>
      </c>
    </row>
    <row r="11" customFormat="false" ht="15" hidden="false" customHeight="false" outlineLevel="0" collapsed="false">
      <c r="B11" s="10" t="s">
        <v>159</v>
      </c>
      <c r="C11" s="10"/>
      <c r="D11" s="10"/>
    </row>
    <row r="12" customFormat="false" ht="15" hidden="false" customHeight="false" outlineLevel="0" collapsed="false">
      <c r="B12" s="0" t="s">
        <v>61</v>
      </c>
      <c r="C12" s="32" t="n">
        <v>86400</v>
      </c>
    </row>
    <row r="13" customFormat="false" ht="15" hidden="false" customHeight="false" outlineLevel="0" collapsed="false">
      <c r="B13" s="0" t="s">
        <v>63</v>
      </c>
      <c r="C13" s="32" t="n">
        <v>25200</v>
      </c>
    </row>
    <row r="14" customFormat="false" ht="15" hidden="false" customHeight="false" outlineLevel="0" collapsed="false">
      <c r="B14" s="0" t="s">
        <v>65</v>
      </c>
      <c r="C14" s="32" t="n">
        <v>19200</v>
      </c>
    </row>
    <row r="15" customFormat="false" ht="15" hidden="false" customHeight="false" outlineLevel="0" collapsed="false">
      <c r="B15" s="0" t="s">
        <v>67</v>
      </c>
      <c r="C15" s="32" t="n">
        <v>28800</v>
      </c>
    </row>
    <row r="16" customFormat="false" ht="15" hidden="false" customHeight="false" outlineLevel="0" collapsed="false">
      <c r="B16" s="0" t="s">
        <v>69</v>
      </c>
      <c r="C16" s="32" t="n">
        <v>18000</v>
      </c>
    </row>
    <row r="17" customFormat="false" ht="15" hidden="false" customHeight="false" outlineLevel="0" collapsed="false">
      <c r="B17" s="0" t="s">
        <v>70</v>
      </c>
      <c r="C17" s="32" t="n">
        <v>14400</v>
      </c>
    </row>
    <row r="18" customFormat="false" ht="15" hidden="false" customHeight="false" outlineLevel="0" collapsed="false">
      <c r="B18" s="0" t="s">
        <v>160</v>
      </c>
      <c r="C18" s="32" t="n">
        <v>24000</v>
      </c>
    </row>
    <row r="19" customFormat="false" ht="15" hidden="false" customHeight="false" outlineLevel="0" collapsed="false">
      <c r="B19" s="7" t="s">
        <v>161</v>
      </c>
      <c r="C19" s="26" t="n">
        <f aca="false">SUM(C12:C18)</f>
        <v>216000</v>
      </c>
    </row>
    <row r="21" customFormat="false" ht="15" hidden="false" customHeight="false" outlineLevel="0" collapsed="false">
      <c r="B21" s="7" t="s">
        <v>162</v>
      </c>
      <c r="C21" s="26" t="n">
        <f aca="false">C9-C19</f>
        <v>507600</v>
      </c>
    </row>
    <row r="22" customFormat="false" ht="15" hidden="false" customHeight="false" outlineLevel="0" collapsed="false">
      <c r="B22" s="0" t="s">
        <v>163</v>
      </c>
      <c r="C22" s="32" t="n">
        <v>9200</v>
      </c>
    </row>
    <row r="23" customFormat="false" ht="15" hidden="false" customHeight="false" outlineLevel="0" collapsed="false">
      <c r="B23" s="7" t="s">
        <v>164</v>
      </c>
      <c r="C23" s="26" t="n">
        <f aca="false">C21-C22</f>
        <v>498400</v>
      </c>
    </row>
    <row r="25" customFormat="false" ht="15" hidden="false" customHeight="false" outlineLevel="0" collapsed="false">
      <c r="B25" s="10" t="s">
        <v>165</v>
      </c>
      <c r="C25" s="10"/>
      <c r="D25" s="10"/>
    </row>
    <row r="26" customFormat="false" ht="15" hidden="false" customHeight="false" outlineLevel="0" collapsed="false">
      <c r="B26" s="0" t="s">
        <v>166</v>
      </c>
      <c r="C26" s="32" t="n">
        <v>98000</v>
      </c>
    </row>
    <row r="27" customFormat="false" ht="15" hidden="false" customHeight="false" outlineLevel="0" collapsed="false">
      <c r="B27" s="0" t="s">
        <v>167</v>
      </c>
      <c r="C27" s="32" t="n">
        <v>294000</v>
      </c>
    </row>
    <row r="28" customFormat="false" ht="15" hidden="false" customHeight="false" outlineLevel="0" collapsed="false">
      <c r="B28" s="0" t="s">
        <v>168</v>
      </c>
      <c r="C28" s="32" t="n">
        <v>180000</v>
      </c>
    </row>
  </sheetData>
  <mergeCells count="4">
    <mergeCell ref="B1:D1"/>
    <mergeCell ref="B3:D3"/>
    <mergeCell ref="B11:D11"/>
    <mergeCell ref="B25:D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B1" s="9" t="s">
        <v>169</v>
      </c>
      <c r="C1" s="9"/>
      <c r="D1" s="9"/>
    </row>
    <row r="3" customFormat="false" ht="15" hidden="false" customHeight="false" outlineLevel="0" collapsed="false">
      <c r="B3" s="10" t="s">
        <v>150</v>
      </c>
      <c r="C3" s="10"/>
      <c r="D3" s="10"/>
    </row>
    <row r="4" customFormat="false" ht="15" hidden="false" customHeight="false" outlineLevel="0" collapsed="false">
      <c r="B4" s="0" t="s">
        <v>151</v>
      </c>
      <c r="C4" s="32" t="n">
        <f aca="false">Assumptions!C10</f>
        <v>657600</v>
      </c>
    </row>
    <row r="5" customFormat="false" ht="15" hidden="false" customHeight="false" outlineLevel="0" collapsed="false">
      <c r="B5" s="0" t="s">
        <v>170</v>
      </c>
      <c r="C5" s="30" t="n">
        <f aca="false">-Assumptions!C10*Assumptions!C11</f>
        <v>-39456</v>
      </c>
    </row>
    <row r="6" customFormat="false" ht="15" hidden="false" customHeight="false" outlineLevel="0" collapsed="false">
      <c r="B6" s="0" t="s">
        <v>171</v>
      </c>
      <c r="C6" s="33" t="n">
        <f aca="false">SUM(C4:C5)</f>
        <v>618144</v>
      </c>
    </row>
    <row r="7" customFormat="false" ht="15" hidden="false" customHeight="false" outlineLevel="0" collapsed="false">
      <c r="B7" s="0" t="s">
        <v>157</v>
      </c>
      <c r="C7" s="32" t="n">
        <f aca="false">Assumptions!C12</f>
        <v>150000</v>
      </c>
    </row>
    <row r="8" customFormat="false" ht="15" hidden="false" customHeight="false" outlineLevel="0" collapsed="false">
      <c r="B8" s="7" t="s">
        <v>158</v>
      </c>
      <c r="C8" s="26" t="n">
        <f aca="false">C6+C7</f>
        <v>768144</v>
      </c>
    </row>
    <row r="10" customFormat="false" ht="15" hidden="false" customHeight="false" outlineLevel="0" collapsed="false">
      <c r="B10" s="10" t="s">
        <v>159</v>
      </c>
      <c r="C10" s="10"/>
      <c r="D10" s="10"/>
    </row>
    <row r="11" customFormat="false" ht="15" hidden="false" customHeight="false" outlineLevel="0" collapsed="false">
      <c r="B11" s="0" t="s">
        <v>61</v>
      </c>
      <c r="C11" s="32" t="n">
        <f aca="false">Assumptions!C14</f>
        <v>90000</v>
      </c>
    </row>
    <row r="12" customFormat="false" ht="15" hidden="false" customHeight="false" outlineLevel="0" collapsed="false">
      <c r="B12" s="0" t="s">
        <v>172</v>
      </c>
      <c r="C12" s="32" t="n">
        <f aca="false">Assumptions!C15</f>
        <v>27600</v>
      </c>
    </row>
    <row r="13" customFormat="false" ht="15" hidden="false" customHeight="false" outlineLevel="0" collapsed="false">
      <c r="B13" s="0" t="s">
        <v>65</v>
      </c>
      <c r="C13" s="32" t="n">
        <f aca="false">Assumptions!C16</f>
        <v>19200</v>
      </c>
    </row>
    <row r="14" customFormat="false" ht="15" hidden="false" customHeight="false" outlineLevel="0" collapsed="false">
      <c r="B14" s="0" t="s">
        <v>173</v>
      </c>
      <c r="C14" s="32" t="n">
        <f aca="false">Assumptions!C17</f>
        <v>24000</v>
      </c>
    </row>
    <row r="15" customFormat="false" ht="15" hidden="false" customHeight="false" outlineLevel="0" collapsed="false">
      <c r="B15" s="0" t="s">
        <v>69</v>
      </c>
      <c r="C15" s="32" t="n">
        <f aca="false">Assumptions!C18</f>
        <v>18000</v>
      </c>
    </row>
    <row r="16" customFormat="false" ht="15" hidden="false" customHeight="false" outlineLevel="0" collapsed="false">
      <c r="B16" s="0" t="s">
        <v>70</v>
      </c>
      <c r="C16" s="32" t="n">
        <f aca="false">Assumptions!C19</f>
        <v>14400</v>
      </c>
    </row>
    <row r="17" customFormat="false" ht="15" hidden="false" customHeight="false" outlineLevel="0" collapsed="false">
      <c r="B17" s="0" t="s">
        <v>174</v>
      </c>
      <c r="C17" s="32" t="n">
        <f aca="false">MAX(Assumptions!C20,Assumptions!C21*C8)</f>
        <v>30725.76</v>
      </c>
    </row>
    <row r="18" customFormat="false" ht="15" hidden="false" customHeight="false" outlineLevel="0" collapsed="false">
      <c r="B18" s="7" t="s">
        <v>161</v>
      </c>
      <c r="C18" s="26" t="n">
        <f aca="false">SUM(C11:C17)</f>
        <v>223925.76</v>
      </c>
    </row>
    <row r="20" customFormat="false" ht="15" hidden="false" customHeight="false" outlineLevel="0" collapsed="false">
      <c r="B20" s="7" t="s">
        <v>162</v>
      </c>
      <c r="C20" s="26" t="n">
        <f aca="false">C8-C18</f>
        <v>544218.24</v>
      </c>
    </row>
    <row r="21" customFormat="false" ht="15" hidden="false" customHeight="false" outlineLevel="0" collapsed="false">
      <c r="B21" s="0" t="s">
        <v>175</v>
      </c>
      <c r="C21" s="32" t="n">
        <f aca="false">Assumptions!C23*Assumptions!C4</f>
        <v>4600</v>
      </c>
    </row>
    <row r="22" customFormat="false" ht="15" hidden="false" customHeight="false" outlineLevel="0" collapsed="false">
      <c r="B22" s="7" t="s">
        <v>164</v>
      </c>
      <c r="C22" s="26" t="n">
        <f aca="false">C20-C21</f>
        <v>539618.24</v>
      </c>
    </row>
  </sheetData>
  <mergeCells count="3">
    <mergeCell ref="B1:D1"/>
    <mergeCell ref="B3:D3"/>
    <mergeCell ref="B10:D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5"/>
  </cols>
  <sheetData>
    <row r="1" customFormat="false" ht="15" hidden="false" customHeight="false" outlineLevel="0" collapsed="false">
      <c r="B1" s="9" t="s">
        <v>176</v>
      </c>
      <c r="C1" s="9"/>
      <c r="D1" s="9"/>
    </row>
    <row r="3" customFormat="false" ht="15" hidden="false" customHeight="false" outlineLevel="0" collapsed="false">
      <c r="B3" s="10" t="s">
        <v>177</v>
      </c>
      <c r="C3" s="10"/>
      <c r="D3" s="10"/>
    </row>
    <row r="4" customFormat="false" ht="15" hidden="false" customHeight="false" outlineLevel="0" collapsed="false">
      <c r="B4" s="0" t="s">
        <v>178</v>
      </c>
      <c r="C4" s="34" t="n">
        <f aca="false">Assumptions!C25</f>
        <v>0.0625</v>
      </c>
    </row>
    <row r="5" customFormat="false" ht="15" hidden="false" customHeight="false" outlineLevel="0" collapsed="false">
      <c r="B5" s="0" t="s">
        <v>106</v>
      </c>
      <c r="C5" s="18" t="n">
        <f aca="false">MAX(Assumptions!C25,Assumptions!C26)</f>
        <v>0.065</v>
      </c>
    </row>
    <row r="6" customFormat="false" ht="15" hidden="false" customHeight="false" outlineLevel="0" collapsed="false">
      <c r="B6" s="0" t="s">
        <v>25</v>
      </c>
      <c r="C6" s="35" t="n">
        <f aca="false">Assumptions!C7</f>
        <v>0.07</v>
      </c>
    </row>
    <row r="7" customFormat="false" ht="15" hidden="false" customHeight="false" outlineLevel="0" collapsed="false">
      <c r="B7" s="7" t="s">
        <v>179</v>
      </c>
      <c r="C7" s="27" t="n">
        <f aca="false">Underwriting!C20/C6</f>
        <v>7774546.28571428</v>
      </c>
    </row>
    <row r="9" customFormat="false" ht="15" hidden="false" customHeight="false" outlineLevel="0" collapsed="false">
      <c r="B9" s="10" t="s">
        <v>180</v>
      </c>
      <c r="C9" s="10"/>
      <c r="D9" s="10"/>
    </row>
    <row r="10" customFormat="false" ht="15" hidden="false" customHeight="false" outlineLevel="0" collapsed="false">
      <c r="B10" s="0" t="s">
        <v>181</v>
      </c>
      <c r="C10" s="36" t="n">
        <f aca="false">Assumptions!C28*12</f>
        <v>300</v>
      </c>
    </row>
    <row r="11" customFormat="false" ht="15" hidden="false" customHeight="false" outlineLevel="0" collapsed="false">
      <c r="B11" s="0" t="s">
        <v>182</v>
      </c>
      <c r="C11" s="37" t="n">
        <f aca="false">(C5/12)/(1-(1+C5/12)^-C10)</f>
        <v>0.00675207161347642</v>
      </c>
    </row>
    <row r="12" customFormat="false" ht="15" hidden="false" customHeight="false" outlineLevel="0" collapsed="false">
      <c r="B12" s="7" t="s">
        <v>183</v>
      </c>
      <c r="C12" s="38" t="n">
        <f aca="false">C11*12</f>
        <v>0.081024859361717</v>
      </c>
    </row>
    <row r="13" customFormat="false" ht="15" hidden="false" customHeight="false" outlineLevel="0" collapsed="false">
      <c r="B13" s="0" t="s">
        <v>184</v>
      </c>
      <c r="C13" s="37" t="n">
        <f aca="false">((C4/12)/(1-(1+C4/12)^-C10))*12</f>
        <v>0.0791603253978057</v>
      </c>
    </row>
    <row r="15" customFormat="false" ht="15" hidden="false" customHeight="false" outlineLevel="0" collapsed="false">
      <c r="B15" s="10" t="s">
        <v>185</v>
      </c>
      <c r="C15" s="10"/>
      <c r="D15" s="10"/>
    </row>
    <row r="16" customFormat="false" ht="15" hidden="false" customHeight="false" outlineLevel="0" collapsed="false">
      <c r="B16" s="0" t="s">
        <v>186</v>
      </c>
      <c r="C16" s="39" t="n">
        <f aca="false">C7*Assumptions!C33</f>
        <v>5053455.08571429</v>
      </c>
    </row>
    <row r="17" customFormat="false" ht="15" hidden="false" customHeight="false" outlineLevel="0" collapsed="false">
      <c r="B17" s="0" t="s">
        <v>187</v>
      </c>
      <c r="C17" s="39" t="n">
        <f aca="false">Underwriting!C22/(Assumptions!C34*C12)</f>
        <v>5327927.6928183</v>
      </c>
    </row>
    <row r="18" customFormat="false" ht="15" hidden="false" customHeight="false" outlineLevel="0" collapsed="false">
      <c r="B18" s="0" t="s">
        <v>188</v>
      </c>
      <c r="C18" s="39" t="n">
        <f aca="false">Underwriting!C20/Assumptions!C35</f>
        <v>6046869.33333333</v>
      </c>
    </row>
    <row r="19" customFormat="false" ht="15" hidden="false" customHeight="false" outlineLevel="0" collapsed="false">
      <c r="B19" s="7" t="s">
        <v>189</v>
      </c>
      <c r="C19" s="27" t="n">
        <f aca="false">MIN(C16:C18)</f>
        <v>5053455.08571429</v>
      </c>
    </row>
    <row r="20" customFormat="false" ht="15" hidden="false" customHeight="false" outlineLevel="0" collapsed="false">
      <c r="B20" s="7" t="s">
        <v>190</v>
      </c>
      <c r="C20" s="40" t="str">
        <f aca="false">IF(C19=C16,"LTV",IF(C19=C17,"DSCR","Debt yield"))</f>
        <v>LTV</v>
      </c>
    </row>
    <row r="22" customFormat="false" ht="15" hidden="false" customHeight="false" outlineLevel="0" collapsed="false">
      <c r="B22" s="10" t="s">
        <v>191</v>
      </c>
      <c r="C22" s="10"/>
      <c r="D22" s="10"/>
    </row>
    <row r="23" customFormat="false" ht="15" hidden="false" customHeight="false" outlineLevel="0" collapsed="false">
      <c r="B23" s="0" t="s">
        <v>192</v>
      </c>
      <c r="C23" s="41" t="n">
        <f aca="false">C19*C12</f>
        <v>409455.487610753</v>
      </c>
    </row>
    <row r="24" customFormat="false" ht="15" hidden="false" customHeight="false" outlineLevel="0" collapsed="false">
      <c r="B24" s="0" t="s">
        <v>193</v>
      </c>
      <c r="C24" s="42" t="n">
        <f aca="false">Underwriting!C22/C23</f>
        <v>1.3178923138844</v>
      </c>
    </row>
    <row r="25" customFormat="false" ht="15" hidden="false" customHeight="false" outlineLevel="0" collapsed="false">
      <c r="B25" s="0" t="s">
        <v>194</v>
      </c>
      <c r="C25" s="43" t="n">
        <f aca="false">Underwriting!C20/C19</f>
        <v>0.107692307692308</v>
      </c>
    </row>
    <row r="26" customFormat="false" ht="15" hidden="false" customHeight="false" outlineLevel="0" collapsed="false">
      <c r="B26" s="0" t="s">
        <v>195</v>
      </c>
      <c r="C26" s="41" t="n">
        <f aca="false">C19*C13</f>
        <v>400033.148968339</v>
      </c>
    </row>
    <row r="27" customFormat="false" ht="15" hidden="false" customHeight="false" outlineLevel="0" collapsed="false">
      <c r="B27" s="0" t="s">
        <v>196</v>
      </c>
      <c r="C27" s="44" t="n">
        <f aca="false">Underwriting!C22/C26</f>
        <v>1.34893381058955</v>
      </c>
    </row>
    <row r="29" customFormat="false" ht="15" hidden="false" customHeight="false" outlineLevel="0" collapsed="false">
      <c r="B29" s="10" t="s">
        <v>101</v>
      </c>
      <c r="C29" s="10"/>
      <c r="D29" s="10"/>
    </row>
    <row r="30" customFormat="false" ht="15" hidden="false" customHeight="false" outlineLevel="0" collapsed="false">
      <c r="B30" s="0" t="s">
        <v>197</v>
      </c>
      <c r="C30" s="39" t="n">
        <f aca="false">C19</f>
        <v>5053455.08571429</v>
      </c>
    </row>
    <row r="31" customFormat="false" ht="15" hidden="false" customHeight="false" outlineLevel="0" collapsed="false">
      <c r="B31" s="0" t="s">
        <v>198</v>
      </c>
      <c r="C31" s="45" t="n">
        <f aca="false">-Assumptions!C38</f>
        <v>-3400000</v>
      </c>
    </row>
    <row r="32" customFormat="false" ht="15" hidden="false" customHeight="false" outlineLevel="0" collapsed="false">
      <c r="B32" s="0" t="s">
        <v>199</v>
      </c>
      <c r="C32" s="45" t="n">
        <f aca="false">-C19*Assumptions!C31</f>
        <v>-50534.5508571429</v>
      </c>
    </row>
    <row r="33" customFormat="false" ht="15" hidden="false" customHeight="false" outlineLevel="0" collapsed="false">
      <c r="B33" s="0" t="s">
        <v>200</v>
      </c>
      <c r="C33" s="45" t="n">
        <f aca="false">-Assumptions!C39</f>
        <v>-48000</v>
      </c>
    </row>
    <row r="34" customFormat="false" ht="15" hidden="false" customHeight="false" outlineLevel="0" collapsed="false">
      <c r="B34" s="7" t="s">
        <v>39</v>
      </c>
      <c r="C34" s="46" t="n">
        <f aca="false">SUM(C30:C33)</f>
        <v>1554920.53485714</v>
      </c>
    </row>
  </sheetData>
  <mergeCells count="6">
    <mergeCell ref="B1:D1"/>
    <mergeCell ref="B3:D3"/>
    <mergeCell ref="B9:D9"/>
    <mergeCell ref="B15:D15"/>
    <mergeCell ref="B22:D22"/>
    <mergeCell ref="B29:D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5" min="3" style="0" width="18"/>
  </cols>
  <sheetData>
    <row r="1" customFormat="false" ht="15" hidden="false" customHeight="false" outlineLevel="0" collapsed="false">
      <c r="B1" s="9" t="s">
        <v>201</v>
      </c>
      <c r="C1" s="9"/>
      <c r="D1" s="9"/>
      <c r="E1" s="9"/>
    </row>
    <row r="3" customFormat="false" ht="15" hidden="false" customHeight="false" outlineLevel="0" collapsed="false">
      <c r="C3" s="19" t="s">
        <v>202</v>
      </c>
      <c r="D3" s="19" t="s">
        <v>203</v>
      </c>
      <c r="E3" s="19" t="s">
        <v>204</v>
      </c>
    </row>
    <row r="4" customFormat="false" ht="15" hidden="false" customHeight="false" outlineLevel="0" collapsed="false">
      <c r="B4" s="0" t="s">
        <v>205</v>
      </c>
      <c r="C4" s="33" t="n">
        <f aca="false">Underwriting!C8</f>
        <v>768144</v>
      </c>
      <c r="D4" s="33" t="n">
        <f aca="false">C4*(1+Assumptions!C36)</f>
        <v>729736.8</v>
      </c>
      <c r="E4" s="33" t="n">
        <f aca="false">C4*(1+Assumptions!C36)</f>
        <v>729736.8</v>
      </c>
    </row>
    <row r="5" customFormat="false" ht="15" hidden="false" customHeight="false" outlineLevel="0" collapsed="false">
      <c r="B5" s="0" t="s">
        <v>174</v>
      </c>
      <c r="C5" s="32" t="n">
        <f aca="false">MAX(Assumptions!C20,Assumptions!C21*C4)</f>
        <v>30725.76</v>
      </c>
      <c r="D5" s="32" t="n">
        <f aca="false">MAX(Assumptions!C20,Assumptions!C21*D4)</f>
        <v>29189.472</v>
      </c>
      <c r="E5" s="32" t="n">
        <f aca="false">MAX(Assumptions!C20,Assumptions!C21*E4)</f>
        <v>29189.472</v>
      </c>
    </row>
    <row r="6" customFormat="false" ht="15" hidden="false" customHeight="false" outlineLevel="0" collapsed="false">
      <c r="B6" s="0" t="s">
        <v>206</v>
      </c>
      <c r="C6" s="32" t="n">
        <f aca="false">Assumptions!C14+Assumptions!C15+Assumptions!C16+Assumptions!C17+Assumptions!C18+Assumptions!C19</f>
        <v>193200</v>
      </c>
      <c r="D6" s="32" t="n">
        <f aca="false">Assumptions!C14+Assumptions!C15+Assumptions!C16+Assumptions!C17+Assumptions!C18+Assumptions!C19</f>
        <v>193200</v>
      </c>
      <c r="E6" s="32" t="n">
        <f aca="false">Assumptions!C14+Assumptions!C15+Assumptions!C16+Assumptions!C17+Assumptions!C18+Assumptions!C19</f>
        <v>193200</v>
      </c>
    </row>
    <row r="7" customFormat="false" ht="15" hidden="false" customHeight="false" outlineLevel="0" collapsed="false">
      <c r="B7" s="7" t="s">
        <v>161</v>
      </c>
      <c r="C7" s="26" t="n">
        <f aca="false">C5+C6</f>
        <v>223925.76</v>
      </c>
      <c r="D7" s="26" t="n">
        <f aca="false">D5+D6</f>
        <v>222389.472</v>
      </c>
      <c r="E7" s="26" t="n">
        <f aca="false">E5+E6</f>
        <v>222389.472</v>
      </c>
    </row>
    <row r="8" customFormat="false" ht="15" hidden="false" customHeight="false" outlineLevel="0" collapsed="false">
      <c r="B8" s="7" t="s">
        <v>207</v>
      </c>
      <c r="C8" s="26" t="n">
        <f aca="false">C4-C7</f>
        <v>544218.24</v>
      </c>
      <c r="D8" s="26" t="n">
        <f aca="false">D4-D7</f>
        <v>507347.328</v>
      </c>
      <c r="E8" s="26" t="n">
        <f aca="false">E4-E7</f>
        <v>507347.328</v>
      </c>
    </row>
    <row r="9" customFormat="false" ht="15" hidden="false" customHeight="false" outlineLevel="0" collapsed="false">
      <c r="B9" s="0" t="s">
        <v>163</v>
      </c>
      <c r="C9" s="32" t="n">
        <f aca="false">Assumptions!C23*Assumptions!C4</f>
        <v>4600</v>
      </c>
      <c r="D9" s="32" t="n">
        <f aca="false">Assumptions!C23*Assumptions!C4</f>
        <v>4600</v>
      </c>
      <c r="E9" s="32" t="n">
        <f aca="false">Assumptions!C23*Assumptions!C4</f>
        <v>4600</v>
      </c>
    </row>
    <row r="10" customFormat="false" ht="15" hidden="false" customHeight="false" outlineLevel="0" collapsed="false">
      <c r="B10" s="7" t="s">
        <v>164</v>
      </c>
      <c r="C10" s="26" t="n">
        <f aca="false">C8-C9</f>
        <v>539618.24</v>
      </c>
      <c r="D10" s="26" t="n">
        <f aca="false">D8-D9</f>
        <v>502747.328</v>
      </c>
      <c r="E10" s="26" t="n">
        <f aca="false">E8-E9</f>
        <v>502747.328</v>
      </c>
    </row>
    <row r="12" customFormat="false" ht="15" hidden="false" customHeight="false" outlineLevel="0" collapsed="false">
      <c r="B12" s="0" t="s">
        <v>208</v>
      </c>
      <c r="C12" s="34" t="n">
        <f aca="false">MAX(Assumptions!C25,Assumptions!C26)</f>
        <v>0.065</v>
      </c>
      <c r="D12" s="34" t="n">
        <f aca="false">MAX(Assumptions!C25,Assumptions!C26)</f>
        <v>0.065</v>
      </c>
      <c r="E12" s="47" t="n">
        <f aca="false">MAX(Assumptions!C25,Assumptions!C26)+Assumptions!C27</f>
        <v>0.075</v>
      </c>
    </row>
    <row r="13" customFormat="false" ht="15" hidden="false" customHeight="false" outlineLevel="0" collapsed="false">
      <c r="B13" s="0" t="s">
        <v>209</v>
      </c>
      <c r="C13" s="37" t="n">
        <f aca="false">((C12/12)/(1-(1+C12/12)^-(Assumptions!C28*12)))*12</f>
        <v>0.081024859361717</v>
      </c>
      <c r="D13" s="37" t="n">
        <f aca="false">((D12/12)/(1-(1+D12/12)^-(Assumptions!C28*12)))*12</f>
        <v>0.081024859361717</v>
      </c>
      <c r="E13" s="37" t="n">
        <f aca="false">((E12/12)/(1-(1+E12/12)^-(Assumptions!C28*12)))*12</f>
        <v>0.0886789413356947</v>
      </c>
    </row>
    <row r="14" customFormat="false" ht="15" hidden="false" customHeight="false" outlineLevel="0" collapsed="false">
      <c r="B14" s="0" t="s">
        <v>210</v>
      </c>
      <c r="C14" s="35" t="n">
        <f aca="false">Assumptions!C7</f>
        <v>0.07</v>
      </c>
      <c r="D14" s="35" t="n">
        <f aca="false">Assumptions!C7</f>
        <v>0.07</v>
      </c>
      <c r="E14" s="35" t="n">
        <f aca="false">Assumptions!C7</f>
        <v>0.07</v>
      </c>
    </row>
    <row r="15" customFormat="false" ht="15" hidden="false" customHeight="false" outlineLevel="0" collapsed="false">
      <c r="B15" s="0" t="s">
        <v>211</v>
      </c>
      <c r="C15" s="39" t="n">
        <f aca="false">C8/C14</f>
        <v>7774546.28571428</v>
      </c>
      <c r="D15" s="39" t="n">
        <f aca="false">D8/D14</f>
        <v>7247818.97142857</v>
      </c>
      <c r="E15" s="39" t="n">
        <f aca="false">E8/E14</f>
        <v>7247818.97142857</v>
      </c>
    </row>
    <row r="16" customFormat="false" ht="15" hidden="false" customHeight="false" outlineLevel="0" collapsed="false">
      <c r="B16" s="0" t="s">
        <v>212</v>
      </c>
      <c r="C16" s="39" t="n">
        <f aca="false">C15*Assumptions!C33</f>
        <v>5053455.08571429</v>
      </c>
      <c r="D16" s="39" t="n">
        <f aca="false">D15*Assumptions!C33</f>
        <v>4711082.33142857</v>
      </c>
      <c r="E16" s="39" t="n">
        <f aca="false">E15*Assumptions!C33</f>
        <v>4711082.33142857</v>
      </c>
    </row>
    <row r="17" customFormat="false" ht="15" hidden="false" customHeight="false" outlineLevel="0" collapsed="false">
      <c r="B17" s="0" t="s">
        <v>213</v>
      </c>
      <c r="C17" s="39" t="n">
        <f aca="false">C10/(Assumptions!C34*C13)</f>
        <v>5327927.6928183</v>
      </c>
      <c r="D17" s="39" t="n">
        <f aca="false">D10/(Assumptions!C34*D13)</f>
        <v>4963882.26487971</v>
      </c>
      <c r="E17" s="39" t="n">
        <f aca="false">E10/(Assumptions!C34*E13)</f>
        <v>4535438.24883382</v>
      </c>
    </row>
    <row r="18" customFormat="false" ht="15" hidden="false" customHeight="false" outlineLevel="0" collapsed="false">
      <c r="B18" s="0" t="s">
        <v>214</v>
      </c>
      <c r="C18" s="39" t="n">
        <f aca="false">C8/Assumptions!C35</f>
        <v>6046869.33333333</v>
      </c>
      <c r="D18" s="39" t="n">
        <f aca="false">D8/Assumptions!C35</f>
        <v>5637192.53333333</v>
      </c>
      <c r="E18" s="39" t="n">
        <f aca="false">E8/Assumptions!C35</f>
        <v>5637192.53333333</v>
      </c>
    </row>
    <row r="19" customFormat="false" ht="15" hidden="false" customHeight="false" outlineLevel="0" collapsed="false">
      <c r="B19" s="7" t="s">
        <v>215</v>
      </c>
      <c r="C19" s="27" t="n">
        <f aca="false">MIN(C16,C17,C18)</f>
        <v>5053455.08571429</v>
      </c>
      <c r="D19" s="27" t="n">
        <f aca="false">MIN(D16,D17,D18)</f>
        <v>4711082.33142857</v>
      </c>
      <c r="E19" s="27" t="n">
        <f aca="false">MIN(E16,E17,E18)</f>
        <v>4535438.24883382</v>
      </c>
    </row>
    <row r="20" customFormat="false" ht="15" hidden="false" customHeight="false" outlineLevel="0" collapsed="false">
      <c r="B20" s="7" t="s">
        <v>190</v>
      </c>
      <c r="C20" s="40" t="str">
        <f aca="false">IF(C19=C16,"LTV",IF(C19=C17,"DSCR","Debt yield"))</f>
        <v>LTV</v>
      </c>
      <c r="D20" s="40" t="str">
        <f aca="false">IF(D19=D16,"LTV",IF(D19=D17,"DSCR","Debt yield"))</f>
        <v>LTV</v>
      </c>
      <c r="E20" s="40" t="str">
        <f aca="false">IF(E19=E16,"LTV",IF(E19=E17,"DSCR","Debt yield"))</f>
        <v>DSCR</v>
      </c>
    </row>
    <row r="22" customFormat="false" ht="15" hidden="false" customHeight="false" outlineLevel="0" collapsed="false">
      <c r="B22" s="10" t="s">
        <v>216</v>
      </c>
      <c r="C22" s="10"/>
      <c r="D22" s="10"/>
      <c r="E22" s="10"/>
    </row>
    <row r="23" customFormat="false" ht="15" hidden="false" customHeight="false" outlineLevel="0" collapsed="false">
      <c r="B23" s="0" t="s">
        <v>217</v>
      </c>
      <c r="C23" s="43" t="n">
        <f aca="false">Assumptions!C7+Assumptions!C8</f>
        <v>0.075</v>
      </c>
    </row>
    <row r="24" customFormat="false" ht="15" hidden="false" customHeight="false" outlineLevel="0" collapsed="false">
      <c r="B24" s="0" t="s">
        <v>218</v>
      </c>
      <c r="C24" s="41" t="n">
        <f aca="false">Underwriting!C20/C23</f>
        <v>7256243.2</v>
      </c>
    </row>
    <row r="25" customFormat="false" ht="15" hidden="false" customHeight="false" outlineLevel="0" collapsed="false">
      <c r="B25" s="0" t="s">
        <v>219</v>
      </c>
      <c r="C25" s="39" t="n">
        <f aca="false">C24*Assumptions!C33</f>
        <v>4716558.08</v>
      </c>
    </row>
    <row r="26" customFormat="false" ht="15" hidden="false" customHeight="false" outlineLevel="0" collapsed="false">
      <c r="B26" s="0" t="s">
        <v>220</v>
      </c>
      <c r="C26" s="39" t="n">
        <f aca="false">Underwriting!C22/(Assumptions!C34*'Loan Sizing'!C12)</f>
        <v>5327927.6928183</v>
      </c>
    </row>
    <row r="27" customFormat="false" ht="15" hidden="false" customHeight="false" outlineLevel="0" collapsed="false">
      <c r="B27" s="0" t="s">
        <v>221</v>
      </c>
      <c r="C27" s="39" t="n">
        <f aca="false">Underwriting!C20/Assumptions!C35</f>
        <v>6046869.33333333</v>
      </c>
    </row>
    <row r="28" customFormat="false" ht="15" hidden="false" customHeight="false" outlineLevel="0" collapsed="false">
      <c r="B28" s="7" t="s">
        <v>222</v>
      </c>
      <c r="C28" s="27" t="n">
        <f aca="false">MIN(C25,C26,C27)</f>
        <v>4716558.08</v>
      </c>
    </row>
    <row r="29" customFormat="false" ht="15" hidden="false" customHeight="false" outlineLevel="0" collapsed="false">
      <c r="B29" s="7" t="s">
        <v>190</v>
      </c>
      <c r="C29" s="40" t="str">
        <f aca="false">IF(C28=C25,"LTV",IF(C28=C26,"DSCR","Debt yield"))</f>
        <v>LTV</v>
      </c>
    </row>
  </sheetData>
  <mergeCells count="2">
    <mergeCell ref="B1:E1"/>
    <mergeCell ref="B22:D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15" hidden="false" customHeight="false" outlineLevel="0" collapsed="false">
      <c r="B1" s="9" t="s">
        <v>223</v>
      </c>
      <c r="C1" s="9"/>
      <c r="D1" s="9"/>
    </row>
    <row r="3" customFormat="false" ht="15" hidden="false" customHeight="false" outlineLevel="0" collapsed="false">
      <c r="B3" s="19" t="s">
        <v>224</v>
      </c>
      <c r="C3" s="19" t="s">
        <v>225</v>
      </c>
      <c r="D3" s="19" t="s">
        <v>226</v>
      </c>
    </row>
    <row r="4" customFormat="false" ht="15" hidden="false" customHeight="false" outlineLevel="0" collapsed="false">
      <c r="B4" s="48" t="s">
        <v>227</v>
      </c>
      <c r="C4" s="49" t="n">
        <f aca="false">'Rent Roll'!C15</f>
        <v>8</v>
      </c>
      <c r="D4" s="50" t="s">
        <v>228</v>
      </c>
    </row>
    <row r="5" customFormat="false" ht="15" hidden="false" customHeight="false" outlineLevel="0" collapsed="false">
      <c r="B5" s="48" t="s">
        <v>229</v>
      </c>
      <c r="C5" s="49" t="n">
        <f aca="false">'Rent Roll'!C16</f>
        <v>7</v>
      </c>
      <c r="D5" s="50" t="s">
        <v>228</v>
      </c>
    </row>
    <row r="6" customFormat="false" ht="15" hidden="false" customHeight="false" outlineLevel="0" collapsed="false">
      <c r="B6" s="48" t="s">
        <v>230</v>
      </c>
      <c r="C6" s="26" t="n">
        <f aca="false">'Rent Roll'!C17</f>
        <v>23000</v>
      </c>
      <c r="D6" s="50" t="s">
        <v>231</v>
      </c>
    </row>
    <row r="7" customFormat="false" ht="15" hidden="false" customHeight="false" outlineLevel="0" collapsed="false">
      <c r="B7" s="48" t="s">
        <v>232</v>
      </c>
      <c r="C7" s="26" t="n">
        <f aca="false">'Rent Roll'!C18</f>
        <v>20200</v>
      </c>
      <c r="D7" s="50" t="s">
        <v>231</v>
      </c>
    </row>
    <row r="8" customFormat="false" ht="15" hidden="false" customHeight="false" outlineLevel="0" collapsed="false">
      <c r="B8" s="48" t="s">
        <v>233</v>
      </c>
      <c r="C8" s="51" t="n">
        <f aca="false">'Rent Roll'!C19*100</f>
        <v>87.5</v>
      </c>
      <c r="D8" s="50" t="s">
        <v>234</v>
      </c>
    </row>
    <row r="9" customFormat="false" ht="15" hidden="false" customHeight="false" outlineLevel="0" collapsed="false">
      <c r="B9" s="48" t="s">
        <v>235</v>
      </c>
      <c r="C9" s="51" t="n">
        <f aca="false">'Rent Roll'!C20*100</f>
        <v>87.8260869565218</v>
      </c>
      <c r="D9" s="50" t="s">
        <v>234</v>
      </c>
    </row>
    <row r="10" customFormat="false" ht="15" hidden="false" customHeight="false" outlineLevel="0" collapsed="false">
      <c r="B10" s="48" t="s">
        <v>236</v>
      </c>
      <c r="C10" s="27" t="n">
        <v>48600</v>
      </c>
      <c r="D10" s="50" t="s">
        <v>237</v>
      </c>
    </row>
    <row r="11" customFormat="false" ht="15" hidden="false" customHeight="false" outlineLevel="0" collapsed="false">
      <c r="B11" s="48" t="s">
        <v>238</v>
      </c>
      <c r="C11" s="27" t="n">
        <f aca="false">'Rent Roll'!C22</f>
        <v>49100</v>
      </c>
      <c r="D11" s="50" t="s">
        <v>239</v>
      </c>
    </row>
    <row r="12" customFormat="false" ht="15" hidden="false" customHeight="false" outlineLevel="0" collapsed="false">
      <c r="B12" s="48" t="s">
        <v>240</v>
      </c>
      <c r="C12" s="27" t="n">
        <f aca="false">'T12'!C9</f>
        <v>723600</v>
      </c>
      <c r="D12" s="50" t="s">
        <v>241</v>
      </c>
    </row>
    <row r="13" customFormat="false" ht="15" hidden="false" customHeight="false" outlineLevel="0" collapsed="false">
      <c r="B13" s="48" t="s">
        <v>242</v>
      </c>
      <c r="C13" s="27" t="n">
        <f aca="false">'T12'!C19</f>
        <v>216000</v>
      </c>
      <c r="D13" s="50" t="s">
        <v>243</v>
      </c>
    </row>
    <row r="14" customFormat="false" ht="15" hidden="false" customHeight="false" outlineLevel="0" collapsed="false">
      <c r="B14" s="48" t="s">
        <v>244</v>
      </c>
      <c r="C14" s="27" t="n">
        <f aca="false">'T12'!C21</f>
        <v>507600</v>
      </c>
      <c r="D14" s="50" t="s">
        <v>234</v>
      </c>
    </row>
    <row r="15" customFormat="false" ht="15" hidden="false" customHeight="false" outlineLevel="0" collapsed="false">
      <c r="B15" s="48" t="s">
        <v>245</v>
      </c>
      <c r="C15" s="27" t="n">
        <f aca="false">'T12'!C22</f>
        <v>9200</v>
      </c>
      <c r="D15" s="50" t="s">
        <v>243</v>
      </c>
    </row>
    <row r="16" customFormat="false" ht="15" hidden="false" customHeight="false" outlineLevel="0" collapsed="false">
      <c r="B16" s="48" t="s">
        <v>246</v>
      </c>
      <c r="C16" s="27" t="n">
        <f aca="false">'T12'!C21-'T12'!C22</f>
        <v>498400</v>
      </c>
      <c r="D16" s="50" t="s">
        <v>234</v>
      </c>
    </row>
    <row r="17" customFormat="false" ht="15" hidden="false" customHeight="false" outlineLevel="0" collapsed="false">
      <c r="B17" s="48" t="s">
        <v>247</v>
      </c>
      <c r="C17" s="27" t="n">
        <f aca="false">Underwriting!C8</f>
        <v>768144</v>
      </c>
      <c r="D17" s="50" t="s">
        <v>248</v>
      </c>
    </row>
    <row r="18" customFormat="false" ht="15" hidden="false" customHeight="false" outlineLevel="0" collapsed="false">
      <c r="B18" s="48" t="s">
        <v>249</v>
      </c>
      <c r="C18" s="27" t="n">
        <f aca="false">Underwriting!C17</f>
        <v>30725.76</v>
      </c>
      <c r="D18" s="50" t="s">
        <v>250</v>
      </c>
    </row>
    <row r="19" customFormat="false" ht="15" hidden="false" customHeight="false" outlineLevel="0" collapsed="false">
      <c r="B19" s="48" t="s">
        <v>251</v>
      </c>
      <c r="C19" s="27" t="n">
        <f aca="false">Underwriting!C18</f>
        <v>223925.76</v>
      </c>
      <c r="D19" s="50" t="s">
        <v>234</v>
      </c>
    </row>
    <row r="20" customFormat="false" ht="15" hidden="false" customHeight="false" outlineLevel="0" collapsed="false">
      <c r="B20" s="48" t="s">
        <v>252</v>
      </c>
      <c r="C20" s="27" t="n">
        <f aca="false">Underwriting!C20</f>
        <v>544218.24</v>
      </c>
      <c r="D20" s="50" t="s">
        <v>234</v>
      </c>
    </row>
    <row r="21" customFormat="false" ht="15" hidden="false" customHeight="false" outlineLevel="0" collapsed="false">
      <c r="B21" s="48" t="s">
        <v>253</v>
      </c>
      <c r="C21" s="27" t="n">
        <f aca="false">Assumptions!C23*Assumptions!C4</f>
        <v>4600</v>
      </c>
      <c r="D21" s="50" t="s">
        <v>254</v>
      </c>
    </row>
    <row r="22" customFormat="false" ht="15" hidden="false" customHeight="false" outlineLevel="0" collapsed="false">
      <c r="B22" s="48" t="s">
        <v>255</v>
      </c>
      <c r="C22" s="27" t="n">
        <f aca="false">Underwriting!C22</f>
        <v>539618.24</v>
      </c>
      <c r="D22" s="50" t="s">
        <v>234</v>
      </c>
    </row>
    <row r="23" customFormat="false" ht="15" hidden="false" customHeight="false" outlineLevel="0" collapsed="false">
      <c r="B23" s="48" t="s">
        <v>256</v>
      </c>
      <c r="C23" s="27" t="n">
        <f aca="false">'Loan Sizing'!C7</f>
        <v>7774546.28571428</v>
      </c>
      <c r="D23" s="50" t="e">
        <f aca="false">uw noi / cap rate</f>
        <v>#VALUE!</v>
      </c>
    </row>
    <row r="24" customFormat="false" ht="15" hidden="false" customHeight="false" outlineLevel="0" collapsed="false">
      <c r="B24" s="48" t="s">
        <v>257</v>
      </c>
      <c r="C24" s="18" t="n">
        <f aca="false">'Loan Sizing'!C4</f>
        <v>0.0625</v>
      </c>
      <c r="D24" s="50" t="s">
        <v>258</v>
      </c>
    </row>
    <row r="25" customFormat="false" ht="15" hidden="false" customHeight="false" outlineLevel="0" collapsed="false">
      <c r="B25" s="48" t="s">
        <v>259</v>
      </c>
      <c r="C25" s="18" t="n">
        <f aca="false">'Loan Sizing'!C5</f>
        <v>0.065</v>
      </c>
      <c r="D25" s="50" t="s">
        <v>258</v>
      </c>
    </row>
    <row r="26" customFormat="false" ht="15" hidden="false" customHeight="false" outlineLevel="0" collapsed="false">
      <c r="B26" s="48" t="s">
        <v>260</v>
      </c>
      <c r="C26" s="38" t="n">
        <f aca="false">'Loan Sizing'!C12</f>
        <v>0.081024859361717</v>
      </c>
      <c r="D26" s="50" t="s">
        <v>234</v>
      </c>
    </row>
    <row r="27" customFormat="false" ht="15" hidden="false" customHeight="false" outlineLevel="0" collapsed="false">
      <c r="B27" s="48" t="s">
        <v>261</v>
      </c>
      <c r="C27" s="27" t="n">
        <f aca="false">'Loan Sizing'!C16</f>
        <v>5053455.08571429</v>
      </c>
      <c r="D27" s="50" t="s">
        <v>234</v>
      </c>
    </row>
    <row r="28" customFormat="false" ht="15" hidden="false" customHeight="false" outlineLevel="0" collapsed="false">
      <c r="B28" s="48" t="s">
        <v>262</v>
      </c>
      <c r="C28" s="27" t="n">
        <f aca="false">'Loan Sizing'!C17</f>
        <v>5327927.6928183</v>
      </c>
      <c r="D28" s="50" t="s">
        <v>234</v>
      </c>
    </row>
    <row r="29" customFormat="false" ht="15" hidden="false" customHeight="false" outlineLevel="0" collapsed="false">
      <c r="B29" s="48" t="s">
        <v>263</v>
      </c>
      <c r="C29" s="27" t="n">
        <f aca="false">'Loan Sizing'!C18</f>
        <v>6046869.33333333</v>
      </c>
      <c r="D29" s="50" t="s">
        <v>234</v>
      </c>
    </row>
    <row r="30" customFormat="false" ht="15" hidden="false" customHeight="false" outlineLevel="0" collapsed="false">
      <c r="B30" s="48" t="s">
        <v>264</v>
      </c>
      <c r="C30" s="27" t="n">
        <f aca="false">'Loan Sizing'!C19</f>
        <v>5053455.08571429</v>
      </c>
      <c r="D30" s="50" t="s">
        <v>265</v>
      </c>
    </row>
    <row r="31" customFormat="false" ht="15" hidden="false" customHeight="false" outlineLevel="0" collapsed="false">
      <c r="B31" s="48" t="s">
        <v>266</v>
      </c>
      <c r="C31" s="24" t="str">
        <f aca="false">'Loan Sizing'!C20</f>
        <v>LTV</v>
      </c>
      <c r="D31" s="50" t="s">
        <v>234</v>
      </c>
    </row>
    <row r="32" customFormat="false" ht="15" hidden="false" customHeight="false" outlineLevel="0" collapsed="false">
      <c r="B32" s="48" t="s">
        <v>267</v>
      </c>
      <c r="C32" s="27" t="n">
        <f aca="false">'Loan Sizing'!C23</f>
        <v>409455.487610753</v>
      </c>
      <c r="D32" s="50" t="s">
        <v>234</v>
      </c>
    </row>
    <row r="33" customFormat="false" ht="15" hidden="false" customHeight="false" outlineLevel="0" collapsed="false">
      <c r="B33" s="48" t="s">
        <v>268</v>
      </c>
      <c r="C33" s="52" t="n">
        <f aca="false">'Loan Sizing'!C24</f>
        <v>1.3178923138844</v>
      </c>
      <c r="D33" s="50" t="s">
        <v>234</v>
      </c>
    </row>
    <row r="34" customFormat="false" ht="15" hidden="false" customHeight="false" outlineLevel="0" collapsed="false">
      <c r="B34" s="48" t="s">
        <v>269</v>
      </c>
      <c r="C34" s="28" t="n">
        <f aca="false">'Loan Sizing'!C25</f>
        <v>0.107692307692308</v>
      </c>
      <c r="D34" s="50" t="s">
        <v>234</v>
      </c>
    </row>
    <row r="35" customFormat="false" ht="15" hidden="false" customHeight="false" outlineLevel="0" collapsed="false">
      <c r="B35" s="48" t="s">
        <v>270</v>
      </c>
      <c r="C35" s="27" t="n">
        <f aca="false">'Loan Sizing'!C26</f>
        <v>400033.148968339</v>
      </c>
      <c r="D35" s="50" t="s">
        <v>271</v>
      </c>
    </row>
    <row r="36" customFormat="false" ht="15" hidden="false" customHeight="false" outlineLevel="0" collapsed="false">
      <c r="B36" s="48" t="s">
        <v>272</v>
      </c>
      <c r="C36" s="27" t="n">
        <f aca="false">'Loan Sizing'!C34</f>
        <v>1554920.53485714</v>
      </c>
      <c r="D36" s="50" t="s">
        <v>234</v>
      </c>
    </row>
    <row r="37" customFormat="false" ht="15" hidden="false" customHeight="false" outlineLevel="0" collapsed="false">
      <c r="B37" s="48" t="s">
        <v>273</v>
      </c>
      <c r="C37" s="27" t="n">
        <f aca="false">Sensitivity!D8</f>
        <v>507347.328</v>
      </c>
      <c r="D37" s="50" t="s">
        <v>274</v>
      </c>
    </row>
    <row r="38" customFormat="false" ht="15" hidden="false" customHeight="false" outlineLevel="0" collapsed="false">
      <c r="B38" s="48" t="s">
        <v>275</v>
      </c>
      <c r="C38" s="27" t="n">
        <f aca="false">Sensitivity!E19</f>
        <v>4535438.24883382</v>
      </c>
      <c r="D38" s="50" t="s">
        <v>276</v>
      </c>
    </row>
    <row r="39" customFormat="false" ht="15" hidden="false" customHeight="false" outlineLevel="0" collapsed="false">
      <c r="B39" s="48" t="s">
        <v>277</v>
      </c>
      <c r="C39" s="27" t="n">
        <v>7500</v>
      </c>
      <c r="D39" s="50" t="s">
        <v>278</v>
      </c>
    </row>
    <row r="40" customFormat="false" ht="15" hidden="false" customHeight="false" outlineLevel="0" collapsed="false">
      <c r="B40" s="48" t="s">
        <v>279</v>
      </c>
      <c r="C40" s="24" t="s">
        <v>120</v>
      </c>
      <c r="D40" s="50" t="s">
        <v>280</v>
      </c>
    </row>
    <row r="41" customFormat="false" ht="15" hidden="false" customHeight="false" outlineLevel="0" collapsed="false">
      <c r="B41" s="48" t="s">
        <v>281</v>
      </c>
      <c r="C41" s="27" t="n">
        <v>15000</v>
      </c>
      <c r="D41" s="50" t="s">
        <v>282</v>
      </c>
    </row>
    <row r="42" customFormat="false" ht="15" hidden="false" customHeight="false" outlineLevel="0" collapsed="false">
      <c r="B42" s="48" t="s">
        <v>283</v>
      </c>
      <c r="C42" s="27" t="n">
        <v>27600</v>
      </c>
      <c r="D42" s="50" t="s">
        <v>284</v>
      </c>
    </row>
    <row r="43" customFormat="false" ht="15" hidden="false" customHeight="false" outlineLevel="0" collapsed="false">
      <c r="B43" s="48" t="s">
        <v>285</v>
      </c>
      <c r="C43" s="24" t="s">
        <v>286</v>
      </c>
      <c r="D43" s="50" t="s">
        <v>287</v>
      </c>
    </row>
    <row r="44" customFormat="false" ht="15" hidden="false" customHeight="false" outlineLevel="0" collapsed="false">
      <c r="B44" s="48" t="s">
        <v>288</v>
      </c>
      <c r="C44" s="24" t="s">
        <v>289</v>
      </c>
      <c r="D44" s="50" t="s">
        <v>258</v>
      </c>
    </row>
  </sheetData>
  <mergeCells count="1">
    <mergeCell ref="B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