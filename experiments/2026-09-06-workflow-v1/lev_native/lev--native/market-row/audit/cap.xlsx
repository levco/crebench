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b3d930576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fa31cc5c8e249c4"/>
    <x:sheet xmlns:r="http://schemas.openxmlformats.org/officeDocument/2006/relationships" name="Assumptions" sheetId="2" r:id="R00a32ed623eb4cf9"/>
    <x:sheet xmlns:r="http://schemas.openxmlformats.org/officeDocument/2006/relationships" name="Rent Roll" sheetId="3" r:id="Rab5c35793dc14d3a"/>
    <x:sheet xmlns:r="http://schemas.openxmlformats.org/officeDocument/2006/relationships" name="T12" sheetId="4" r:id="R8e0c29becb364f73"/>
    <x:sheet xmlns:r="http://schemas.openxmlformats.org/officeDocument/2006/relationships" name="Underwriting" sheetId="5" r:id="Rc31ce4eaa6cc4000"/>
    <x:sheet xmlns:r="http://schemas.openxmlformats.org/officeDocument/2006/relationships" name="Loan Sizing" sheetId="6" r:id="Rff16008c84db492f"/>
    <x:sheet xmlns:r="http://schemas.openxmlformats.org/officeDocument/2006/relationships" name="Sensitivity" sheetId="7" r:id="R67cd35b0ea014d17"/>
    <x:sheet xmlns:r="http://schemas.openxmlformats.org/officeDocument/2006/relationships" name="Fields" sheetId="8" r:id="R04f1665ab451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$0.00"/>
    <x:numFmt numFmtId="165" formatCode="0.000%"/>
    <x:numFmt numFmtId="166" formatCode="$#,##0"/>
    <x:numFmt numFmtId="167" formatCode="#,##0;(#,##0)"/>
    <x:numFmt numFmtId="168" formatCode="0.00000000"/>
    <x:numFmt numFmtId="169" formatCode="0.000"/>
    <x:numFmt numFmtId="170" formatCode="$#,##0;($#,##0)"/>
  </x:numFmts>
  <x:fonts count="9">
    <x:font>
      <x:sz val="11"/>
      <x:color theme="1"/>
      <x:name val="Calibri"/>
    </x:font>
    <x:font>
      <x:b/>
      <x:sz val="16"/>
      <x:color rgb="FF1F3864"/>
    </x:font>
    <x:font>
      <x:i/>
      <x:color rgb="FF595959"/>
    </x:font>
    <x:font>
      <x:b/>
      <x:sz val="11"/>
      <x:color rgb="FF1F3864"/>
    </x:font>
    <x:font>
      <x:b/>
      <x:color rgb="FFFFFFFF"/>
    </x:font>
    <x:font>
      <x:b/>
    </x:font>
    <x:font>
      <x:b/>
      <x:sz val="12"/>
      <x:color rgb="FFFFFFFF"/>
    </x:font>
    <x:font>
      <x:i/>
      <x:sz val="9"/>
      <x:color rgb="FF595959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0" fillId="2" borderId="0" xfId="0"/>
    <x:xf numFmtId="0" fontId="0" fillId="3" borderId="0" xfId="0"/>
    <x:xf numFmtId="0" fontId="4" fillId="4" borderId="0" xfId="0"/>
    <x:xf numFmtId="0" fontId="5" fillId="0" borderId="0" xfId="0"/>
    <x:xf numFmtId="0" fontId="0" fillId="0" borderId="0" xfId="0" applyAlignment="1">
      <x:alignment horizontal="left" vertical="top" wrapText="1"/>
    </x:xf>
    <x:xf numFmtId="0" fontId="6" fillId="4" borderId="0" xfId="0"/>
    <x:xf numFmtId="0" fontId="3" fillId="5" borderId="0" xfId="0"/>
    <x:xf numFmtId="3" fontId="5" fillId="2" borderId="1" xfId="0" applyAlignment="1">
      <x:alignment horizontal="right" vertical="center"/>
    </x:xf>
    <x:xf numFmtId="0" fontId="7" fillId="0" borderId="0" xfId="0" applyAlignment="1">
      <x:alignment horizontal="left" vertical="top" wrapText="1"/>
    </x:xf>
    <x:xf numFmtId="10" fontId="5" fillId="2" borderId="1" xfId="0" applyAlignment="1">
      <x:alignment horizontal="right" vertical="center"/>
    </x:xf>
    <x:xf numFmtId="164" fontId="5" fillId="2" borderId="1" xfId="0" applyAlignment="1">
      <x:alignment horizontal="right" vertical="center"/>
    </x:xf>
    <x:xf numFmtId="165" fontId="5" fillId="2" borderId="1" xfId="0" applyAlignment="1">
      <x:alignment horizontal="right" vertical="center"/>
    </x:xf>
    <x:xf numFmtId="1" fontId="5" fillId="2" borderId="1" xfId="0" applyAlignment="1">
      <x:alignment horizontal="right" vertical="center"/>
    </x:xf>
    <x:xf numFmtId="2" fontId="5" fillId="2" borderId="1" xfId="0" applyAlignment="1">
      <x:alignment horizontal="right" vertical="center"/>
    </x:xf>
    <x:xf numFmtId="165" fontId="5" fillId="3" borderId="1" xfId="0"/>
    <x:xf numFmtId="0" fontId="5" fillId="5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right" vertical="center"/>
    </x:xf>
    <x:xf numFmtId="3" fontId="0" fillId="0" borderId="1" xfId="0" applyAlignment="1">
      <x:alignment horizontal="right" vertical="center"/>
    </x:xf>
    <x:xf numFmtId="166" fontId="0" fillId="0" borderId="1" xfId="0" applyAlignment="1">
      <x:alignment horizontal="right" vertical="center"/>
    </x:xf>
    <x:xf numFmtId="0" fontId="5" fillId="3" borderId="1" xfId="0"/>
    <x:xf numFmtId="0" fontId="0" fillId="3" borderId="1" xfId="0"/>
    <x:xf numFmtId="3" fontId="5" fillId="3" borderId="1" xfId="0"/>
    <x:xf numFmtId="166" fontId="5" fillId="3" borderId="1" xfId="0"/>
    <x:xf numFmtId="10" fontId="5" fillId="3" borderId="1" xfId="0"/>
    <x:xf numFmtId="0" fontId="7" fillId="0" borderId="0" xfId="0"/>
    <x:xf numFmtId="167" fontId="0" fillId="0" borderId="1" xfId="0"/>
    <x:xf numFmtId="3" fontId="0" fillId="0" borderId="1" xfId="0"/>
    <x:xf numFmtId="3" fontId="0" fillId="3" borderId="1" xfId="0"/>
    <x:xf numFmtId="165" fontId="0" fillId="0" borderId="1" xfId="0"/>
    <x:xf numFmtId="10" fontId="0" fillId="0" borderId="1" xfId="0"/>
    <x:xf numFmtId="1" fontId="0" fillId="0" borderId="1" xfId="0"/>
    <x:xf numFmtId="168" fontId="0" fillId="0" borderId="1" xfId="0"/>
    <x:xf numFmtId="168" fontId="5" fillId="3" borderId="1" xfId="0"/>
    <x:xf numFmtId="166" fontId="0" fillId="0" borderId="1" xfId="0"/>
    <x:xf numFmtId="0" fontId="5" fillId="3" borderId="1" xfId="0" applyAlignment="1">
      <x:alignment horizontal="center" vertical="center"/>
    </x:xf>
    <x:xf numFmtId="166" fontId="0" fillId="3" borderId="1" xfId="0"/>
    <x:xf numFmtId="169" fontId="0" fillId="3" borderId="1" xfId="0"/>
    <x:xf numFmtId="10" fontId="0" fillId="3" borderId="1" xfId="0"/>
    <x:xf numFmtId="169" fontId="0" fillId="0" borderId="1" xfId="0"/>
    <x:xf numFmtId="170" fontId="0" fillId="0" borderId="1" xfId="0"/>
    <x:xf numFmtId="170" fontId="5" fillId="3" borderId="1" xfId="0"/>
    <x:xf numFmtId="165" fontId="0" fillId="3" borderId="1" xfId="0"/>
    <x:xf numFmtId="0" fontId="8" fillId="0" borderId="1" xfId="0"/>
    <x:xf numFmtId="1" fontId="5" fillId="3" borderId="1" xfId="0"/>
    <x:xf numFmtId="0" fontId="0" fillId="0" borderId="1" xfId="0" applyAlignment="1">
      <x:alignment horizontal="left" vertical="top" wrapText="1"/>
    </x:xf>
    <x:xf numFmtId="2" fontId="5" fillId="3" borderId="1" xfId="0"/>
    <x:xf numFmtId="169" fontId="5" fillId="3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12bf21ba149ac" /><Relationship Type="http://schemas.openxmlformats.org/officeDocument/2006/relationships/theme" Target="/xl/theme/theme1.xml" Id="R877a80c50d174234" /><Relationship Type="http://schemas.openxmlformats.org/officeDocument/2006/relationships/sharedStrings" Target="/xl/sharedStrings.xml" Id="R886aaa47345046eb" /><Relationship Type="http://schemas.openxmlformats.org/officeDocument/2006/relationships/worksheet" Target="/xl/worksheets/sheet1.xml" Id="Rbfa31cc5c8e249c4" /><Relationship Type="http://schemas.openxmlformats.org/officeDocument/2006/relationships/worksheet" Target="/xl/worksheets/sheet2.xml" Id="R00a32ed623eb4cf9" /><Relationship Type="http://schemas.openxmlformats.org/officeDocument/2006/relationships/worksheet" Target="/xl/worksheets/sheet3.xml" Id="Rab5c35793dc14d3a" /><Relationship Type="http://schemas.openxmlformats.org/officeDocument/2006/relationships/worksheet" Target="/xl/worksheets/sheet4.xml" Id="R8e0c29becb364f73" /><Relationship Type="http://schemas.openxmlformats.org/officeDocument/2006/relationships/worksheet" Target="/xl/worksheets/sheet5.xml" Id="Rc31ce4eaa6cc4000" /><Relationship Type="http://schemas.openxmlformats.org/officeDocument/2006/relationships/worksheet" Target="/xl/worksheets/sheet6.xml" Id="Rff16008c84db492f" /><Relationship Type="http://schemas.openxmlformats.org/officeDocument/2006/relationships/worksheet" Target="/xl/worksheets/sheet7.xml" Id="R67cd35b0ea014d17" /><Relationship Type="http://schemas.openxmlformats.org/officeDocument/2006/relationships/worksheet" Target="/xl/worksheets/sheet8.xml" Id="R04f1665ab45144a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34" customWidth="1"/>
    <x:col min="3" max="3" width="70" customWidth="1"/>
  </x:cols>
  <x:sheetData>
    <x:row r="1">
      <x:c r="B1" s="1" t="inlineStr">
        <x:is>
          <x:t xml:space="preserve">Market Row | Refinance Underwriting Workbook</x:t>
        </x:is>
      </x:c>
    </x:row>
    <x:row r="2">
      <x:c r="B2" s="2" t="inlineStr">
        <x:is>
          <x:t xml:space="preserve">Prepared September 1, 2026  |  As of August 31, 2026  |  Fictional evaluation material</x:t>
        </x:is>
      </x:c>
    </x:row>
    <x:row r="4">
      <x:c r="B4" s="3" t="inlineStr">
        <x:is>
          <x:t xml:space="preserve">Color legend</x:t>
        </x:is>
      </x:c>
    </x:row>
    <x:row r="5">
      <x:c r="B5" s="4" t="inlineStr">
        <x:is>
          <x:t xml:space="preserve">Yellow</x:t>
        </x:is>
      </x:c>
      <x:c r="C5" t="inlineStr">
        <x:is>
          <x:t xml:space="preserve">Editable assumption — change these to re-run the model.</x:t>
        </x:is>
      </x:c>
    </x:row>
    <x:row r="6">
      <x:c r="B6" s="5" t="inlineStr">
        <x:is>
          <x:t xml:space="preserve">Green</x:t>
        </x:is>
      </x:c>
      <x:c r="C6" t="inlineStr">
        <x:is>
          <x:t xml:space="preserve">Computed output driven by formulas.</x:t>
        </x:is>
      </x:c>
    </x:row>
    <x:row r="7">
      <x:c r="B7" s="6" t="inlineStr">
        <x:is>
          <x:t xml:space="preserve">Blue header</x:t>
        </x:is>
      </x:c>
      <x:c r="C7" t="inlineStr">
        <x:is>
          <x:t xml:space="preserve">Section header.</x:t>
        </x:is>
      </x:c>
    </x:row>
    <x:row r="9">
      <x:c r="B9" s="3" t="inlineStr">
        <x:is>
          <x:t xml:space="preserve">Sheet map</x:t>
        </x:is>
      </x:c>
    </x:row>
    <x:row r="10">
      <x:c r="B10" s="7" t="inlineStr">
        <x:is>
          <x:t xml:space="preserve">Assumptions</x:t>
        </x:is>
      </x:c>
      <x:c r="C10" s="8" t="inlineStr">
        <x:is>
          <x:t xml:space="preserve">All editable inputs. Change cap rate, sizing rate, EGI drivers, opex, reserves, loan terms here.</x:t>
        </x:is>
      </x:c>
    </x:row>
    <x:row r="11">
      <x:c r="B11" s="7" t="inlineStr">
        <x:is>
          <x:t xml:space="preserve">Rent Roll</x:t>
        </x:is>
      </x:c>
      <x:c r="C11" s="8" t="inlineStr">
        <x:is>
          <x:t xml:space="preserve">Rent roll with authoritative amendment applied to Unit 101.</x:t>
        </x:is>
      </x:c>
    </x:row>
    <x:row r="12">
      <x:c r="B12" s="7" t="inlineStr">
        <x:is>
          <x:t xml:space="preserve">T12</x:t>
        </x:is>
      </x:c>
      <x:c r="C12" s="8" t="inlineStr">
        <x:is>
          <x:t xml:space="preserve">Trailing 12-month historical actuals (Sep-25 to Aug-26).</x:t>
        </x:is>
      </x:c>
    </x:row>
    <x:row r="13">
      <x:c r="B13" s="7" t="inlineStr">
        <x:is>
          <x:t xml:space="preserve">Underwriting</x:t>
        </x:is>
      </x:c>
      <x:c r="C13" s="8" t="inlineStr">
        <x:is>
          <x:t xml:space="preserve">Underwritten EGI, opex, NOI, NCF — all live formulas from Assumptions.</x:t>
        </x:is>
      </x:c>
    </x:row>
    <x:row r="14">
      <x:c r="B14" s="7" t="inlineStr">
        <x:is>
          <x:t xml:space="preserve">Loan Sizing</x:t>
        </x:is>
      </x:c>
      <x:c r="C14" s="8" t="inlineStr">
        <x:is>
          <x:t xml:space="preserve">LTV / DSCR / Debt Yield constraints, binding max, sources &amp; uses, first-year DS.</x:t>
        </x:is>
      </x:c>
    </x:row>
    <x:row r="15">
      <x:c r="B15" s="7" t="inlineStr">
        <x:is>
          <x:t xml:space="preserve">Sensitivity</x:t>
        </x:is>
      </x:c>
      <x:c r="C15" s="8" t="inlineStr">
        <x:is>
          <x:t xml:space="preserve">Combined downside (EGI -5% AND sizing +100 bps) and cap-rate +50 bps sensitivity.</x:t>
        </x:is>
      </x:c>
    </x:row>
    <x:row r="16">
      <x:c r="B16" s="7" t="inlineStr">
        <x:is>
          <x:t xml:space="preserve">Fields</x:t>
        </x:is>
      </x:c>
      <x:c r="C16" s="8" t="inlineStr">
        <x:is>
          <x:t xml:space="preserve">Requested reporting fields with sources.</x:t>
        </x:is>
      </x:c>
    </x:row>
    <x:row r="20">
      <x:c r="B20" s="3" t="inlineStr">
        <x:is>
          <x:t xml:space="preserve">Key output locations</x:t>
        </x:is>
      </x:c>
    </x:row>
    <x:row r="21">
      <x:c r="B21" s="7" t="inlineStr">
        <x:is>
          <x:t xml:space="preserve">Cap rate</x:t>
        </x:is>
      </x:c>
      <x:c r="C21" t="inlineStr">
        <x:is>
          <x:t xml:space="preserve">Assumptions!C7</x:t>
        </x:is>
      </x:c>
    </x:row>
    <x:row r="22">
      <x:c r="B22" s="7" t="inlineStr">
        <x:is>
          <x:t xml:space="preserve">Sizing rate (computed)</x:t>
        </x:is>
      </x:c>
      <x:c r="C22" t="inlineStr">
        <x:is>
          <x:t xml:space="preserve">Assumptions!C22</x:t>
        </x:is>
      </x:c>
    </x:row>
    <x:row r="23">
      <x:c r="B23" s="7" t="inlineStr">
        <x:is>
          <x:t xml:space="preserve">Underwritten EGI</x:t>
        </x:is>
      </x:c>
      <x:c r="C23" t="inlineStr">
        <x:is>
          <x:t xml:space="preserve">Underwriting!C11</x:t>
        </x:is>
      </x:c>
    </x:row>
    <x:row r="24">
      <x:c r="B24" s="7" t="inlineStr">
        <x:is>
          <x:t xml:space="preserve">Underwritten NOI (before reserves)</x:t>
        </x:is>
      </x:c>
      <x:c r="C24" t="inlineStr">
        <x:is>
          <x:t xml:space="preserve">Underwriting!C21</x:t>
        </x:is>
      </x:c>
    </x:row>
    <x:row r="25">
      <x:c r="B25" s="7" t="inlineStr">
        <x:is>
          <x:t xml:space="preserve">Underwritten NCF</x:t>
        </x:is>
      </x:c>
      <x:c r="C25" t="inlineStr">
        <x:is>
          <x:t xml:space="preserve">Underwriting!C23</x:t>
        </x:is>
      </x:c>
    </x:row>
    <x:row r="26">
      <x:c r="B26" s="7" t="inlineStr">
        <x:is>
          <x:t xml:space="preserve">Indicative value (cap rate)</x:t>
        </x:is>
      </x:c>
      <x:c r="C26" t="inlineStr">
        <x:is>
          <x:t xml:space="preserve">Loan Sizing!C7</x:t>
        </x:is>
      </x:c>
    </x:row>
    <x:row r="27">
      <x:c r="B27" s="7" t="inlineStr">
        <x:is>
          <x:t xml:space="preserve">Maximum loan (binding)</x:t>
        </x:is>
      </x:c>
      <x:c r="C27" t="inlineStr">
        <x:is>
          <x:t xml:space="preserve">Loan Sizing!C18</x:t>
        </x:is>
      </x:c>
    </x:row>
    <x:row r="28">
      <x:c r="B28" s="7" t="inlineStr">
        <x:is>
          <x:t xml:space="preserve">Cash to / (from) borrower</x:t>
        </x:is>
      </x:c>
      <x:c r="C28" t="inlineStr">
        <x:is>
          <x:t xml:space="preserve">Loan Sizing!C33</x:t>
        </x:is>
      </x:c>
    </x:row>
    <x:row r="31">
      <x:c r="B31" s="3" t="inlineStr">
        <x:is>
          <x:t xml:space="preserve">Notes</x:t>
        </x:is>
      </x:c>
    </x:row>
    <x:row r="32" ht="60" customHeight="1">
      <x:c r="B32" s="8" t="inlineStr">
        <x:is>
          <x:t xml:space="preserve">All figures derive from the supplied packet. Unit 101 monthly rent reflects the executed First Amendment (effective 8/1/2026) at $7,500. Insurance uses the fictional renewal quote of $27,600. This workbook is an internal-review underwriting model, not a lender commitment.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5" customWidth="1"/>
  </x:cols>
  <x:sheetData>
    <x:row r="1">
      <x:c r="B1" s="9" t="inlineStr">
        <x:is>
          <x:t xml:space="preserve">MARKET ROW — EDITABLE ASSUMPTIONS</x:t>
        </x:is>
      </x:c>
    </x:row>
    <x:row r="3">
      <x:c r="B3" s="10" t="inlineStr">
        <x:is>
          <x:t xml:space="preserve">Property</x:t>
        </x:is>
      </x:c>
    </x:row>
    <x:row r="4">
      <x:c r="B4" t="inlineStr">
        <x:is>
          <x:t xml:space="preserve">Total rentable SF</x:t>
        </x:is>
      </x:c>
      <x:c r="C4" s="11" t="n">
        <x:v>23000</x:v>
      </x:c>
      <x:c r="D4" s="12" t="inlineStr">
        <x:is>
          <x:t xml:space="preserve">Sum of rent roll areas.</x:t>
        </x:is>
      </x:c>
    </x:row>
    <x:row r="5">
      <x:c r="B5" t="inlineStr">
        <x:is>
          <x:t xml:space="preserve">Occupied SF</x:t>
        </x:is>
      </x:c>
      <x:c r="C5" s="11" t="n">
        <x:v>20200</x:v>
      </x:c>
      <x:c r="D5" s="12" t="inlineStr">
        <x:is>
          <x:t xml:space="preserve">Sum of 7 occupied units.</x:t>
        </x:is>
      </x:c>
    </x:row>
    <x:row r="6">
      <x:c r="B6" s="10" t="inlineStr">
        <x:is>
          <x:t xml:space="preserve">Valuation</x:t>
        </x:is>
      </x:c>
    </x:row>
    <x:row r="7">
      <x:c r="B7" t="inlineStr">
        <x:is>
          <x:t xml:space="preserve">Cap rate</x:t>
        </x:is>
      </x:c>
      <x:c r="C7" s="13" t="n">
        <x:v>0.07</x:v>
      </x:c>
      <x:c r="D7" s="12" t="inlineStr">
        <x:is>
          <x:t xml:space="preserve">Applied to UW NOI BEFORE reserves.</x:t>
        </x:is>
      </x:c>
    </x:row>
    <x:row r="8">
      <x:c r="B8" t="inlineStr">
        <x:is>
          <x:t xml:space="preserve">Cap rate sensitivity delta (bps)</x:t>
        </x:is>
      </x:c>
      <x:c r="C8" s="13" t="n">
        <x:v>0.005</x:v>
      </x:c>
      <x:c r="D8" s="12" t="inlineStr">
        <x:is>
          <x:t xml:space="preserve">+50 bps stress case (workbook only).</x:t>
        </x:is>
      </x:c>
    </x:row>
    <x:row r="9">
      <x:c r="B9" s="10" t="inlineStr">
        <x:is>
          <x:t xml:space="preserve">Underwriting — revenue</x:t>
        </x:is>
      </x:c>
    </x:row>
    <x:row r="10">
      <x:c r="B10" t="inlineStr">
        <x:is>
          <x:t xml:space="preserve">Gross potential base rent (annual)</x:t>
        </x:is>
      </x:c>
      <x:c r="C10" s="11" t="n">
        <x:v>657600</x:v>
      </x:c>
      <x:c r="D10" s="12" t="inlineStr">
        <x:is>
          <x:t xml:space="preserve">Property plan — supplied scenario.</x:t>
        </x:is>
      </x:c>
    </x:row>
    <x:row r="11">
      <x:c r="B11" t="inlineStr">
        <x:is>
          <x:t xml:space="preserve">Combined revenue loss %</x:t>
        </x:is>
      </x:c>
      <x:c r="C11" s="13" t="n">
        <x:v>0.06</x:v>
      </x:c>
      <x:c r="D11" s="12" t="inlineStr">
        <x:is>
          <x:t xml:space="preserve">Vacancy + concessions + bad debt.</x:t>
        </x:is>
      </x:c>
    </x:row>
    <x:row r="12">
      <x:c r="B12" t="inlineStr">
        <x:is>
          <x:t xml:space="preserve">Other income / recoveries (annual)</x:t>
        </x:is>
      </x:c>
      <x:c r="C12" s="11" t="n">
        <x:v>150000</x:v>
      </x:c>
      <x:c r="D12" s="12" t="inlineStr">
        <x:is>
          <x:t xml:space="preserve">Add after revenue loss.</x:t>
        </x:is>
      </x:c>
    </x:row>
    <x:row r="13">
      <x:c r="B13" s="10" t="inlineStr">
        <x:is>
          <x:t xml:space="preserve">Underwriting — operating expenses</x:t>
        </x:is>
      </x:c>
    </x:row>
    <x:row r="14">
      <x:c r="B14" t="inlineStr">
        <x:is>
          <x:t xml:space="preserve">Real estate taxes</x:t>
        </x:is>
      </x:c>
      <x:c r="C14" s="11" t="n">
        <x:v>90000</x:v>
      </x:c>
      <x:c r="D14" s="12" t="inlineStr">
        <x:is>
          <x:t xml:space="preserve">Plan: $90,000.</x:t>
        </x:is>
      </x:c>
    </x:row>
    <x:row r="15">
      <x:c r="B15" t="inlineStr">
        <x:is>
          <x:t xml:space="preserve">Property insurance</x:t>
        </x:is>
      </x:c>
      <x:c r="C15" s="11" t="n">
        <x:v>27600</x:v>
      </x:c>
      <x:c r="D15" s="12" t="inlineStr">
        <x:is>
          <x:t xml:space="preserve">Fictional renewal quote 8/25/2026.</x:t>
        </x:is>
      </x:c>
    </x:row>
    <x:row r="16">
      <x:c r="B16" t="inlineStr">
        <x:is>
          <x:t xml:space="preserve">Utilities</x:t>
        </x:is>
      </x:c>
      <x:c r="C16" s="11" t="n">
        <x:v>19200</x:v>
      </x:c>
      <x:c r="D16" s="12" t="inlineStr">
        <x:is>
          <x:t xml:space="preserve">Use T12 actual.</x:t>
        </x:is>
      </x:c>
    </x:row>
    <x:row r="17">
      <x:c r="B17" t="inlineStr">
        <x:is>
          <x:t xml:space="preserve">Repairs &amp; maintenance</x:t>
        </x:is>
      </x:c>
      <x:c r="C17" s="11" t="n">
        <x:v>24000</x:v>
      </x:c>
      <x:c r="D17" s="12" t="inlineStr">
        <x:is>
          <x:t xml:space="preserve">T12 $28,800 less $4,800 one-time casualty cleanup.</x:t>
        </x:is>
      </x:c>
    </x:row>
    <x:row r="18">
      <x:c r="B18" t="inlineStr">
        <x:is>
          <x:t xml:space="preserve">Payroll / contract labor</x:t>
        </x:is>
      </x:c>
      <x:c r="C18" s="11" t="n">
        <x:v>18000</x:v>
      </x:c>
      <x:c r="D18" s="12" t="inlineStr">
        <x:is>
          <x:t xml:space="preserve">Use T12 actual.</x:t>
        </x:is>
      </x:c>
    </x:row>
    <x:row r="19">
      <x:c r="B19" t="inlineStr">
        <x:is>
          <x:t xml:space="preserve">Administrative / legal</x:t>
        </x:is>
      </x:c>
      <x:c r="C19" s="11" t="n">
        <x:v>14400</x:v>
      </x:c>
      <x:c r="D19" s="12" t="inlineStr">
        <x:is>
          <x:t xml:space="preserve">Use T12 actual.</x:t>
        </x:is>
      </x:c>
    </x:row>
    <x:row r="20">
      <x:c r="B20" t="inlineStr">
        <x:is>
          <x:t xml:space="preserve">Management fee — T12 actual (floor)</x:t>
        </x:is>
      </x:c>
      <x:c r="C20" s="11" t="n">
        <x:v>24000</x:v>
      </x:c>
      <x:c r="D20" s="12" t="inlineStr">
        <x:is>
          <x:t xml:space="preserve">Greater of T12 actual and 4% of EGI.</x:t>
        </x:is>
      </x:c>
    </x:row>
    <x:row r="21">
      <x:c r="B21" t="inlineStr">
        <x:is>
          <x:t xml:space="preserve">Management fee — % of EGI</x:t>
        </x:is>
      </x:c>
      <x:c r="C21" s="13" t="n">
        <x:v>0.04</x:v>
      </x:c>
      <x:c r="D21" s="12" t="inlineStr">
        <x:is>
          <x:t xml:space="preserve">Greater of T12 actual and 4% of EGI.</x:t>
        </x:is>
      </x:c>
    </x:row>
    <x:row r="22">
      <x:c r="B22" s="10" t="inlineStr">
        <x:is>
          <x:t xml:space="preserve">Reserves</x:t>
        </x:is>
      </x:c>
    </x:row>
    <x:row r="23">
      <x:c r="B23" t="inlineStr">
        <x:is>
          <x:t xml:space="preserve">Replacement reserves ($/SF/yr)</x:t>
        </x:is>
      </x:c>
      <x:c r="C23" s="14" t="n">
        <x:v>0.2</x:v>
      </x:c>
      <x:c r="D23" s="12" t="inlineStr">
        <x:is>
          <x:t xml:space="preserve">Plan: $0.20/SF; deducted after NOI.</x:t>
        </x:is>
      </x:c>
    </x:row>
    <x:row r="24">
      <x:c r="B24" s="10" t="inlineStr">
        <x:is>
          <x:t xml:space="preserve">Loan terms — lender</x:t>
        </x:is>
      </x:c>
    </x:row>
    <x:row r="25">
      <x:c r="B25" t="inlineStr">
        <x:is>
          <x:t xml:space="preserve">Contract rate (annual)</x:t>
        </x:is>
      </x:c>
      <x:c r="C25" s="15" t="n">
        <x:v>0.0625</x:v>
      </x:c>
      <x:c r="D25" s="12" t="inlineStr">
        <x:is>
          <x:t xml:space="preserve">Fixed contractual rate.</x:t>
        </x:is>
      </x:c>
    </x:row>
    <x:row r="26">
      <x:c r="B26" t="inlineStr">
        <x:is>
          <x:t xml:space="preserve">Sizing rate floor</x:t>
        </x:is>
      </x:c>
      <x:c r="C26" s="15" t="n">
        <x:v>0.065</x:v>
      </x:c>
      <x:c r="D26" s="12" t="inlineStr">
        <x:is>
          <x:t xml:space="preserve">Greater of contract rate and floor.</x:t>
        </x:is>
      </x:c>
    </x:row>
    <x:row r="27">
      <x:c r="B27" t="inlineStr">
        <x:is>
          <x:t xml:space="preserve">Sizing rate stress delta (bps)</x:t>
        </x:is>
      </x:c>
      <x:c r="C27" s="15" t="n">
        <x:v>0.01</x:v>
      </x:c>
      <x:c r="D27" s="12" t="inlineStr">
        <x:is>
          <x:t xml:space="preserve">+100 bps for combined downside.</x:t>
        </x:is>
      </x:c>
    </x:row>
    <x:row r="28">
      <x:c r="B28" t="inlineStr">
        <x:is>
          <x:t xml:space="preserve">Amortization (years)</x:t>
        </x:is>
      </x:c>
      <x:c r="C28" s="16" t="n">
        <x:v>25</x:v>
      </x:c>
      <x:c r="D28" s="12" t="inlineStr">
        <x:is>
          <x:t xml:space="preserve">Monthly payments.</x:t>
        </x:is>
      </x:c>
    </x:row>
    <x:row r="29">
      <x:c r="B29" t="inlineStr">
        <x:is>
          <x:t xml:space="preserve">Interest-only period (months)</x:t>
        </x:is>
      </x:c>
      <x:c r="C29" s="16" t="n">
        <x:v>0</x:v>
      </x:c>
      <x:c r="D29" s="12" t="inlineStr">
        <x:is>
          <x:t xml:space="preserve">Underwriting DSCR still uses amortizing DS.</x:t>
        </x:is>
      </x:c>
    </x:row>
    <x:row r="30">
      <x:c r="B30" t="inlineStr">
        <x:is>
          <x:t xml:space="preserve">Maturity (months)</x:t>
        </x:is>
      </x:c>
      <x:c r="C30" s="16" t="n">
        <x:v>60</x:v>
      </x:c>
      <x:c r="D30" s="12" t="inlineStr">
        <x:is>
          <x:t xml:space="preserve">5-year term.</x:t>
        </x:is>
      </x:c>
    </x:row>
    <x:row r="31">
      <x:c r="B31" t="inlineStr">
        <x:is>
          <x:t xml:space="preserve">Origination fee</x:t>
        </x:is>
      </x:c>
      <x:c r="C31" s="13" t="n">
        <x:v>0.01</x:v>
      </x:c>
      <x:c r="D31" s="12" t="inlineStr">
        <x:is>
          <x:t xml:space="preserve">% of actual initial principal.</x:t>
        </x:is>
      </x:c>
    </x:row>
    <x:row r="32">
      <x:c r="B32" s="10" t="inlineStr">
        <x:is>
          <x:t xml:space="preserve">Constraints</x:t>
        </x:is>
      </x:c>
    </x:row>
    <x:row r="33">
      <x:c r="B33" t="inlineStr">
        <x:is>
          <x:t xml:space="preserve">Max LTV</x:t>
        </x:is>
      </x:c>
      <x:c r="C33" s="13" t="n">
        <x:v>0.65</x:v>
      </x:c>
      <x:c r="D33" s="12" t="inlineStr">
        <x:is>
          <x:t xml:space="preserve">Loan / indicative value.</x:t>
        </x:is>
      </x:c>
    </x:row>
    <x:row r="34">
      <x:c r="B34" t="inlineStr">
        <x:is>
          <x:t xml:space="preserve">Min DSCR</x:t>
        </x:is>
      </x:c>
      <x:c r="C34" s="17" t="n">
        <x:v>1.25</x:v>
      </x:c>
      <x:c r="D34" s="12" t="inlineStr">
        <x:is>
          <x:t xml:space="preserve">NCF (after reserves) / amortizing DS at sizing rate.</x:t>
        </x:is>
      </x:c>
    </x:row>
    <x:row r="35">
      <x:c r="B35" t="inlineStr">
        <x:is>
          <x:t xml:space="preserve">Min debt yield</x:t>
        </x:is>
      </x:c>
      <x:c r="C35" s="13" t="n">
        <x:v>0.09</x:v>
      </x:c>
      <x:c r="D35" s="12" t="inlineStr">
        <x:is>
          <x:t xml:space="preserve">NOI (before reserves) / loan.</x:t>
        </x:is>
      </x:c>
    </x:row>
    <x:row r="36">
      <x:c r="B36" t="inlineStr">
        <x:is>
          <x:t xml:space="preserve">EGI downside %</x:t>
        </x:is>
      </x:c>
      <x:c r="C36" s="13" t="n">
        <x:v>-0.05</x:v>
      </x:c>
      <x:c r="D36" s="12" t="inlineStr">
        <x:is>
          <x:t xml:space="preserve">For combined downside.</x:t>
        </x:is>
      </x:c>
    </x:row>
    <x:row r="37">
      <x:c r="B37" s="10" t="inlineStr">
        <x:is>
          <x:t xml:space="preserve">Sources &amp; Uses</x:t>
        </x:is>
      </x:c>
    </x:row>
    <x:row r="38">
      <x:c r="B38" t="inlineStr">
        <x:is>
          <x:t xml:space="preserve">Existing debt payoff</x:t>
        </x:is>
      </x:c>
      <x:c r="C38" s="11" t="n">
        <x:v>3400000</x:v>
      </x:c>
      <x:c r="D38" s="12" t="inlineStr">
        <x:is>
          <x:t xml:space="preserve">Property plan.</x:t>
        </x:is>
      </x:c>
    </x:row>
    <x:row r="39">
      <x:c r="B39" t="inlineStr">
        <x:is>
          <x:t xml:space="preserve">Fixed closing costs</x:t>
        </x:is>
      </x:c>
      <x:c r="C39" s="11" t="n">
        <x:v>48000</x:v>
      </x:c>
      <x:c r="D39" s="12" t="inlineStr">
        <x:is>
          <x:t xml:space="preserve">Property plan.</x:t>
        </x:is>
      </x:c>
    </x:row>
    <x:row r="41">
      <x:c r="B41" s="10" t="inlineStr">
        <x:is>
          <x:t xml:space="preserve">Derived (formulas)</x:t>
        </x:is>
      </x:c>
    </x:row>
    <x:row r="42">
      <x:c r="B42" t="inlineStr">
        <x:is>
          <x:t xml:space="preserve">Sizing rate (greater of contract &amp; floor)</x:t>
        </x:is>
      </x:c>
      <x:c r="C42" s="18" t="n">
        <x:f>MAX(C25,C26)</x:f>
        <x:v>0.065</x:v>
      </x:c>
    </x:row>
    <x:row r="43">
      <x:c r="B43" t="inlineStr">
        <x:is>
          <x:t xml:space="preserve">Stress sizing rate</x:t>
        </x:is>
      </x:c>
      <x:c r="C43" s="18" t="n">
        <x:f>C42+C27</x:f>
        <x:v>0.075</x:v>
      </x:c>
    </x:row>
  </x:sheetData>
  <x:mergeCells>
    <x:mergeCell ref="B3:D3"/>
    <x:mergeCell ref="B37:D37"/>
    <x:mergeCell ref="B41:D41"/>
    <x:mergeCell ref="B1:D1"/>
    <x:mergeCell ref="B22:D22"/>
    <x:mergeCell ref="B32:D32"/>
    <x:mergeCell ref="B9:D9"/>
    <x:mergeCell ref="B13:D13"/>
    <x:mergeCell ref="B6:D6"/>
    <x:mergeCell ref="B24:D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12" customWidth="1"/>
    <x:col min="3" max="3" width="20" customWidth="1"/>
    <x:col min="4" max="4" width="10" customWidth="1"/>
    <x:col min="5" max="5" width="12" customWidth="1"/>
    <x:col min="6" max="6" width="16" customWidth="1"/>
    <x:col min="7" max="7" width="16" customWidth="1"/>
    <x:col min="8" max="8" width="14" customWidth="1"/>
    <x:col min="9" max="9" width="14" customWidth="1"/>
  </x:cols>
  <x:sheetData>
    <x:row r="1">
      <x:c r="B1" s="9" t="inlineStr">
        <x:is>
          <x:t xml:space="preserve">RENT ROLL — as of 2026-08-31 (Unit 101 reflects executed First Amendment)</x:t>
        </x:is>
      </x:c>
    </x:row>
    <x:row r="3">
      <x:c r="B3" s="19" t="inlineStr">
        <x:is>
          <x:t xml:space="preserve">Unit</x:t>
        </x:is>
      </x:c>
      <x:c r="C3" s="19" t="inlineStr">
        <x:is>
          <x:t xml:space="preserve">Tenant</x:t>
        </x:is>
      </x:c>
      <x:c r="D3" s="19" t="inlineStr">
        <x:is>
          <x:t xml:space="preserve">Area SF</x:t>
        </x:is>
      </x:c>
      <x:c r="E3" s="19" t="inlineStr">
        <x:is>
          <x:t xml:space="preserve">Status</x:t>
        </x:is>
      </x:c>
      <x:c r="F3" s="19" t="inlineStr">
        <x:is>
          <x:t xml:space="preserve">Rent Roll Monthly</x:t>
        </x:is>
      </x:c>
      <x:c r="G3" s="19" t="inlineStr">
        <x:is>
          <x:t xml:space="preserve">Effective Monthly*</x:t>
        </x:is>
      </x:c>
      <x:c r="H3" s="19" t="inlineStr">
        <x:is>
          <x:t xml:space="preserve">Market Monthly</x:t>
        </x:is>
      </x:c>
      <x:c r="I3" s="19" t="inlineStr">
        <x:is>
          <x:t xml:space="preserve">Lease Expiry</x:t>
        </x:is>
      </x:c>
    </x:row>
    <x:row r="4">
      <x:c r="B4" s="20" t="inlineStr">
        <x:is>
          <x:t xml:space="preserve">101</x:t>
        </x:is>
      </x:c>
      <x:c r="C4" s="21" t="inlineStr">
        <x:is>
          <x:t xml:space="preserve">Tenant A LLC</x:t>
        </x:is>
      </x:c>
      <x:c r="D4" s="22" t="n">
        <x:v>1800</x:v>
      </x:c>
      <x:c r="E4" s="20" t="inlineStr">
        <x:is>
          <x:t xml:space="preserve">Occupied</x:t>
        </x:is>
      </x:c>
      <x:c r="F4" s="23" t="n">
        <x:v>7000</x:v>
      </x:c>
      <x:c r="G4" s="23" t="n">
        <x:v>7500</x:v>
      </x:c>
      <x:c r="H4" s="23" t="n">
        <x:v>7000</x:v>
      </x:c>
      <x:c r="I4" s="20" t="inlineStr">
        <x:is>
          <x:t xml:space="preserve">2031-08-31</x:t>
        </x:is>
      </x:c>
    </x:row>
    <x:row r="5">
      <x:c r="B5" s="20" t="inlineStr">
        <x:is>
          <x:t xml:space="preserve">102</x:t>
        </x:is>
      </x:c>
      <x:c r="C5" s="21" t="inlineStr">
        <x:is>
          <x:t xml:space="preserve">Tenant B LLC</x:t>
        </x:is>
      </x:c>
      <x:c r="D5" s="22" t="n">
        <x:v>2200</x:v>
      </x:c>
      <x:c r="E5" s="20" t="inlineStr">
        <x:is>
          <x:t xml:space="preserve">Occupied</x:t>
        </x:is>
      </x:c>
      <x:c r="F5" s="23" t="n">
        <x:v>5500</x:v>
      </x:c>
      <x:c r="G5" s="23" t="n">
        <x:v>5500</x:v>
      </x:c>
      <x:c r="H5" s="23" t="n">
        <x:v>5500</x:v>
      </x:c>
      <x:c r="I5" s="20" t="inlineStr">
        <x:is>
          <x:t xml:space="preserve">2028-08-31</x:t>
        </x:is>
      </x:c>
    </x:row>
    <x:row r="6">
      <x:c r="B6" s="20" t="inlineStr">
        <x:is>
          <x:t xml:space="preserve">103</x:t>
        </x:is>
      </x:c>
      <x:c r="C6" s="21" t="inlineStr">
        <x:is>
          <x:t xml:space="preserve">Tenant C LLC</x:t>
        </x:is>
      </x:c>
      <x:c r="D6" s="22" t="n">
        <x:v>2500</x:v>
      </x:c>
      <x:c r="E6" s="20" t="inlineStr">
        <x:is>
          <x:t xml:space="preserve">Occupied</x:t>
        </x:is>
      </x:c>
      <x:c r="F6" s="23" t="n">
        <x:v>6000</x:v>
      </x:c>
      <x:c r="G6" s="23" t="n">
        <x:v>6000</x:v>
      </x:c>
      <x:c r="H6" s="23" t="n">
        <x:v>6000</x:v>
      </x:c>
      <x:c r="I6" s="20" t="inlineStr">
        <x:is>
          <x:t xml:space="preserve">2029-08-31</x:t>
        </x:is>
      </x:c>
    </x:row>
    <x:row r="7">
      <x:c r="B7" s="20" t="inlineStr">
        <x:is>
          <x:t xml:space="preserve">104</x:t>
        </x:is>
      </x:c>
      <x:c r="C7" s="21" t="inlineStr">
        <x:is>
          <x:t xml:space="preserve">Tenant D LLC</x:t>
        </x:is>
      </x:c>
      <x:c r="D7" s="22" t="n">
        <x:v>3200</x:v>
      </x:c>
      <x:c r="E7" s="20" t="inlineStr">
        <x:is>
          <x:t xml:space="preserve">Occupied</x:t>
        </x:is>
      </x:c>
      <x:c r="F7" s="23" t="n">
        <x:v>7200</x:v>
      </x:c>
      <x:c r="G7" s="23" t="n">
        <x:v>7200</x:v>
      </x:c>
      <x:c r="H7" s="23" t="n">
        <x:v>7200</x:v>
      </x:c>
      <x:c r="I7" s="20" t="inlineStr">
        <x:is>
          <x:t xml:space="preserve">2030-08-31</x:t>
        </x:is>
      </x:c>
    </x:row>
    <x:row r="8">
      <x:c r="B8" s="20" t="inlineStr">
        <x:is>
          <x:t xml:space="preserve">105</x:t>
        </x:is>
      </x:c>
      <x:c r="C8" s="21" t="inlineStr">
        <x:is>
          <x:t xml:space="preserve">Tenant E LLC</x:t>
        </x:is>
      </x:c>
      <x:c r="D8" s="22" t="n">
        <x:v>4000</x:v>
      </x:c>
      <x:c r="E8" s="20" t="inlineStr">
        <x:is>
          <x:t xml:space="preserve">Occupied</x:t>
        </x:is>
      </x:c>
      <x:c r="F8" s="23" t="n">
        <x:v>9000</x:v>
      </x:c>
      <x:c r="G8" s="23" t="n">
        <x:v>9000</x:v>
      </x:c>
      <x:c r="H8" s="23" t="n">
        <x:v>9000</x:v>
      </x:c>
      <x:c r="I8" s="20" t="inlineStr">
        <x:is>
          <x:t xml:space="preserve">2031-08-31</x:t>
        </x:is>
      </x:c>
    </x:row>
    <x:row r="9">
      <x:c r="B9" s="20" t="inlineStr">
        <x:is>
          <x:t xml:space="preserve">106</x:t>
        </x:is>
      </x:c>
      <x:c r="C9" s="21" t="inlineStr">
        <x:is>
          <x:t xml:space="preserve">Tenant F LLC</x:t>
        </x:is>
      </x:c>
      <x:c r="D9" s="22" t="n">
        <x:v>5000</x:v>
      </x:c>
      <x:c r="E9" s="20" t="inlineStr">
        <x:is>
          <x:t xml:space="preserve">Occupied</x:t>
        </x:is>
      </x:c>
      <x:c r="F9" s="23" t="n">
        <x:v>10500</x:v>
      </x:c>
      <x:c r="G9" s="23" t="n">
        <x:v>10500</x:v>
      </x:c>
      <x:c r="H9" s="23" t="n">
        <x:v>10500</x:v>
      </x:c>
      <x:c r="I9" s="20" t="inlineStr">
        <x:is>
          <x:t xml:space="preserve">2027-08-31</x:t>
        </x:is>
      </x:c>
    </x:row>
    <x:row r="10">
      <x:c r="B10" s="20" t="inlineStr">
        <x:is>
          <x:t xml:space="preserve">107</x:t>
        </x:is>
      </x:c>
      <x:c r="C10" s="21" t="inlineStr">
        <x:is>
          <x:t xml:space="preserve">Tenant G LLC</x:t>
        </x:is>
      </x:c>
      <x:c r="D10" s="22" t="n">
        <x:v>1500</x:v>
      </x:c>
      <x:c r="E10" s="20" t="inlineStr">
        <x:is>
          <x:t xml:space="preserve">Occupied</x:t>
        </x:is>
      </x:c>
      <x:c r="F10" s="23" t="n">
        <x:v>3400</x:v>
      </x:c>
      <x:c r="G10" s="23" t="n">
        <x:v>3400</x:v>
      </x:c>
      <x:c r="H10" s="23" t="n">
        <x:v>3400</x:v>
      </x:c>
      <x:c r="I10" s="20" t="inlineStr">
        <x:is>
          <x:t xml:space="preserve">2028-08-31</x:t>
        </x:is>
      </x:c>
    </x:row>
    <x:row r="11">
      <x:c r="B11" s="20" t="inlineStr">
        <x:is>
          <x:t xml:space="preserve">108</x:t>
        </x:is>
      </x:c>
      <x:c r="C11" s="21" t="inlineStr">
        <x:is>
          <x:t xml:space="preserve">Vacant</x:t>
        </x:is>
      </x:c>
      <x:c r="D11" s="22" t="n">
        <x:v>2800</x:v>
      </x:c>
      <x:c r="E11" s="20" t="inlineStr">
        <x:is>
          <x:t xml:space="preserve">Vacant</x:t>
        </x:is>
      </x:c>
      <x:c r="F11" s="23" t="n">
        <x:v>0</x:v>
      </x:c>
      <x:c r="G11" s="23" t="n">
        <x:v>0</x:v>
      </x:c>
      <x:c r="H11" s="23" t="n">
        <x:v>5200</x:v>
      </x:c>
      <x:c r="I11" s="20" t="n"/>
    </x:row>
    <x:row r="12">
      <x:c r="B12" s="24" t="inlineStr">
        <x:is>
          <x:t xml:space="preserve">TOTAL</x:t>
        </x:is>
      </x:c>
      <x:c r="C12" s="25" t="n"/>
      <x:c r="D12" s="26" t="n">
        <x:f>SUM(D4:D11)</x:f>
        <x:v>23000</x:v>
      </x:c>
      <x:c r="E12" s="25" t="n"/>
      <x:c r="F12" s="27" t="n">
        <x:f>SUM(F4:F11)</x:f>
        <x:v>48600</x:v>
      </x:c>
      <x:c r="G12" s="27" t="n">
        <x:f>SUM(G4:G11)</x:f>
        <x:v>49100</x:v>
      </x:c>
      <x:c r="H12" s="25" t="n"/>
      <x:c r="I12" s="25" t="n"/>
    </x:row>
    <x:row r="14">
      <x:c r="B14" s="10" t="inlineStr">
        <x:is>
          <x:t xml:space="preserve">Rent roll summary</x:t>
        </x:is>
      </x:c>
    </x:row>
    <x:row r="15">
      <x:c r="B15" t="inlineStr">
        <x:is>
          <x:t xml:space="preserve">Space count (units)</x:t>
        </x:is>
      </x:c>
      <x:c r="C15" s="26" t="n">
        <x:f>COUNTA(B4:B11)</x:f>
        <x:v>8</x:v>
      </x:c>
    </x:row>
    <x:row r="16">
      <x:c r="B16" t="inlineStr">
        <x:is>
          <x:t xml:space="preserve">Occupied count</x:t>
        </x:is>
      </x:c>
      <x:c r="C16" s="26" t="n">
        <x:f>COUNTIF(E4:E11,"Occupied")</x:f>
        <x:v>7</x:v>
      </x:c>
    </x:row>
    <x:row r="17">
      <x:c r="B17" t="inlineStr">
        <x:is>
          <x:t xml:space="preserve">Total rentable SF</x:t>
        </x:is>
      </x:c>
      <x:c r="C17" s="26" t="n">
        <x:f>SUM(D4:D11)</x:f>
        <x:v>23000</x:v>
      </x:c>
    </x:row>
    <x:row r="18">
      <x:c r="B18" t="inlineStr">
        <x:is>
          <x:t xml:space="preserve">Occupied SF</x:t>
        </x:is>
      </x:c>
      <x:c r="C18" s="26" t="n">
        <x:f>SUMIF(E4:E11,"Occupied",D4:D11)</x:f>
        <x:v>20200</x:v>
      </x:c>
    </x:row>
    <x:row r="19">
      <x:c r="B19" t="inlineStr">
        <x:is>
          <x:t xml:space="preserve">Occupancy by count %</x:t>
        </x:is>
      </x:c>
      <x:c r="C19" s="28" t="n">
        <x:f>COUNTIF(E4:E11,"Occupied")/COUNTA(B4:B11)</x:f>
        <x:v>0.875</x:v>
      </x:c>
    </x:row>
    <x:row r="20">
      <x:c r="B20" t="inlineStr">
        <x:is>
          <x:t xml:space="preserve">Occupancy by area %</x:t>
        </x:is>
      </x:c>
      <x:c r="C20" s="28" t="n">
        <x:f>SUMIF(E4:E11,"Occupied",D4:D11)/SUM(D4:D11)</x:f>
        <x:v>0.8782608695652174</x:v>
      </x:c>
    </x:row>
    <x:row r="21">
      <x:c r="B21" t="inlineStr">
        <x:is>
          <x:t xml:space="preserve">Rent roll monthly base (as printed)</x:t>
        </x:is>
      </x:c>
      <x:c r="C21" s="27" t="n">
        <x:f>SUM(F4:F11)</x:f>
        <x:v>48600</x:v>
      </x:c>
    </x:row>
    <x:row r="22">
      <x:c r="B22" t="inlineStr">
        <x:is>
          <x:t xml:space="preserve">Effective monthly base (post-amendment)</x:t>
        </x:is>
      </x:c>
      <x:c r="C22" s="27" t="n">
        <x:f>SUM(G4:G11)</x:f>
        <x:v>49100</x:v>
      </x:c>
    </x:row>
    <x:row r="23">
      <x:c r="B23" t="inlineStr">
        <x:is>
          <x:t xml:space="preserve">Effective annual base</x:t>
        </x:is>
      </x:c>
      <x:c r="C23" s="27" t="n">
        <x:f>SUM(G4:G11)*12</x:f>
        <x:v>589200</x:v>
      </x:c>
    </x:row>
    <x:row r="24">
      <x:c r="B24" s="29" t="inlineStr">
        <x:is>
          <x:t xml:space="preserve">* Effective Monthly for Unit 101 reflects executed First Amendment (8/1/2026: $7,500).</x:t>
        </x:is>
      </x:c>
    </x:row>
  </x:sheetData>
  <x:mergeCells>
    <x:mergeCell ref="B14:D14"/>
    <x:mergeCell ref="B1:D1"/>
    <x:mergeCell ref="B24:I24"/>
    <x:mergeCell ref="B14:I14"/>
    <x:mergeCell ref="B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2" customWidth="1"/>
    <x:col min="3" max="3" width="16" customWidth="1"/>
    <x:col min="4" max="4" width="55" customWidth="1"/>
  </x:cols>
  <x:sheetData>
    <x:row r="1">
      <x:c r="B1" s="9" t="inlineStr">
        <x:is>
          <x:t xml:space="preserve">TRAILING 12-MONTH ACTUALS — September 2025 through August 2026</x:t>
        </x:is>
      </x:c>
    </x:row>
    <x:row r="3">
      <x:c r="B3" s="10" t="inlineStr">
        <x:is>
          <x:t xml:space="preserve">Revenue</x:t>
        </x:is>
      </x:c>
    </x:row>
    <x:row r="4">
      <x:c r="B4" t="inlineStr">
        <x:is>
          <x:t xml:space="preserve">Gross potential base rent</x:t>
        </x:is>
      </x:c>
      <x:c r="C4" s="30" t="n">
        <x:v>645600</x:v>
      </x:c>
      <x:c r="D4" s="29" t="inlineStr">
        <x:is>
          <x:t xml:space="preserve">T12 statement, Annual column</x:t>
        </x:is>
      </x:c>
    </x:row>
    <x:row r="5">
      <x:c r="B5" t="inlineStr">
        <x:is>
          <x:t xml:space="preserve">Vacancy loss</x:t>
        </x:is>
      </x:c>
      <x:c r="C5" s="30" t="n">
        <x:v>-46800</x:v>
      </x:c>
      <x:c r="D5" s="29" t="inlineStr">
        <x:is>
          <x:t xml:space="preserve">T12 statement</x:t>
        </x:is>
      </x:c>
    </x:row>
    <x:row r="6">
      <x:c r="B6" t="inlineStr">
        <x:is>
          <x:t xml:space="preserve">Concessions</x:t>
        </x:is>
      </x:c>
      <x:c r="C6" s="30" t="n">
        <x:v>-14400</x:v>
      </x:c>
      <x:c r="D6" s="29" t="inlineStr">
        <x:is>
          <x:t xml:space="preserve">T12 statement</x:t>
        </x:is>
      </x:c>
    </x:row>
    <x:row r="7">
      <x:c r="B7" t="inlineStr">
        <x:is>
          <x:t xml:space="preserve">Bad debt</x:t>
        </x:is>
      </x:c>
      <x:c r="C7" s="30" t="n">
        <x:v>-3600</x:v>
      </x:c>
      <x:c r="D7" s="29" t="inlineStr">
        <x:is>
          <x:t xml:space="preserve">T12 statement</x:t>
        </x:is>
      </x:c>
    </x:row>
    <x:row r="8">
      <x:c r="B8" t="inlineStr">
        <x:is>
          <x:t xml:space="preserve">Other income / recoveries</x:t>
        </x:is>
      </x:c>
      <x:c r="C8" s="30" t="n">
        <x:v>142800</x:v>
      </x:c>
      <x:c r="D8" s="29" t="inlineStr">
        <x:is>
          <x:t xml:space="preserve">T12 statement</x:t>
        </x:is>
      </x:c>
    </x:row>
    <x:row r="9">
      <x:c r="B9" s="7" t="inlineStr">
        <x:is>
          <x:t xml:space="preserve">Effective Gross Income (EGI)</x:t>
        </x:is>
      </x:c>
      <x:c r="C9" s="26" t="n">
        <x:f>SUM(C4:C8)</x:f>
        <x:v>723600</x:v>
      </x:c>
    </x:row>
    <x:row r="11">
      <x:c r="B11" s="10" t="inlineStr">
        <x:is>
          <x:t xml:space="preserve">Operating expenses</x:t>
        </x:is>
      </x:c>
    </x:row>
    <x:row r="12">
      <x:c r="B12" t="inlineStr">
        <x:is>
          <x:t xml:space="preserve">Real estate taxes</x:t>
        </x:is>
      </x:c>
      <x:c r="C12" s="31" t="n">
        <x:v>86400</x:v>
      </x:c>
    </x:row>
    <x:row r="13">
      <x:c r="B13" t="inlineStr">
        <x:is>
          <x:t xml:space="preserve">Property insurance</x:t>
        </x:is>
      </x:c>
      <x:c r="C13" s="31" t="n">
        <x:v>25200</x:v>
      </x:c>
    </x:row>
    <x:row r="14">
      <x:c r="B14" t="inlineStr">
        <x:is>
          <x:t xml:space="preserve">Utilities</x:t>
        </x:is>
      </x:c>
      <x:c r="C14" s="31" t="n">
        <x:v>19200</x:v>
      </x:c>
    </x:row>
    <x:row r="15">
      <x:c r="B15" t="inlineStr">
        <x:is>
          <x:t xml:space="preserve">Repairs &amp; maintenance</x:t>
        </x:is>
      </x:c>
      <x:c r="C15" s="31" t="n">
        <x:v>28800</x:v>
      </x:c>
    </x:row>
    <x:row r="16">
      <x:c r="B16" t="inlineStr">
        <x:is>
          <x:t xml:space="preserve">Payroll / contract labor</x:t>
        </x:is>
      </x:c>
      <x:c r="C16" s="31" t="n">
        <x:v>18000</x:v>
      </x:c>
    </x:row>
    <x:row r="17">
      <x:c r="B17" t="inlineStr">
        <x:is>
          <x:t xml:space="preserve">Administrative / legal</x:t>
        </x:is>
      </x:c>
      <x:c r="C17" s="31" t="n">
        <x:v>14400</x:v>
      </x:c>
    </x:row>
    <x:row r="18">
      <x:c r="B18" t="inlineStr">
        <x:is>
          <x:t xml:space="preserve">Management fee</x:t>
        </x:is>
      </x:c>
      <x:c r="C18" s="31" t="n">
        <x:v>24000</x:v>
      </x:c>
    </x:row>
    <x:row r="19">
      <x:c r="B19" s="7" t="inlineStr">
        <x:is>
          <x:t xml:space="preserve">Total operating expenses</x:t>
        </x:is>
      </x:c>
      <x:c r="C19" s="26" t="n">
        <x:f>SUM(C12:C18)</x:f>
        <x:v>216000</x:v>
      </x:c>
    </x:row>
    <x:row r="21">
      <x:c r="B21" s="7" t="inlineStr">
        <x:is>
          <x:t xml:space="preserve">NOI before replacement reserves</x:t>
        </x:is>
      </x:c>
      <x:c r="C21" s="26" t="n">
        <x:f>C9-C19</x:f>
        <x:v>507600</x:v>
      </x:c>
    </x:row>
    <x:row r="22">
      <x:c r="B22" t="inlineStr">
        <x:is>
          <x:t xml:space="preserve">Replacement reserves</x:t>
        </x:is>
      </x:c>
      <x:c r="C22" s="31" t="n">
        <x:v>9200</x:v>
      </x:c>
    </x:row>
    <x:row r="23">
      <x:c r="B23" s="7" t="inlineStr">
        <x:is>
          <x:t xml:space="preserve">NCF after reserves</x:t>
        </x:is>
      </x:c>
      <x:c r="C23" s="26" t="n">
        <x:f>C21-C22</x:f>
        <x:v>498400</x:v>
      </x:c>
    </x:row>
    <x:row r="25">
      <x:c r="B25" s="10" t="inlineStr">
        <x:is>
          <x:t xml:space="preserve">Memo — below NOI/NCF (not opex)</x:t>
        </x:is>
      </x:c>
    </x:row>
    <x:row r="26">
      <x:c r="B26" t="inlineStr">
        <x:is>
          <x:t xml:space="preserve">Capital improvements</x:t>
        </x:is>
      </x:c>
      <x:c r="C26" s="31" t="n">
        <x:v>98000</x:v>
      </x:c>
    </x:row>
    <x:row r="27">
      <x:c r="B27" t="inlineStr">
        <x:is>
          <x:t xml:space="preserve">Loan P&amp;I (existing)</x:t>
        </x:is>
      </x:c>
      <x:c r="C27" s="31" t="n">
        <x:v>294000</x:v>
      </x:c>
    </x:row>
    <x:row r="28">
      <x:c r="B28" t="inlineStr">
        <x:is>
          <x:t xml:space="preserve">Depreciation (noncash)</x:t>
        </x:is>
      </x:c>
      <x:c r="C28" s="31" t="n">
        <x:v>180000</x:v>
      </x:c>
    </x:row>
  </x:sheetData>
  <x:mergeCells>
    <x:mergeCell ref="B11:D11"/>
    <x:mergeCell ref="B25:D25"/>
    <x:mergeCell ref="B1:D1"/>
    <x:mergeCell ref="B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2" customWidth="1"/>
    <x:col min="3" max="3" width="16" customWidth="1"/>
    <x:col min="4" max="4" width="60" customWidth="1"/>
  </x:cols>
  <x:sheetData>
    <x:row r="1">
      <x:c r="B1" s="9" t="inlineStr">
        <x:is>
          <x:t xml:space="preserve">UNDERWRITING — Sept 2026 forward (live formulas from Assumptions)</x:t>
        </x:is>
      </x:c>
    </x:row>
    <x:row r="3">
      <x:c r="B3" s="10" t="inlineStr">
        <x:is>
          <x:t xml:space="preserve">Revenue</x:t>
        </x:is>
      </x:c>
    </x:row>
    <x:row r="4">
      <x:c r="B4" t="inlineStr">
        <x:is>
          <x:t xml:space="preserve">Gross potential base rent</x:t>
        </x:is>
      </x:c>
      <x:c r="C4" s="31" t="n">
        <x:f>Assumptions!C10</x:f>
        <x:v>657600</x:v>
      </x:c>
    </x:row>
    <x:row r="5">
      <x:c r="B5" t="inlineStr">
        <x:is>
          <x:t xml:space="preserve">Less: combined revenue loss (vacancy/conc/bad debt)</x:t>
        </x:is>
      </x:c>
      <x:c r="C5" s="30" t="n">
        <x:f>-Assumptions!C10*Assumptions!C11</x:f>
        <x:v>-39456</x:v>
      </x:c>
    </x:row>
    <x:row r="6">
      <x:c r="B6" t="inlineStr">
        <x:is>
          <x:t xml:space="preserve">Effective gross rent</x:t>
        </x:is>
      </x:c>
      <x:c r="C6" s="32" t="n">
        <x:f>SUM(C4:C5)</x:f>
        <x:v>618144</x:v>
      </x:c>
    </x:row>
    <x:row r="7">
      <x:c r="B7" t="inlineStr">
        <x:is>
          <x:t xml:space="preserve">Other income / recoveries</x:t>
        </x:is>
      </x:c>
      <x:c r="C7" s="31" t="n">
        <x:f>Assumptions!C12</x:f>
        <x:v>150000</x:v>
      </x:c>
    </x:row>
    <x:row r="8">
      <x:c r="B8" s="7" t="inlineStr">
        <x:is>
          <x:t xml:space="preserve">Effective Gross Income (EGI)</x:t>
        </x:is>
      </x:c>
      <x:c r="C8" s="26" t="n">
        <x:f>C6+C7</x:f>
        <x:v>768144</x:v>
      </x:c>
    </x:row>
    <x:row r="10">
      <x:c r="B10" s="10" t="inlineStr">
        <x:is>
          <x:t xml:space="preserve">Operating expenses</x:t>
        </x:is>
      </x:c>
    </x:row>
    <x:row r="11">
      <x:c r="B11" t="inlineStr">
        <x:is>
          <x:t xml:space="preserve">Real estate taxes</x:t>
        </x:is>
      </x:c>
      <x:c r="C11" s="31" t="n">
        <x:f>Assumptions!C14</x:f>
        <x:v>90000</x:v>
      </x:c>
    </x:row>
    <x:row r="12">
      <x:c r="B12" t="inlineStr">
        <x:is>
          <x:t xml:space="preserve">Property insurance (renewal quote)</x:t>
        </x:is>
      </x:c>
      <x:c r="C12" s="31" t="n">
        <x:f>Assumptions!C15</x:f>
        <x:v>27600</x:v>
      </x:c>
    </x:row>
    <x:row r="13">
      <x:c r="B13" t="inlineStr">
        <x:is>
          <x:t xml:space="preserve">Utilities</x:t>
        </x:is>
      </x:c>
      <x:c r="C13" s="31" t="n">
        <x:f>Assumptions!C16</x:f>
        <x:v>19200</x:v>
      </x:c>
    </x:row>
    <x:row r="14">
      <x:c r="B14" t="inlineStr">
        <x:is>
          <x:t xml:space="preserve">Repairs &amp; maintenance (normalized)</x:t>
        </x:is>
      </x:c>
      <x:c r="C14" s="31" t="n">
        <x:f>Assumptions!C17</x:f>
        <x:v>24000</x:v>
      </x:c>
    </x:row>
    <x:row r="15">
      <x:c r="B15" t="inlineStr">
        <x:is>
          <x:t xml:space="preserve">Payroll / contract labor</x:t>
        </x:is>
      </x:c>
      <x:c r="C15" s="31" t="n">
        <x:f>Assumptions!C18</x:f>
        <x:v>18000</x:v>
      </x:c>
    </x:row>
    <x:row r="16">
      <x:c r="B16" t="inlineStr">
        <x:is>
          <x:t xml:space="preserve">Administrative / legal</x:t>
        </x:is>
      </x:c>
      <x:c r="C16" s="31" t="n">
        <x:f>Assumptions!C19</x:f>
        <x:v>14400</x:v>
      </x:c>
    </x:row>
    <x:row r="17">
      <x:c r="B17" t="inlineStr">
        <x:is>
          <x:t xml:space="preserve">Management fee (max of T12 &amp; 4% EGI)</x:t>
        </x:is>
      </x:c>
      <x:c r="C17" s="31" t="n">
        <x:f>MAX(Assumptions!C20,Assumptions!C21*C8)</x:f>
        <x:v>30725.760000000002</x:v>
      </x:c>
    </x:row>
    <x:row r="18">
      <x:c r="B18" s="7" t="inlineStr">
        <x:is>
          <x:t xml:space="preserve">Total operating expenses</x:t>
        </x:is>
      </x:c>
      <x:c r="C18" s="26" t="n">
        <x:f>SUM(C11:C17)</x:f>
        <x:v>223925.76</x:v>
      </x:c>
    </x:row>
    <x:row r="20">
      <x:c r="B20" s="7" t="inlineStr">
        <x:is>
          <x:t xml:space="preserve">NOI before replacement reserves</x:t>
        </x:is>
      </x:c>
      <x:c r="C20" s="26" t="n">
        <x:f>C8-C18</x:f>
        <x:v>544218.24</x:v>
      </x:c>
    </x:row>
    <x:row r="21">
      <x:c r="B21" t="inlineStr">
        <x:is>
          <x:t xml:space="preserve">Replacement reserves ($/SF × total SF)</x:t>
        </x:is>
      </x:c>
      <x:c r="C21" s="31" t="n">
        <x:f>Assumptions!C23*Assumptions!C4</x:f>
        <x:v>4600</x:v>
      </x:c>
    </x:row>
    <x:row r="22">
      <x:c r="B22" s="7" t="inlineStr">
        <x:is>
          <x:t xml:space="preserve">NCF after reserves</x:t>
        </x:is>
      </x:c>
      <x:c r="C22" s="26" t="n">
        <x:f>C20-C21</x:f>
        <x:v>539618.24</x:v>
      </x:c>
    </x:row>
  </x:sheetData>
  <x:mergeCells>
    <x:mergeCell ref="B10:D10"/>
    <x:mergeCell ref="B1:D1"/>
    <x:mergeCell ref="B3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5" customWidth="1"/>
  </x:cols>
  <x:sheetData>
    <x:row r="1">
      <x:c r="B1" s="9" t="inlineStr">
        <x:is>
          <x:t xml:space="preserve">LOAN SIZING — LTV / DSCR / Debt Yield (live formulas)</x:t>
        </x:is>
      </x:c>
    </x:row>
    <x:row r="3">
      <x:c r="B3" s="10" t="inlineStr">
        <x:is>
          <x:t xml:space="preserve">Rates &amp; valuation</x:t>
        </x:is>
      </x:c>
    </x:row>
    <x:row r="4">
      <x:c r="B4" t="inlineStr">
        <x:is>
          <x:t xml:space="preserve">Contract rate</x:t>
        </x:is>
      </x:c>
      <x:c r="C4" s="33" t="n">
        <x:f>Assumptions!C25</x:f>
        <x:v>0.0625</x:v>
      </x:c>
    </x:row>
    <x:row r="5">
      <x:c r="B5" t="inlineStr">
        <x:is>
          <x:t xml:space="preserve">Sizing rate (greater of contract &amp; floor)</x:t>
        </x:is>
      </x:c>
      <x:c r="C5" s="18" t="n">
        <x:f>MAX(Assumptions!C25,Assumptions!C26)</x:f>
        <x:v>0.065</x:v>
      </x:c>
    </x:row>
    <x:row r="6">
      <x:c r="B6" t="inlineStr">
        <x:is>
          <x:t xml:space="preserve">Cap rate</x:t>
        </x:is>
      </x:c>
      <x:c r="C6" s="34" t="n">
        <x:f>Assumptions!C7</x:f>
        <x:v>0.07</x:v>
      </x:c>
    </x:row>
    <x:row r="7">
      <x:c r="B7" s="7" t="inlineStr">
        <x:is>
          <x:t xml:space="preserve">Indicative value = UW NOI (before reserves) / cap rate</x:t>
        </x:is>
      </x:c>
      <x:c r="C7" s="27" t="n">
        <x:f>Underwriting!C20/C6</x:f>
        <x:v>7774546.2857142845</x:v>
      </x:c>
    </x:row>
    <x:row r="9">
      <x:c r="B9" s="10" t="inlineStr">
        <x:is>
          <x:t xml:space="preserve">Debt constants</x:t>
        </x:is>
      </x:c>
    </x:row>
    <x:row r="10">
      <x:c r="B10" t="inlineStr">
        <x:is>
          <x:t xml:space="preserve">Amortization (months)</x:t>
        </x:is>
      </x:c>
      <x:c r="C10" s="35" t="n">
        <x:f>Assumptions!C28*12</x:f>
        <x:v>300</x:v>
      </x:c>
    </x:row>
    <x:row r="11">
      <x:c r="B11" t="inlineStr">
        <x:is>
          <x:t xml:space="preserve">Monthly PMT per $1 principal at sizing rate</x:t>
        </x:is>
      </x:c>
      <x:c r="C11" s="36" t="n">
        <x:f>(C5/12)/(1-(1+C5/12)^-C10)</x:f>
        <x:v>0.0067520716134764165</x:v>
      </x:c>
    </x:row>
    <x:row r="12">
      <x:c r="B12" s="7" t="inlineStr">
        <x:is>
          <x:t xml:space="preserve">Annual debt constant at sizing rate</x:t>
        </x:is>
      </x:c>
      <x:c r="C12" s="37" t="n">
        <x:f>C11*12</x:f>
        <x:v>0.081024859361717</x:v>
      </x:c>
    </x:row>
    <x:row r="13">
      <x:c r="B13" t="inlineStr">
        <x:is>
          <x:t xml:space="preserve">Annual debt constant at contract rate</x:t>
        </x:is>
      </x:c>
      <x:c r="C13" s="36" t="n">
        <x:f>((C4/12)/(1-(1+C4/12)^-C10))*12</x:f>
        <x:v>0.07916032539780565</x:v>
      </x:c>
    </x:row>
    <x:row r="15">
      <x:c r="B15" s="10" t="inlineStr">
        <x:is>
          <x:t xml:space="preserve">Constraint maxima</x:t>
        </x:is>
      </x:c>
    </x:row>
    <x:row r="16">
      <x:c r="B16" t="inlineStr">
        <x:is>
          <x:t xml:space="preserve">Max under LTV = value × max LTV</x:t>
        </x:is>
      </x:c>
      <x:c r="C16" s="38" t="n">
        <x:f>C7*Assumptions!C33</x:f>
        <x:v>5053455.085714285</x:v>
      </x:c>
    </x:row>
    <x:row r="17">
      <x:c r="B17" t="inlineStr">
        <x:is>
          <x:t xml:space="preserve">Max under DSCR = NCF / (min DSCR × ADC sizing)</x:t>
        </x:is>
      </x:c>
      <x:c r="C17" s="38" t="n">
        <x:f>Underwriting!C22/(Assumptions!C34*C12)</x:f>
        <x:v>5327927.692818299</x:v>
      </x:c>
    </x:row>
    <x:row r="18">
      <x:c r="B18" t="inlineStr">
        <x:is>
          <x:t xml:space="preserve">Max under Debt Yield = NOI / min DY</x:t>
        </x:is>
      </x:c>
      <x:c r="C18" s="38" t="n">
        <x:f>Underwriting!C20/Assumptions!C35</x:f>
        <x:v>6046869.333333333</x:v>
      </x:c>
    </x:row>
    <x:row r="19">
      <x:c r="B19" s="7" t="inlineStr">
        <x:is>
          <x:t xml:space="preserve">MAXIMUM LOAN (min of three)</x:t>
        </x:is>
      </x:c>
      <x:c r="C19" s="27" t="n">
        <x:f>MIN(C16:C18)</x:f>
        <x:v>5053455.085714285</x:v>
      </x:c>
    </x:row>
    <x:row r="20">
      <x:c r="B20" s="7" t="inlineStr">
        <x:is>
          <x:t xml:space="preserve">Binding constraint</x:t>
        </x:is>
      </x:c>
      <x:c r="C20" s="39" t="str">
        <x:f>IF(C19=C16,"LTV",IF(C19=C17,"DSCR","Debt yield"))</x:f>
        <x:v>LTV</x:v>
      </x:c>
    </x:row>
    <x:row r="22">
      <x:c r="B22" s="10" t="inlineStr">
        <x:is>
          <x:t xml:space="preserve">Debt-service checks</x:t>
        </x:is>
      </x:c>
    </x:row>
    <x:row r="23">
      <x:c r="B23" t="inlineStr">
        <x:is>
          <x:t xml:space="preserve">Sizing annual debt service (at sizing rate)</x:t>
        </x:is>
      </x:c>
      <x:c r="C23" s="40" t="n">
        <x:f>C19*C12</x:f>
        <x:v>409455.48761075345</x:v>
      </x:c>
    </x:row>
    <x:row r="24">
      <x:c r="B24" t="inlineStr">
        <x:is>
          <x:t xml:space="preserve">Sizing DSCR (NCF / sizing DS)</x:t>
        </x:is>
      </x:c>
      <x:c r="C24" s="41" t="n">
        <x:f>Underwriting!C22/C23</x:f>
        <x:v>1.3178923138843972</x:v>
      </x:c>
    </x:row>
    <x:row r="25">
      <x:c r="B25" t="inlineStr">
        <x:is>
          <x:t xml:space="preserve">Sizing debt yield (NOI / loan)</x:t>
        </x:is>
      </x:c>
      <x:c r="C25" s="42" t="n">
        <x:f>Underwriting!C20/C19</x:f>
        <x:v>0.1076923076923077</x:v>
      </x:c>
    </x:row>
    <x:row r="26">
      <x:c r="B26" t="inlineStr">
        <x:is>
          <x:t xml:space="preserve">First-year contractual debt service (at contract rate, IO = 0)</x:t>
        </x:is>
      </x:c>
      <x:c r="C26" s="40" t="n">
        <x:f>C19*C13</x:f>
        <x:v>400033.1489683387</x:v>
      </x:c>
    </x:row>
    <x:row r="27">
      <x:c r="B27" t="inlineStr">
        <x:is>
          <x:t xml:space="preserve">First-year contractual DSCR (NCF / first-year DS)</x:t>
        </x:is>
      </x:c>
      <x:c r="C27" s="43" t="n">
        <x:f>Underwriting!C22/C26</x:f>
        <x:v>1.3489338105895545</x:v>
      </x:c>
    </x:row>
    <x:row r="29">
      <x:c r="B29" s="10" t="inlineStr">
        <x:is>
          <x:t xml:space="preserve">Sources &amp; Uses</x:t>
        </x:is>
      </x:c>
    </x:row>
    <x:row r="30">
      <x:c r="B30" t="inlineStr">
        <x:is>
          <x:t xml:space="preserve">Loan proceeds (max loan)</x:t>
        </x:is>
      </x:c>
      <x:c r="C30" s="38" t="n">
        <x:f>C19</x:f>
        <x:v>5053455.085714285</x:v>
      </x:c>
    </x:row>
    <x:row r="31">
      <x:c r="B31" t="inlineStr">
        <x:is>
          <x:t xml:space="preserve">Less: existing debt payoff</x:t>
        </x:is>
      </x:c>
      <x:c r="C31" s="44" t="n">
        <x:f>-Assumptions!C38</x:f>
        <x:v>-3400000</x:v>
      </x:c>
    </x:row>
    <x:row r="32">
      <x:c r="B32" t="inlineStr">
        <x:is>
          <x:t xml:space="preserve">Less: origination fee (% of loan)</x:t>
        </x:is>
      </x:c>
      <x:c r="C32" s="44" t="n">
        <x:f>-C19*Assumptions!C31</x:f>
        <x:v>-50534.55085714285</x:v>
      </x:c>
    </x:row>
    <x:row r="33">
      <x:c r="B33" t="inlineStr">
        <x:is>
          <x:t xml:space="preserve">Less: fixed closing costs</x:t>
        </x:is>
      </x:c>
      <x:c r="C33" s="44" t="n">
        <x:f>-Assumptions!C39</x:f>
        <x:v>-48000</x:v>
      </x:c>
    </x:row>
    <x:row r="34">
      <x:c r="B34" s="7" t="inlineStr">
        <x:is>
          <x:t xml:space="preserve">Cash to / (from) borrower</x:t>
        </x:is>
      </x:c>
      <x:c r="C34" s="45" t="n">
        <x:f>SUM(C30:C33)</x:f>
        <x:v>1554920.5348571425</x:v>
      </x:c>
    </x:row>
  </x:sheetData>
  <x:mergeCells>
    <x:mergeCell ref="B3:D3"/>
    <x:mergeCell ref="B29:D29"/>
    <x:mergeCell ref="B1:D1"/>
    <x:mergeCell ref="B22:D22"/>
    <x:mergeCell ref="B9:D9"/>
    <x:mergeCell ref="B15:D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6" customWidth="1"/>
    <x:col min="3" max="3" width="18" customWidth="1"/>
    <x:col min="4" max="4" width="18" customWidth="1"/>
    <x:col min="5" max="5" width="18" customWidth="1"/>
  </x:cols>
  <x:sheetData>
    <x:row r="1">
      <x:c r="B1" s="9" t="inlineStr">
        <x:is>
          <x:t xml:space="preserve">SENSITIVITY — Combined downside &amp; cap-rate stress</x:t>
        </x:is>
      </x:c>
    </x:row>
    <x:row r="3">
      <x:c r="C3" s="19" t="inlineStr">
        <x:is>
          <x:t xml:space="preserve">Base Case</x:t>
        </x:is>
      </x:c>
      <x:c r="D3" s="19" t="inlineStr">
        <x:is>
          <x:t xml:space="preserve">EGI -5%  (mgmt recalc)</x:t>
        </x:is>
      </x:c>
      <x:c r="E3" s="19" t="inlineStr">
        <x:is>
          <x:t xml:space="preserve">Combined (EGI-5% + rate+100bps)</x:t>
        </x:is>
      </x:c>
    </x:row>
    <x:row r="4">
      <x:c r="B4" t="inlineStr">
        <x:is>
          <x:t xml:space="preserve">EGI</x:t>
        </x:is>
      </x:c>
      <x:c r="C4" s="32" t="n">
        <x:f>Underwriting!C8</x:f>
        <x:v>768144</x:v>
      </x:c>
      <x:c r="D4" s="32" t="n">
        <x:f>C4*(1+Assumptions!C36)</x:f>
        <x:v>729736.7999999999</x:v>
      </x:c>
      <x:c r="E4" s="32" t="n">
        <x:f>C4*(1+Assumptions!C36)</x:f>
        <x:v>729736.7999999999</x:v>
      </x:c>
    </x:row>
    <x:row r="5">
      <x:c r="B5" t="inlineStr">
        <x:is>
          <x:t xml:space="preserve">Management fee (max of T12 &amp; 4% EGI)</x:t>
        </x:is>
      </x:c>
      <x:c r="C5" s="31" t="n">
        <x:f>MAX(Assumptions!C20,Assumptions!C21*C4)</x:f>
        <x:v>30725.760000000002</x:v>
      </x:c>
      <x:c r="D5" s="31" t="n">
        <x:f>MAX(Assumptions!C20,Assumptions!C21*D4)</x:f>
        <x:v>29189.471999999998</x:v>
      </x:c>
      <x:c r="E5" s="31" t="n">
        <x:f>MAX(Assumptions!C20,Assumptions!C21*E4)</x:f>
        <x:v>29189.471999999998</x:v>
      </x:c>
    </x:row>
    <x:row r="6">
      <x:c r="B6" t="inlineStr">
        <x:is>
          <x:t xml:space="preserve">All other operating expenses (unchanged)</x:t>
        </x:is>
      </x:c>
      <x:c r="C6" s="31" t="n">
        <x:f>Assumptions!C14+Assumptions!C15+Assumptions!C16+Assumptions!C17+Assumptions!C18+Assumptions!C19</x:f>
        <x:v>193200</x:v>
      </x:c>
      <x:c r="D6" s="31" t="n">
        <x:f>Assumptions!C14+Assumptions!C15+Assumptions!C16+Assumptions!C17+Assumptions!C18+Assumptions!C19</x:f>
        <x:v>193200</x:v>
      </x:c>
      <x:c r="E6" s="31" t="n">
        <x:f>Assumptions!C14+Assumptions!C15+Assumptions!C16+Assumptions!C17+Assumptions!C18+Assumptions!C19</x:f>
        <x:v>193200</x:v>
      </x:c>
    </x:row>
    <x:row r="7">
      <x:c r="B7" s="7" t="inlineStr">
        <x:is>
          <x:t xml:space="preserve">Total operating expenses</x:t>
        </x:is>
      </x:c>
      <x:c r="C7" s="26" t="n">
        <x:f>C5+C6</x:f>
        <x:v>223925.76</x:v>
      </x:c>
      <x:c r="D7" s="26" t="n">
        <x:f>D5+D6</x:f>
        <x:v>222389.472</x:v>
      </x:c>
      <x:c r="E7" s="26" t="n">
        <x:f>E5+E6</x:f>
        <x:v>222389.472</x:v>
      </x:c>
    </x:row>
    <x:row r="8">
      <x:c r="B8" s="7" t="inlineStr">
        <x:is>
          <x:t xml:space="preserve">NOI before reserves</x:t>
        </x:is>
      </x:c>
      <x:c r="C8" s="26" t="n">
        <x:f>C4-C7</x:f>
        <x:v>544218.24</x:v>
      </x:c>
      <x:c r="D8" s="26" t="n">
        <x:f>D4-D7</x:f>
        <x:v>507347.3279999999</x:v>
      </x:c>
      <x:c r="E8" s="26" t="n">
        <x:f>E4-E7</x:f>
        <x:v>507347.3279999999</x:v>
      </x:c>
    </x:row>
    <x:row r="9">
      <x:c r="B9" t="inlineStr">
        <x:is>
          <x:t xml:space="preserve">Replacement reserves</x:t>
        </x:is>
      </x:c>
      <x:c r="C9" s="31" t="n">
        <x:f>Assumptions!C23*Assumptions!C4</x:f>
        <x:v>4600</x:v>
      </x:c>
      <x:c r="D9" s="31" t="n">
        <x:f>Assumptions!C23*Assumptions!C4</x:f>
        <x:v>4600</x:v>
      </x:c>
      <x:c r="E9" s="31" t="n">
        <x:f>Assumptions!C23*Assumptions!C4</x:f>
        <x:v>4600</x:v>
      </x:c>
    </x:row>
    <x:row r="10">
      <x:c r="B10" s="7" t="inlineStr">
        <x:is>
          <x:t xml:space="preserve">NCF after reserves</x:t>
        </x:is>
      </x:c>
      <x:c r="C10" s="26" t="n">
        <x:f>C8-C9</x:f>
        <x:v>539618.24</x:v>
      </x:c>
      <x:c r="D10" s="26" t="n">
        <x:f>D8-D9</x:f>
        <x:v>502747.3279999999</x:v>
      </x:c>
      <x:c r="E10" s="26" t="n">
        <x:f>E8-E9</x:f>
        <x:v>502747.3279999999</x:v>
      </x:c>
    </x:row>
    <x:row r="12">
      <x:c r="B12" t="inlineStr">
        <x:is>
          <x:t xml:space="preserve">Sizing rate</x:t>
        </x:is>
      </x:c>
      <x:c r="C12" s="33" t="n">
        <x:f>MAX(Assumptions!C25,Assumptions!C26)</x:f>
        <x:v>0.065</x:v>
      </x:c>
      <x:c r="D12" s="33" t="n">
        <x:f>MAX(Assumptions!C25,Assumptions!C26)</x:f>
        <x:v>0.065</x:v>
      </x:c>
      <x:c r="E12" s="46" t="n">
        <x:f>MAX(Assumptions!C25,Assumptions!C26)+Assumptions!C27</x:f>
        <x:v>0.075</x:v>
      </x:c>
    </x:row>
    <x:row r="13">
      <x:c r="B13" t="inlineStr">
        <x:is>
          <x:t xml:space="preserve">Annual debt constant</x:t>
        </x:is>
      </x:c>
      <x:c r="C13" s="36" t="n">
        <x:f>((C12/12)/(1-(1+C12/12)^-(Assumptions!C28*12)))*12</x:f>
        <x:v>0.081024859361717</x:v>
      </x:c>
      <x:c r="D13" s="36" t="n">
        <x:f>((D12/12)/(1-(1+D12/12)^-(Assumptions!C28*12)))*12</x:f>
        <x:v>0.081024859361717</x:v>
      </x:c>
      <x:c r="E13" s="36" t="n">
        <x:f>((E12/12)/(1-(1+E12/12)^-(Assumptions!C28*12)))*12</x:f>
        <x:v>0.08867894133569469</x:v>
      </x:c>
    </x:row>
    <x:row r="14">
      <x:c r="B14" t="inlineStr">
        <x:is>
          <x:t xml:space="preserve">Cap rate (unchanged in combined downside)</x:t>
        </x:is>
      </x:c>
      <x:c r="C14" s="34" t="n">
        <x:f>Assumptions!C7</x:f>
        <x:v>0.07</x:v>
      </x:c>
      <x:c r="D14" s="34" t="n">
        <x:f>Assumptions!C7</x:f>
        <x:v>0.07</x:v>
      </x:c>
      <x:c r="E14" s="34" t="n">
        <x:f>Assumptions!C7</x:f>
        <x:v>0.07</x:v>
      </x:c>
    </x:row>
    <x:row r="15">
      <x:c r="B15" t="inlineStr">
        <x:is>
          <x:t xml:space="preserve">Indicative value</x:t>
        </x:is>
      </x:c>
      <x:c r="C15" s="38" t="n">
        <x:f>C8/C14</x:f>
        <x:v>7774546.2857142845</x:v>
      </x:c>
      <x:c r="D15" s="38" t="n">
        <x:f>D8/D14</x:f>
        <x:v>7247818.971428569</x:v>
      </x:c>
      <x:c r="E15" s="38" t="n">
        <x:f>E8/E14</x:f>
        <x:v>7247818.971428569</x:v>
      </x:c>
    </x:row>
    <x:row r="16">
      <x:c r="B16" t="inlineStr">
        <x:is>
          <x:t xml:space="preserve">Max under LTV</x:t>
        </x:is>
      </x:c>
      <x:c r="C16" s="38" t="n">
        <x:f>C15*Assumptions!C33</x:f>
        <x:v>5053455.085714285</x:v>
      </x:c>
      <x:c r="D16" s="38" t="n">
        <x:f>D15*Assumptions!C33</x:f>
        <x:v>4711082.331428571</x:v>
      </x:c>
      <x:c r="E16" s="38" t="n">
        <x:f>E15*Assumptions!C33</x:f>
        <x:v>4711082.331428571</x:v>
      </x:c>
    </x:row>
    <x:row r="17">
      <x:c r="B17" t="inlineStr">
        <x:is>
          <x:t xml:space="preserve">Max under DSCR</x:t>
        </x:is>
      </x:c>
      <x:c r="C17" s="38" t="n">
        <x:f>C10/(Assumptions!C34*C13)</x:f>
        <x:v>5327927.692818299</x:v>
      </x:c>
      <x:c r="D17" s="38" t="n">
        <x:f>D10/(Assumptions!C34*D13)</x:f>
        <x:v>4963882.264879713</x:v>
      </x:c>
      <x:c r="E17" s="38" t="n">
        <x:f>E10/(Assumptions!C34*E13)</x:f>
        <x:v>4535438.248833817</x:v>
      </x:c>
    </x:row>
    <x:row r="18">
      <x:c r="B18" t="inlineStr">
        <x:is>
          <x:t xml:space="preserve">Max under Debt Yield</x:t>
        </x:is>
      </x:c>
      <x:c r="C18" s="38" t="n">
        <x:f>C8/Assumptions!C35</x:f>
        <x:v>6046869.333333333</x:v>
      </x:c>
      <x:c r="D18" s="38" t="n">
        <x:f>D8/Assumptions!C35</x:f>
        <x:v>5637192.533333332</x:v>
      </x:c>
      <x:c r="E18" s="38" t="n">
        <x:f>E8/Assumptions!C35</x:f>
        <x:v>5637192.533333332</x:v>
      </x:c>
    </x:row>
    <x:row r="19">
      <x:c r="B19" s="7" t="inlineStr">
        <x:is>
          <x:t xml:space="preserve">MAXIMUM LOAN</x:t>
        </x:is>
      </x:c>
      <x:c r="C19" s="27" t="n">
        <x:f>MIN(C16,C17,C18)</x:f>
        <x:v>5053455.085714285</x:v>
      </x:c>
      <x:c r="D19" s="27" t="n">
        <x:f>MIN(D16,D17,D18)</x:f>
        <x:v>4711082.331428571</x:v>
      </x:c>
      <x:c r="E19" s="27" t="n">
        <x:f>MIN(E16,E17,E18)</x:f>
        <x:v>4535438.248833817</x:v>
      </x:c>
    </x:row>
    <x:row r="20">
      <x:c r="B20" s="7" t="inlineStr">
        <x:is>
          <x:t xml:space="preserve">Binding constraint</x:t>
        </x:is>
      </x:c>
      <x:c r="C20" s="39" t="str">
        <x:f>IF(C19=C16,"LTV",IF(C19=C17,"DSCR","Debt yield"))</x:f>
        <x:v>LTV</x:v>
      </x:c>
      <x:c r="D20" s="39" t="str">
        <x:f>IF(D19=D16,"LTV",IF(D19=D17,"DSCR","Debt yield"))</x:f>
        <x:v>LTV</x:v>
      </x:c>
      <x:c r="E20" s="39" t="str">
        <x:f>IF(E19=E16,"LTV",IF(E19=E17,"DSCR","Debt yield"))</x:f>
        <x:v>DSCR</x:v>
      </x:c>
    </x:row>
    <x:row r="22">
      <x:c r="B22" s="10" t="inlineStr">
        <x:is>
          <x:t xml:space="preserve">Separate case — cap rate +50 bps (all other assumptions unchanged)</x:t>
        </x:is>
      </x:c>
    </x:row>
    <x:row r="23">
      <x:c r="B23" t="inlineStr">
        <x:is>
          <x:t xml:space="preserve">Stressed cap rate</x:t>
        </x:is>
      </x:c>
      <x:c r="C23" s="42" t="n">
        <x:f>Assumptions!C7+Assumptions!C8</x:f>
        <x:v>0.07500000000000001</x:v>
      </x:c>
    </x:row>
    <x:row r="24">
      <x:c r="B24" t="inlineStr">
        <x:is>
          <x:t xml:space="preserve">Indicative value (stressed cap)</x:t>
        </x:is>
      </x:c>
      <x:c r="C24" s="40" t="n">
        <x:f>Underwriting!C20/C23</x:f>
        <x:v>7256243.199999999</x:v>
      </x:c>
    </x:row>
    <x:row r="25">
      <x:c r="B25" t="inlineStr">
        <x:is>
          <x:t xml:space="preserve">Max under LTV (stressed cap)</x:t>
        </x:is>
      </x:c>
      <x:c r="C25" s="38" t="n">
        <x:f>C24*Assumptions!C33</x:f>
        <x:v>4716558.08</x:v>
      </x:c>
    </x:row>
    <x:row r="26">
      <x:c r="B26" t="inlineStr">
        <x:is>
          <x:t xml:space="preserve">Max under DSCR (base rate)</x:t>
        </x:is>
      </x:c>
      <x:c r="C26" s="38" t="n">
        <x:f>Underwriting!C22/(Assumptions!C34*'Loan Sizing'!C12)</x:f>
        <x:v>5327927.692818299</x:v>
      </x:c>
    </x:row>
    <x:row r="27">
      <x:c r="B27" t="inlineStr">
        <x:is>
          <x:t xml:space="preserve">Max under Debt Yield (base)</x:t>
        </x:is>
      </x:c>
      <x:c r="C27" s="38" t="n">
        <x:f>Underwriting!C20/Assumptions!C35</x:f>
        <x:v>6046869.333333333</x:v>
      </x:c>
    </x:row>
    <x:row r="28">
      <x:c r="B28" s="7" t="inlineStr">
        <x:is>
          <x:t xml:space="preserve">MAXIMUM LOAN (cap +50 bps)</x:t>
        </x:is>
      </x:c>
      <x:c r="C28" s="27" t="n">
        <x:f>MIN(C25,C26,C27)</x:f>
        <x:v>4716558.08</x:v>
      </x:c>
    </x:row>
    <x:row r="29">
      <x:c r="B29" s="7" t="inlineStr">
        <x:is>
          <x:t xml:space="preserve">Binding constraint</x:t>
        </x:is>
      </x:c>
      <x:c r="C29" s="39" t="str">
        <x:f>IF(C28=C25,"LTV",IF(C28=C26,"DSCR","Debt yield"))</x:f>
        <x:v>LTV</x:v>
      </x:c>
    </x:row>
  </x:sheetData>
  <x:mergeCells>
    <x:mergeCell ref="B22:E22"/>
    <x:mergeCell ref="B1:D1"/>
    <x:mergeCell ref="B1:E1"/>
    <x:mergeCell ref="B22:D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32" customWidth="1"/>
    <x:col min="3" max="3" width="22" customWidth="1"/>
    <x:col min="4" max="4" width="55" customWidth="1"/>
  </x:cols>
  <x:sheetData>
    <x:row r="1">
      <x:c r="B1" s="9" t="inlineStr">
        <x:is>
          <x:t xml:space="preserve">REQUESTED REPORTING FIELDS</x:t>
        </x:is>
      </x:c>
    </x:row>
    <x:row r="3">
      <x:c r="B3" s="19" t="inlineStr">
        <x:is>
          <x:t xml:space="preserve">Field ID</x:t>
        </x:is>
      </x:c>
      <x:c r="C3" s="19" t="inlineStr">
        <x:is>
          <x:t xml:space="preserve">Value / formula</x:t>
        </x:is>
      </x:c>
      <x:c r="D3" s="19" t="inlineStr">
        <x:is>
          <x:t xml:space="preserve">Source</x:t>
        </x:is>
      </x:c>
    </x:row>
    <x:row r="4">
      <x:c r="B4" s="47" t="inlineStr">
        <x:is>
          <x:t xml:space="preserve">space_count</x:t>
        </x:is>
      </x:c>
      <x:c r="C4" s="48" t="n">
        <x:f>'Rent Roll'!C15</x:f>
        <x:v>8</x:v>
      </x:c>
      <x:c r="D4" s="49" t="inlineStr">
        <x:is>
          <x:t xml:space="preserve">Rent-Roll.xlsx, Rent Roll sheet</x:t>
        </x:is>
      </x:c>
    </x:row>
    <x:row r="5">
      <x:c r="B5" s="47" t="inlineStr">
        <x:is>
          <x:t xml:space="preserve">occupied_count</x:t>
        </x:is>
      </x:c>
      <x:c r="C5" s="48" t="n">
        <x:f>'Rent Roll'!C16</x:f>
        <x:v>7</x:v>
      </x:c>
      <x:c r="D5" s="49" t="inlineStr">
        <x:is>
          <x:t xml:space="preserve">Rent-Roll.xlsx, Rent Roll sheet</x:t>
        </x:is>
      </x:c>
    </x:row>
    <x:row r="6">
      <x:c r="B6" s="47" t="inlineStr">
        <x:is>
          <x:t xml:space="preserve">total_area_sf</x:t>
        </x:is>
      </x:c>
      <x:c r="C6" s="26" t="n">
        <x:f>'Rent Roll'!C17</x:f>
        <x:v>23000</x:v>
      </x:c>
      <x:c r="D6" s="49" t="inlineStr">
        <x:is>
          <x:t xml:space="preserve">Rent-Roll.xlsx</x:t>
        </x:is>
      </x:c>
    </x:row>
    <x:row r="7">
      <x:c r="B7" s="47" t="inlineStr">
        <x:is>
          <x:t xml:space="preserve">occupied_area_sf</x:t>
        </x:is>
      </x:c>
      <x:c r="C7" s="26" t="n">
        <x:f>'Rent Roll'!C18</x:f>
        <x:v>20200</x:v>
      </x:c>
      <x:c r="D7" s="49" t="inlineStr">
        <x:is>
          <x:t xml:space="preserve">Rent-Roll.xlsx</x:t>
        </x:is>
      </x:c>
    </x:row>
    <x:row r="8">
      <x:c r="B8" s="47" t="inlineStr">
        <x:is>
          <x:t xml:space="preserve">occupancy_count_pct</x:t>
        </x:is>
      </x:c>
      <x:c r="C8" s="50" t="n">
        <x:f>'Rent Roll'!C19*100</x:f>
        <x:v>87.5</x:v>
      </x:c>
      <x:c r="D8" s="49" t="inlineStr">
        <x:is>
          <x:t xml:space="preserve">Derived</x:t>
        </x:is>
      </x:c>
    </x:row>
    <x:row r="9">
      <x:c r="B9" s="47" t="inlineStr">
        <x:is>
          <x:t xml:space="preserve">occupancy_area_pct</x:t>
        </x:is>
      </x:c>
      <x:c r="C9" s="50" t="n">
        <x:f>'Rent Roll'!C20*100</x:f>
        <x:v>87.82608695652175</x:v>
      </x:c>
      <x:c r="D9" s="49" t="inlineStr">
        <x:is>
          <x:t xml:space="preserve">Derived</x:t>
        </x:is>
      </x:c>
    </x:row>
    <x:row r="10">
      <x:c r="B10" s="47" t="inlineStr">
        <x:is>
          <x:t xml:space="preserve">rent_roll_monthly_base</x:t>
        </x:is>
      </x:c>
      <x:c r="C10" s="27" t="n">
        <x:v>48600</x:v>
      </x:c>
      <x:c r="D10" s="49" t="inlineStr">
        <x:is>
          <x:t xml:space="preserve">Rent-Roll.xlsx sum as printed (Unit 101 $7,000)</x:t>
        </x:is>
      </x:c>
    </x:row>
    <x:row r="11">
      <x:c r="B11" s="47" t="inlineStr">
        <x:is>
          <x:t xml:space="preserve">effective_monthly_base</x:t>
        </x:is>
      </x:c>
      <x:c r="C11" s="27" t="n">
        <x:f>'Rent Roll'!C22</x:f>
        <x:v>49100</x:v>
      </x:c>
      <x:c r="D11" s="49" t="inlineStr">
        <x:is>
          <x:t xml:space="preserve">Rent-Roll.xlsx + Lease-File.pdf p.2 First Amendment ($7,500)</x:t>
        </x:is>
      </x:c>
    </x:row>
    <x:row r="12">
      <x:c r="B12" s="47" t="inlineStr">
        <x:is>
          <x:t xml:space="preserve">t12_egi</x:t>
        </x:is>
      </x:c>
      <x:c r="C12" s="27" t="n">
        <x:f>T12!C9</x:f>
        <x:v>723600</x:v>
      </x:c>
      <x:c r="D12" s="49" t="inlineStr">
        <x:is>
          <x:t xml:space="preserve">T12-Statement.pdf Annual column</x:t>
        </x:is>
      </x:c>
    </x:row>
    <x:row r="13">
      <x:c r="B13" s="47" t="inlineStr">
        <x:is>
          <x:t xml:space="preserve">t12_operating_expenses</x:t>
        </x:is>
      </x:c>
      <x:c r="C13" s="27" t="n">
        <x:f>T12!C19</x:f>
        <x:v>216000</x:v>
      </x:c>
      <x:c r="D13" s="49" t="inlineStr">
        <x:is>
          <x:t xml:space="preserve">T12-Statement.pdf</x:t>
        </x:is>
      </x:c>
    </x:row>
    <x:row r="14">
      <x:c r="B14" s="47" t="inlineStr">
        <x:is>
          <x:t xml:space="preserve">t12_noi_before_reserves</x:t>
        </x:is>
      </x:c>
      <x:c r="C14" s="27" t="n">
        <x:f>T12!C21</x:f>
        <x:v>507600</x:v>
      </x:c>
      <x:c r="D14" s="49" t="inlineStr">
        <x:is>
          <x:t xml:space="preserve">Derived</x:t>
        </x:is>
      </x:c>
    </x:row>
    <x:row r="15">
      <x:c r="B15" s="47" t="inlineStr">
        <x:is>
          <x:t xml:space="preserve">t12_reserves</x:t>
        </x:is>
      </x:c>
      <x:c r="C15" s="27" t="n">
        <x:f>T12!C22</x:f>
        <x:v>9200</x:v>
      </x:c>
      <x:c r="D15" s="49" t="inlineStr">
        <x:is>
          <x:t xml:space="preserve">T12-Statement.pdf</x:t>
        </x:is>
      </x:c>
    </x:row>
    <x:row r="16">
      <x:c r="B16" s="47" t="inlineStr">
        <x:is>
          <x:t xml:space="preserve">t12_ncf</x:t>
        </x:is>
      </x:c>
      <x:c r="C16" s="27" t="n">
        <x:f>T12!C21-T12!C22</x:f>
        <x:v>498400</x:v>
      </x:c>
      <x:c r="D16" s="49" t="inlineStr">
        <x:is>
          <x:t xml:space="preserve">Derived</x:t>
        </x:is>
      </x:c>
    </x:row>
    <x:row r="17">
      <x:c r="B17" s="47" t="inlineStr">
        <x:is>
          <x:t xml:space="preserve">uw_egi</x:t>
        </x:is>
      </x:c>
      <x:c r="C17" s="27" t="n">
        <x:f>Underwriting!C8</x:f>
        <x:v>768144</x:v>
      </x:c>
      <x:c r="D17" s="49" t="inlineStr">
        <x:is>
          <x:t xml:space="preserve">Property-and-Plan.pdf p.2</x:t>
        </x:is>
      </x:c>
    </x:row>
    <x:row r="18">
      <x:c r="B18" s="47" t="inlineStr">
        <x:is>
          <x:t xml:space="preserve">uw_management_fee</x:t>
        </x:is>
      </x:c>
      <x:c r="C18" s="27" t="n">
        <x:f>Underwriting!C17</x:f>
        <x:v>30725.760000000002</x:v>
      </x:c>
      <x:c r="D18" s="49" t="inlineStr">
        <x:is>
          <x:t xml:space="preserve">Plan: greater of T12 &amp; 4% EGI</x:t>
        </x:is>
      </x:c>
    </x:row>
    <x:row r="19">
      <x:c r="B19" s="47" t="inlineStr">
        <x:is>
          <x:t xml:space="preserve">uw_operating_expenses</x:t>
        </x:is>
      </x:c>
      <x:c r="C19" s="27" t="n">
        <x:f>Underwriting!C18</x:f>
        <x:v>223925.76</x:v>
      </x:c>
      <x:c r="D19" s="49" t="inlineStr">
        <x:is>
          <x:t xml:space="preserve">Derived</x:t>
        </x:is>
      </x:c>
    </x:row>
    <x:row r="20">
      <x:c r="B20" s="47" t="inlineStr">
        <x:is>
          <x:t xml:space="preserve">uw_noi_before_reserves</x:t>
        </x:is>
      </x:c>
      <x:c r="C20" s="27" t="n">
        <x:f>Underwriting!C20</x:f>
        <x:v>544218.24</x:v>
      </x:c>
      <x:c r="D20" s="49" t="inlineStr">
        <x:is>
          <x:t xml:space="preserve">Derived</x:t>
        </x:is>
      </x:c>
    </x:row>
    <x:row r="21">
      <x:c r="B21" s="47" t="inlineStr">
        <x:is>
          <x:t xml:space="preserve">uw_reserves</x:t>
        </x:is>
      </x:c>
      <x:c r="C21" s="27" t="n">
        <x:f>Assumptions!C23*Assumptions!C4</x:f>
        <x:v>4600</x:v>
      </x:c>
      <x:c r="D21" s="49" t="inlineStr">
        <x:is>
          <x:t xml:space="preserve">Plan: $0.20/SF × total SF</x:t>
        </x:is>
      </x:c>
    </x:row>
    <x:row r="22">
      <x:c r="B22" s="47" t="inlineStr">
        <x:is>
          <x:t xml:space="preserve">uw_ncf</x:t>
        </x:is>
      </x:c>
      <x:c r="C22" s="27" t="n">
        <x:f>Underwriting!C22</x:f>
        <x:v>539618.24</x:v>
      </x:c>
      <x:c r="D22" s="49" t="inlineStr">
        <x:is>
          <x:t xml:space="preserve">Derived</x:t>
        </x:is>
      </x:c>
    </x:row>
    <x:row r="23">
      <x:c r="B23" s="47" t="inlineStr">
        <x:is>
          <x:t xml:space="preserve">capitalization_value</x:t>
        </x:is>
      </x:c>
      <x:c r="C23" s="27" t="n">
        <x:f>'Loan Sizing'!C7</x:f>
        <x:v>7774546.2857142845</x:v>
      </x:c>
      <x:c r="D23" s="49" t="e">
        <x:f> UW NOI / cap rate</x:f>
        <x:v>#NAME?</x:v>
      </x:c>
    </x:row>
    <x:row r="24">
      <x:c r="B24" s="47" t="inlineStr">
        <x:is>
          <x:t xml:space="preserve">contract_rate</x:t>
        </x:is>
      </x:c>
      <x:c r="C24" s="18" t="n">
        <x:f>'Loan Sizing'!C4</x:f>
        <x:v>0.0625</x:v>
      </x:c>
      <x:c r="D24" s="49" t="inlineStr">
        <x:is>
          <x:t xml:space="preserve">Lender-Terms.pdf</x:t>
        </x:is>
      </x:c>
    </x:row>
    <x:row r="25">
      <x:c r="B25" s="47" t="inlineStr">
        <x:is>
          <x:t xml:space="preserve">sizing_rate</x:t>
        </x:is>
      </x:c>
      <x:c r="C25" s="18" t="n">
        <x:f>'Loan Sizing'!C5</x:f>
        <x:v>0.065</x:v>
      </x:c>
      <x:c r="D25" s="49" t="inlineStr">
        <x:is>
          <x:t xml:space="preserve">Lender-Terms.pdf</x:t>
        </x:is>
      </x:c>
    </x:row>
    <x:row r="26">
      <x:c r="B26" s="47" t="inlineStr">
        <x:is>
          <x:t xml:space="preserve">annual_debt_constant</x:t>
        </x:is>
      </x:c>
      <x:c r="C26" s="37" t="n">
        <x:f>'Loan Sizing'!C12</x:f>
        <x:v>0.081024859361717</x:v>
      </x:c>
      <x:c r="D26" s="49" t="inlineStr">
        <x:is>
          <x:t xml:space="preserve">Derived</x:t>
        </x:is>
      </x:c>
    </x:row>
    <x:row r="27">
      <x:c r="B27" s="47" t="inlineStr">
        <x:is>
          <x:t xml:space="preserve">ltv_limit</x:t>
        </x:is>
      </x:c>
      <x:c r="C27" s="27" t="n">
        <x:f>'Loan Sizing'!C16</x:f>
        <x:v>5053455.085714285</x:v>
      </x:c>
      <x:c r="D27" s="49" t="inlineStr">
        <x:is>
          <x:t xml:space="preserve">Derived</x:t>
        </x:is>
      </x:c>
    </x:row>
    <x:row r="28">
      <x:c r="B28" s="47" t="inlineStr">
        <x:is>
          <x:t xml:space="preserve">dscr_limit</x:t>
        </x:is>
      </x:c>
      <x:c r="C28" s="27" t="n">
        <x:f>'Loan Sizing'!C17</x:f>
        <x:v>5327927.692818299</x:v>
      </x:c>
      <x:c r="D28" s="49" t="inlineStr">
        <x:is>
          <x:t xml:space="preserve">Derived</x:t>
        </x:is>
      </x:c>
    </x:row>
    <x:row r="29">
      <x:c r="B29" s="47" t="inlineStr">
        <x:is>
          <x:t xml:space="preserve">debt_yield_limit</x:t>
        </x:is>
      </x:c>
      <x:c r="C29" s="27" t="n">
        <x:f>'Loan Sizing'!C18</x:f>
        <x:v>6046869.333333333</x:v>
      </x:c>
      <x:c r="D29" s="49" t="inlineStr">
        <x:is>
          <x:t xml:space="preserve">Derived</x:t>
        </x:is>
      </x:c>
    </x:row>
    <x:row r="30">
      <x:c r="B30" s="47" t="inlineStr">
        <x:is>
          <x:t xml:space="preserve">maximum_loan</x:t>
        </x:is>
      </x:c>
      <x:c r="C30" s="27" t="n">
        <x:f>'Loan Sizing'!C19</x:f>
        <x:v>5053455.085714285</x:v>
      </x:c>
      <x:c r="D30" s="49" t="inlineStr">
        <x:is>
          <x:t xml:space="preserve">Min of three</x:t>
        </x:is>
      </x:c>
    </x:row>
    <x:row r="31">
      <x:c r="B31" s="47" t="inlineStr">
        <x:is>
          <x:t xml:space="preserve">binding_constraint</x:t>
        </x:is>
      </x:c>
      <x:c r="C31" s="24" t="str">
        <x:f>'Loan Sizing'!C20</x:f>
        <x:v>LTV</x:v>
      </x:c>
      <x:c r="D31" s="49" t="inlineStr">
        <x:is>
          <x:t xml:space="preserve">Derived</x:t>
        </x:is>
      </x:c>
    </x:row>
    <x:row r="32">
      <x:c r="B32" s="47" t="inlineStr">
        <x:is>
          <x:t xml:space="preserve">sizing_annual_debt_service</x:t>
        </x:is>
      </x:c>
      <x:c r="C32" s="27" t="n">
        <x:f>'Loan Sizing'!C23</x:f>
        <x:v>409455.48761075345</x:v>
      </x:c>
      <x:c r="D32" s="49" t="inlineStr">
        <x:is>
          <x:t xml:space="preserve">Derived</x:t>
        </x:is>
      </x:c>
    </x:row>
    <x:row r="33">
      <x:c r="B33" s="47" t="inlineStr">
        <x:is>
          <x:t xml:space="preserve">sizing_dscr</x:t>
        </x:is>
      </x:c>
      <x:c r="C33" s="51" t="n">
        <x:f>'Loan Sizing'!C24</x:f>
        <x:v>1.3178923138843972</x:v>
      </x:c>
      <x:c r="D33" s="49" t="inlineStr">
        <x:is>
          <x:t xml:space="preserve">Derived</x:t>
        </x:is>
      </x:c>
    </x:row>
    <x:row r="34">
      <x:c r="B34" s="47" t="inlineStr">
        <x:is>
          <x:t xml:space="preserve">sizing_debt_yield</x:t>
        </x:is>
      </x:c>
      <x:c r="C34" s="28" t="n">
        <x:f>'Loan Sizing'!C25</x:f>
        <x:v>0.1076923076923077</x:v>
      </x:c>
      <x:c r="D34" s="49" t="inlineStr">
        <x:is>
          <x:t xml:space="preserve">Derived</x:t>
        </x:is>
      </x:c>
    </x:row>
    <x:row r="35">
      <x:c r="B35" s="47" t="inlineStr">
        <x:is>
          <x:t xml:space="preserve">first_year_debt_service</x:t>
        </x:is>
      </x:c>
      <x:c r="C35" s="27" t="n">
        <x:f>'Loan Sizing'!C26</x:f>
        <x:v>400033.1489683387</x:v>
      </x:c>
      <x:c r="D35" s="49" t="inlineStr">
        <x:is>
          <x:t xml:space="preserve">Contract rate × ADC(contract) × loan</x:t>
        </x:is>
      </x:c>
    </x:row>
    <x:row r="36">
      <x:c r="B36" s="47" t="inlineStr">
        <x:is>
          <x:t xml:space="preserve">cash_to_borrower</x:t>
        </x:is>
      </x:c>
      <x:c r="C36" s="27" t="n">
        <x:f>'Loan Sizing'!C34</x:f>
        <x:v>1554920.5348571425</x:v>
      </x:c>
      <x:c r="D36" s="49" t="inlineStr">
        <x:is>
          <x:t xml:space="preserve">Derived</x:t>
        </x:is>
      </x:c>
    </x:row>
    <x:row r="37">
      <x:c r="B37" s="47" t="inlineStr">
        <x:is>
          <x:t xml:space="preserve">stress_uw_noi</x:t>
        </x:is>
      </x:c>
      <x:c r="C37" s="27" t="n">
        <x:f>Sensitivity!D8</x:f>
        <x:v>507347.3279999999</x:v>
      </x:c>
      <x:c r="D37" s="49" t="inlineStr">
        <x:is>
          <x:t xml:space="preserve">EGI -5%, mgmt recalc — NOI before reserves</x:t>
        </x:is>
      </x:c>
    </x:row>
    <x:row r="38">
      <x:c r="B38" s="47" t="inlineStr">
        <x:is>
          <x:t xml:space="preserve">stress_maximum_loan</x:t>
        </x:is>
      </x:c>
      <x:c r="C38" s="27" t="n">
        <x:f>Sensitivity!E19</x:f>
        <x:v>4535438.248833817</x:v>
      </x:c>
      <x:c r="D38" s="49" t="inlineStr">
        <x:is>
          <x:t xml:space="preserve">EGI -5% AND sizing +100 bps</x:t>
        </x:is>
      </x:c>
    </x:row>
    <x:row r="39">
      <x:c r="B39" s="47" t="inlineStr">
        <x:is>
          <x:t xml:space="preserve">subject_lease_monthly_rent</x:t>
        </x:is>
      </x:c>
      <x:c r="C39" s="27" t="n">
        <x:v>7500</x:v>
      </x:c>
      <x:c r="D39" s="49" t="inlineStr">
        <x:is>
          <x:t xml:space="preserve">Lease-File.pdf p.2 First Amendment</x:t>
        </x:is>
      </x:c>
    </x:row>
    <x:row r="40">
      <x:c r="B40" s="47" t="inlineStr">
        <x:is>
          <x:t xml:space="preserve">subject_lease_expiry</x:t>
        </x:is>
      </x:c>
      <x:c r="C40" s="24" t="inlineStr">
        <x:is>
          <x:t xml:space="preserve">2031-08-31</x:t>
        </x:is>
      </x:c>
      <x:c r="D40" s="49" t="inlineStr">
        <x:is>
          <x:t xml:space="preserve">Lease-File.pdf §2 (renewal not exercised)</x:t>
        </x:is>
      </x:c>
    </x:row>
    <x:row r="41">
      <x:c r="B41" s="47" t="inlineStr">
        <x:is>
          <x:t xml:space="preserve">subject_lease_deposit</x:t>
        </x:is>
      </x:c>
      <x:c r="C41" s="27" t="n">
        <x:v>15000</x:v>
      </x:c>
      <x:c r="D41" s="49" t="inlineStr">
        <x:is>
          <x:t xml:space="preserve">Lease-File.pdf §4</x:t>
        </x:is>
      </x:c>
    </x:row>
    <x:row r="42">
      <x:c r="B42" s="47" t="inlineStr">
        <x:is>
          <x:t xml:space="preserve">verified_renewal_insurance</x:t>
        </x:is>
      </x:c>
      <x:c r="C42" s="27" t="n">
        <x:v>27600</x:v>
      </x:c>
      <x:c r="D42" s="49" t="inlineStr">
        <x:is>
          <x:t xml:space="preserve">Property-and-Plan.pdf p.2 (fictional renewal quote)</x:t>
        </x:is>
      </x:c>
    </x:row>
    <x:row r="43">
      <x:c r="B43" s="47" t="inlineStr">
        <x:is>
          <x:t xml:space="preserve">renewal_option_exercised</x:t>
        </x:is>
      </x:c>
      <x:c r="C43" s="24" t="inlineStr">
        <x:is>
          <x:t xml:space="preserve">No</x:t>
        </x:is>
      </x:c>
      <x:c r="D43" s="49" t="inlineStr">
        <x:is>
          <x:t xml:space="preserve">Lease-File.pdf §5 — no exercise notice in packet</x:t>
        </x:is>
      </x:c>
    </x:row>
    <x:row r="44">
      <x:c r="B44" s="47" t="inlineStr">
        <x:is>
          <x:t xml:space="preserve">prepayment_friction</x:t>
        </x:is>
      </x:c>
      <x:c r="C44" s="24" t="inlineStr">
        <x:is>
          <x:t xml:space="preserve">1% of outstanding principal in years 1-2; none thereafter; no swap.</x:t>
        </x:is>
      </x:c>
      <x:c r="D44" s="49" t="inlineStr">
        <x:is>
          <x:t xml:space="preserve">Lender-Terms.pdf</x:t>
        </x:is>
      </x:c>
    </x:row>
  </x:sheetData>
  <x:mergeCells>
    <x:mergeCell ref="B1:D1"/>
  </x:mergeCells>
  <x:pageMargins left="0.7" right="0.7" top="0.75" bottom="0.75" header="0.3" footer="0.3"/>
</x:worksheet>
</file>