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nt Roll" sheetId="3" state="visible" r:id="rId3"/>
    <sheet xmlns:r="http://schemas.openxmlformats.org/officeDocument/2006/relationships" name="T12" sheetId="4" state="visible" r:id="rId4"/>
    <sheet xmlns:r="http://schemas.openxmlformats.org/officeDocument/2006/relationships" name="Underwriting" sheetId="5" state="visible" r:id="rId5"/>
    <sheet xmlns:r="http://schemas.openxmlformats.org/officeDocument/2006/relationships" name="Loan Sizing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Field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0.00"/>
    <numFmt numFmtId="165" formatCode="0.000%"/>
    <numFmt numFmtId="166" formatCode="$#,##0"/>
    <numFmt numFmtId="167" formatCode="#,##0;(#,##0)"/>
    <numFmt numFmtId="168" formatCode="0.00000000"/>
    <numFmt numFmtId="169" formatCode="0.000"/>
    <numFmt numFmtId="170" formatCode="$#,##0;($#,##0)"/>
  </numFmts>
  <fonts count="9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</font>
    <font>
      <b val="1"/>
      <color rgb="001F3864"/>
      <sz val="11"/>
    </font>
    <font>
      <b val="1"/>
      <color rgb="00FFFFFF"/>
    </font>
    <font>
      <b val="1"/>
    </font>
    <font>
      <b val="1"/>
      <color rgb="00FFFFFF"/>
      <sz val="12"/>
    </font>
    <font>
      <i val="1"/>
      <color rgb="00595959"/>
      <sz val="9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6" fillId="4" borderId="0" pivotButton="0" quotePrefix="0" xfId="0"/>
    <xf numFmtId="0" fontId="3" fillId="5" borderId="0" pivotButton="0" quotePrefix="0" xfId="0"/>
    <xf numFmtId="3" fontId="5" fillId="2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top" wrapText="1"/>
    </xf>
    <xf numFmtId="10" fontId="5" fillId="2" borderId="1" applyAlignment="1" pivotButton="0" quotePrefix="0" xfId="0">
      <alignment horizontal="right" vertical="center"/>
    </xf>
    <xf numFmtId="164" fontId="5" fillId="2" borderId="1" applyAlignment="1" pivotButton="0" quotePrefix="0" xfId="0">
      <alignment horizontal="right" vertical="center"/>
    </xf>
    <xf numFmtId="165" fontId="5" fillId="2" borderId="1" applyAlignment="1" pivotButton="0" quotePrefix="0" xfId="0">
      <alignment horizontal="right" vertical="center"/>
    </xf>
    <xf numFmtId="1" fontId="5" fillId="2" borderId="1" applyAlignment="1" pivotButton="0" quotePrefix="0" xfId="0">
      <alignment horizontal="right" vertical="center"/>
    </xf>
    <xf numFmtId="2" fontId="5" fillId="2" borderId="1" applyAlignment="1" pivotButton="0" quotePrefix="0" xfId="0">
      <alignment horizontal="right" vertical="center"/>
    </xf>
    <xf numFmtId="165" fontId="5" fillId="3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  <xf numFmtId="0" fontId="5" fillId="3" borderId="1" pivotButton="0" quotePrefix="0" xfId="0"/>
    <xf numFmtId="0" fontId="0" fillId="3" borderId="1" pivotButton="0" quotePrefix="0" xfId="0"/>
    <xf numFmtId="3" fontId="5" fillId="3" borderId="1" pivotButton="0" quotePrefix="0" xfId="0"/>
    <xf numFmtId="166" fontId="5" fillId="3" borderId="1" pivotButton="0" quotePrefix="0" xfId="0"/>
    <xf numFmtId="10" fontId="5" fillId="3" borderId="1" pivotButton="0" quotePrefix="0" xfId="0"/>
    <xf numFmtId="0" fontId="7" fillId="0" borderId="0" pivotButton="0" quotePrefix="0" xfId="0"/>
    <xf numFmtId="167" fontId="0" fillId="0" borderId="1" pivotButton="0" quotePrefix="0" xfId="0"/>
    <xf numFmtId="3" fontId="0" fillId="0" borderId="1" pivotButton="0" quotePrefix="0" xfId="0"/>
    <xf numFmtId="3" fontId="0" fillId="3" borderId="1" pivotButton="0" quotePrefix="0" xfId="0"/>
    <xf numFmtId="165" fontId="0" fillId="0" borderId="1" pivotButton="0" quotePrefix="0" xfId="0"/>
    <xf numFmtId="10" fontId="0" fillId="0" borderId="1" pivotButton="0" quotePrefix="0" xfId="0"/>
    <xf numFmtId="1" fontId="0" fillId="0" borderId="1" pivotButton="0" quotePrefix="0" xfId="0"/>
    <xf numFmtId="168" fontId="0" fillId="0" borderId="1" pivotButton="0" quotePrefix="0" xfId="0"/>
    <xf numFmtId="168" fontId="5" fillId="3" borderId="1" pivotButton="0" quotePrefix="0" xfId="0"/>
    <xf numFmtId="166" fontId="0" fillId="0" borderId="1" pivotButton="0" quotePrefix="0" xfId="0"/>
    <xf numFmtId="0" fontId="5" fillId="3" borderId="1" applyAlignment="1" pivotButton="0" quotePrefix="0" xfId="0">
      <alignment horizontal="center" vertical="center"/>
    </xf>
    <xf numFmtId="166" fontId="0" fillId="3" borderId="1" pivotButton="0" quotePrefix="0" xfId="0"/>
    <xf numFmtId="169" fontId="0" fillId="3" borderId="1" pivotButton="0" quotePrefix="0" xfId="0"/>
    <xf numFmtId="10" fontId="0" fillId="3" borderId="1" pivotButton="0" quotePrefix="0" xfId="0"/>
    <xf numFmtId="169" fontId="0" fillId="0" borderId="1" pivotButton="0" quotePrefix="0" xfId="0"/>
    <xf numFmtId="170" fontId="0" fillId="0" borderId="1" pivotButton="0" quotePrefix="0" xfId="0"/>
    <xf numFmtId="170" fontId="5" fillId="3" borderId="1" pivotButton="0" quotePrefix="0" xfId="0"/>
    <xf numFmtId="165" fontId="0" fillId="3" borderId="1" pivotButton="0" quotePrefix="0" xfId="0"/>
    <xf numFmtId="0" fontId="8" fillId="0" borderId="1" pivotButton="0" quotePrefix="0" xfId="0"/>
    <xf numFmtId="1" fontId="5" fillId="3" borderId="1" pivotButton="0" quotePrefix="0" xfId="0"/>
    <xf numFmtId="0" fontId="0" fillId="0" borderId="1" applyAlignment="1" pivotButton="0" quotePrefix="0" xfId="0">
      <alignment horizontal="left" vertical="top" wrapText="1"/>
    </xf>
    <xf numFmtId="2" fontId="5" fillId="3" borderId="1" pivotButton="0" quotePrefix="0" xfId="0"/>
    <xf numFmtId="169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2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70" customWidth="1" min="3" max="3"/>
  </cols>
  <sheetData>
    <row r="1">
      <c r="B1" s="1" t="inlineStr">
        <is>
          <t>Market Row | Refinance Underwriting Workbook</t>
        </is>
      </c>
    </row>
    <row r="2">
      <c r="B2" s="2" t="inlineStr">
        <is>
          <t>Prepared September 1, 2026  |  As of August 31, 2026  |  Fictional evaluation material</t>
        </is>
      </c>
    </row>
    <row r="4">
      <c r="B4" s="3" t="inlineStr">
        <is>
          <t>Color legend</t>
        </is>
      </c>
    </row>
    <row r="5">
      <c r="B5" s="4" t="inlineStr">
        <is>
          <t>Yellow</t>
        </is>
      </c>
      <c r="C5" t="inlineStr">
        <is>
          <t>Editable assumption — change these to re-run the model.</t>
        </is>
      </c>
    </row>
    <row r="6">
      <c r="B6" s="5" t="inlineStr">
        <is>
          <t>Green</t>
        </is>
      </c>
      <c r="C6" t="inlineStr">
        <is>
          <t>Computed output driven by formulas.</t>
        </is>
      </c>
    </row>
    <row r="7">
      <c r="B7" s="6" t="inlineStr">
        <is>
          <t>Blue header</t>
        </is>
      </c>
      <c r="C7" t="inlineStr">
        <is>
          <t>Section header.</t>
        </is>
      </c>
    </row>
    <row r="9">
      <c r="B9" s="3" t="inlineStr">
        <is>
          <t>Sheet map</t>
        </is>
      </c>
    </row>
    <row r="10">
      <c r="B10" s="7" t="inlineStr">
        <is>
          <t>Assumptions</t>
        </is>
      </c>
      <c r="C10" s="8" t="inlineStr">
        <is>
          <t>All editable inputs. Change cap rate, sizing rate, EGI drivers, opex, reserves, loan terms here.</t>
        </is>
      </c>
    </row>
    <row r="11">
      <c r="B11" s="7" t="inlineStr">
        <is>
          <t>Rent Roll</t>
        </is>
      </c>
      <c r="C11" s="8" t="inlineStr">
        <is>
          <t>Rent roll with authoritative amendment applied to Unit 101.</t>
        </is>
      </c>
    </row>
    <row r="12">
      <c r="B12" s="7" t="inlineStr">
        <is>
          <t>T12</t>
        </is>
      </c>
      <c r="C12" s="8" t="inlineStr">
        <is>
          <t>Trailing 12-month historical actuals (Sep-25 to Aug-26).</t>
        </is>
      </c>
    </row>
    <row r="13">
      <c r="B13" s="7" t="inlineStr">
        <is>
          <t>Underwriting</t>
        </is>
      </c>
      <c r="C13" s="8" t="inlineStr">
        <is>
          <t>Underwritten EGI, opex, NOI, NCF — all live formulas from Assumptions.</t>
        </is>
      </c>
    </row>
    <row r="14">
      <c r="B14" s="7" t="inlineStr">
        <is>
          <t>Loan Sizing</t>
        </is>
      </c>
      <c r="C14" s="8" t="inlineStr">
        <is>
          <t>LTV / DSCR / Debt Yield constraints, binding max, sources &amp; uses, first-year DS.</t>
        </is>
      </c>
    </row>
    <row r="15">
      <c r="B15" s="7" t="inlineStr">
        <is>
          <t>Sensitivity</t>
        </is>
      </c>
      <c r="C15" s="8" t="inlineStr">
        <is>
          <t>Combined downside (EGI -5% AND sizing +100 bps) and cap-rate +50 bps sensitivity.</t>
        </is>
      </c>
    </row>
    <row r="16">
      <c r="B16" s="7" t="inlineStr">
        <is>
          <t>Fields</t>
        </is>
      </c>
      <c r="C16" s="8" t="inlineStr">
        <is>
          <t>Requested reporting fields with sources.</t>
        </is>
      </c>
    </row>
    <row r="20">
      <c r="B20" s="3" t="inlineStr">
        <is>
          <t>Key output locations</t>
        </is>
      </c>
    </row>
    <row r="21">
      <c r="B21" s="7" t="inlineStr">
        <is>
          <t>Cap rate</t>
        </is>
      </c>
      <c r="C21" t="inlineStr">
        <is>
          <t>Assumptions!C7</t>
        </is>
      </c>
    </row>
    <row r="22">
      <c r="B22" s="7" t="inlineStr">
        <is>
          <t>Sizing rate (computed)</t>
        </is>
      </c>
      <c r="C22" t="inlineStr">
        <is>
          <t>Assumptions!C22</t>
        </is>
      </c>
    </row>
    <row r="23">
      <c r="B23" s="7" t="inlineStr">
        <is>
          <t>Underwritten EGI</t>
        </is>
      </c>
      <c r="C23" t="inlineStr">
        <is>
          <t>Underwriting!C11</t>
        </is>
      </c>
    </row>
    <row r="24">
      <c r="B24" s="7" t="inlineStr">
        <is>
          <t>Underwritten NOI (before reserves)</t>
        </is>
      </c>
      <c r="C24" t="inlineStr">
        <is>
          <t>Underwriting!C21</t>
        </is>
      </c>
    </row>
    <row r="25">
      <c r="B25" s="7" t="inlineStr">
        <is>
          <t>Underwritten NCF</t>
        </is>
      </c>
      <c r="C25" t="inlineStr">
        <is>
          <t>Underwriting!C23</t>
        </is>
      </c>
    </row>
    <row r="26">
      <c r="B26" s="7" t="inlineStr">
        <is>
          <t>Indicative value (cap rate)</t>
        </is>
      </c>
      <c r="C26" t="inlineStr">
        <is>
          <t>Loan Sizing!C7</t>
        </is>
      </c>
    </row>
    <row r="27">
      <c r="B27" s="7" t="inlineStr">
        <is>
          <t>Maximum loan (binding)</t>
        </is>
      </c>
      <c r="C27" t="inlineStr">
        <is>
          <t>Loan Sizing!C18</t>
        </is>
      </c>
    </row>
    <row r="28">
      <c r="B28" s="7" t="inlineStr">
        <is>
          <t>Cash to / (from) borrower</t>
        </is>
      </c>
      <c r="C28" t="inlineStr">
        <is>
          <t>Loan Sizing!C33</t>
        </is>
      </c>
    </row>
    <row r="31">
      <c r="B31" s="3" t="inlineStr">
        <is>
          <t>Notes</t>
        </is>
      </c>
    </row>
    <row r="32" ht="60" customHeight="1">
      <c r="B32" s="8" t="inlineStr">
        <is>
          <t>All figures derive from the supplied packet. Unit 101 monthly rent reflects the executed First Amendment (effective 8/1/2026) at $7,500. Insurance uses the fictional renewal quote of $27,600. This workbook is an internal-review underwriting model, not a lender commitment.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43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8" customWidth="1" min="3" max="3"/>
    <col width="55" customWidth="1" min="4" max="4"/>
  </cols>
  <sheetData>
    <row r="1">
      <c r="B1" s="9" t="inlineStr">
        <is>
          <t>MARKET ROW — EDITABLE ASSUMPTIONS</t>
        </is>
      </c>
    </row>
    <row r="3">
      <c r="B3" s="10" t="inlineStr">
        <is>
          <t>Property</t>
        </is>
      </c>
    </row>
    <row r="4">
      <c r="B4" t="inlineStr">
        <is>
          <t>Total rentable SF</t>
        </is>
      </c>
      <c r="C4" s="11" t="n">
        <v>23000</v>
      </c>
      <c r="D4" s="12" t="inlineStr">
        <is>
          <t>Sum of rent roll areas.</t>
        </is>
      </c>
    </row>
    <row r="5">
      <c r="B5" t="inlineStr">
        <is>
          <t>Occupied SF</t>
        </is>
      </c>
      <c r="C5" s="11" t="n">
        <v>20200</v>
      </c>
      <c r="D5" s="12" t="inlineStr">
        <is>
          <t>Sum of 7 occupied units.</t>
        </is>
      </c>
    </row>
    <row r="6">
      <c r="B6" s="10" t="inlineStr">
        <is>
          <t>Valuation</t>
        </is>
      </c>
    </row>
    <row r="7">
      <c r="B7" t="inlineStr">
        <is>
          <t>Cap rate</t>
        </is>
      </c>
      <c r="C7" s="13" t="n">
        <v>0.065</v>
      </c>
      <c r="D7" s="12" t="inlineStr">
        <is>
          <t>Applied to UW NOI BEFORE reserves.</t>
        </is>
      </c>
    </row>
    <row r="8">
      <c r="B8" t="inlineStr">
        <is>
          <t>Cap rate sensitivity delta (bps)</t>
        </is>
      </c>
      <c r="C8" s="13" t="n">
        <v>0.005</v>
      </c>
      <c r="D8" s="12" t="inlineStr">
        <is>
          <t>+50 bps stress case (workbook only).</t>
        </is>
      </c>
    </row>
    <row r="9">
      <c r="B9" s="10" t="inlineStr">
        <is>
          <t>Underwriting — revenue</t>
        </is>
      </c>
    </row>
    <row r="10">
      <c r="B10" t="inlineStr">
        <is>
          <t>Gross potential base rent (annual)</t>
        </is>
      </c>
      <c r="C10" s="11" t="n">
        <v>657600</v>
      </c>
      <c r="D10" s="12" t="inlineStr">
        <is>
          <t>Property plan — supplied scenario.</t>
        </is>
      </c>
    </row>
    <row r="11">
      <c r="B11" t="inlineStr">
        <is>
          <t>Combined revenue loss %</t>
        </is>
      </c>
      <c r="C11" s="13" t="n">
        <v>0.06</v>
      </c>
      <c r="D11" s="12" t="inlineStr">
        <is>
          <t>Vacancy + concessions + bad debt.</t>
        </is>
      </c>
    </row>
    <row r="12">
      <c r="B12" t="inlineStr">
        <is>
          <t>Other income / recoveries (annual)</t>
        </is>
      </c>
      <c r="C12" s="11" t="n">
        <v>150000</v>
      </c>
      <c r="D12" s="12" t="inlineStr">
        <is>
          <t>Add after revenue loss.</t>
        </is>
      </c>
    </row>
    <row r="13">
      <c r="B13" s="10" t="inlineStr">
        <is>
          <t>Underwriting — operating expenses</t>
        </is>
      </c>
    </row>
    <row r="14">
      <c r="B14" t="inlineStr">
        <is>
          <t>Real estate taxes</t>
        </is>
      </c>
      <c r="C14" s="11" t="n">
        <v>90000</v>
      </c>
      <c r="D14" s="12" t="inlineStr">
        <is>
          <t>Plan: $90,000.</t>
        </is>
      </c>
    </row>
    <row r="15">
      <c r="B15" t="inlineStr">
        <is>
          <t>Property insurance</t>
        </is>
      </c>
      <c r="C15" s="11" t="n">
        <v>27600</v>
      </c>
      <c r="D15" s="12" t="inlineStr">
        <is>
          <t>Fictional renewal quote 8/25/2026.</t>
        </is>
      </c>
    </row>
    <row r="16">
      <c r="B16" t="inlineStr">
        <is>
          <t>Utilities</t>
        </is>
      </c>
      <c r="C16" s="11" t="n">
        <v>19200</v>
      </c>
      <c r="D16" s="12" t="inlineStr">
        <is>
          <t>Use T12 actual.</t>
        </is>
      </c>
    </row>
    <row r="17">
      <c r="B17" t="inlineStr">
        <is>
          <t>Repairs &amp; maintenance</t>
        </is>
      </c>
      <c r="C17" s="11" t="n">
        <v>24000</v>
      </c>
      <c r="D17" s="12" t="inlineStr">
        <is>
          <t>T12 $28,800 less $4,800 one-time casualty cleanup.</t>
        </is>
      </c>
    </row>
    <row r="18">
      <c r="B18" t="inlineStr">
        <is>
          <t>Payroll / contract labor</t>
        </is>
      </c>
      <c r="C18" s="11" t="n">
        <v>18000</v>
      </c>
      <c r="D18" s="12" t="inlineStr">
        <is>
          <t>Use T12 actual.</t>
        </is>
      </c>
    </row>
    <row r="19">
      <c r="B19" t="inlineStr">
        <is>
          <t>Administrative / legal</t>
        </is>
      </c>
      <c r="C19" s="11" t="n">
        <v>14400</v>
      </c>
      <c r="D19" s="12" t="inlineStr">
        <is>
          <t>Use T12 actual.</t>
        </is>
      </c>
    </row>
    <row r="20">
      <c r="B20" t="inlineStr">
        <is>
          <t>Management fee — T12 actual (floor)</t>
        </is>
      </c>
      <c r="C20" s="11" t="n">
        <v>24000</v>
      </c>
      <c r="D20" s="12" t="inlineStr">
        <is>
          <t>Greater of T12 actual and 4% of EGI.</t>
        </is>
      </c>
    </row>
    <row r="21">
      <c r="B21" t="inlineStr">
        <is>
          <t>Management fee — % of EGI</t>
        </is>
      </c>
      <c r="C21" s="13" t="n">
        <v>0.04</v>
      </c>
      <c r="D21" s="12" t="inlineStr">
        <is>
          <t>Greater of T12 actual and 4% of EGI.</t>
        </is>
      </c>
    </row>
    <row r="22">
      <c r="B22" s="10" t="inlineStr">
        <is>
          <t>Reserves</t>
        </is>
      </c>
    </row>
    <row r="23">
      <c r="B23" t="inlineStr">
        <is>
          <t>Replacement reserves ($/SF/yr)</t>
        </is>
      </c>
      <c r="C23" s="14" t="n">
        <v>0.2</v>
      </c>
      <c r="D23" s="12" t="inlineStr">
        <is>
          <t>Plan: $0.20/SF; deducted after NOI.</t>
        </is>
      </c>
    </row>
    <row r="24">
      <c r="B24" s="10" t="inlineStr">
        <is>
          <t>Loan terms — lender</t>
        </is>
      </c>
    </row>
    <row r="25">
      <c r="B25" t="inlineStr">
        <is>
          <t>Contract rate (annual)</t>
        </is>
      </c>
      <c r="C25" s="15" t="n">
        <v>0.0625</v>
      </c>
      <c r="D25" s="12" t="inlineStr">
        <is>
          <t>Fixed contractual rate.</t>
        </is>
      </c>
    </row>
    <row r="26">
      <c r="B26" t="inlineStr">
        <is>
          <t>Sizing rate floor</t>
        </is>
      </c>
      <c r="C26" s="15" t="n">
        <v>0.065</v>
      </c>
      <c r="D26" s="12" t="inlineStr">
        <is>
          <t>Greater of contract rate and floor.</t>
        </is>
      </c>
    </row>
    <row r="27">
      <c r="B27" t="inlineStr">
        <is>
          <t>Sizing rate stress delta (bps)</t>
        </is>
      </c>
      <c r="C27" s="15" t="n">
        <v>0.01</v>
      </c>
      <c r="D27" s="12" t="inlineStr">
        <is>
          <t>+100 bps for combined downside.</t>
        </is>
      </c>
    </row>
    <row r="28">
      <c r="B28" t="inlineStr">
        <is>
          <t>Amortization (years)</t>
        </is>
      </c>
      <c r="C28" s="16" t="n">
        <v>25</v>
      </c>
      <c r="D28" s="12" t="inlineStr">
        <is>
          <t>Monthly payments.</t>
        </is>
      </c>
    </row>
    <row r="29">
      <c r="B29" t="inlineStr">
        <is>
          <t>Interest-only period (months)</t>
        </is>
      </c>
      <c r="C29" s="16" t="n">
        <v>0</v>
      </c>
      <c r="D29" s="12" t="inlineStr">
        <is>
          <t>Underwriting DSCR still uses amortizing DS.</t>
        </is>
      </c>
    </row>
    <row r="30">
      <c r="B30" t="inlineStr">
        <is>
          <t>Maturity (months)</t>
        </is>
      </c>
      <c r="C30" s="16" t="n">
        <v>60</v>
      </c>
      <c r="D30" s="12" t="inlineStr">
        <is>
          <t>5-year term.</t>
        </is>
      </c>
    </row>
    <row r="31">
      <c r="B31" t="inlineStr">
        <is>
          <t>Origination fee</t>
        </is>
      </c>
      <c r="C31" s="13" t="n">
        <v>0.01</v>
      </c>
      <c r="D31" s="12" t="inlineStr">
        <is>
          <t>% of actual initial principal.</t>
        </is>
      </c>
    </row>
    <row r="32">
      <c r="B32" s="10" t="inlineStr">
        <is>
          <t>Constraints</t>
        </is>
      </c>
    </row>
    <row r="33">
      <c r="B33" t="inlineStr">
        <is>
          <t>Max LTV</t>
        </is>
      </c>
      <c r="C33" s="13" t="n">
        <v>0.65</v>
      </c>
      <c r="D33" s="12" t="inlineStr">
        <is>
          <t>Loan / indicative value.</t>
        </is>
      </c>
    </row>
    <row r="34">
      <c r="B34" t="inlineStr">
        <is>
          <t>Min DSCR</t>
        </is>
      </c>
      <c r="C34" s="17" t="n">
        <v>1.25</v>
      </c>
      <c r="D34" s="12" t="inlineStr">
        <is>
          <t>NCF (after reserves) / amortizing DS at sizing rate.</t>
        </is>
      </c>
    </row>
    <row r="35">
      <c r="B35" t="inlineStr">
        <is>
          <t>Min debt yield</t>
        </is>
      </c>
      <c r="C35" s="13" t="n">
        <v>0.09</v>
      </c>
      <c r="D35" s="12" t="inlineStr">
        <is>
          <t>NOI (before reserves) / loan.</t>
        </is>
      </c>
    </row>
    <row r="36">
      <c r="B36" t="inlineStr">
        <is>
          <t>EGI downside %</t>
        </is>
      </c>
      <c r="C36" s="13" t="n">
        <v>-0.05</v>
      </c>
      <c r="D36" s="12" t="inlineStr">
        <is>
          <t>For combined downside.</t>
        </is>
      </c>
    </row>
    <row r="37">
      <c r="B37" s="10" t="inlineStr">
        <is>
          <t>Sources &amp; Uses</t>
        </is>
      </c>
    </row>
    <row r="38">
      <c r="B38" t="inlineStr">
        <is>
          <t>Existing debt payoff</t>
        </is>
      </c>
      <c r="C38" s="11" t="n">
        <v>3400000</v>
      </c>
      <c r="D38" s="12" t="inlineStr">
        <is>
          <t>Property plan.</t>
        </is>
      </c>
    </row>
    <row r="39">
      <c r="B39" t="inlineStr">
        <is>
          <t>Fixed closing costs</t>
        </is>
      </c>
      <c r="C39" s="11" t="n">
        <v>48000</v>
      </c>
      <c r="D39" s="12" t="inlineStr">
        <is>
          <t>Property plan.</t>
        </is>
      </c>
    </row>
    <row r="41">
      <c r="B41" s="10" t="inlineStr">
        <is>
          <t>Derived (formulas)</t>
        </is>
      </c>
    </row>
    <row r="42">
      <c r="B42" t="inlineStr">
        <is>
          <t>Sizing rate (greater of contract &amp; floor)</t>
        </is>
      </c>
      <c r="C42" s="18">
        <f>MAX(C25,C26)</f>
        <v/>
      </c>
    </row>
    <row r="43">
      <c r="B43" t="inlineStr">
        <is>
          <t>Stress sizing rate</t>
        </is>
      </c>
      <c r="C43" s="18">
        <f>C42+C27</f>
        <v/>
      </c>
    </row>
  </sheetData>
  <mergeCells count="10">
    <mergeCell ref="B3:D3"/>
    <mergeCell ref="B37:D37"/>
    <mergeCell ref="B41:D41"/>
    <mergeCell ref="B1:D1"/>
    <mergeCell ref="B22:D22"/>
    <mergeCell ref="B32:D32"/>
    <mergeCell ref="B9:D9"/>
    <mergeCell ref="B13:D13"/>
    <mergeCell ref="B6:D6"/>
    <mergeCell ref="B24:D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24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0" customWidth="1" min="3" max="3"/>
    <col width="10" customWidth="1" min="4" max="4"/>
    <col width="12" customWidth="1" min="5" max="5"/>
    <col width="16" customWidth="1" min="6" max="6"/>
    <col width="16" customWidth="1" min="7" max="7"/>
    <col width="14" customWidth="1" min="8" max="8"/>
    <col width="14" customWidth="1" min="9" max="9"/>
  </cols>
  <sheetData>
    <row r="1">
      <c r="B1" s="9" t="inlineStr">
        <is>
          <t>RENT ROLL — as of 2026-08-31 (Unit 101 reflects executed First Amendment)</t>
        </is>
      </c>
    </row>
    <row r="3">
      <c r="B3" s="19" t="inlineStr">
        <is>
          <t>Unit</t>
        </is>
      </c>
      <c r="C3" s="19" t="inlineStr">
        <is>
          <t>Tenant</t>
        </is>
      </c>
      <c r="D3" s="19" t="inlineStr">
        <is>
          <t>Area SF</t>
        </is>
      </c>
      <c r="E3" s="19" t="inlineStr">
        <is>
          <t>Status</t>
        </is>
      </c>
      <c r="F3" s="19" t="inlineStr">
        <is>
          <t>Rent Roll Monthly</t>
        </is>
      </c>
      <c r="G3" s="19" t="inlineStr">
        <is>
          <t>Effective Monthly*</t>
        </is>
      </c>
      <c r="H3" s="19" t="inlineStr">
        <is>
          <t>Market Monthly</t>
        </is>
      </c>
      <c r="I3" s="19" t="inlineStr">
        <is>
          <t>Lease Expiry</t>
        </is>
      </c>
    </row>
    <row r="4">
      <c r="B4" s="20" t="inlineStr">
        <is>
          <t>101</t>
        </is>
      </c>
      <c r="C4" s="21" t="inlineStr">
        <is>
          <t>Tenant A LLC</t>
        </is>
      </c>
      <c r="D4" s="22" t="n">
        <v>1800</v>
      </c>
      <c r="E4" s="20" t="inlineStr">
        <is>
          <t>Occupied</t>
        </is>
      </c>
      <c r="F4" s="23" t="n">
        <v>7000</v>
      </c>
      <c r="G4" s="23" t="n">
        <v>7500</v>
      </c>
      <c r="H4" s="23" t="n">
        <v>7000</v>
      </c>
      <c r="I4" s="20" t="inlineStr">
        <is>
          <t>2031-08-31</t>
        </is>
      </c>
    </row>
    <row r="5">
      <c r="B5" s="20" t="inlineStr">
        <is>
          <t>102</t>
        </is>
      </c>
      <c r="C5" s="21" t="inlineStr">
        <is>
          <t>Tenant B LLC</t>
        </is>
      </c>
      <c r="D5" s="22" t="n">
        <v>2200</v>
      </c>
      <c r="E5" s="20" t="inlineStr">
        <is>
          <t>Occupied</t>
        </is>
      </c>
      <c r="F5" s="23" t="n">
        <v>5500</v>
      </c>
      <c r="G5" s="23" t="n">
        <v>5500</v>
      </c>
      <c r="H5" s="23" t="n">
        <v>5500</v>
      </c>
      <c r="I5" s="20" t="inlineStr">
        <is>
          <t>2028-08-31</t>
        </is>
      </c>
    </row>
    <row r="6">
      <c r="B6" s="20" t="inlineStr">
        <is>
          <t>103</t>
        </is>
      </c>
      <c r="C6" s="21" t="inlineStr">
        <is>
          <t>Tenant C LLC</t>
        </is>
      </c>
      <c r="D6" s="22" t="n">
        <v>2500</v>
      </c>
      <c r="E6" s="20" t="inlineStr">
        <is>
          <t>Occupied</t>
        </is>
      </c>
      <c r="F6" s="23" t="n">
        <v>6000</v>
      </c>
      <c r="G6" s="23" t="n">
        <v>6000</v>
      </c>
      <c r="H6" s="23" t="n">
        <v>6000</v>
      </c>
      <c r="I6" s="20" t="inlineStr">
        <is>
          <t>2029-08-31</t>
        </is>
      </c>
    </row>
    <row r="7">
      <c r="B7" s="20" t="inlineStr">
        <is>
          <t>104</t>
        </is>
      </c>
      <c r="C7" s="21" t="inlineStr">
        <is>
          <t>Tenant D LLC</t>
        </is>
      </c>
      <c r="D7" s="22" t="n">
        <v>3200</v>
      </c>
      <c r="E7" s="20" t="inlineStr">
        <is>
          <t>Occupied</t>
        </is>
      </c>
      <c r="F7" s="23" t="n">
        <v>7200</v>
      </c>
      <c r="G7" s="23" t="n">
        <v>7200</v>
      </c>
      <c r="H7" s="23" t="n">
        <v>7200</v>
      </c>
      <c r="I7" s="20" t="inlineStr">
        <is>
          <t>2030-08-31</t>
        </is>
      </c>
    </row>
    <row r="8">
      <c r="B8" s="20" t="inlineStr">
        <is>
          <t>105</t>
        </is>
      </c>
      <c r="C8" s="21" t="inlineStr">
        <is>
          <t>Tenant E LLC</t>
        </is>
      </c>
      <c r="D8" s="22" t="n">
        <v>4000</v>
      </c>
      <c r="E8" s="20" t="inlineStr">
        <is>
          <t>Occupied</t>
        </is>
      </c>
      <c r="F8" s="23" t="n">
        <v>9000</v>
      </c>
      <c r="G8" s="23" t="n">
        <v>9000</v>
      </c>
      <c r="H8" s="23" t="n">
        <v>9000</v>
      </c>
      <c r="I8" s="20" t="inlineStr">
        <is>
          <t>2031-08-31</t>
        </is>
      </c>
    </row>
    <row r="9">
      <c r="B9" s="20" t="inlineStr">
        <is>
          <t>106</t>
        </is>
      </c>
      <c r="C9" s="21" t="inlineStr">
        <is>
          <t>Tenant F LLC</t>
        </is>
      </c>
      <c r="D9" s="22" t="n">
        <v>5000</v>
      </c>
      <c r="E9" s="20" t="inlineStr">
        <is>
          <t>Occupied</t>
        </is>
      </c>
      <c r="F9" s="23" t="n">
        <v>10500</v>
      </c>
      <c r="G9" s="23" t="n">
        <v>10500</v>
      </c>
      <c r="H9" s="23" t="n">
        <v>10500</v>
      </c>
      <c r="I9" s="20" t="inlineStr">
        <is>
          <t>2027-08-31</t>
        </is>
      </c>
    </row>
    <row r="10">
      <c r="B10" s="20" t="inlineStr">
        <is>
          <t>107</t>
        </is>
      </c>
      <c r="C10" s="21" t="inlineStr">
        <is>
          <t>Tenant G LLC</t>
        </is>
      </c>
      <c r="D10" s="22" t="n">
        <v>1500</v>
      </c>
      <c r="E10" s="20" t="inlineStr">
        <is>
          <t>Occupied</t>
        </is>
      </c>
      <c r="F10" s="23" t="n">
        <v>3400</v>
      </c>
      <c r="G10" s="23" t="n">
        <v>3400</v>
      </c>
      <c r="H10" s="23" t="n">
        <v>3400</v>
      </c>
      <c r="I10" s="20" t="inlineStr">
        <is>
          <t>2028-08-31</t>
        </is>
      </c>
    </row>
    <row r="11">
      <c r="B11" s="20" t="inlineStr">
        <is>
          <t>108</t>
        </is>
      </c>
      <c r="C11" s="21" t="inlineStr">
        <is>
          <t>Vacant</t>
        </is>
      </c>
      <c r="D11" s="22" t="n">
        <v>2800</v>
      </c>
      <c r="E11" s="20" t="inlineStr">
        <is>
          <t>Vacant</t>
        </is>
      </c>
      <c r="F11" s="23" t="n">
        <v>0</v>
      </c>
      <c r="G11" s="23" t="n">
        <v>0</v>
      </c>
      <c r="H11" s="23" t="n">
        <v>5200</v>
      </c>
      <c r="I11" s="20" t="n"/>
    </row>
    <row r="12">
      <c r="B12" s="24" t="inlineStr">
        <is>
          <t>TOTAL</t>
        </is>
      </c>
      <c r="C12" s="25" t="n"/>
      <c r="D12" s="26">
        <f>SUM(D4:D11)</f>
        <v/>
      </c>
      <c r="E12" s="25" t="n"/>
      <c r="F12" s="27">
        <f>SUM(F4:F11)</f>
        <v/>
      </c>
      <c r="G12" s="27">
        <f>SUM(G4:G11)</f>
        <v/>
      </c>
      <c r="H12" s="25" t="n"/>
      <c r="I12" s="25" t="n"/>
    </row>
    <row r="14">
      <c r="B14" s="10" t="inlineStr">
        <is>
          <t>Rent roll summary</t>
        </is>
      </c>
    </row>
    <row r="15">
      <c r="B15" t="inlineStr">
        <is>
          <t>Space count (units)</t>
        </is>
      </c>
      <c r="C15" s="26">
        <f>COUNTA(B4:B11)</f>
        <v/>
      </c>
    </row>
    <row r="16">
      <c r="B16" t="inlineStr">
        <is>
          <t>Occupied count</t>
        </is>
      </c>
      <c r="C16" s="26">
        <f>COUNTIF(E4:E11,"Occupied")</f>
        <v/>
      </c>
    </row>
    <row r="17">
      <c r="B17" t="inlineStr">
        <is>
          <t>Total rentable SF</t>
        </is>
      </c>
      <c r="C17" s="26">
        <f>SUM(D4:D11)</f>
        <v/>
      </c>
    </row>
    <row r="18">
      <c r="B18" t="inlineStr">
        <is>
          <t>Occupied SF</t>
        </is>
      </c>
      <c r="C18" s="26">
        <f>SUMIF(E4:E11,"Occupied",D4:D11)</f>
        <v/>
      </c>
    </row>
    <row r="19">
      <c r="B19" t="inlineStr">
        <is>
          <t>Occupancy by count %</t>
        </is>
      </c>
      <c r="C19" s="28">
        <f>COUNTIF(E4:E11,"Occupied")/COUNTA(B4:B11)</f>
        <v/>
      </c>
    </row>
    <row r="20">
      <c r="B20" t="inlineStr">
        <is>
          <t>Occupancy by area %</t>
        </is>
      </c>
      <c r="C20" s="28">
        <f>SUMIF(E4:E11,"Occupied",D4:D11)/SUM(D4:D11)</f>
        <v/>
      </c>
    </row>
    <row r="21">
      <c r="B21" t="inlineStr">
        <is>
          <t>Rent roll monthly base (as printed)</t>
        </is>
      </c>
      <c r="C21" s="27">
        <f>SUM(F4:F11)</f>
        <v/>
      </c>
    </row>
    <row r="22">
      <c r="B22" t="inlineStr">
        <is>
          <t>Effective monthly base (post-amendment)</t>
        </is>
      </c>
      <c r="C22" s="27">
        <f>SUM(G4:G11)</f>
        <v/>
      </c>
    </row>
    <row r="23">
      <c r="B23" t="inlineStr">
        <is>
          <t>Effective annual base</t>
        </is>
      </c>
      <c r="C23" s="27">
        <f>SUM(G4:G11)*12</f>
        <v/>
      </c>
    </row>
    <row r="24">
      <c r="B24" s="29" t="inlineStr">
        <is>
          <t>* Effective Monthly for Unit 101 reflects executed First Amendment (8/1/2026: $7,500).</t>
        </is>
      </c>
    </row>
  </sheetData>
  <mergeCells count="5">
    <mergeCell ref="B14:D14"/>
    <mergeCell ref="B1:D1"/>
    <mergeCell ref="B24:I24"/>
    <mergeCell ref="B14:I14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D28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6" customWidth="1" min="3" max="3"/>
    <col width="55" customWidth="1" min="4" max="4"/>
  </cols>
  <sheetData>
    <row r="1">
      <c r="B1" s="9" t="inlineStr">
        <is>
          <t>TRAILING 12-MONTH ACTUALS — September 2025 through August 2026</t>
        </is>
      </c>
    </row>
    <row r="3">
      <c r="B3" s="10" t="inlineStr">
        <is>
          <t>Revenue</t>
        </is>
      </c>
    </row>
    <row r="4">
      <c r="B4" t="inlineStr">
        <is>
          <t>Gross potential base rent</t>
        </is>
      </c>
      <c r="C4" s="30" t="n">
        <v>645600</v>
      </c>
      <c r="D4" s="29" t="inlineStr">
        <is>
          <t>T12 statement, Annual column</t>
        </is>
      </c>
    </row>
    <row r="5">
      <c r="B5" t="inlineStr">
        <is>
          <t>Vacancy loss</t>
        </is>
      </c>
      <c r="C5" s="30" t="n">
        <v>-46800</v>
      </c>
      <c r="D5" s="29" t="inlineStr">
        <is>
          <t>T12 statement</t>
        </is>
      </c>
    </row>
    <row r="6">
      <c r="B6" t="inlineStr">
        <is>
          <t>Concessions</t>
        </is>
      </c>
      <c r="C6" s="30" t="n">
        <v>-14400</v>
      </c>
      <c r="D6" s="29" t="inlineStr">
        <is>
          <t>T12 statement</t>
        </is>
      </c>
    </row>
    <row r="7">
      <c r="B7" t="inlineStr">
        <is>
          <t>Bad debt</t>
        </is>
      </c>
      <c r="C7" s="30" t="n">
        <v>-3600</v>
      </c>
      <c r="D7" s="29" t="inlineStr">
        <is>
          <t>T12 statement</t>
        </is>
      </c>
    </row>
    <row r="8">
      <c r="B8" t="inlineStr">
        <is>
          <t>Other income / recoveries</t>
        </is>
      </c>
      <c r="C8" s="30" t="n">
        <v>142800</v>
      </c>
      <c r="D8" s="29" t="inlineStr">
        <is>
          <t>T12 statement</t>
        </is>
      </c>
    </row>
    <row r="9">
      <c r="B9" s="7" t="inlineStr">
        <is>
          <t>Effective Gross Income (EGI)</t>
        </is>
      </c>
      <c r="C9" s="26">
        <f>SUM(C4:C8)</f>
        <v/>
      </c>
    </row>
    <row r="11">
      <c r="B11" s="10" t="inlineStr">
        <is>
          <t>Operating expenses</t>
        </is>
      </c>
    </row>
    <row r="12">
      <c r="B12" t="inlineStr">
        <is>
          <t>Real estate taxes</t>
        </is>
      </c>
      <c r="C12" s="31" t="n">
        <v>86400</v>
      </c>
    </row>
    <row r="13">
      <c r="B13" t="inlineStr">
        <is>
          <t>Property insurance</t>
        </is>
      </c>
      <c r="C13" s="31" t="n">
        <v>25200</v>
      </c>
    </row>
    <row r="14">
      <c r="B14" t="inlineStr">
        <is>
          <t>Utilities</t>
        </is>
      </c>
      <c r="C14" s="31" t="n">
        <v>19200</v>
      </c>
    </row>
    <row r="15">
      <c r="B15" t="inlineStr">
        <is>
          <t>Repairs &amp; maintenance</t>
        </is>
      </c>
      <c r="C15" s="31" t="n">
        <v>28800</v>
      </c>
    </row>
    <row r="16">
      <c r="B16" t="inlineStr">
        <is>
          <t>Payroll / contract labor</t>
        </is>
      </c>
      <c r="C16" s="31" t="n">
        <v>18000</v>
      </c>
    </row>
    <row r="17">
      <c r="B17" t="inlineStr">
        <is>
          <t>Administrative / legal</t>
        </is>
      </c>
      <c r="C17" s="31" t="n">
        <v>14400</v>
      </c>
    </row>
    <row r="18">
      <c r="B18" t="inlineStr">
        <is>
          <t>Management fee</t>
        </is>
      </c>
      <c r="C18" s="31" t="n">
        <v>24000</v>
      </c>
    </row>
    <row r="19">
      <c r="B19" s="7" t="inlineStr">
        <is>
          <t>Total operating expenses</t>
        </is>
      </c>
      <c r="C19" s="26">
        <f>SUM(C12:C18)</f>
        <v/>
      </c>
    </row>
    <row r="21">
      <c r="B21" s="7" t="inlineStr">
        <is>
          <t>NOI before replacement reserves</t>
        </is>
      </c>
      <c r="C21" s="26">
        <f>C9-C19</f>
        <v/>
      </c>
    </row>
    <row r="22">
      <c r="B22" t="inlineStr">
        <is>
          <t>Replacement reserves</t>
        </is>
      </c>
      <c r="C22" s="31" t="n">
        <v>9200</v>
      </c>
    </row>
    <row r="23">
      <c r="B23" s="7" t="inlineStr">
        <is>
          <t>NCF after reserves</t>
        </is>
      </c>
      <c r="C23" s="26">
        <f>C21-C22</f>
        <v/>
      </c>
    </row>
    <row r="25">
      <c r="B25" s="10" t="inlineStr">
        <is>
          <t>Memo — below NOI/NCF (not opex)</t>
        </is>
      </c>
    </row>
    <row r="26">
      <c r="B26" t="inlineStr">
        <is>
          <t>Capital improvements</t>
        </is>
      </c>
      <c r="C26" s="31" t="n">
        <v>98000</v>
      </c>
    </row>
    <row r="27">
      <c r="B27" t="inlineStr">
        <is>
          <t>Loan P&amp;I (existing)</t>
        </is>
      </c>
      <c r="C27" s="31" t="n">
        <v>294000</v>
      </c>
    </row>
    <row r="28">
      <c r="B28" t="inlineStr">
        <is>
          <t>Depreciation (noncash)</t>
        </is>
      </c>
      <c r="C28" s="31" t="n">
        <v>180000</v>
      </c>
    </row>
  </sheetData>
  <mergeCells count="4">
    <mergeCell ref="B11:D11"/>
    <mergeCell ref="B25:D25"/>
    <mergeCell ref="B1:D1"/>
    <mergeCell ref="B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22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6" customWidth="1" min="3" max="3"/>
    <col width="60" customWidth="1" min="4" max="4"/>
  </cols>
  <sheetData>
    <row r="1">
      <c r="B1" s="9" t="inlineStr">
        <is>
          <t>UNDERWRITING — Sept 2026 forward (live formulas from Assumptions)</t>
        </is>
      </c>
    </row>
    <row r="3">
      <c r="B3" s="10" t="inlineStr">
        <is>
          <t>Revenue</t>
        </is>
      </c>
    </row>
    <row r="4">
      <c r="B4" t="inlineStr">
        <is>
          <t>Gross potential base rent</t>
        </is>
      </c>
      <c r="C4" s="31">
        <f>Assumptions!C10</f>
        <v/>
      </c>
    </row>
    <row r="5">
      <c r="B5" t="inlineStr">
        <is>
          <t>Less: combined revenue loss (vacancy/conc/bad debt)</t>
        </is>
      </c>
      <c r="C5" s="30">
        <f>-Assumptions!C10*Assumptions!C11</f>
        <v/>
      </c>
    </row>
    <row r="6">
      <c r="B6" t="inlineStr">
        <is>
          <t>Effective gross rent</t>
        </is>
      </c>
      <c r="C6" s="32">
        <f>SUM(C4:C5)</f>
        <v/>
      </c>
    </row>
    <row r="7">
      <c r="B7" t="inlineStr">
        <is>
          <t>Other income / recoveries</t>
        </is>
      </c>
      <c r="C7" s="31">
        <f>Assumptions!C12</f>
        <v/>
      </c>
    </row>
    <row r="8">
      <c r="B8" s="7" t="inlineStr">
        <is>
          <t>Effective Gross Income (EGI)</t>
        </is>
      </c>
      <c r="C8" s="26">
        <f>C6+C7</f>
        <v/>
      </c>
    </row>
    <row r="10">
      <c r="B10" s="10" t="inlineStr">
        <is>
          <t>Operating expenses</t>
        </is>
      </c>
    </row>
    <row r="11">
      <c r="B11" t="inlineStr">
        <is>
          <t>Real estate taxes</t>
        </is>
      </c>
      <c r="C11" s="31">
        <f>Assumptions!C14</f>
        <v/>
      </c>
    </row>
    <row r="12">
      <c r="B12" t="inlineStr">
        <is>
          <t>Property insurance (renewal quote)</t>
        </is>
      </c>
      <c r="C12" s="31">
        <f>Assumptions!C15</f>
        <v/>
      </c>
    </row>
    <row r="13">
      <c r="B13" t="inlineStr">
        <is>
          <t>Utilities</t>
        </is>
      </c>
      <c r="C13" s="31">
        <f>Assumptions!C16</f>
        <v/>
      </c>
    </row>
    <row r="14">
      <c r="B14" t="inlineStr">
        <is>
          <t>Repairs &amp; maintenance (normalized)</t>
        </is>
      </c>
      <c r="C14" s="31">
        <f>Assumptions!C17</f>
        <v/>
      </c>
    </row>
    <row r="15">
      <c r="B15" t="inlineStr">
        <is>
          <t>Payroll / contract labor</t>
        </is>
      </c>
      <c r="C15" s="31">
        <f>Assumptions!C18</f>
        <v/>
      </c>
    </row>
    <row r="16">
      <c r="B16" t="inlineStr">
        <is>
          <t>Administrative / legal</t>
        </is>
      </c>
      <c r="C16" s="31">
        <f>Assumptions!C19</f>
        <v/>
      </c>
    </row>
    <row r="17">
      <c r="B17" t="inlineStr">
        <is>
          <t>Management fee (max of T12 &amp; 4% EGI)</t>
        </is>
      </c>
      <c r="C17" s="31">
        <f>MAX(Assumptions!C20,Assumptions!C21*C8)</f>
        <v/>
      </c>
    </row>
    <row r="18">
      <c r="B18" s="7" t="inlineStr">
        <is>
          <t>Total operating expenses</t>
        </is>
      </c>
      <c r="C18" s="26">
        <f>SUM(C11:C17)</f>
        <v/>
      </c>
    </row>
    <row r="20">
      <c r="B20" s="7" t="inlineStr">
        <is>
          <t>NOI before replacement reserves</t>
        </is>
      </c>
      <c r="C20" s="26">
        <f>C8-C18</f>
        <v/>
      </c>
    </row>
    <row r="21">
      <c r="B21" t="inlineStr">
        <is>
          <t>Replacement reserves ($/SF × total SF)</t>
        </is>
      </c>
      <c r="C21" s="31">
        <f>Assumptions!C23*Assumptions!C4</f>
        <v/>
      </c>
    </row>
    <row r="22">
      <c r="B22" s="7" t="inlineStr">
        <is>
          <t>NCF after reserves</t>
        </is>
      </c>
      <c r="C22" s="26">
        <f>C20-C21</f>
        <v/>
      </c>
    </row>
  </sheetData>
  <mergeCells count="3">
    <mergeCell ref="B10:D10"/>
    <mergeCell ref="B1:D1"/>
    <mergeCell ref="B3:D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D34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8" customWidth="1" min="3" max="3"/>
    <col width="55" customWidth="1" min="4" max="4"/>
  </cols>
  <sheetData>
    <row r="1">
      <c r="B1" s="9" t="inlineStr">
        <is>
          <t>LOAN SIZING — LTV / DSCR / Debt Yield (live formulas)</t>
        </is>
      </c>
    </row>
    <row r="3">
      <c r="B3" s="10" t="inlineStr">
        <is>
          <t>Rates &amp; valuation</t>
        </is>
      </c>
    </row>
    <row r="4">
      <c r="B4" t="inlineStr">
        <is>
          <t>Contract rate</t>
        </is>
      </c>
      <c r="C4" s="33">
        <f>Assumptions!C25</f>
        <v/>
      </c>
    </row>
    <row r="5">
      <c r="B5" t="inlineStr">
        <is>
          <t>Sizing rate (greater of contract &amp; floor)</t>
        </is>
      </c>
      <c r="C5" s="18">
        <f>MAX(Assumptions!C25,Assumptions!C26)</f>
        <v/>
      </c>
    </row>
    <row r="6">
      <c r="B6" t="inlineStr">
        <is>
          <t>Cap rate</t>
        </is>
      </c>
      <c r="C6" s="34">
        <f>Assumptions!C7</f>
        <v/>
      </c>
    </row>
    <row r="7">
      <c r="B7" s="7" t="inlineStr">
        <is>
          <t>Indicative value = UW NOI (before reserves) / cap rate</t>
        </is>
      </c>
      <c r="C7" s="27">
        <f>Underwriting!C20/C6</f>
        <v/>
      </c>
    </row>
    <row r="9">
      <c r="B9" s="10" t="inlineStr">
        <is>
          <t>Debt constants</t>
        </is>
      </c>
    </row>
    <row r="10">
      <c r="B10" t="inlineStr">
        <is>
          <t>Amortization (months)</t>
        </is>
      </c>
      <c r="C10" s="35">
        <f>Assumptions!C28*12</f>
        <v/>
      </c>
    </row>
    <row r="11">
      <c r="B11" t="inlineStr">
        <is>
          <t>Monthly PMT per $1 principal at sizing rate</t>
        </is>
      </c>
      <c r="C11" s="36">
        <f>(C5/12)/(1-(1+C5/12)^-C10)</f>
        <v/>
      </c>
    </row>
    <row r="12">
      <c r="B12" s="7" t="inlineStr">
        <is>
          <t>Annual debt constant at sizing rate</t>
        </is>
      </c>
      <c r="C12" s="37">
        <f>C11*12</f>
        <v/>
      </c>
    </row>
    <row r="13">
      <c r="B13" t="inlineStr">
        <is>
          <t>Annual debt constant at contract rate</t>
        </is>
      </c>
      <c r="C13" s="36">
        <f>((C4/12)/(1-(1+C4/12)^-C10))*12</f>
        <v/>
      </c>
    </row>
    <row r="15">
      <c r="B15" s="10" t="inlineStr">
        <is>
          <t>Constraint maxima</t>
        </is>
      </c>
    </row>
    <row r="16">
      <c r="B16" t="inlineStr">
        <is>
          <t>Max under LTV = value × max LTV</t>
        </is>
      </c>
      <c r="C16" s="38">
        <f>C7*Assumptions!C33</f>
        <v/>
      </c>
    </row>
    <row r="17">
      <c r="B17" t="inlineStr">
        <is>
          <t>Max under DSCR = NCF / (min DSCR × ADC sizing)</t>
        </is>
      </c>
      <c r="C17" s="38">
        <f>Underwriting!C22/(Assumptions!C34*C12)</f>
        <v/>
      </c>
    </row>
    <row r="18">
      <c r="B18" t="inlineStr">
        <is>
          <t>Max under Debt Yield = NOI / min DY</t>
        </is>
      </c>
      <c r="C18" s="38">
        <f>Underwriting!C20/Assumptions!C35</f>
        <v/>
      </c>
    </row>
    <row r="19">
      <c r="B19" s="7" t="inlineStr">
        <is>
          <t>MAXIMUM LOAN (min of three)</t>
        </is>
      </c>
      <c r="C19" s="27">
        <f>MIN(C16:C18)</f>
        <v/>
      </c>
    </row>
    <row r="20">
      <c r="B20" s="7" t="inlineStr">
        <is>
          <t>Binding constraint</t>
        </is>
      </c>
      <c r="C20" s="39">
        <f>IF(C19=C16,"LTV",IF(C19=C17,"DSCR","Debt yield"))</f>
        <v/>
      </c>
    </row>
    <row r="22">
      <c r="B22" s="10" t="inlineStr">
        <is>
          <t>Debt-service checks</t>
        </is>
      </c>
    </row>
    <row r="23">
      <c r="B23" t="inlineStr">
        <is>
          <t>Sizing annual debt service (at sizing rate)</t>
        </is>
      </c>
      <c r="C23" s="40">
        <f>C19*C12</f>
        <v/>
      </c>
    </row>
    <row r="24">
      <c r="B24" t="inlineStr">
        <is>
          <t>Sizing DSCR (NCF / sizing DS)</t>
        </is>
      </c>
      <c r="C24" s="41">
        <f>Underwriting!C22/C23</f>
        <v/>
      </c>
    </row>
    <row r="25">
      <c r="B25" t="inlineStr">
        <is>
          <t>Sizing debt yield (NOI / loan)</t>
        </is>
      </c>
      <c r="C25" s="42">
        <f>Underwriting!C20/C19</f>
        <v/>
      </c>
    </row>
    <row r="26">
      <c r="B26" t="inlineStr">
        <is>
          <t>First-year contractual debt service (at contract rate, IO = 0)</t>
        </is>
      </c>
      <c r="C26" s="40">
        <f>C19*C13</f>
        <v/>
      </c>
    </row>
    <row r="27">
      <c r="B27" t="inlineStr">
        <is>
          <t>First-year contractual DSCR (NCF / first-year DS)</t>
        </is>
      </c>
      <c r="C27" s="43">
        <f>Underwriting!C22/C26</f>
        <v/>
      </c>
    </row>
    <row r="29">
      <c r="B29" s="10" t="inlineStr">
        <is>
          <t>Sources &amp; Uses</t>
        </is>
      </c>
    </row>
    <row r="30">
      <c r="B30" t="inlineStr">
        <is>
          <t>Loan proceeds (max loan)</t>
        </is>
      </c>
      <c r="C30" s="38">
        <f>C19</f>
        <v/>
      </c>
    </row>
    <row r="31">
      <c r="B31" t="inlineStr">
        <is>
          <t>Less: existing debt payoff</t>
        </is>
      </c>
      <c r="C31" s="44">
        <f>-Assumptions!C38</f>
        <v/>
      </c>
    </row>
    <row r="32">
      <c r="B32" t="inlineStr">
        <is>
          <t>Less: origination fee (% of loan)</t>
        </is>
      </c>
      <c r="C32" s="44">
        <f>-C19*Assumptions!C31</f>
        <v/>
      </c>
    </row>
    <row r="33">
      <c r="B33" t="inlineStr">
        <is>
          <t>Less: fixed closing costs</t>
        </is>
      </c>
      <c r="C33" s="44">
        <f>-Assumptions!C39</f>
        <v/>
      </c>
    </row>
    <row r="34">
      <c r="B34" s="7" t="inlineStr">
        <is>
          <t>Cash to / (from) borrower</t>
        </is>
      </c>
      <c r="C34" s="45">
        <f>SUM(C30:C33)</f>
        <v/>
      </c>
    </row>
  </sheetData>
  <mergeCells count="6">
    <mergeCell ref="B3:D3"/>
    <mergeCell ref="B29:D29"/>
    <mergeCell ref="B1:D1"/>
    <mergeCell ref="B22:D22"/>
    <mergeCell ref="B9:D9"/>
    <mergeCell ref="B15:D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E29"/>
  <sheetViews>
    <sheetView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8" customWidth="1" min="3" max="3"/>
    <col width="18" customWidth="1" min="4" max="4"/>
    <col width="18" customWidth="1" min="5" max="5"/>
  </cols>
  <sheetData>
    <row r="1">
      <c r="B1" s="9" t="inlineStr">
        <is>
          <t>SENSITIVITY — Combined downside &amp; cap-rate stress</t>
        </is>
      </c>
    </row>
    <row r="3">
      <c r="C3" s="19" t="inlineStr">
        <is>
          <t>Base Case</t>
        </is>
      </c>
      <c r="D3" s="19" t="inlineStr">
        <is>
          <t>EGI -5%  (mgmt recalc)</t>
        </is>
      </c>
      <c r="E3" s="19" t="inlineStr">
        <is>
          <t>Combined (EGI-5% + rate+100bps)</t>
        </is>
      </c>
    </row>
    <row r="4">
      <c r="B4" t="inlineStr">
        <is>
          <t>EGI</t>
        </is>
      </c>
      <c r="C4" s="32">
        <f>Underwriting!C8</f>
        <v/>
      </c>
      <c r="D4" s="32">
        <f>C4*(1+Assumptions!C36)</f>
        <v/>
      </c>
      <c r="E4" s="32">
        <f>C4*(1+Assumptions!C36)</f>
        <v/>
      </c>
    </row>
    <row r="5">
      <c r="B5" t="inlineStr">
        <is>
          <t>Management fee (max of T12 &amp; 4% EGI)</t>
        </is>
      </c>
      <c r="C5" s="31">
        <f>MAX(Assumptions!C20,Assumptions!C21*C4)</f>
        <v/>
      </c>
      <c r="D5" s="31">
        <f>MAX(Assumptions!C20,Assumptions!C21*D4)</f>
        <v/>
      </c>
      <c r="E5" s="31">
        <f>MAX(Assumptions!C20,Assumptions!C21*E4)</f>
        <v/>
      </c>
    </row>
    <row r="6">
      <c r="B6" t="inlineStr">
        <is>
          <t>All other operating expenses (unchanged)</t>
        </is>
      </c>
      <c r="C6" s="31">
        <f>Assumptions!C14+Assumptions!C15+Assumptions!C16+Assumptions!C17+Assumptions!C18+Assumptions!C19</f>
        <v/>
      </c>
      <c r="D6" s="31">
        <f>Assumptions!C14+Assumptions!C15+Assumptions!C16+Assumptions!C17+Assumptions!C18+Assumptions!C19</f>
        <v/>
      </c>
      <c r="E6" s="31">
        <f>Assumptions!C14+Assumptions!C15+Assumptions!C16+Assumptions!C17+Assumptions!C18+Assumptions!C19</f>
        <v/>
      </c>
    </row>
    <row r="7">
      <c r="B7" s="7" t="inlineStr">
        <is>
          <t>Total operating expenses</t>
        </is>
      </c>
      <c r="C7" s="26">
        <f>C5+C6</f>
        <v/>
      </c>
      <c r="D7" s="26">
        <f>D5+D6</f>
        <v/>
      </c>
      <c r="E7" s="26">
        <f>E5+E6</f>
        <v/>
      </c>
    </row>
    <row r="8">
      <c r="B8" s="7" t="inlineStr">
        <is>
          <t>NOI before reserves</t>
        </is>
      </c>
      <c r="C8" s="26">
        <f>C4-C7</f>
        <v/>
      </c>
      <c r="D8" s="26">
        <f>D4-D7</f>
        <v/>
      </c>
      <c r="E8" s="26">
        <f>E4-E7</f>
        <v/>
      </c>
    </row>
    <row r="9">
      <c r="B9" t="inlineStr">
        <is>
          <t>Replacement reserves</t>
        </is>
      </c>
      <c r="C9" s="31">
        <f>Assumptions!C23*Assumptions!C4</f>
        <v/>
      </c>
      <c r="D9" s="31">
        <f>Assumptions!C23*Assumptions!C4</f>
        <v/>
      </c>
      <c r="E9" s="31">
        <f>Assumptions!C23*Assumptions!C4</f>
        <v/>
      </c>
    </row>
    <row r="10">
      <c r="B10" s="7" t="inlineStr">
        <is>
          <t>NCF after reserves</t>
        </is>
      </c>
      <c r="C10" s="26">
        <f>C8-C9</f>
        <v/>
      </c>
      <c r="D10" s="26">
        <f>D8-D9</f>
        <v/>
      </c>
      <c r="E10" s="26">
        <f>E8-E9</f>
        <v/>
      </c>
    </row>
    <row r="12">
      <c r="B12" t="inlineStr">
        <is>
          <t>Sizing rate</t>
        </is>
      </c>
      <c r="C12" s="33">
        <f>MAX(Assumptions!C25,Assumptions!C26)</f>
        <v/>
      </c>
      <c r="D12" s="33">
        <f>MAX(Assumptions!C25,Assumptions!C26)</f>
        <v/>
      </c>
      <c r="E12" s="46">
        <f>MAX(Assumptions!C25,Assumptions!C26)+Assumptions!C27</f>
        <v/>
      </c>
    </row>
    <row r="13">
      <c r="B13" t="inlineStr">
        <is>
          <t>Annual debt constant</t>
        </is>
      </c>
      <c r="C13" s="36">
        <f>((C12/12)/(1-(1+C12/12)^-(Assumptions!C28*12)))*12</f>
        <v/>
      </c>
      <c r="D13" s="36">
        <f>((D12/12)/(1-(1+D12/12)^-(Assumptions!C28*12)))*12</f>
        <v/>
      </c>
      <c r="E13" s="36">
        <f>((E12/12)/(1-(1+E12/12)^-(Assumptions!C28*12)))*12</f>
        <v/>
      </c>
    </row>
    <row r="14">
      <c r="B14" t="inlineStr">
        <is>
          <t>Cap rate (unchanged in combined downside)</t>
        </is>
      </c>
      <c r="C14" s="34">
        <f>Assumptions!C7</f>
        <v/>
      </c>
      <c r="D14" s="34">
        <f>Assumptions!C7</f>
        <v/>
      </c>
      <c r="E14" s="34">
        <f>Assumptions!C7</f>
        <v/>
      </c>
    </row>
    <row r="15">
      <c r="B15" t="inlineStr">
        <is>
          <t>Indicative value</t>
        </is>
      </c>
      <c r="C15" s="38">
        <f>C8/C14</f>
        <v/>
      </c>
      <c r="D15" s="38">
        <f>D8/D14</f>
        <v/>
      </c>
      <c r="E15" s="38">
        <f>E8/E14</f>
        <v/>
      </c>
    </row>
    <row r="16">
      <c r="B16" t="inlineStr">
        <is>
          <t>Max under LTV</t>
        </is>
      </c>
      <c r="C16" s="38">
        <f>C15*Assumptions!C33</f>
        <v/>
      </c>
      <c r="D16" s="38">
        <f>D15*Assumptions!C33</f>
        <v/>
      </c>
      <c r="E16" s="38">
        <f>E15*Assumptions!C33</f>
        <v/>
      </c>
    </row>
    <row r="17">
      <c r="B17" t="inlineStr">
        <is>
          <t>Max under DSCR</t>
        </is>
      </c>
      <c r="C17" s="38">
        <f>C10/(Assumptions!C34*C13)</f>
        <v/>
      </c>
      <c r="D17" s="38">
        <f>D10/(Assumptions!C34*D13)</f>
        <v/>
      </c>
      <c r="E17" s="38">
        <f>E10/(Assumptions!C34*E13)</f>
        <v/>
      </c>
    </row>
    <row r="18">
      <c r="B18" t="inlineStr">
        <is>
          <t>Max under Debt Yield</t>
        </is>
      </c>
      <c r="C18" s="38">
        <f>C8/Assumptions!C35</f>
        <v/>
      </c>
      <c r="D18" s="38">
        <f>D8/Assumptions!C35</f>
        <v/>
      </c>
      <c r="E18" s="38">
        <f>E8/Assumptions!C35</f>
        <v/>
      </c>
    </row>
    <row r="19">
      <c r="B19" s="7" t="inlineStr">
        <is>
          <t>MAXIMUM LOAN</t>
        </is>
      </c>
      <c r="C19" s="27">
        <f>MIN(C16,C17,C18)</f>
        <v/>
      </c>
      <c r="D19" s="27">
        <f>MIN(D16,D17,D18)</f>
        <v/>
      </c>
      <c r="E19" s="27">
        <f>MIN(E16,E17,E18)</f>
        <v/>
      </c>
    </row>
    <row r="20">
      <c r="B20" s="7" t="inlineStr">
        <is>
          <t>Binding constraint</t>
        </is>
      </c>
      <c r="C20" s="39">
        <f>IF(C19=C16,"LTV",IF(C19=C17,"DSCR","Debt yield"))</f>
        <v/>
      </c>
      <c r="D20" s="39">
        <f>IF(D19=D16,"LTV",IF(D19=D17,"DSCR","Debt yield"))</f>
        <v/>
      </c>
      <c r="E20" s="39">
        <f>IF(E19=E16,"LTV",IF(E19=E17,"DSCR","Debt yield"))</f>
        <v/>
      </c>
    </row>
    <row r="22">
      <c r="B22" s="10" t="inlineStr">
        <is>
          <t>Separate case — cap rate +50 bps (all other assumptions unchanged)</t>
        </is>
      </c>
    </row>
    <row r="23">
      <c r="B23" t="inlineStr">
        <is>
          <t>Stressed cap rate</t>
        </is>
      </c>
      <c r="C23" s="42">
        <f>Assumptions!C7+Assumptions!C8</f>
        <v/>
      </c>
    </row>
    <row r="24">
      <c r="B24" t="inlineStr">
        <is>
          <t>Indicative value (stressed cap)</t>
        </is>
      </c>
      <c r="C24" s="40">
        <f>Underwriting!C20/C23</f>
        <v/>
      </c>
    </row>
    <row r="25">
      <c r="B25" t="inlineStr">
        <is>
          <t>Max under LTV (stressed cap)</t>
        </is>
      </c>
      <c r="C25" s="38">
        <f>C24*Assumptions!C33</f>
        <v/>
      </c>
    </row>
    <row r="26">
      <c r="B26" t="inlineStr">
        <is>
          <t>Max under DSCR (base rate)</t>
        </is>
      </c>
      <c r="C26" s="38">
        <f>Underwriting!C22/(Assumptions!C34*'Loan Sizing'!C12)</f>
        <v/>
      </c>
    </row>
    <row r="27">
      <c r="B27" t="inlineStr">
        <is>
          <t>Max under Debt Yield (base)</t>
        </is>
      </c>
      <c r="C27" s="38">
        <f>Underwriting!C20/Assumptions!C35</f>
        <v/>
      </c>
    </row>
    <row r="28">
      <c r="B28" s="7" t="inlineStr">
        <is>
          <t>MAXIMUM LOAN (cap +50 bps)</t>
        </is>
      </c>
      <c r="C28" s="27">
        <f>MIN(C25,C26,C27)</f>
        <v/>
      </c>
    </row>
    <row r="29">
      <c r="B29" s="7" t="inlineStr">
        <is>
          <t>Binding constraint</t>
        </is>
      </c>
      <c r="C29" s="39">
        <f>IF(C28=C25,"LTV",IF(C28=C26,"DSCR","Debt yield"))</f>
        <v/>
      </c>
    </row>
  </sheetData>
  <mergeCells count="4">
    <mergeCell ref="B22:E22"/>
    <mergeCell ref="B1:D1"/>
    <mergeCell ref="B1:E1"/>
    <mergeCell ref="B22:D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D44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22" customWidth="1" min="3" max="3"/>
    <col width="55" customWidth="1" min="4" max="4"/>
  </cols>
  <sheetData>
    <row r="1">
      <c r="B1" s="9" t="inlineStr">
        <is>
          <t>REQUESTED REPORTING FIELDS</t>
        </is>
      </c>
    </row>
    <row r="3">
      <c r="B3" s="19" t="inlineStr">
        <is>
          <t>Field ID</t>
        </is>
      </c>
      <c r="C3" s="19" t="inlineStr">
        <is>
          <t>Value / formula</t>
        </is>
      </c>
      <c r="D3" s="19" t="inlineStr">
        <is>
          <t>Source</t>
        </is>
      </c>
    </row>
    <row r="4">
      <c r="B4" s="47" t="inlineStr">
        <is>
          <t>space_count</t>
        </is>
      </c>
      <c r="C4" s="48">
        <f>'Rent Roll'!C15</f>
        <v/>
      </c>
      <c r="D4" s="49" t="inlineStr">
        <is>
          <t>Rent-Roll.xlsx, Rent Roll sheet</t>
        </is>
      </c>
    </row>
    <row r="5">
      <c r="B5" s="47" t="inlineStr">
        <is>
          <t>occupied_count</t>
        </is>
      </c>
      <c r="C5" s="48">
        <f>'Rent Roll'!C16</f>
        <v/>
      </c>
      <c r="D5" s="49" t="inlineStr">
        <is>
          <t>Rent-Roll.xlsx, Rent Roll sheet</t>
        </is>
      </c>
    </row>
    <row r="6">
      <c r="B6" s="47" t="inlineStr">
        <is>
          <t>total_area_sf</t>
        </is>
      </c>
      <c r="C6" s="26">
        <f>'Rent Roll'!C17</f>
        <v/>
      </c>
      <c r="D6" s="49" t="inlineStr">
        <is>
          <t>Rent-Roll.xlsx</t>
        </is>
      </c>
    </row>
    <row r="7">
      <c r="B7" s="47" t="inlineStr">
        <is>
          <t>occupied_area_sf</t>
        </is>
      </c>
      <c r="C7" s="26">
        <f>'Rent Roll'!C18</f>
        <v/>
      </c>
      <c r="D7" s="49" t="inlineStr">
        <is>
          <t>Rent-Roll.xlsx</t>
        </is>
      </c>
    </row>
    <row r="8">
      <c r="B8" s="47" t="inlineStr">
        <is>
          <t>occupancy_count_pct</t>
        </is>
      </c>
      <c r="C8" s="50">
        <f>'Rent Roll'!C19*100</f>
        <v/>
      </c>
      <c r="D8" s="49" t="inlineStr">
        <is>
          <t>Derived</t>
        </is>
      </c>
    </row>
    <row r="9">
      <c r="B9" s="47" t="inlineStr">
        <is>
          <t>occupancy_area_pct</t>
        </is>
      </c>
      <c r="C9" s="50">
        <f>'Rent Roll'!C20*100</f>
        <v/>
      </c>
      <c r="D9" s="49" t="inlineStr">
        <is>
          <t>Derived</t>
        </is>
      </c>
    </row>
    <row r="10">
      <c r="B10" s="47" t="inlineStr">
        <is>
          <t>rent_roll_monthly_base</t>
        </is>
      </c>
      <c r="C10" s="27" t="n">
        <v>48600</v>
      </c>
      <c r="D10" s="49" t="inlineStr">
        <is>
          <t>Rent-Roll.xlsx sum as printed (Unit 101 $7,000)</t>
        </is>
      </c>
    </row>
    <row r="11">
      <c r="B11" s="47" t="inlineStr">
        <is>
          <t>effective_monthly_base</t>
        </is>
      </c>
      <c r="C11" s="27">
        <f>'Rent Roll'!C22</f>
        <v/>
      </c>
      <c r="D11" s="49" t="inlineStr">
        <is>
          <t>Rent-Roll.xlsx + Lease-File.pdf p.2 First Amendment ($7,500)</t>
        </is>
      </c>
    </row>
    <row r="12">
      <c r="B12" s="47" t="inlineStr">
        <is>
          <t>t12_egi</t>
        </is>
      </c>
      <c r="C12" s="27">
        <f>T12!C9</f>
        <v/>
      </c>
      <c r="D12" s="49" t="inlineStr">
        <is>
          <t>T12-Statement.pdf Annual column</t>
        </is>
      </c>
    </row>
    <row r="13">
      <c r="B13" s="47" t="inlineStr">
        <is>
          <t>t12_operating_expenses</t>
        </is>
      </c>
      <c r="C13" s="27">
        <f>T12!C19</f>
        <v/>
      </c>
      <c r="D13" s="49" t="inlineStr">
        <is>
          <t>T12-Statement.pdf</t>
        </is>
      </c>
    </row>
    <row r="14">
      <c r="B14" s="47" t="inlineStr">
        <is>
          <t>t12_noi_before_reserves</t>
        </is>
      </c>
      <c r="C14" s="27">
        <f>T12!C21</f>
        <v/>
      </c>
      <c r="D14" s="49" t="inlineStr">
        <is>
          <t>Derived</t>
        </is>
      </c>
    </row>
    <row r="15">
      <c r="B15" s="47" t="inlineStr">
        <is>
          <t>t12_reserves</t>
        </is>
      </c>
      <c r="C15" s="27">
        <f>T12!C22</f>
        <v/>
      </c>
      <c r="D15" s="49" t="inlineStr">
        <is>
          <t>T12-Statement.pdf</t>
        </is>
      </c>
    </row>
    <row r="16">
      <c r="B16" s="47" t="inlineStr">
        <is>
          <t>t12_ncf</t>
        </is>
      </c>
      <c r="C16" s="27">
        <f>T12!C21-T12!C22</f>
        <v/>
      </c>
      <c r="D16" s="49" t="inlineStr">
        <is>
          <t>Derived</t>
        </is>
      </c>
    </row>
    <row r="17">
      <c r="B17" s="47" t="inlineStr">
        <is>
          <t>uw_egi</t>
        </is>
      </c>
      <c r="C17" s="27">
        <f>Underwriting!C8</f>
        <v/>
      </c>
      <c r="D17" s="49" t="inlineStr">
        <is>
          <t>Property-and-Plan.pdf p.2</t>
        </is>
      </c>
    </row>
    <row r="18">
      <c r="B18" s="47" t="inlineStr">
        <is>
          <t>uw_management_fee</t>
        </is>
      </c>
      <c r="C18" s="27">
        <f>Underwriting!C17</f>
        <v/>
      </c>
      <c r="D18" s="49" t="inlineStr">
        <is>
          <t>Plan: greater of T12 &amp; 4% EGI</t>
        </is>
      </c>
    </row>
    <row r="19">
      <c r="B19" s="47" t="inlineStr">
        <is>
          <t>uw_operating_expenses</t>
        </is>
      </c>
      <c r="C19" s="27">
        <f>Underwriting!C18</f>
        <v/>
      </c>
      <c r="D19" s="49" t="inlineStr">
        <is>
          <t>Derived</t>
        </is>
      </c>
    </row>
    <row r="20">
      <c r="B20" s="47" t="inlineStr">
        <is>
          <t>uw_noi_before_reserves</t>
        </is>
      </c>
      <c r="C20" s="27">
        <f>Underwriting!C20</f>
        <v/>
      </c>
      <c r="D20" s="49" t="inlineStr">
        <is>
          <t>Derived</t>
        </is>
      </c>
    </row>
    <row r="21">
      <c r="B21" s="47" t="inlineStr">
        <is>
          <t>uw_reserves</t>
        </is>
      </c>
      <c r="C21" s="27">
        <f>Assumptions!C23*Assumptions!C4</f>
        <v/>
      </c>
      <c r="D21" s="49" t="inlineStr">
        <is>
          <t>Plan: $0.20/SF × total SF</t>
        </is>
      </c>
    </row>
    <row r="22">
      <c r="B22" s="47" t="inlineStr">
        <is>
          <t>uw_ncf</t>
        </is>
      </c>
      <c r="C22" s="27">
        <f>Underwriting!C22</f>
        <v/>
      </c>
      <c r="D22" s="49" t="inlineStr">
        <is>
          <t>Derived</t>
        </is>
      </c>
    </row>
    <row r="23">
      <c r="B23" s="47" t="inlineStr">
        <is>
          <t>capitalization_value</t>
        </is>
      </c>
      <c r="C23" s="27">
        <f>'Loan Sizing'!C7</f>
        <v/>
      </c>
      <c r="D23" s="49">
        <f> UW NOI / cap rate</f>
        <v/>
      </c>
    </row>
    <row r="24">
      <c r="B24" s="47" t="inlineStr">
        <is>
          <t>contract_rate</t>
        </is>
      </c>
      <c r="C24" s="18">
        <f>'Loan Sizing'!C4</f>
        <v/>
      </c>
      <c r="D24" s="49" t="inlineStr">
        <is>
          <t>Lender-Terms.pdf</t>
        </is>
      </c>
    </row>
    <row r="25">
      <c r="B25" s="47" t="inlineStr">
        <is>
          <t>sizing_rate</t>
        </is>
      </c>
      <c r="C25" s="18">
        <f>'Loan Sizing'!C5</f>
        <v/>
      </c>
      <c r="D25" s="49" t="inlineStr">
        <is>
          <t>Lender-Terms.pdf</t>
        </is>
      </c>
    </row>
    <row r="26">
      <c r="B26" s="47" t="inlineStr">
        <is>
          <t>annual_debt_constant</t>
        </is>
      </c>
      <c r="C26" s="37">
        <f>'Loan Sizing'!C12</f>
        <v/>
      </c>
      <c r="D26" s="49" t="inlineStr">
        <is>
          <t>Derived</t>
        </is>
      </c>
    </row>
    <row r="27">
      <c r="B27" s="47" t="inlineStr">
        <is>
          <t>ltv_limit</t>
        </is>
      </c>
      <c r="C27" s="27">
        <f>'Loan Sizing'!C16</f>
        <v/>
      </c>
      <c r="D27" s="49" t="inlineStr">
        <is>
          <t>Derived</t>
        </is>
      </c>
    </row>
    <row r="28">
      <c r="B28" s="47" t="inlineStr">
        <is>
          <t>dscr_limit</t>
        </is>
      </c>
      <c r="C28" s="27">
        <f>'Loan Sizing'!C17</f>
        <v/>
      </c>
      <c r="D28" s="49" t="inlineStr">
        <is>
          <t>Derived</t>
        </is>
      </c>
    </row>
    <row r="29">
      <c r="B29" s="47" t="inlineStr">
        <is>
          <t>debt_yield_limit</t>
        </is>
      </c>
      <c r="C29" s="27">
        <f>'Loan Sizing'!C18</f>
        <v/>
      </c>
      <c r="D29" s="49" t="inlineStr">
        <is>
          <t>Derived</t>
        </is>
      </c>
    </row>
    <row r="30">
      <c r="B30" s="47" t="inlineStr">
        <is>
          <t>maximum_loan</t>
        </is>
      </c>
      <c r="C30" s="27">
        <f>'Loan Sizing'!C19</f>
        <v/>
      </c>
      <c r="D30" s="49" t="inlineStr">
        <is>
          <t>Min of three</t>
        </is>
      </c>
    </row>
    <row r="31">
      <c r="B31" s="47" t="inlineStr">
        <is>
          <t>binding_constraint</t>
        </is>
      </c>
      <c r="C31" s="24">
        <f>'Loan Sizing'!C20</f>
        <v/>
      </c>
      <c r="D31" s="49" t="inlineStr">
        <is>
          <t>Derived</t>
        </is>
      </c>
    </row>
    <row r="32">
      <c r="B32" s="47" t="inlineStr">
        <is>
          <t>sizing_annual_debt_service</t>
        </is>
      </c>
      <c r="C32" s="27">
        <f>'Loan Sizing'!C23</f>
        <v/>
      </c>
      <c r="D32" s="49" t="inlineStr">
        <is>
          <t>Derived</t>
        </is>
      </c>
    </row>
    <row r="33">
      <c r="B33" s="47" t="inlineStr">
        <is>
          <t>sizing_dscr</t>
        </is>
      </c>
      <c r="C33" s="51">
        <f>'Loan Sizing'!C24</f>
        <v/>
      </c>
      <c r="D33" s="49" t="inlineStr">
        <is>
          <t>Derived</t>
        </is>
      </c>
    </row>
    <row r="34">
      <c r="B34" s="47" t="inlineStr">
        <is>
          <t>sizing_debt_yield</t>
        </is>
      </c>
      <c r="C34" s="28">
        <f>'Loan Sizing'!C25</f>
        <v/>
      </c>
      <c r="D34" s="49" t="inlineStr">
        <is>
          <t>Derived</t>
        </is>
      </c>
    </row>
    <row r="35">
      <c r="B35" s="47" t="inlineStr">
        <is>
          <t>first_year_debt_service</t>
        </is>
      </c>
      <c r="C35" s="27">
        <f>'Loan Sizing'!C26</f>
        <v/>
      </c>
      <c r="D35" s="49" t="inlineStr">
        <is>
          <t>Contract rate × ADC(contract) × loan</t>
        </is>
      </c>
    </row>
    <row r="36">
      <c r="B36" s="47" t="inlineStr">
        <is>
          <t>cash_to_borrower</t>
        </is>
      </c>
      <c r="C36" s="27">
        <f>'Loan Sizing'!C34</f>
        <v/>
      </c>
      <c r="D36" s="49" t="inlineStr">
        <is>
          <t>Derived</t>
        </is>
      </c>
    </row>
    <row r="37">
      <c r="B37" s="47" t="inlineStr">
        <is>
          <t>stress_uw_noi</t>
        </is>
      </c>
      <c r="C37" s="27">
        <f>Sensitivity!D8</f>
        <v/>
      </c>
      <c r="D37" s="49" t="inlineStr">
        <is>
          <t>EGI -5%, mgmt recalc — NOI before reserves</t>
        </is>
      </c>
    </row>
    <row r="38">
      <c r="B38" s="47" t="inlineStr">
        <is>
          <t>stress_maximum_loan</t>
        </is>
      </c>
      <c r="C38" s="27">
        <f>Sensitivity!E19</f>
        <v/>
      </c>
      <c r="D38" s="49" t="inlineStr">
        <is>
          <t>EGI -5% AND sizing +100 bps</t>
        </is>
      </c>
    </row>
    <row r="39">
      <c r="B39" s="47" t="inlineStr">
        <is>
          <t>subject_lease_monthly_rent</t>
        </is>
      </c>
      <c r="C39" s="27" t="n">
        <v>7500</v>
      </c>
      <c r="D39" s="49" t="inlineStr">
        <is>
          <t>Lease-File.pdf p.2 First Amendment</t>
        </is>
      </c>
    </row>
    <row r="40">
      <c r="B40" s="47" t="inlineStr">
        <is>
          <t>subject_lease_expiry</t>
        </is>
      </c>
      <c r="C40" s="24" t="inlineStr">
        <is>
          <t>2031-08-31</t>
        </is>
      </c>
      <c r="D40" s="49" t="inlineStr">
        <is>
          <t>Lease-File.pdf §2 (renewal not exercised)</t>
        </is>
      </c>
    </row>
    <row r="41">
      <c r="B41" s="47" t="inlineStr">
        <is>
          <t>subject_lease_deposit</t>
        </is>
      </c>
      <c r="C41" s="27" t="n">
        <v>15000</v>
      </c>
      <c r="D41" s="49" t="inlineStr">
        <is>
          <t>Lease-File.pdf §4</t>
        </is>
      </c>
    </row>
    <row r="42">
      <c r="B42" s="47" t="inlineStr">
        <is>
          <t>verified_renewal_insurance</t>
        </is>
      </c>
      <c r="C42" s="27" t="n">
        <v>27600</v>
      </c>
      <c r="D42" s="49" t="inlineStr">
        <is>
          <t>Property-and-Plan.pdf p.2 (fictional renewal quote)</t>
        </is>
      </c>
    </row>
    <row r="43">
      <c r="B43" s="47" t="inlineStr">
        <is>
          <t>renewal_option_exercised</t>
        </is>
      </c>
      <c r="C43" s="24" t="inlineStr">
        <is>
          <t>No</t>
        </is>
      </c>
      <c r="D43" s="49" t="inlineStr">
        <is>
          <t>Lease-File.pdf §5 — no exercise notice in packet</t>
        </is>
      </c>
    </row>
    <row r="44">
      <c r="B44" s="47" t="inlineStr">
        <is>
          <t>prepayment_friction</t>
        </is>
      </c>
      <c r="C44" s="24" t="inlineStr">
        <is>
          <t>1% of outstanding principal in years 1-2; none thereafter; no swap.</t>
        </is>
      </c>
      <c r="D44" s="49" t="inlineStr">
        <is>
          <t>Lender-Terms.pdf</t>
        </is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2026-09-06T21:49:52Z</dcterms:created>
  <dcterms:modified xmlns:dcterms="http://purl.org/dc/terms/" xmlns:xsi="http://www.w3.org/2001/XMLSchema-instance" xsi:type="dcterms:W3CDTF">2026-09-06T21:49:52Z</dcterms:modified>
</cp:coreProperties>
</file>