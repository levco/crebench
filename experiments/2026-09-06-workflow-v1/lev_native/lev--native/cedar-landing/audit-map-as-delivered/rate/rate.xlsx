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Underwriting" sheetId="3" state="visible" r:id="rId5"/>
    <sheet name="Loan Sizing" sheetId="4" state="visible" r:id="rId6"/>
    <sheet name="Sensitivity" sheetId="5" state="visible" r:id="rId7"/>
    <sheet name="Rent Roll" sheetId="6" state="visible" r:id="rId8"/>
    <sheet name="Field IDs" sheetId="7" state="visible" r:id="rId9"/>
  </sheets>
  <definedNames>
    <definedName function="false" hidden="false" name="ADC" vbProcedure="false">'Loan Sizing'!$C$11</definedName>
    <definedName function="false" hidden="false" name="AmortYears" vbProcedure="false">Assumptions!$C$11</definedName>
    <definedName function="false" hidden="false" name="CapRate" vbProcedure="false">Assumptions!$C$7</definedName>
    <definedName function="false" hidden="false" name="CapValue" vbProcedure="false">Underwriting!$H$20</definedName>
    <definedName function="false" hidden="false" name="ContractRate" vbProcedure="false">Assumptions!$C$8</definedName>
    <definedName function="false" hidden="false" name="DSCRmin" vbProcedure="false">Assumptions!$C$15</definedName>
    <definedName function="false" hidden="false" name="DYmin" vbProcedure="false">Assumptions!$C$16</definedName>
    <definedName function="false" hidden="false" name="ExistingPayoff" vbProcedure="false">Assumptions!$C$18</definedName>
    <definedName function="false" hidden="false" name="FixedCosts" vbProcedure="false">Assumptions!$C$19</definedName>
    <definedName function="false" hidden="false" name="IOMonths" vbProcedure="false">Assumptions!$C$12</definedName>
    <definedName function="false" hidden="false" name="LTVmax" vbProcedure="false">Assumptions!$C$14</definedName>
    <definedName function="false" hidden="false" name="Maturity" vbProcedure="false">Assumptions!$C$13</definedName>
    <definedName function="false" hidden="false" name="MaxLoan" vbProcedure="false">'Loan Sizing'!$C$17</definedName>
    <definedName function="false" hidden="false" name="MgmtDollarFloor" vbProcedure="false">Assumptions!$C$25</definedName>
    <definedName function="false" hidden="false" name="MgmtPct" vbProcedure="false">Assumptions!$C$24</definedName>
    <definedName function="false" hidden="false" name="OrigFeePct" vbProcedure="false">Assumptions!$C$17</definedName>
    <definedName function="false" hidden="false" name="OtherInc" vbProcedure="false">Assumptions!$C$23</definedName>
    <definedName function="false" hidden="false" name="ResPerUnit" vbProcedure="false">Assumptions!$C$20</definedName>
    <definedName function="false" hidden="false" name="RevLossPct" vbProcedure="false">Assumptions!$C$22</definedName>
    <definedName function="false" hidden="false" name="SizingFloor" vbProcedure="false">Assumptions!$C$9</definedName>
    <definedName function="false" hidden="false" name="SizingRate" vbProcedure="false">Assumptions!$C$10</definedName>
    <definedName function="false" hidden="false" name="T12_EGI" vbProcedure="false">Underwriting!$C$10</definedName>
    <definedName function="false" hidden="false" name="T12_NCF" vbProcedure="false">Underwriting!$C$24</definedName>
    <definedName function="false" hidden="false" name="T12_NOI" vbProcedure="false">Underwriting!$C$22</definedName>
    <definedName function="false" hidden="false" name="T12_OpEx" vbProcedure="false">Underwriting!$C$20</definedName>
    <definedName function="false" hidden="false" name="TotalUnits" vbProcedure="false">Assumptions!$C$26</definedName>
    <definedName function="false" hidden="false" name="UW_EGI" vbProcedure="false">Underwriting!$D$10</definedName>
    <definedName function="false" hidden="false" name="UW_GPR" vbProcedure="false">Assumptions!$C$21</definedName>
    <definedName function="false" hidden="false" name="UW_MgmtFee" vbProcedure="false">Underwriting!$D$19</definedName>
    <definedName function="false" hidden="false" name="UW_NCF" vbProcedure="false">Underwriting!$D$24</definedName>
    <definedName function="false" hidden="false" name="UW_NOI" vbProcedure="false">Underwriting!$D$22</definedName>
    <definedName function="false" hidden="false" name="UW_OpEx" vbProcedure="false">Underwriting!$D$20</definedName>
    <definedName function="false" hidden="false" name="UW_Reserves" vbProcedure="false">Underwriting!$D$23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<sst xmlns="http://schemas.openxmlformats.org/spreadsheetml/2006/main" count="543" uniqueCount="375">
  <si>
    <t xml:space="preserve">Cedar Landing — Refinance Underwriting Workbook</t>
  </si>
  <si>
    <t xml:space="preserve">As-of: 2026-08-31 | Fictional scenario — internal analyst workbook</t>
  </si>
  <si>
    <t xml:space="preserve">How to use</t>
  </si>
  <si>
    <t xml:space="preserve">1) All editable assumptions are on the 'Assumptions' sheet, shaded YELLOW. Change any yellow cell and every other sheet recalculates.</t>
  </si>
  <si>
    <t xml:space="preserve">2) The 'Underwriting' sheet computes T12 historical, underwritten scenario, and capitalization value.</t>
  </si>
  <si>
    <t xml:space="preserve">3) The 'Loan Sizing' sheet solves LTV / DSCR / Debt Yield constraints, picks the binding minimum, and returns Sources &amp; Uses and cash to borrower.</t>
  </si>
  <si>
    <t xml:space="preserve">4) The 'Sensitivity' sheet runs (a) EGI −5% + sizing rate +100 bps combined downside (cap rate unchanged) and (b) cap rate +50 bps standalone.</t>
  </si>
  <si>
    <t xml:space="preserve">5) The 'Rent Roll' sheet holds the unit-level detail supporting the in-place monthly base.</t>
  </si>
  <si>
    <t xml:space="preserve">6) Yellow = editable input · Green = calculated output · Orange = binding constraint highlight.</t>
  </si>
  <si>
    <t xml:space="preserve">7) Every sizing formula uses named ranges (see Formulas tab in Excel &gt; Name Manager) so the intent is auditable.</t>
  </si>
  <si>
    <t xml:space="preserve">Input &amp; Output Map</t>
  </si>
  <si>
    <t xml:space="preserve">Sheet</t>
  </si>
  <si>
    <t xml:space="preserve">Cell / Range</t>
  </si>
  <si>
    <t xml:space="preserve">Item</t>
  </si>
  <si>
    <t xml:space="preserve">Type</t>
  </si>
  <si>
    <t xml:space="preserve">Assumptions</t>
  </si>
  <si>
    <t xml:space="preserve">C7</t>
  </si>
  <si>
    <t xml:space="preserve">Cap rate</t>
  </si>
  <si>
    <t xml:space="preserve">INPUT</t>
  </si>
  <si>
    <t xml:space="preserve">C8</t>
  </si>
  <si>
    <t xml:space="preserve">Contract rate</t>
  </si>
  <si>
    <t xml:space="preserve">C9</t>
  </si>
  <si>
    <t xml:space="preserve">Sizing rate floor</t>
  </si>
  <si>
    <t xml:space="preserve">C10</t>
  </si>
  <si>
    <t xml:space="preserve">Sizing rate (effective)</t>
  </si>
  <si>
    <t xml:space="preserve">OUTPUT</t>
  </si>
  <si>
    <t xml:space="preserve">C11</t>
  </si>
  <si>
    <t xml:space="preserve">Amortization (years)</t>
  </si>
  <si>
    <t xml:space="preserve">C12</t>
  </si>
  <si>
    <t xml:space="preserve">IO months</t>
  </si>
  <si>
    <t xml:space="preserve">C13</t>
  </si>
  <si>
    <t xml:space="preserve">Maturity (months)</t>
  </si>
  <si>
    <t xml:space="preserve">C14</t>
  </si>
  <si>
    <t xml:space="preserve">LTV max</t>
  </si>
  <si>
    <t xml:space="preserve">C15</t>
  </si>
  <si>
    <t xml:space="preserve">DSCR min</t>
  </si>
  <si>
    <t xml:space="preserve">C16</t>
  </si>
  <si>
    <t xml:space="preserve">Debt yield min</t>
  </si>
  <si>
    <t xml:space="preserve">C17</t>
  </si>
  <si>
    <t xml:space="preserve">Origination fee %</t>
  </si>
  <si>
    <t xml:space="preserve">C18</t>
  </si>
  <si>
    <t xml:space="preserve">Existing payoff</t>
  </si>
  <si>
    <t xml:space="preserve">C19</t>
  </si>
  <si>
    <t xml:space="preserve">Fixed closing costs</t>
  </si>
  <si>
    <t xml:space="preserve">C20</t>
  </si>
  <si>
    <t xml:space="preserve">Reserves per unit/yr</t>
  </si>
  <si>
    <t xml:space="preserve">C21</t>
  </si>
  <si>
    <t xml:space="preserve">Underwritten GPR</t>
  </si>
  <si>
    <t xml:space="preserve">C22</t>
  </si>
  <si>
    <t xml:space="preserve">Revenue loss %</t>
  </si>
  <si>
    <t xml:space="preserve">C23</t>
  </si>
  <si>
    <t xml:space="preserve">Other income</t>
  </si>
  <si>
    <t xml:space="preserve">C24</t>
  </si>
  <si>
    <t xml:space="preserve">Mgmt fee % floor</t>
  </si>
  <si>
    <t xml:space="preserve">C25</t>
  </si>
  <si>
    <t xml:space="preserve">Mgmt fee dollar floor (T12)</t>
  </si>
  <si>
    <t xml:space="preserve">C26</t>
  </si>
  <si>
    <t xml:space="preserve">Total units</t>
  </si>
  <si>
    <t xml:space="preserve">Underwriting</t>
  </si>
  <si>
    <t xml:space="preserve">G32</t>
  </si>
  <si>
    <t xml:space="preserve">Underwritten NOI before reserves</t>
  </si>
  <si>
    <t xml:space="preserve">G34</t>
  </si>
  <si>
    <t xml:space="preserve">Underwritten NCF</t>
  </si>
  <si>
    <t xml:space="preserve">G37</t>
  </si>
  <si>
    <t xml:space="preserve">Capitalization value</t>
  </si>
  <si>
    <t xml:space="preserve">Loan Sizing</t>
  </si>
  <si>
    <t xml:space="preserve">Annual debt constant (sizing rate)</t>
  </si>
  <si>
    <t xml:space="preserve">LTV max loan</t>
  </si>
  <si>
    <t xml:space="preserve">DSCR max loan</t>
  </si>
  <si>
    <t xml:space="preserve">DY max loan</t>
  </si>
  <si>
    <t xml:space="preserve">MAXIMUM LOAN (binding)</t>
  </si>
  <si>
    <t xml:space="preserve">Binding constraint</t>
  </si>
  <si>
    <t xml:space="preserve">First-year debt service (IO)</t>
  </si>
  <si>
    <t xml:space="preserve">C31</t>
  </si>
  <si>
    <t xml:space="preserve">Cash to / (from) borrower</t>
  </si>
  <si>
    <t xml:space="preserve">Sensitivity</t>
  </si>
  <si>
    <t xml:space="preserve">Combined downside max loan</t>
  </si>
  <si>
    <t xml:space="preserve">G22</t>
  </si>
  <si>
    <t xml:space="preserve">Cap+50 bps max loan</t>
  </si>
  <si>
    <t xml:space="preserve">  Editable Assumptions — change any yellow cell</t>
  </si>
  <si>
    <t xml:space="preserve">All assumptions from lender term sheet, property plan, and T12 packet.</t>
  </si>
  <si>
    <t xml:space="preserve">Value</t>
  </si>
  <si>
    <t xml:space="preserve">Source / note</t>
  </si>
  <si>
    <t xml:space="preserve">Lender-Terms.pdf p.1 — valuation cap</t>
  </si>
  <si>
    <t xml:space="preserve">Lender-Terms.pdf p.1 — fixed contract rate</t>
  </si>
  <si>
    <t xml:space="preserve">Lender-Terms.pdf p.1 — underwriting floor</t>
  </si>
  <si>
    <t xml:space="preserve">Lender-Terms.pdf p.1</t>
  </si>
  <si>
    <t xml:space="preserve">Lender-Terms.pdf p.1 — NCF / amortizing DS at sizing rate</t>
  </si>
  <si>
    <t xml:space="preserve">Lender-Terms.pdf p.1 — NCF / max loan</t>
  </si>
  <si>
    <t xml:space="preserve">Origination fee (% of loan)</t>
  </si>
  <si>
    <t xml:space="preserve">Existing debt payoff</t>
  </si>
  <si>
    <t xml:space="preserve">Property-and-Plan.pdf p.1</t>
  </si>
  <si>
    <t xml:space="preserve">Replacement reserves ($/unit/yr)</t>
  </si>
  <si>
    <t xml:space="preserve">Property-and-Plan.pdf p.2</t>
  </si>
  <si>
    <t xml:space="preserve">Property-and-Plan.pdf p.2 — scenario</t>
  </si>
  <si>
    <t xml:space="preserve">Revenue loss % of GPR</t>
  </si>
  <si>
    <t xml:space="preserve">Property-and-Plan.pdf p.2 — vacancy+conc+bad debt</t>
  </si>
  <si>
    <t xml:space="preserve">Other income (annual)</t>
  </si>
  <si>
    <t xml:space="preserve">Property-and-Plan.pdf p.2 — post revenue loss</t>
  </si>
  <si>
    <t xml:space="preserve">Mgmt fee % of EGI (floor)</t>
  </si>
  <si>
    <t xml:space="preserve">T12 mgmt fee (dollar floor)</t>
  </si>
  <si>
    <t xml:space="preserve">T12-Statement.pdf p.2 annual</t>
  </si>
  <si>
    <t xml:space="preserve">Rent-Roll.xlsx</t>
  </si>
  <si>
    <t xml:space="preserve">  Historical T12 vs Underwritten Scenario</t>
  </si>
  <si>
    <t xml:space="preserve">T12 = Sep-2025 to Aug-2026 (T12-Statement.pdf).  UW = scenario per Property-and-Plan.pdf p.2.</t>
  </si>
  <si>
    <t xml:space="preserve">Line</t>
  </si>
  <si>
    <t xml:space="preserve">T12 Actual</t>
  </si>
  <si>
    <t xml:space="preserve">UW Scenario</t>
  </si>
  <si>
    <t xml:space="preserve">Delta</t>
  </si>
  <si>
    <t xml:space="preserve">Summary Output</t>
  </si>
  <si>
    <t xml:space="preserve">REVENUE</t>
  </si>
  <si>
    <t xml:space="preserve">Gross potential base rent</t>
  </si>
  <si>
    <t xml:space="preserve">Historical T12 EGI</t>
  </si>
  <si>
    <t xml:space="preserve">Vacancy / concessions / bad debt</t>
  </si>
  <si>
    <t xml:space="preserve">Historical T12 OpEx</t>
  </si>
  <si>
    <t xml:space="preserve">Other income / recoveries</t>
  </si>
  <si>
    <t xml:space="preserve">Historical NOI before res.</t>
  </si>
  <si>
    <t xml:space="preserve">Effective Gross Income (EGI)</t>
  </si>
  <si>
    <t xml:space="preserve">Historical NCF (after res.)</t>
  </si>
  <si>
    <t xml:space="preserve">OPERATING EXPENSES</t>
  </si>
  <si>
    <t xml:space="preserve">Underwritten EGI</t>
  </si>
  <si>
    <t xml:space="preserve">Real estate taxes</t>
  </si>
  <si>
    <t xml:space="preserve">Underwritten Mgmt fee</t>
  </si>
  <si>
    <t xml:space="preserve">Property insurance</t>
  </si>
  <si>
    <t xml:space="preserve">Underwritten OpEx (pre-res.)</t>
  </si>
  <si>
    <t xml:space="preserve">Utilities</t>
  </si>
  <si>
    <t xml:space="preserve">Underwritten NOI (pre-res.)</t>
  </si>
  <si>
    <t xml:space="preserve">Repairs &amp; maintenance</t>
  </si>
  <si>
    <t xml:space="preserve">Underwritten Reserves</t>
  </si>
  <si>
    <t xml:space="preserve">Payroll / contract labor</t>
  </si>
  <si>
    <t xml:space="preserve">Underwritten NCF (post-res.)</t>
  </si>
  <si>
    <t xml:space="preserve">Administrative / legal</t>
  </si>
  <si>
    <t xml:space="preserve">Management fee (greater of T12 or 3.50% EGI)</t>
  </si>
  <si>
    <t xml:space="preserve">Total operating expenses</t>
  </si>
  <si>
    <t xml:space="preserve">NOI before reserves</t>
  </si>
  <si>
    <t xml:space="preserve">Replacement reserves</t>
  </si>
  <si>
    <t xml:space="preserve">Net Cash Flow (after reserves)</t>
  </si>
  <si>
    <t xml:space="preserve">  Loan Sizing — LTV / DSCR / Debt Yield</t>
  </si>
  <si>
    <t xml:space="preserve">Sizing follows lender-terms conventions exactly: LTV on UW NOI/cap; DSCR on UW NCF over amortizing DS at sizing rate; DY on UW NCF over loan.</t>
  </si>
  <si>
    <t xml:space="preserve">Rate &amp; amortization inputs</t>
  </si>
  <si>
    <t xml:space="preserve">Sources &amp; Uses</t>
  </si>
  <si>
    <t xml:space="preserve">Sizing rate</t>
  </si>
  <si>
    <t xml:space="preserve">SOURCES</t>
  </si>
  <si>
    <t xml:space="preserve">New first mortgage</t>
  </si>
  <si>
    <t xml:space="preserve">Monthly amort factor</t>
  </si>
  <si>
    <t xml:space="preserve">Sponsor cash (if any)</t>
  </si>
  <si>
    <t xml:space="preserve">Annual debt constant</t>
  </si>
  <si>
    <t xml:space="preserve">Total sources</t>
  </si>
  <si>
    <t xml:space="preserve">  = 12 × monthly factor</t>
  </si>
  <si>
    <t xml:space="preserve">USES</t>
  </si>
  <si>
    <t xml:space="preserve">LTV max loan  = LTVmax × CapValue</t>
  </si>
  <si>
    <t xml:space="preserve">DSCR max loan = UW NCF / (DSCRmin × ADC)</t>
  </si>
  <si>
    <t xml:space="preserve">Origination fee</t>
  </si>
  <si>
    <t xml:space="preserve">DY max loan   = UW NCF / DYmin</t>
  </si>
  <si>
    <t xml:space="preserve">Cash to borrower (out)</t>
  </si>
  <si>
    <t xml:space="preserve">MAXIMUM LOAN  (min of three)</t>
  </si>
  <si>
    <t xml:space="preserve">Total uses</t>
  </si>
  <si>
    <t xml:space="preserve">Sizing metrics at maximum loan</t>
  </si>
  <si>
    <t xml:space="preserve">Annual DS (amortizing, sizing rate)</t>
  </si>
  <si>
    <t xml:space="preserve">Sizing DSCR (NCF / amort DS)</t>
  </si>
  <si>
    <t xml:space="preserve">Sizing debt yield (NCF / loan)</t>
  </si>
  <si>
    <t xml:space="preserve">Actual LTV (loan / cap value)</t>
  </si>
  <si>
    <t xml:space="preserve">First-year contractual DS (IO @ contract rate)</t>
  </si>
  <si>
    <t xml:space="preserve">Cash to / (from) borrower  (negative = cash-in)</t>
  </si>
  <si>
    <t xml:space="preserve">  Sensitivity — combined downside &amp; cap-rate shock</t>
  </si>
  <si>
    <t xml:space="preserve">A. Combined downside: EGI −5% AND sizing rate +100 bps (cap rate held constant)</t>
  </si>
  <si>
    <t xml:space="preserve">B. Cap rate +50 bps (standalone) — NOI and sizing rate unchanged</t>
  </si>
  <si>
    <t xml:space="preserve">Stressed EGI</t>
  </si>
  <si>
    <t xml:space="preserve">Stressed cap rate</t>
  </si>
  <si>
    <t xml:space="preserve">Stressed mgmt fee</t>
  </si>
  <si>
    <t xml:space="preserve">Stressed cap value</t>
  </si>
  <si>
    <t xml:space="preserve">Stressed OpEx (ex. mgmt) + stressed mgmt</t>
  </si>
  <si>
    <t xml:space="preserve">Stressed NOI (before reserves)</t>
  </si>
  <si>
    <t xml:space="preserve">LTV limit</t>
  </si>
  <si>
    <t xml:space="preserve">Stressed NCF (after reserves)</t>
  </si>
  <si>
    <t xml:space="preserve">DSCR limit (unchanged)</t>
  </si>
  <si>
    <t xml:space="preserve">DY limit (unchanged)</t>
  </si>
  <si>
    <t xml:space="preserve">Stressed cap value (cap rate unchanged)</t>
  </si>
  <si>
    <t xml:space="preserve">Stressed sizing rate (+100 bps)</t>
  </si>
  <si>
    <t xml:space="preserve">Cap+50 MAX LOAN</t>
  </si>
  <si>
    <t xml:space="preserve">Stressed annual debt constant</t>
  </si>
  <si>
    <t xml:space="preserve">Binding</t>
  </si>
  <si>
    <t xml:space="preserve">Δ vs base (max loan)</t>
  </si>
  <si>
    <t xml:space="preserve">DSCR limit</t>
  </si>
  <si>
    <t xml:space="preserve">DY limit</t>
  </si>
  <si>
    <t xml:space="preserve">Combined-downside MAX LOAN</t>
  </si>
  <si>
    <t xml:space="preserve">  → Cap+50 MAX LOAN (anchor)</t>
  </si>
  <si>
    <t xml:space="preserve">  → Combined-downside MAX LOAN (anchor)</t>
  </si>
  <si>
    <t xml:space="preserve">  Rent Roll —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</si>
  <si>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</si>
  <si>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</si>
  <si>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</si>
  <si>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</si>
  <si>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</t>
  </si>
  <si>
    <t xml:space="preserve">Market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</si>
  <si>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</si>
  <si>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</si>
  <si>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</si>
  <si>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</si>
  <si>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102</t>
  </si>
  <si>
    <t xml:space="preserve">Household 102</t>
  </si>
  <si>
    <t xml:space="preserve">103</t>
  </si>
  <si>
    <t xml:space="preserve">Household 103</t>
  </si>
  <si>
    <t xml:space="preserve">104</t>
  </si>
  <si>
    <t xml:space="preserve">Household 104</t>
  </si>
  <si>
    <t xml:space="preserve">105</t>
  </si>
  <si>
    <t xml:space="preserve">Household 105</t>
  </si>
  <si>
    <t xml:space="preserve">106</t>
  </si>
  <si>
    <t xml:space="preserve">Household 106</t>
  </si>
  <si>
    <t xml:space="preserve">107</t>
  </si>
  <si>
    <t xml:space="preserve">Household 107</t>
  </si>
  <si>
    <t xml:space="preserve">108</t>
  </si>
  <si>
    <t xml:space="preserve">Household 108</t>
  </si>
  <si>
    <t xml:space="preserve">109</t>
  </si>
  <si>
    <t xml:space="preserve">Household 109</t>
  </si>
  <si>
    <t xml:space="preserve">110</t>
  </si>
  <si>
    <t xml:space="preserve">Household 110</t>
  </si>
  <si>
    <t xml:space="preserve">111</t>
  </si>
  <si>
    <t xml:space="preserve">Household 111</t>
  </si>
  <si>
    <t xml:space="preserve">112</t>
  </si>
  <si>
    <t xml:space="preserve">Household 112</t>
  </si>
  <si>
    <t xml:space="preserve">113</t>
  </si>
  <si>
    <t xml:space="preserve">Household 113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</si>
  <si>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</si>
  <si>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</si>
  <si>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</si>
  <si>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</si>
  <si>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</si>
  <si>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</si>
  <si>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</si>
  <si>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</si>
  <si>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</si>
  <si>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</si>
  <si>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</si>
  <si>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</si>
  <si>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</si>
  <si>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</si>
  <si>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</si>
  <si>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</si>
  <si>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</si>
  <si>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</si>
  <si>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</si>
  <si>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</si>
  <si>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</si>
  <si>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</si>
  <si>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</si>
  <si>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Household 125</t>
  </si>
  <si>
    <t xml:space="preserve">2026-09-30</t>
  </si>
  <si>
    <t xml:space="preserve">126</t>
  </si>
  <si>
    <t xml:space="preserve">Household 126</t>
  </si>
  <si>
    <t xml:space="preserve">2026-10-31</t>
  </si>
  <si>
    <t xml:space="preserve">127</t>
  </si>
  <si>
    <t xml:space="preserve">Household 127</t>
  </si>
  <si>
    <t xml:space="preserve">2026-11-30</t>
  </si>
  <si>
    <t xml:space="preserve">128</t>
  </si>
  <si>
    <t xml:space="preserve">Household 128</t>
  </si>
  <si>
    <t xml:space="preserve">2026-12-31</t>
  </si>
  <si>
    <t xml:space="preserve">129</t>
  </si>
  <si>
    <t xml:space="preserve">Household 129</t>
  </si>
  <si>
    <t xml:space="preserve">2027-01-31</t>
  </si>
  <si>
    <t xml:space="preserve">130</t>
  </si>
  <si>
    <t xml:space="preserve">Household 130</t>
  </si>
  <si>
    <t xml:space="preserve">2027-02-28</t>
  </si>
  <si>
    <t xml:space="preserve">131</t>
  </si>
  <si>
    <t xml:space="preserve">Household 131</t>
  </si>
  <si>
    <t xml:space="preserve">2027-03-31</t>
  </si>
  <si>
    <t xml:space="preserve">132</t>
  </si>
  <si>
    <t xml:space="preserve">Household 132</t>
  </si>
  <si>
    <t xml:space="preserve">2027-04-30</t>
  </si>
  <si>
    <t xml:space="preserve">133</t>
  </si>
  <si>
    <t xml:space="preserve">Household 133</t>
  </si>
  <si>
    <t xml:space="preserve">2027-05-31</t>
  </si>
  <si>
    <t xml:space="preserve">134</t>
  </si>
  <si>
    <t xml:space="preserve">Vacant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</si>
  <si>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</si>
  <si>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</si>
  <si>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</si>
  <si>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</si>
  <si>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</si>
  <si>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</si>
  <si>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</si>
  <si>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</si>
  <si>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</si>
  <si>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</si>
  <si>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</si>
  <si>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</si>
  <si>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</si>
  <si>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</si>
  <si>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Totals</t>
  </si>
  <si>
    <t xml:space="preserve">Occupied units</t>
  </si>
  <si>
    <t xml:space="preserve">Vacant units</t>
  </si>
  <si>
    <t xml:space="preserve">Occupied area SF</t>
  </si>
  <si>
    <t xml:space="preserve">In-place monthly base (occupied)</t>
  </si>
  <si>
    <t xml:space="preserve">In-place annualized base rent</t>
  </si>
  <si>
    <t xml:space="preserve">  Requested Analysis Fields</t>
  </si>
  <si>
    <t xml:space="preserve">Field ID</t>
  </si>
  <si>
    <t xml:space="preserve">Basis / source</t>
  </si>
  <si>
    <t xml:space="preserve">space_count</t>
  </si>
  <si>
    <t xml:space="preserve">Rent-Roll.xlsx — 48 unit rows (101-148)</t>
  </si>
  <si>
    <t xml:space="preserve">occupied_count</t>
  </si>
  <si>
    <t xml:space="preserve">Rent-Roll.xlsx — Status='Occupied'</t>
  </si>
  <si>
    <t xml:space="preserve">total_area_sf</t>
  </si>
  <si>
    <t xml:space="preserve">24×700 + 24×1100</t>
  </si>
  <si>
    <t xml:space="preserve">occupied_area_sf</t>
  </si>
  <si>
    <t xml:space="preserve">24×700 + 9×1100</t>
  </si>
  <si>
    <t xml:space="preserve">occupancy_count_pct</t>
  </si>
  <si>
    <t xml:space="preserve">occupancy_area_pct</t>
  </si>
  <si>
    <t xml:space="preserve">rent_roll_monthly_base</t>
  </si>
  <si>
    <t xml:space="preserve">occupied units only; vacants blank</t>
  </si>
  <si>
    <t xml:space="preserve">effective_monthly_base</t>
  </si>
  <si>
    <t xml:space="preserve">Lease-File p.1 confirms unit 101 rent = $1,575/mo; no amendments in packet</t>
  </si>
  <si>
    <t xml:space="preserve">t12_egi</t>
  </si>
  <si>
    <t xml:space="preserve">t12_operating_expenses</t>
  </si>
  <si>
    <t xml:space="preserve">T12 opex ex reserves/capex/debt/depreciation</t>
  </si>
  <si>
    <t xml:space="preserve">t12_noi_before_reserves</t>
  </si>
  <si>
    <t xml:space="preserve">T12 EGI − OpEx</t>
  </si>
  <si>
    <t xml:space="preserve">t12_reserves</t>
  </si>
  <si>
    <t xml:space="preserve">T12 replacement reserves (below-NOI)</t>
  </si>
  <si>
    <t xml:space="preserve">t12_ncf</t>
  </si>
  <si>
    <t xml:space="preserve">T12 NOI − reserves</t>
  </si>
  <si>
    <t xml:space="preserve">uw_egi</t>
  </si>
  <si>
    <t xml:space="preserve">UW_GPR × (1-RevLoss) + OtherInc</t>
  </si>
  <si>
    <t xml:space="preserve">uw_management_fee</t>
  </si>
  <si>
    <t xml:space="preserve">MAX(T12 $28,000; 3.50% × UW EGI)</t>
  </si>
  <si>
    <t xml:space="preserve">uw_operating_expenses</t>
  </si>
  <si>
    <t xml:space="preserve">Per Property-and-Plan p.2 line-item instructions</t>
  </si>
  <si>
    <t xml:space="preserve">uw_noi_before_reserves</t>
  </si>
  <si>
    <t xml:space="preserve">UW EGI − UW OpEx</t>
  </si>
  <si>
    <t xml:space="preserve">uw_reserves</t>
  </si>
  <si>
    <t xml:space="preserve">48 units × $325</t>
  </si>
  <si>
    <t xml:space="preserve">uw_ncf</t>
  </si>
  <si>
    <t xml:space="preserve">UW NOI − reserves</t>
  </si>
  <si>
    <t xml:space="preserve">capitalization_value</t>
  </si>
  <si>
    <t xml:space="preserve">UW NOI ÷ 5.75% cap</t>
  </si>
  <si>
    <t xml:space="preserve">contract_rate</t>
  </si>
  <si>
    <t xml:space="preserve">Lender-Terms p.1</t>
  </si>
  <si>
    <t xml:space="preserve">sizing_rate</t>
  </si>
  <si>
    <t xml:space="preserve">MAX(contract, 6.50% floor)</t>
  </si>
  <si>
    <t xml:space="preserve">annual_debt_constant</t>
  </si>
  <si>
    <t xml:space="preserve">30-yr amort, monthly pmts, sizing rate</t>
  </si>
  <si>
    <t xml:space="preserve">ltv_limit</t>
  </si>
  <si>
    <t xml:space="preserve">60% × CapValue</t>
  </si>
  <si>
    <t xml:space="preserve">dscr_limit</t>
  </si>
  <si>
    <t xml:space="preserve">UW NCF ÷ (1.30 × ADC)</t>
  </si>
  <si>
    <t xml:space="preserve">debt_yield_limit</t>
  </si>
  <si>
    <t xml:space="preserve">UW NCF ÷ 9%</t>
  </si>
  <si>
    <t xml:space="preserve">maximum_loan</t>
  </si>
  <si>
    <t xml:space="preserve">MIN of three</t>
  </si>
  <si>
    <t xml:space="preserve">binding_constraint</t>
  </si>
  <si>
    <t xml:space="preserve">DSCR at base case</t>
  </si>
  <si>
    <t xml:space="preserve">sizing_annual_debt_service</t>
  </si>
  <si>
    <t xml:space="preserve">MaxLoan × ADC</t>
  </si>
  <si>
    <t xml:space="preserve">sizing_dscr</t>
  </si>
  <si>
    <t xml:space="preserve">sizing_debt_yield</t>
  </si>
  <si>
    <t xml:space="preserve">first_year_debt_service</t>
  </si>
  <si>
    <t xml:space="preserve">IO for 36 mo — MaxLoan × ContractRate</t>
  </si>
  <si>
    <t xml:space="preserve">cash_to_borrower</t>
  </si>
  <si>
    <t xml:space="preserve">MaxLoan − payoff − orig fee − closing</t>
  </si>
  <si>
    <t xml:space="preserve">stress_uw_noi</t>
  </si>
  <si>
    <t xml:space="preserve">Combined-downside NOI</t>
  </si>
  <si>
    <t xml:space="preserve">stress_maximum_loan</t>
  </si>
  <si>
    <t xml:space="preserve">subject_lease_monthly_rent</t>
  </si>
  <si>
    <t xml:space="preserve">Lease-File.pdf §3</t>
  </si>
  <si>
    <t xml:space="preserve">subject_lease_expiry</t>
  </si>
  <si>
    <t xml:space="preserve">2027-06-30</t>
  </si>
  <si>
    <t xml:space="preserve">Lease-File.pdf §2 (initial term)</t>
  </si>
  <si>
    <t xml:space="preserve">subject_lease_deposit</t>
  </si>
  <si>
    <t xml:space="preserve">Lease-File.pdf §4</t>
  </si>
  <si>
    <t xml:space="preserve">verified_renewal_insurance</t>
  </si>
  <si>
    <t xml:space="preserve">Property-and-Plan.pdf p.2 — fictional insurer renewal confirmation Aug 25, 2026</t>
  </si>
  <si>
    <t xml:space="preserve">renewal_option_exercised</t>
  </si>
  <si>
    <t xml:space="preserve">No</t>
  </si>
  <si>
    <t xml:space="preserve">Lease-File.pdf §5 — no exercise notice included in packet</t>
  </si>
  <si>
    <t xml:space="preserve">prepayment_friction</t>
  </si>
  <si>
    <t xml:space="preserve">1% of outstanding principal in years 1-2; no stated bank penalty thereafter. No swap assumed.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</si>
</sst>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0"/>
    <numFmt numFmtId="167" formatCode="0.00"/>
    <numFmt numFmtId="168" formatCode="\$#,##0"/>
    <numFmt numFmtId="169" formatCode="\$#,##0;&quot;($&quot;#,##0\)"/>
    <numFmt numFmtId="170" formatCode="0.000%"/>
    <numFmt numFmtId="171" formatCode="0.00000000"/>
    <numFmt numFmtId="172" formatCode="0.000"/>
    <numFmt numFmtId="173" formatCode="#,##0"/>
    <numFmt numFmtId="174" formatCode="0.0000"/>
    <numFmt numFmtId="175" formatCode="\$#,##0.00"/>
    <numFmt numFmtId="176" formatCode="0.00000000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2"/>
      <name val="Cambria"/>
      <family val="0"/>
      <charset val="1"/>
    </font>
    <font>
      <sz val="10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6" min="3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0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4" t="s">
        <v>7</v>
      </c>
      <c r="B9" s="4"/>
      <c r="C9" s="4"/>
      <c r="D9" s="4"/>
      <c r="E9" s="4"/>
      <c r="F9" s="4"/>
    </row>
    <row r="10" customFormat="false" ht="30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30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5" t="s">
        <v>11</v>
      </c>
      <c r="B14" s="5" t="s">
        <v>12</v>
      </c>
      <c r="C14" s="5" t="s">
        <v>13</v>
      </c>
      <c r="D14" s="5" t="s">
        <v>14</v>
      </c>
    </row>
    <row r="15" customFormat="false" ht="15" hidden="false" customHeight="false" outlineLevel="0" collapsed="false">
      <c r="A15" s="6" t="s">
        <v>15</v>
      </c>
      <c r="B15" s="7" t="s">
        <v>16</v>
      </c>
      <c r="C15" s="7" t="s">
        <v>17</v>
      </c>
      <c r="D15" s="7" t="s">
        <v>18</v>
      </c>
    </row>
    <row r="16" customFormat="false" ht="15" hidden="false" customHeight="false" outlineLevel="0" collapsed="false">
      <c r="A16" s="6" t="s">
        <v>15</v>
      </c>
      <c r="B16" s="7" t="s">
        <v>19</v>
      </c>
      <c r="C16" s="7" t="s">
        <v>20</v>
      </c>
      <c r="D16" s="7" t="s">
        <v>18</v>
      </c>
    </row>
    <row r="17" customFormat="false" ht="15" hidden="false" customHeight="false" outlineLevel="0" collapsed="false">
      <c r="A17" s="6" t="s">
        <v>15</v>
      </c>
      <c r="B17" s="7" t="s">
        <v>21</v>
      </c>
      <c r="C17" s="7" t="s">
        <v>22</v>
      </c>
      <c r="D17" s="7" t="s">
        <v>18</v>
      </c>
    </row>
    <row r="18" customFormat="false" ht="15" hidden="false" customHeight="false" outlineLevel="0" collapsed="false">
      <c r="A18" s="6" t="s">
        <v>15</v>
      </c>
      <c r="B18" s="8" t="s">
        <v>23</v>
      </c>
      <c r="C18" s="8" t="s">
        <v>24</v>
      </c>
      <c r="D18" s="8" t="s">
        <v>25</v>
      </c>
    </row>
    <row r="19" customFormat="false" ht="15" hidden="false" customHeight="false" outlineLevel="0" collapsed="false">
      <c r="A19" s="6" t="s">
        <v>15</v>
      </c>
      <c r="B19" s="7" t="s">
        <v>26</v>
      </c>
      <c r="C19" s="7" t="s">
        <v>27</v>
      </c>
      <c r="D19" s="7" t="s">
        <v>18</v>
      </c>
    </row>
    <row r="20" customFormat="false" ht="15" hidden="false" customHeight="false" outlineLevel="0" collapsed="false">
      <c r="A20" s="6" t="s">
        <v>15</v>
      </c>
      <c r="B20" s="7" t="s">
        <v>28</v>
      </c>
      <c r="C20" s="7" t="s">
        <v>29</v>
      </c>
      <c r="D20" s="7" t="s">
        <v>18</v>
      </c>
    </row>
    <row r="21" customFormat="false" ht="15" hidden="false" customHeight="false" outlineLevel="0" collapsed="false">
      <c r="A21" s="6" t="s">
        <v>15</v>
      </c>
      <c r="B21" s="7" t="s">
        <v>30</v>
      </c>
      <c r="C21" s="7" t="s">
        <v>31</v>
      </c>
      <c r="D21" s="7" t="s">
        <v>18</v>
      </c>
    </row>
    <row r="22" customFormat="false" ht="15" hidden="false" customHeight="false" outlineLevel="0" collapsed="false">
      <c r="A22" s="6" t="s">
        <v>15</v>
      </c>
      <c r="B22" s="7" t="s">
        <v>32</v>
      </c>
      <c r="C22" s="7" t="s">
        <v>33</v>
      </c>
      <c r="D22" s="7" t="s">
        <v>18</v>
      </c>
    </row>
    <row r="23" customFormat="false" ht="15" hidden="false" customHeight="false" outlineLevel="0" collapsed="false">
      <c r="A23" s="6" t="s">
        <v>15</v>
      </c>
      <c r="B23" s="7" t="s">
        <v>34</v>
      </c>
      <c r="C23" s="7" t="s">
        <v>35</v>
      </c>
      <c r="D23" s="7" t="s">
        <v>18</v>
      </c>
    </row>
    <row r="24" customFormat="false" ht="15" hidden="false" customHeight="false" outlineLevel="0" collapsed="false">
      <c r="A24" s="6" t="s">
        <v>15</v>
      </c>
      <c r="B24" s="7" t="s">
        <v>36</v>
      </c>
      <c r="C24" s="7" t="s">
        <v>37</v>
      </c>
      <c r="D24" s="7" t="s">
        <v>18</v>
      </c>
    </row>
    <row r="25" customFormat="false" ht="15" hidden="false" customHeight="false" outlineLevel="0" collapsed="false">
      <c r="A25" s="6" t="s">
        <v>15</v>
      </c>
      <c r="B25" s="7" t="s">
        <v>38</v>
      </c>
      <c r="C25" s="7" t="s">
        <v>39</v>
      </c>
      <c r="D25" s="7" t="s">
        <v>18</v>
      </c>
    </row>
    <row r="26" customFormat="false" ht="15" hidden="false" customHeight="false" outlineLevel="0" collapsed="false">
      <c r="A26" s="6" t="s">
        <v>15</v>
      </c>
      <c r="B26" s="7" t="s">
        <v>40</v>
      </c>
      <c r="C26" s="7" t="s">
        <v>41</v>
      </c>
      <c r="D26" s="7" t="s">
        <v>18</v>
      </c>
    </row>
    <row r="27" customFormat="false" ht="15" hidden="false" customHeight="false" outlineLevel="0" collapsed="false">
      <c r="A27" s="6" t="s">
        <v>15</v>
      </c>
      <c r="B27" s="7" t="s">
        <v>42</v>
      </c>
      <c r="C27" s="7" t="s">
        <v>43</v>
      </c>
      <c r="D27" s="7" t="s">
        <v>18</v>
      </c>
    </row>
    <row r="28" customFormat="false" ht="15" hidden="false" customHeight="false" outlineLevel="0" collapsed="false">
      <c r="A28" s="6" t="s">
        <v>15</v>
      </c>
      <c r="B28" s="7" t="s">
        <v>44</v>
      </c>
      <c r="C28" s="7" t="s">
        <v>45</v>
      </c>
      <c r="D28" s="7" t="s">
        <v>18</v>
      </c>
    </row>
    <row r="29" customFormat="false" ht="15" hidden="false" customHeight="false" outlineLevel="0" collapsed="false">
      <c r="A29" s="6" t="s">
        <v>15</v>
      </c>
      <c r="B29" s="7" t="s">
        <v>46</v>
      </c>
      <c r="C29" s="7" t="s">
        <v>47</v>
      </c>
      <c r="D29" s="7" t="s">
        <v>18</v>
      </c>
    </row>
    <row r="30" customFormat="false" ht="15" hidden="false" customHeight="false" outlineLevel="0" collapsed="false">
      <c r="A30" s="6" t="s">
        <v>15</v>
      </c>
      <c r="B30" s="7" t="s">
        <v>48</v>
      </c>
      <c r="C30" s="7" t="s">
        <v>49</v>
      </c>
      <c r="D30" s="7" t="s">
        <v>18</v>
      </c>
    </row>
    <row r="31" customFormat="false" ht="15" hidden="false" customHeight="false" outlineLevel="0" collapsed="false">
      <c r="A31" s="6" t="s">
        <v>15</v>
      </c>
      <c r="B31" s="7" t="s">
        <v>50</v>
      </c>
      <c r="C31" s="7" t="s">
        <v>51</v>
      </c>
      <c r="D31" s="7" t="s">
        <v>18</v>
      </c>
    </row>
    <row r="32" customFormat="false" ht="15" hidden="false" customHeight="false" outlineLevel="0" collapsed="false">
      <c r="A32" s="6" t="s">
        <v>15</v>
      </c>
      <c r="B32" s="7" t="s">
        <v>52</v>
      </c>
      <c r="C32" s="7" t="s">
        <v>53</v>
      </c>
      <c r="D32" s="7" t="s">
        <v>18</v>
      </c>
    </row>
    <row r="33" customFormat="false" ht="15" hidden="false" customHeight="false" outlineLevel="0" collapsed="false">
      <c r="A33" s="6" t="s">
        <v>15</v>
      </c>
      <c r="B33" s="7" t="s">
        <v>54</v>
      </c>
      <c r="C33" s="7" t="s">
        <v>55</v>
      </c>
      <c r="D33" s="7" t="s">
        <v>18</v>
      </c>
    </row>
    <row r="34" customFormat="false" ht="15" hidden="false" customHeight="false" outlineLevel="0" collapsed="false">
      <c r="A34" s="6" t="s">
        <v>15</v>
      </c>
      <c r="B34" s="7" t="s">
        <v>56</v>
      </c>
      <c r="C34" s="7" t="s">
        <v>57</v>
      </c>
      <c r="D34" s="7" t="s">
        <v>18</v>
      </c>
    </row>
    <row r="35" customFormat="false" ht="15" hidden="false" customHeight="false" outlineLevel="0" collapsed="false">
      <c r="A35" s="6" t="s">
        <v>58</v>
      </c>
      <c r="B35" s="8" t="s">
        <v>59</v>
      </c>
      <c r="C35" s="8" t="s">
        <v>60</v>
      </c>
      <c r="D35" s="8" t="s">
        <v>25</v>
      </c>
    </row>
    <row r="36" customFormat="false" ht="15" hidden="false" customHeight="false" outlineLevel="0" collapsed="false">
      <c r="A36" s="6" t="s">
        <v>58</v>
      </c>
      <c r="B36" s="8" t="s">
        <v>61</v>
      </c>
      <c r="C36" s="8" t="s">
        <v>62</v>
      </c>
      <c r="D36" s="8" t="s">
        <v>25</v>
      </c>
    </row>
    <row r="37" customFormat="false" ht="15" hidden="false" customHeight="false" outlineLevel="0" collapsed="false">
      <c r="A37" s="6" t="s">
        <v>58</v>
      </c>
      <c r="B37" s="8" t="s">
        <v>63</v>
      </c>
      <c r="C37" s="8" t="s">
        <v>64</v>
      </c>
      <c r="D37" s="8" t="s">
        <v>25</v>
      </c>
    </row>
    <row r="38" customFormat="false" ht="15" hidden="false" customHeight="false" outlineLevel="0" collapsed="false">
      <c r="A38" s="6" t="s">
        <v>65</v>
      </c>
      <c r="B38" s="8" t="s">
        <v>26</v>
      </c>
      <c r="C38" s="8" t="s">
        <v>66</v>
      </c>
      <c r="D38" s="8" t="s">
        <v>25</v>
      </c>
    </row>
    <row r="39" customFormat="false" ht="15" hidden="false" customHeight="false" outlineLevel="0" collapsed="false">
      <c r="A39" s="6" t="s">
        <v>65</v>
      </c>
      <c r="B39" s="8" t="s">
        <v>30</v>
      </c>
      <c r="C39" s="8" t="s">
        <v>67</v>
      </c>
      <c r="D39" s="8" t="s">
        <v>25</v>
      </c>
    </row>
    <row r="40" customFormat="false" ht="15" hidden="false" customHeight="false" outlineLevel="0" collapsed="false">
      <c r="A40" s="6" t="s">
        <v>65</v>
      </c>
      <c r="B40" s="8" t="s">
        <v>32</v>
      </c>
      <c r="C40" s="8" t="s">
        <v>68</v>
      </c>
      <c r="D40" s="8" t="s">
        <v>25</v>
      </c>
    </row>
    <row r="41" customFormat="false" ht="15" hidden="false" customHeight="false" outlineLevel="0" collapsed="false">
      <c r="A41" s="6" t="s">
        <v>65</v>
      </c>
      <c r="B41" s="8" t="s">
        <v>34</v>
      </c>
      <c r="C41" s="8" t="s">
        <v>69</v>
      </c>
      <c r="D41" s="8" t="s">
        <v>25</v>
      </c>
    </row>
    <row r="42" customFormat="false" ht="15" hidden="false" customHeight="false" outlineLevel="0" collapsed="false">
      <c r="A42" s="6" t="s">
        <v>65</v>
      </c>
      <c r="B42" s="8" t="s">
        <v>38</v>
      </c>
      <c r="C42" s="8" t="s">
        <v>70</v>
      </c>
      <c r="D42" s="8" t="s">
        <v>25</v>
      </c>
    </row>
    <row r="43" customFormat="false" ht="15" hidden="false" customHeight="false" outlineLevel="0" collapsed="false">
      <c r="A43" s="6" t="s">
        <v>65</v>
      </c>
      <c r="B43" s="8" t="s">
        <v>40</v>
      </c>
      <c r="C43" s="8" t="s">
        <v>71</v>
      </c>
      <c r="D43" s="8" t="s">
        <v>25</v>
      </c>
    </row>
    <row r="44" customFormat="false" ht="15" hidden="false" customHeight="false" outlineLevel="0" collapsed="false">
      <c r="A44" s="6" t="s">
        <v>65</v>
      </c>
      <c r="B44" s="8" t="s">
        <v>54</v>
      </c>
      <c r="C44" s="8" t="s">
        <v>72</v>
      </c>
      <c r="D44" s="8" t="s">
        <v>25</v>
      </c>
    </row>
    <row r="45" customFormat="false" ht="15" hidden="false" customHeight="false" outlineLevel="0" collapsed="false">
      <c r="A45" s="6" t="s">
        <v>65</v>
      </c>
      <c r="B45" s="8" t="s">
        <v>73</v>
      </c>
      <c r="C45" s="8" t="s">
        <v>74</v>
      </c>
      <c r="D45" s="8" t="s">
        <v>25</v>
      </c>
    </row>
    <row r="46" customFormat="false" ht="15" hidden="false" customHeight="false" outlineLevel="0" collapsed="false">
      <c r="A46" s="6" t="s">
        <v>75</v>
      </c>
      <c r="B46" s="8" t="s">
        <v>48</v>
      </c>
      <c r="C46" s="8" t="s">
        <v>76</v>
      </c>
      <c r="D46" s="8" t="s">
        <v>25</v>
      </c>
    </row>
    <row r="47" customFormat="false" ht="15" hidden="false" customHeight="false" outlineLevel="0" collapsed="false">
      <c r="A47" s="6" t="s">
        <v>75</v>
      </c>
      <c r="B47" s="8" t="s">
        <v>77</v>
      </c>
      <c r="C47" s="8" t="s">
        <v>78</v>
      </c>
      <c r="D47" s="8" t="s">
        <v>25</v>
      </c>
    </row>
  </sheetData>
  <mergeCells count="11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3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60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9" t="s">
        <v>79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2" t="s">
        <v>80</v>
      </c>
      <c r="C3" s="2"/>
      <c r="D3" s="2"/>
      <c r="E3" s="2"/>
      <c r="F3" s="2"/>
    </row>
    <row r="5" customFormat="false" ht="15" hidden="false" customHeight="false" outlineLevel="0" collapsed="false">
      <c r="B5" s="10" t="s">
        <v>13</v>
      </c>
      <c r="C5" s="10" t="s">
        <v>81</v>
      </c>
      <c r="E5" s="10" t="s">
        <v>82</v>
      </c>
    </row>
    <row r="7" customFormat="false" ht="15" hidden="false" customHeight="false" outlineLevel="0" collapsed="false">
      <c r="B7" s="0" t="s">
        <v>17</v>
      </c>
      <c r="C7" s="11" t="n">
        <v>0.0575</v>
      </c>
      <c r="E7" s="12" t="s">
        <v>83</v>
      </c>
    </row>
    <row r="8" customFormat="false" ht="15" hidden="false" customHeight="false" outlineLevel="0" collapsed="false">
      <c r="B8" s="0" t="s">
        <v>20</v>
      </c>
      <c r="C8" s="11" t="n">
        <v>0.0625</v>
      </c>
      <c r="E8" s="12" t="s">
        <v>84</v>
      </c>
    </row>
    <row r="9" customFormat="false" ht="15" hidden="false" customHeight="false" outlineLevel="0" collapsed="false">
      <c r="B9" s="0" t="s">
        <v>22</v>
      </c>
      <c r="C9" s="11" t="n">
        <v>0.075</v>
      </c>
      <c r="E9" s="12" t="s">
        <v>85</v>
      </c>
    </row>
    <row r="10" customFormat="false" ht="15" hidden="false" customHeight="false" outlineLevel="0" collapsed="false">
      <c r="B10" s="0" t="s">
        <v>24</v>
      </c>
      <c r="C10" s="13" t="n">
        <f aca="false">MAX(C8,C9)</f>
        <v>0.075</v>
      </c>
      <c r="E10" s="12" t="e">
        <f aca="false">greater of contract rate and sizing floor</f>
        <v>#VALUE!</v>
      </c>
    </row>
    <row r="11" customFormat="false" ht="15" hidden="false" customHeight="false" outlineLevel="0" collapsed="false">
      <c r="B11" s="0" t="s">
        <v>27</v>
      </c>
      <c r="C11" s="14" t="n">
        <v>30</v>
      </c>
      <c r="E11" s="12" t="s">
        <v>86</v>
      </c>
    </row>
    <row r="12" customFormat="false" ht="15" hidden="false" customHeight="false" outlineLevel="0" collapsed="false">
      <c r="B12" s="0" t="s">
        <v>29</v>
      </c>
      <c r="C12" s="14" t="n">
        <v>36</v>
      </c>
      <c r="E12" s="12" t="s">
        <v>86</v>
      </c>
    </row>
    <row r="13" customFormat="false" ht="15" hidden="false" customHeight="false" outlineLevel="0" collapsed="false">
      <c r="B13" s="0" t="s">
        <v>31</v>
      </c>
      <c r="C13" s="14" t="n">
        <v>60</v>
      </c>
      <c r="E13" s="12" t="s">
        <v>86</v>
      </c>
    </row>
    <row r="14" customFormat="false" ht="15" hidden="false" customHeight="false" outlineLevel="0" collapsed="false">
      <c r="B14" s="0" t="s">
        <v>33</v>
      </c>
      <c r="C14" s="11" t="n">
        <v>0.6</v>
      </c>
      <c r="E14" s="12" t="s">
        <v>86</v>
      </c>
    </row>
    <row r="15" customFormat="false" ht="15" hidden="false" customHeight="false" outlineLevel="0" collapsed="false">
      <c r="B15" s="0" t="s">
        <v>35</v>
      </c>
      <c r="C15" s="15" t="n">
        <v>1.3</v>
      </c>
      <c r="E15" s="12" t="s">
        <v>87</v>
      </c>
    </row>
    <row r="16" customFormat="false" ht="15" hidden="false" customHeight="false" outlineLevel="0" collapsed="false">
      <c r="B16" s="0" t="s">
        <v>37</v>
      </c>
      <c r="C16" s="11" t="n">
        <v>0.09</v>
      </c>
      <c r="E16" s="12" t="s">
        <v>88</v>
      </c>
    </row>
    <row r="17" customFormat="false" ht="15" hidden="false" customHeight="false" outlineLevel="0" collapsed="false">
      <c r="B17" s="0" t="s">
        <v>89</v>
      </c>
      <c r="C17" s="11" t="n">
        <v>0.01</v>
      </c>
      <c r="E17" s="12" t="s">
        <v>86</v>
      </c>
    </row>
    <row r="18" customFormat="false" ht="15" hidden="false" customHeight="false" outlineLevel="0" collapsed="false">
      <c r="B18" s="0" t="s">
        <v>90</v>
      </c>
      <c r="C18" s="16" t="n">
        <v>4500000</v>
      </c>
      <c r="E18" s="12" t="s">
        <v>91</v>
      </c>
    </row>
    <row r="19" customFormat="false" ht="15" hidden="false" customHeight="false" outlineLevel="0" collapsed="false">
      <c r="B19" s="0" t="s">
        <v>43</v>
      </c>
      <c r="C19" s="16" t="n">
        <v>65000</v>
      </c>
      <c r="E19" s="12" t="s">
        <v>91</v>
      </c>
    </row>
    <row r="20" customFormat="false" ht="15" hidden="false" customHeight="false" outlineLevel="0" collapsed="false">
      <c r="B20" s="0" t="s">
        <v>92</v>
      </c>
      <c r="C20" s="16" t="n">
        <v>325</v>
      </c>
      <c r="E20" s="12" t="s">
        <v>93</v>
      </c>
    </row>
    <row r="21" customFormat="false" ht="15" hidden="false" customHeight="false" outlineLevel="0" collapsed="false">
      <c r="B21" s="0" t="s">
        <v>47</v>
      </c>
      <c r="C21" s="16" t="n">
        <v>1056000</v>
      </c>
      <c r="E21" s="12" t="s">
        <v>94</v>
      </c>
    </row>
    <row r="22" customFormat="false" ht="15" hidden="false" customHeight="false" outlineLevel="0" collapsed="false">
      <c r="B22" s="0" t="s">
        <v>95</v>
      </c>
      <c r="C22" s="11" t="n">
        <v>0.07</v>
      </c>
      <c r="E22" s="12" t="s">
        <v>96</v>
      </c>
    </row>
    <row r="23" customFormat="false" ht="15" hidden="false" customHeight="false" outlineLevel="0" collapsed="false">
      <c r="B23" s="0" t="s">
        <v>97</v>
      </c>
      <c r="C23" s="16" t="n">
        <v>43200</v>
      </c>
      <c r="E23" s="12" t="s">
        <v>98</v>
      </c>
    </row>
    <row r="24" customFormat="false" ht="15" hidden="false" customHeight="false" outlineLevel="0" collapsed="false">
      <c r="B24" s="0" t="s">
        <v>99</v>
      </c>
      <c r="C24" s="11" t="n">
        <v>0.035</v>
      </c>
      <c r="E24" s="12" t="s">
        <v>93</v>
      </c>
    </row>
    <row r="25" customFormat="false" ht="15" hidden="false" customHeight="false" outlineLevel="0" collapsed="false">
      <c r="B25" s="0" t="s">
        <v>100</v>
      </c>
      <c r="C25" s="16" t="n">
        <v>28000</v>
      </c>
      <c r="E25" s="12" t="s">
        <v>101</v>
      </c>
    </row>
    <row r="26" customFormat="false" ht="15" hidden="false" customHeight="false" outlineLevel="0" collapsed="false">
      <c r="B26" s="0" t="s">
        <v>57</v>
      </c>
      <c r="C26" s="14" t="n">
        <v>48</v>
      </c>
      <c r="E26" s="12" t="s">
        <v>102</v>
      </c>
    </row>
  </sheetData>
  <mergeCells count="2">
    <mergeCell ref="A1:F1"/>
    <mergeCell ref="B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8"/>
    <col collapsed="false" customWidth="true" hidden="false" outlineLevel="0" max="6" min="6" style="0" width="4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9" t="s">
        <v>103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B3" s="2" t="s">
        <v>104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0" t="s">
        <v>105</v>
      </c>
      <c r="C5" s="10" t="s">
        <v>106</v>
      </c>
      <c r="D5" s="10" t="s">
        <v>107</v>
      </c>
      <c r="E5" s="10" t="s">
        <v>108</v>
      </c>
      <c r="G5" s="10" t="s">
        <v>109</v>
      </c>
      <c r="H5" s="10" t="s">
        <v>81</v>
      </c>
    </row>
    <row r="6" customFormat="false" ht="15" hidden="false" customHeight="false" outlineLevel="0" collapsed="false">
      <c r="B6" s="10" t="s">
        <v>110</v>
      </c>
      <c r="C6" s="17"/>
      <c r="D6" s="17"/>
      <c r="E6" s="17"/>
    </row>
    <row r="7" customFormat="false" ht="15" hidden="false" customHeight="false" outlineLevel="0" collapsed="false">
      <c r="B7" s="0" t="s">
        <v>111</v>
      </c>
      <c r="C7" s="17" t="n">
        <v>1036800</v>
      </c>
      <c r="D7" s="17" t="n">
        <f aca="false">UW_GPR</f>
        <v>1056000</v>
      </c>
      <c r="E7" s="17" t="n">
        <f aca="false">D7-C7</f>
        <v>19200</v>
      </c>
      <c r="G7" s="18" t="s">
        <v>112</v>
      </c>
      <c r="H7" s="19" t="n">
        <f aca="false">C10</f>
        <v>691200</v>
      </c>
    </row>
    <row r="8" customFormat="false" ht="15" hidden="false" customHeight="false" outlineLevel="0" collapsed="false">
      <c r="B8" s="0" t="s">
        <v>113</v>
      </c>
      <c r="C8" s="17" t="n">
        <v>-375600</v>
      </c>
      <c r="D8" s="17" t="n">
        <f aca="false">-UW_GPR*RevLossPct</f>
        <v>-73920</v>
      </c>
      <c r="E8" s="17" t="n">
        <f aca="false">D8-C8</f>
        <v>301680</v>
      </c>
      <c r="G8" s="18" t="s">
        <v>114</v>
      </c>
      <c r="H8" s="19" t="n">
        <f aca="false">C20</f>
        <v>371200</v>
      </c>
    </row>
    <row r="9" customFormat="false" ht="15" hidden="false" customHeight="false" outlineLevel="0" collapsed="false">
      <c r="B9" s="0" t="s">
        <v>115</v>
      </c>
      <c r="C9" s="17" t="n">
        <v>30000</v>
      </c>
      <c r="D9" s="17" t="n">
        <f aca="false">OtherInc</f>
        <v>43200</v>
      </c>
      <c r="E9" s="17" t="n">
        <f aca="false">D9-C9</f>
        <v>13200</v>
      </c>
      <c r="G9" s="18" t="s">
        <v>116</v>
      </c>
      <c r="H9" s="19" t="n">
        <f aca="false">C22</f>
        <v>320000</v>
      </c>
    </row>
    <row r="10" customFormat="false" ht="15" hidden="false" customHeight="false" outlineLevel="0" collapsed="false">
      <c r="B10" s="10" t="s">
        <v>117</v>
      </c>
      <c r="C10" s="20" t="n">
        <f aca="false">C7+C8+C9</f>
        <v>691200</v>
      </c>
      <c r="D10" s="20" t="n">
        <f aca="false">D7+D8+D9</f>
        <v>1025280</v>
      </c>
      <c r="E10" s="17" t="n">
        <f aca="false">D10-C10</f>
        <v>334080</v>
      </c>
      <c r="G10" s="18" t="s">
        <v>118</v>
      </c>
      <c r="H10" s="19" t="n">
        <f aca="false">C24</f>
        <v>305600</v>
      </c>
    </row>
    <row r="11" customFormat="false" ht="15" hidden="false" customHeight="false" outlineLevel="0" collapsed="false">
      <c r="C11" s="17"/>
      <c r="D11" s="17"/>
      <c r="E11" s="17"/>
    </row>
    <row r="12" customFormat="false" ht="15" hidden="false" customHeight="false" outlineLevel="0" collapsed="false">
      <c r="B12" s="10" t="s">
        <v>119</v>
      </c>
      <c r="C12" s="17"/>
      <c r="D12" s="17"/>
      <c r="E12" s="17"/>
      <c r="G12" s="18" t="s">
        <v>120</v>
      </c>
      <c r="H12" s="19" t="n">
        <f aca="false">D10</f>
        <v>1025280</v>
      </c>
    </row>
    <row r="13" customFormat="false" ht="15" hidden="false" customHeight="false" outlineLevel="0" collapsed="false">
      <c r="B13" s="0" t="s">
        <v>121</v>
      </c>
      <c r="C13" s="17" t="n">
        <v>132000</v>
      </c>
      <c r="D13" s="17" t="n">
        <v>138000</v>
      </c>
      <c r="E13" s="17" t="n">
        <f aca="false">D13-C13</f>
        <v>6000</v>
      </c>
      <c r="G13" s="18" t="s">
        <v>122</v>
      </c>
      <c r="H13" s="19" t="n">
        <f aca="false">D19</f>
        <v>35884.8</v>
      </c>
    </row>
    <row r="14" customFormat="false" ht="15" hidden="false" customHeight="false" outlineLevel="0" collapsed="false">
      <c r="B14" s="0" t="s">
        <v>123</v>
      </c>
      <c r="C14" s="17" t="n">
        <v>40800</v>
      </c>
      <c r="D14" s="17" t="n">
        <v>45600</v>
      </c>
      <c r="E14" s="17" t="n">
        <f aca="false">D14-C14</f>
        <v>4800</v>
      </c>
      <c r="G14" s="18" t="s">
        <v>124</v>
      </c>
      <c r="H14" s="19" t="n">
        <f aca="false">D20</f>
        <v>377884.8</v>
      </c>
    </row>
    <row r="15" customFormat="false" ht="15" hidden="false" customHeight="false" outlineLevel="0" collapsed="false">
      <c r="B15" s="0" t="s">
        <v>125</v>
      </c>
      <c r="C15" s="17" t="n">
        <v>33600</v>
      </c>
      <c r="D15" s="17" t="n">
        <v>33600</v>
      </c>
      <c r="E15" s="17" t="n">
        <f aca="false">D15-C15</f>
        <v>0</v>
      </c>
      <c r="G15" s="18" t="s">
        <v>126</v>
      </c>
      <c r="H15" s="19" t="n">
        <f aca="false">D22</f>
        <v>647395.2</v>
      </c>
    </row>
    <row r="16" customFormat="false" ht="15" hidden="false" customHeight="false" outlineLevel="0" collapsed="false">
      <c r="B16" s="0" t="s">
        <v>127</v>
      </c>
      <c r="C16" s="17" t="n">
        <v>54000</v>
      </c>
      <c r="D16" s="17" t="n">
        <v>42000</v>
      </c>
      <c r="E16" s="17" t="n">
        <f aca="false">D16-C16</f>
        <v>-12000</v>
      </c>
      <c r="G16" s="18" t="s">
        <v>128</v>
      </c>
      <c r="H16" s="19" t="n">
        <f aca="false">D23</f>
        <v>15600</v>
      </c>
    </row>
    <row r="17" customFormat="false" ht="15" hidden="false" customHeight="false" outlineLevel="0" collapsed="false">
      <c r="B17" s="0" t="s">
        <v>129</v>
      </c>
      <c r="C17" s="17" t="n">
        <v>55200</v>
      </c>
      <c r="D17" s="17" t="n">
        <v>55200</v>
      </c>
      <c r="E17" s="17" t="n">
        <f aca="false">D17-C17</f>
        <v>0</v>
      </c>
      <c r="G17" s="18" t="s">
        <v>130</v>
      </c>
      <c r="H17" s="19" t="n">
        <f aca="false">D24</f>
        <v>631795.2</v>
      </c>
    </row>
    <row r="18" customFormat="false" ht="15" hidden="false" customHeight="false" outlineLevel="0" collapsed="false">
      <c r="B18" s="0" t="s">
        <v>131</v>
      </c>
      <c r="C18" s="17" t="n">
        <v>27600</v>
      </c>
      <c r="D18" s="17" t="n">
        <v>27600</v>
      </c>
      <c r="E18" s="17" t="n">
        <f aca="false">D18-C18</f>
        <v>0</v>
      </c>
    </row>
    <row r="19" customFormat="false" ht="15" hidden="false" customHeight="false" outlineLevel="0" collapsed="false">
      <c r="B19" s="0" t="s">
        <v>132</v>
      </c>
      <c r="C19" s="17" t="n">
        <v>28000</v>
      </c>
      <c r="D19" s="17" t="n">
        <f aca="false">MAX(MgmtDollarFloor,D10*MgmtPct)</f>
        <v>35884.8</v>
      </c>
      <c r="E19" s="17" t="n">
        <f aca="false">D19-C19</f>
        <v>7884.8</v>
      </c>
      <c r="G19" s="18" t="s">
        <v>17</v>
      </c>
      <c r="H19" s="21" t="n">
        <f aca="false">CapRate</f>
        <v>0.0575</v>
      </c>
    </row>
    <row r="20" customFormat="false" ht="15" hidden="false" customHeight="false" outlineLevel="0" collapsed="false">
      <c r="B20" s="10" t="s">
        <v>133</v>
      </c>
      <c r="C20" s="20" t="n">
        <f aca="false">SUM(C13:C19)</f>
        <v>371200</v>
      </c>
      <c r="D20" s="20" t="n">
        <f aca="false">SUM(D13:D19)</f>
        <v>377884.8</v>
      </c>
      <c r="E20" s="17" t="n">
        <f aca="false">D20-C20</f>
        <v>6684.79999999999</v>
      </c>
      <c r="G20" s="18" t="s">
        <v>64</v>
      </c>
      <c r="H20" s="19" t="n">
        <f aca="false">D22/CapRate</f>
        <v>11259046.9565217</v>
      </c>
    </row>
    <row r="21" customFormat="false" ht="15" hidden="false" customHeight="false" outlineLevel="0" collapsed="false">
      <c r="C21" s="17"/>
      <c r="D21" s="17"/>
      <c r="E21" s="17"/>
    </row>
    <row r="22" customFormat="false" ht="15" hidden="false" customHeight="false" outlineLevel="0" collapsed="false">
      <c r="B22" s="22" t="s">
        <v>134</v>
      </c>
      <c r="C22" s="23" t="n">
        <f aca="false">C10-C20</f>
        <v>320000</v>
      </c>
      <c r="D22" s="23" t="n">
        <f aca="false">D10-D20</f>
        <v>647395.2</v>
      </c>
      <c r="E22" s="17" t="n">
        <f aca="false">D22-C22</f>
        <v>327395.2</v>
      </c>
    </row>
    <row r="23" customFormat="false" ht="15" hidden="false" customHeight="false" outlineLevel="0" collapsed="false">
      <c r="B23" s="0" t="s">
        <v>135</v>
      </c>
      <c r="C23" s="17" t="n">
        <v>14400</v>
      </c>
      <c r="D23" s="17" t="n">
        <f aca="false">TotalUnits*ResPerUnit</f>
        <v>15600</v>
      </c>
      <c r="E23" s="17" t="n">
        <f aca="false">D23-C23</f>
        <v>1200</v>
      </c>
    </row>
    <row r="24" customFormat="false" ht="15" hidden="false" customHeight="false" outlineLevel="0" collapsed="false">
      <c r="B24" s="22" t="s">
        <v>136</v>
      </c>
      <c r="C24" s="23" t="n">
        <f aca="false">C22-C23</f>
        <v>305600</v>
      </c>
      <c r="D24" s="23" t="n">
        <f aca="false">D22-D23</f>
        <v>631795.2</v>
      </c>
      <c r="E24" s="17" t="n">
        <f aca="false">D24-C24</f>
        <v>326195.2</v>
      </c>
    </row>
    <row r="32" customFormat="false" ht="15" hidden="false" customHeight="false" outlineLevel="0" collapsed="false">
      <c r="G32" s="0" t="s">
        <v>60</v>
      </c>
      <c r="H32" s="24" t="n">
        <f aca="false">UW_NOI</f>
        <v>647395.2</v>
      </c>
    </row>
    <row r="34" customFormat="false" ht="15" hidden="false" customHeight="false" outlineLevel="0" collapsed="false">
      <c r="G34" s="0" t="s">
        <v>62</v>
      </c>
      <c r="H34" s="24" t="n">
        <f aca="false">UW_NCF</f>
        <v>631795.2</v>
      </c>
    </row>
    <row r="37" customFormat="false" ht="15" hidden="false" customHeight="false" outlineLevel="0" collapsed="false">
      <c r="G37" s="0" t="s">
        <v>64</v>
      </c>
      <c r="H37" s="24" t="n">
        <f aca="false">CapValue</f>
        <v>11259046.9565217</v>
      </c>
    </row>
  </sheetData>
  <mergeCells count="2">
    <mergeCell ref="A1:H1"/>
    <mergeCell ref="B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9" t="s">
        <v>137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2" t="s">
        <v>138</v>
      </c>
      <c r="C3" s="2"/>
      <c r="D3" s="2"/>
      <c r="E3" s="2"/>
      <c r="F3" s="2"/>
    </row>
    <row r="5" customFormat="false" ht="15" hidden="false" customHeight="false" outlineLevel="0" collapsed="false">
      <c r="B5" s="3" t="s">
        <v>139</v>
      </c>
      <c r="C5" s="3"/>
      <c r="D5" s="3"/>
      <c r="E5" s="3"/>
      <c r="F5" s="3"/>
    </row>
    <row r="6" customFormat="false" ht="15" hidden="false" customHeight="false" outlineLevel="0" collapsed="false">
      <c r="B6" s="0" t="s">
        <v>20</v>
      </c>
      <c r="C6" s="25" t="n">
        <f aca="false">ContractRate</f>
        <v>0.0625</v>
      </c>
      <c r="E6" s="3" t="s">
        <v>140</v>
      </c>
      <c r="F6" s="3"/>
    </row>
    <row r="7" customFormat="false" ht="15" hidden="false" customHeight="false" outlineLevel="0" collapsed="false">
      <c r="B7" s="0" t="s">
        <v>141</v>
      </c>
      <c r="C7" s="25" t="n">
        <f aca="false">SizingRate</f>
        <v>0.075</v>
      </c>
      <c r="E7" s="0" t="s">
        <v>142</v>
      </c>
    </row>
    <row r="8" customFormat="false" ht="15" hidden="false" customHeight="false" outlineLevel="0" collapsed="false">
      <c r="B8" s="0" t="s">
        <v>27</v>
      </c>
      <c r="C8" s="0" t="n">
        <f aca="false">AmortYears</f>
        <v>30</v>
      </c>
      <c r="E8" s="0" t="s">
        <v>143</v>
      </c>
      <c r="F8" s="17" t="n">
        <f aca="false">MaxLoan</f>
        <v>5792169.90098188</v>
      </c>
    </row>
    <row r="9" customFormat="false" ht="15" hidden="false" customHeight="false" outlineLevel="0" collapsed="false">
      <c r="B9" s="0" t="s">
        <v>144</v>
      </c>
      <c r="C9" s="26" t="n">
        <f aca="false">(SizingRate/12)/(1-(1+SizingRate/12)^(-AmortYears*12))</f>
        <v>0.00699214508552776</v>
      </c>
      <c r="E9" s="0" t="s">
        <v>145</v>
      </c>
      <c r="F9" s="17" t="n">
        <f aca="false">MAX(0,-F19)</f>
        <v>0</v>
      </c>
    </row>
    <row r="10" customFormat="false" ht="15" hidden="false" customHeight="false" outlineLevel="0" collapsed="false">
      <c r="B10" s="0" t="s">
        <v>146</v>
      </c>
      <c r="E10" s="0" t="s">
        <v>147</v>
      </c>
      <c r="F10" s="17" t="n">
        <f aca="false">SUM(F8:F9)</f>
        <v>5792169.90098188</v>
      </c>
    </row>
    <row r="11" customFormat="false" ht="15" hidden="false" customHeight="false" outlineLevel="0" collapsed="false">
      <c r="B11" s="0" t="s">
        <v>148</v>
      </c>
      <c r="C11" s="27" t="n">
        <f aca="false">C9*12</f>
        <v>0.0839057410263332</v>
      </c>
    </row>
    <row r="12" customFormat="false" ht="15" hidden="false" customHeight="false" outlineLevel="0" collapsed="false">
      <c r="E12" s="0" t="s">
        <v>149</v>
      </c>
    </row>
    <row r="13" customFormat="false" ht="15" hidden="false" customHeight="false" outlineLevel="0" collapsed="false">
      <c r="B13" s="0" t="s">
        <v>150</v>
      </c>
      <c r="C13" s="24" t="n">
        <f aca="false">LTVmax*CapValue</f>
        <v>6755428.17391304</v>
      </c>
      <c r="E13" s="0" t="s">
        <v>90</v>
      </c>
      <c r="F13" s="17" t="n">
        <f aca="false">ExistingPayoff</f>
        <v>4500000</v>
      </c>
    </row>
    <row r="14" customFormat="false" ht="15" hidden="false" customHeight="false" outlineLevel="0" collapsed="false">
      <c r="B14" s="0" t="s">
        <v>151</v>
      </c>
      <c r="C14" s="24" t="n">
        <f aca="false">UW_NCF/(DSCRmin*ADC)</f>
        <v>5792169.90098188</v>
      </c>
      <c r="E14" s="0" t="s">
        <v>152</v>
      </c>
      <c r="F14" s="17" t="n">
        <f aca="false">MaxLoan*OrigFeePct</f>
        <v>57921.6990098188</v>
      </c>
    </row>
    <row r="15" customFormat="false" ht="15" hidden="false" customHeight="false" outlineLevel="0" collapsed="false">
      <c r="B15" s="0" t="s">
        <v>153</v>
      </c>
      <c r="C15" s="24" t="n">
        <f aca="false">UW_NCF/DYmin</f>
        <v>7019946.66666667</v>
      </c>
      <c r="E15" s="0" t="s">
        <v>43</v>
      </c>
      <c r="F15" s="17" t="n">
        <f aca="false">FixedCosts</f>
        <v>65000</v>
      </c>
    </row>
    <row r="16" customFormat="false" ht="15" hidden="false" customHeight="false" outlineLevel="0" collapsed="false">
      <c r="E16" s="0" t="s">
        <v>154</v>
      </c>
      <c r="F16" s="17" t="n">
        <f aca="false">MAX(0,F19)</f>
        <v>1169248.20197206</v>
      </c>
    </row>
    <row r="17" customFormat="false" ht="16.15" hidden="false" customHeight="false" outlineLevel="0" collapsed="false">
      <c r="B17" s="0" t="s">
        <v>155</v>
      </c>
      <c r="C17" s="28" t="n">
        <f aca="false">MIN(C13:C15)</f>
        <v>5792169.90098188</v>
      </c>
      <c r="E17" s="0" t="s">
        <v>156</v>
      </c>
      <c r="F17" s="17" t="n">
        <f aca="false">SUM(F13:F16)</f>
        <v>5792169.90098188</v>
      </c>
    </row>
    <row r="18" customFormat="false" ht="15" hidden="false" customHeight="false" outlineLevel="0" collapsed="false">
      <c r="B18" s="0" t="s">
        <v>71</v>
      </c>
      <c r="C18" s="29" t="str">
        <f aca="false">INDEX({"LTV","DSCR","Debt yield"},MATCH(C17,C13:C15,0))</f>
        <v>DSCR</v>
      </c>
    </row>
    <row r="19" customFormat="false" ht="15" hidden="false" customHeight="false" outlineLevel="0" collapsed="false">
      <c r="E19" s="0" t="s">
        <v>74</v>
      </c>
      <c r="F19" s="30" t="n">
        <f aca="false">MaxLoan-ExistingPayoff-MaxLoan*OrigFeePct-FixedCosts</f>
        <v>1169248.20197206</v>
      </c>
    </row>
    <row r="20" customFormat="false" ht="15" hidden="false" customHeight="false" outlineLevel="0" collapsed="false">
      <c r="B20" s="3" t="s">
        <v>157</v>
      </c>
      <c r="C20" s="3"/>
      <c r="D20" s="3"/>
      <c r="E20" s="3"/>
      <c r="F20" s="3"/>
    </row>
    <row r="21" customFormat="false" ht="15" hidden="false" customHeight="false" outlineLevel="0" collapsed="false">
      <c r="B21" s="0" t="s">
        <v>158</v>
      </c>
      <c r="C21" s="31" t="n">
        <f aca="false">MaxLoan*ADC</f>
        <v>485996.307692308</v>
      </c>
    </row>
    <row r="22" customFormat="false" ht="15" hidden="false" customHeight="false" outlineLevel="0" collapsed="false">
      <c r="B22" s="0" t="s">
        <v>159</v>
      </c>
      <c r="C22" s="32" t="n">
        <f aca="false">UW_NCF/C21</f>
        <v>1.3</v>
      </c>
    </row>
    <row r="23" customFormat="false" ht="15" hidden="false" customHeight="false" outlineLevel="0" collapsed="false">
      <c r="B23" s="0" t="s">
        <v>160</v>
      </c>
      <c r="C23" s="21" t="n">
        <f aca="false">UW_NCF/MaxLoan</f>
        <v>0.109077463334233</v>
      </c>
    </row>
    <row r="24" customFormat="false" ht="15" hidden="false" customHeight="false" outlineLevel="0" collapsed="false">
      <c r="B24" s="0" t="s">
        <v>161</v>
      </c>
      <c r="C24" s="21" t="n">
        <f aca="false">MaxLoan/CapValue</f>
        <v>0.51444584282747</v>
      </c>
    </row>
    <row r="25" customFormat="false" ht="15" hidden="false" customHeight="false" outlineLevel="0" collapsed="false">
      <c r="B25" s="0" t="s">
        <v>162</v>
      </c>
      <c r="C25" s="33" t="n">
        <f aca="false">MaxLoan*ContractRate</f>
        <v>362010.618811368</v>
      </c>
    </row>
    <row r="31" customFormat="false" ht="15" hidden="false" customHeight="false" outlineLevel="0" collapsed="false">
      <c r="B31" s="0" t="s">
        <v>163</v>
      </c>
      <c r="C31" s="30" t="n">
        <f aca="false">F19</f>
        <v>1169248.20197206</v>
      </c>
    </row>
  </sheetData>
  <mergeCells count="5">
    <mergeCell ref="A1:F1"/>
    <mergeCell ref="B3:F3"/>
    <mergeCell ref="B5:F5"/>
    <mergeCell ref="E6:F6"/>
    <mergeCell ref="B20:F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9" t="s">
        <v>164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3" t="s">
        <v>165</v>
      </c>
      <c r="C3" s="3"/>
      <c r="E3" s="3" t="s">
        <v>166</v>
      </c>
      <c r="F3" s="3"/>
    </row>
    <row r="5" customFormat="false" ht="15" hidden="false" customHeight="false" outlineLevel="0" collapsed="false">
      <c r="B5" s="0" t="s">
        <v>167</v>
      </c>
      <c r="C5" s="17" t="n">
        <f aca="false">UW_EGI*0.95</f>
        <v>974016</v>
      </c>
      <c r="E5" s="0" t="s">
        <v>168</v>
      </c>
      <c r="F5" s="25" t="n">
        <f aca="false">CapRate+0.005</f>
        <v>0.0625</v>
      </c>
    </row>
    <row r="6" customFormat="false" ht="15" hidden="false" customHeight="false" outlineLevel="0" collapsed="false">
      <c r="B6" s="0" t="s">
        <v>169</v>
      </c>
      <c r="C6" s="17" t="n">
        <f aca="false">MAX(MgmtDollarFloor,C5*MgmtPct)</f>
        <v>34090.56</v>
      </c>
      <c r="E6" s="0" t="s">
        <v>170</v>
      </c>
      <c r="F6" s="17" t="n">
        <f aca="false">UW_NOI/F5</f>
        <v>10358323.2</v>
      </c>
    </row>
    <row r="7" customFormat="false" ht="15" hidden="false" customHeight="false" outlineLevel="0" collapsed="false">
      <c r="B7" s="0" t="s">
        <v>171</v>
      </c>
      <c r="C7" s="17" t="n">
        <f aca="false">(UW_OpEx-UW_MgmtFee)+C6</f>
        <v>376090.56</v>
      </c>
    </row>
    <row r="8" customFormat="false" ht="15" hidden="false" customHeight="false" outlineLevel="0" collapsed="false">
      <c r="B8" s="0" t="s">
        <v>172</v>
      </c>
      <c r="C8" s="17" t="n">
        <f aca="false">C5-C7</f>
        <v>597925.44</v>
      </c>
      <c r="E8" s="0" t="s">
        <v>173</v>
      </c>
      <c r="F8" s="17" t="n">
        <f aca="false">LTVmax*F6</f>
        <v>6214993.92</v>
      </c>
    </row>
    <row r="9" customFormat="false" ht="15" hidden="false" customHeight="false" outlineLevel="0" collapsed="false">
      <c r="B9" s="0" t="s">
        <v>174</v>
      </c>
      <c r="C9" s="17" t="n">
        <f aca="false">C8-UW_Reserves</f>
        <v>582325.44</v>
      </c>
      <c r="E9" s="0" t="s">
        <v>175</v>
      </c>
      <c r="F9" s="17" t="n">
        <f aca="false">UW_NCF/(DSCRmin*ADC)</f>
        <v>5792169.90098188</v>
      </c>
    </row>
    <row r="10" customFormat="false" ht="15" hidden="false" customHeight="false" outlineLevel="0" collapsed="false">
      <c r="E10" s="0" t="s">
        <v>176</v>
      </c>
      <c r="F10" s="17" t="n">
        <f aca="false">UW_NCF/DYmin</f>
        <v>7019946.66666667</v>
      </c>
    </row>
    <row r="11" customFormat="false" ht="15" hidden="false" customHeight="false" outlineLevel="0" collapsed="false">
      <c r="B11" s="0" t="s">
        <v>177</v>
      </c>
      <c r="C11" s="17" t="n">
        <f aca="false">C8/CapRate</f>
        <v>10398703.3043478</v>
      </c>
    </row>
    <row r="12" customFormat="false" ht="15" hidden="false" customHeight="false" outlineLevel="0" collapsed="false">
      <c r="B12" s="0" t="s">
        <v>178</v>
      </c>
      <c r="C12" s="25" t="n">
        <f aca="false">SizingRate+0.01</f>
        <v>0.085</v>
      </c>
      <c r="E12" s="0" t="s">
        <v>179</v>
      </c>
      <c r="F12" s="34" t="n">
        <f aca="false">MIN(F8:F10)</f>
        <v>5792169.90098188</v>
      </c>
    </row>
    <row r="13" customFormat="false" ht="15" hidden="false" customHeight="false" outlineLevel="0" collapsed="false">
      <c r="B13" s="0" t="s">
        <v>180</v>
      </c>
      <c r="C13" s="26" t="n">
        <f aca="false">12*((C12/12)/(1-(1+C12/12)^(-AmortYears*12)))</f>
        <v>0.09226961803012</v>
      </c>
      <c r="E13" s="0" t="s">
        <v>181</v>
      </c>
      <c r="F13" s="29" t="str">
        <f aca="false">INDEX({"LTV","DSCR","Debt yield"},MATCH(F12,F8:F10,0))</f>
        <v>DSCR</v>
      </c>
    </row>
    <row r="15" customFormat="false" ht="15" hidden="false" customHeight="false" outlineLevel="0" collapsed="false">
      <c r="B15" s="0" t="s">
        <v>173</v>
      </c>
      <c r="C15" s="17" t="n">
        <f aca="false">LTVmax*C11</f>
        <v>6239221.9826087</v>
      </c>
      <c r="E15" s="0" t="s">
        <v>182</v>
      </c>
      <c r="F15" s="17" t="n">
        <f aca="false">F12-MaxLoan</f>
        <v>0</v>
      </c>
    </row>
    <row r="16" customFormat="false" ht="15" hidden="false" customHeight="false" outlineLevel="0" collapsed="false">
      <c r="B16" s="0" t="s">
        <v>183</v>
      </c>
      <c r="C16" s="17" t="n">
        <f aca="false">C9/(DSCRmin*C13)</f>
        <v>4854714.43056827</v>
      </c>
    </row>
    <row r="17" customFormat="false" ht="15" hidden="false" customHeight="false" outlineLevel="0" collapsed="false">
      <c r="B17" s="0" t="s">
        <v>184</v>
      </c>
      <c r="C17" s="17" t="n">
        <f aca="false">C9/DYmin</f>
        <v>6470282.66666667</v>
      </c>
    </row>
    <row r="19" customFormat="false" ht="15" hidden="false" customHeight="false" outlineLevel="0" collapsed="false">
      <c r="B19" s="0" t="s">
        <v>185</v>
      </c>
      <c r="C19" s="34" t="n">
        <f aca="false">MIN(C15:C17)</f>
        <v>4854714.43056827</v>
      </c>
    </row>
    <row r="20" customFormat="false" ht="15" hidden="false" customHeight="false" outlineLevel="0" collapsed="false">
      <c r="B20" s="0" t="s">
        <v>181</v>
      </c>
      <c r="C20" s="29" t="str">
        <f aca="false">INDEX({"LTV","DSCR","Debt yield"},MATCH(C19,C15:C17,0))</f>
        <v>DSCR</v>
      </c>
    </row>
    <row r="22" customFormat="false" ht="15" hidden="false" customHeight="false" outlineLevel="0" collapsed="false">
      <c r="B22" s="0" t="s">
        <v>182</v>
      </c>
      <c r="C22" s="31" t="n">
        <f aca="false">C19</f>
        <v>4854714.43056827</v>
      </c>
      <c r="E22" s="0" t="s">
        <v>186</v>
      </c>
      <c r="F22" s="31" t="n">
        <f aca="false">F12</f>
        <v>5792169.90098188</v>
      </c>
      <c r="G22" s="31" t="n">
        <f aca="false">F12</f>
        <v>5792169.90098188</v>
      </c>
    </row>
    <row r="23" customFormat="false" ht="15" hidden="false" customHeight="false" outlineLevel="0" collapsed="false">
      <c r="B23" s="0" t="s">
        <v>187</v>
      </c>
    </row>
  </sheetData>
  <mergeCells count="3">
    <mergeCell ref="A1:F1"/>
    <mergeCell ref="B3:C3"/>
    <mergeCell ref="E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5"/>
  </cols>
  <sheetData>
    <row r="1" customFormat="false" ht="15" hidden="false" customHeight="false" outlineLevel="0" collapsed="false">
      <c r="A1" s="9" t="s">
        <v>188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B3" s="10" t="s">
        <v>189</v>
      </c>
      <c r="C3" s="10" t="s">
        <v>190</v>
      </c>
      <c r="D3" s="10" t="s">
        <v>191</v>
      </c>
      <c r="E3" s="10" t="s">
        <v>192</v>
      </c>
      <c r="F3" s="10" t="s">
        <v>193</v>
      </c>
      <c r="G3" s="10" t="s">
        <v>194</v>
      </c>
      <c r="H3" s="10" t="s">
        <v>195</v>
      </c>
    </row>
    <row r="4" customFormat="false" ht="15" hidden="false" customHeight="false" outlineLevel="0" collapsed="false">
      <c r="B4" s="0" t="s">
        <v>196</v>
      </c>
      <c r="C4" s="0" t="s">
        <v>197</v>
      </c>
      <c r="D4" s="35" t="n">
        <v>700</v>
      </c>
      <c r="E4" s="0" t="s">
        <v>198</v>
      </c>
      <c r="F4" s="31" t="n">
        <v>1575</v>
      </c>
      <c r="G4" s="31" t="n">
        <v>1575</v>
      </c>
    </row>
    <row r="5" customFormat="false" ht="15" hidden="false" customHeight="false" outlineLevel="0" collapsed="false">
      <c r="B5" s="0" t="s">
        <v>199</v>
      </c>
      <c r="C5" s="0" t="s">
        <v>200</v>
      </c>
      <c r="D5" s="35" t="n">
        <v>700</v>
      </c>
      <c r="E5" s="0" t="s">
        <v>198</v>
      </c>
      <c r="F5" s="31" t="n">
        <v>1575</v>
      </c>
      <c r="G5" s="31" t="n">
        <v>1575</v>
      </c>
    </row>
    <row r="6" customFormat="false" ht="15" hidden="false" customHeight="false" outlineLevel="0" collapsed="false">
      <c r="B6" s="0" t="s">
        <v>201</v>
      </c>
      <c r="C6" s="0" t="s">
        <v>202</v>
      </c>
      <c r="D6" s="35" t="n">
        <v>700</v>
      </c>
      <c r="E6" s="0" t="s">
        <v>198</v>
      </c>
      <c r="F6" s="31" t="n">
        <v>1575</v>
      </c>
      <c r="G6" s="31" t="n">
        <v>1575</v>
      </c>
    </row>
    <row r="7" customFormat="false" ht="15" hidden="false" customHeight="false" outlineLevel="0" collapsed="false">
      <c r="B7" s="0" t="s">
        <v>203</v>
      </c>
      <c r="C7" s="0" t="s">
        <v>204</v>
      </c>
      <c r="D7" s="35" t="n">
        <v>700</v>
      </c>
      <c r="E7" s="0" t="s">
        <v>198</v>
      </c>
      <c r="F7" s="31" t="n">
        <v>1575</v>
      </c>
      <c r="G7" s="31" t="n">
        <v>1575</v>
      </c>
    </row>
    <row r="8" customFormat="false" ht="15" hidden="false" customHeight="false" outlineLevel="0" collapsed="false">
      <c r="B8" s="0" t="s">
        <v>205</v>
      </c>
      <c r="C8" s="0" t="s">
        <v>206</v>
      </c>
      <c r="D8" s="35" t="n">
        <v>700</v>
      </c>
      <c r="E8" s="0" t="s">
        <v>198</v>
      </c>
      <c r="F8" s="31" t="n">
        <v>1575</v>
      </c>
      <c r="G8" s="31" t="n">
        <v>1575</v>
      </c>
    </row>
    <row r="9" customFormat="false" ht="15" hidden="false" customHeight="false" outlineLevel="0" collapsed="false">
      <c r="B9" s="0" t="s">
        <v>207</v>
      </c>
      <c r="C9" s="0" t="s">
        <v>208</v>
      </c>
      <c r="D9" s="35" t="n">
        <v>700</v>
      </c>
      <c r="E9" s="0" t="s">
        <v>198</v>
      </c>
      <c r="F9" s="31" t="n">
        <v>1575</v>
      </c>
      <c r="G9" s="31" t="n">
        <v>1575</v>
      </c>
    </row>
    <row r="10" customFormat="false" ht="15" hidden="false" customHeight="false" outlineLevel="0" collapsed="false">
      <c r="B10" s="0" t="s">
        <v>209</v>
      </c>
      <c r="C10" s="0" t="s">
        <v>210</v>
      </c>
      <c r="D10" s="35" t="n">
        <v>700</v>
      </c>
      <c r="E10" s="0" t="s">
        <v>198</v>
      </c>
      <c r="F10" s="31" t="n">
        <v>1575</v>
      </c>
      <c r="G10" s="31" t="n">
        <v>1575</v>
      </c>
    </row>
    <row r="11" customFormat="false" ht="15" hidden="false" customHeight="false" outlineLevel="0" collapsed="false">
      <c r="B11" s="0" t="s">
        <v>211</v>
      </c>
      <c r="C11" s="0" t="s">
        <v>212</v>
      </c>
      <c r="D11" s="35" t="n">
        <v>700</v>
      </c>
      <c r="E11" s="0" t="s">
        <v>198</v>
      </c>
      <c r="F11" s="31" t="n">
        <v>1575</v>
      </c>
      <c r="G11" s="31" t="n">
        <v>1575</v>
      </c>
    </row>
    <row r="12" customFormat="false" ht="15" hidden="false" customHeight="false" outlineLevel="0" collapsed="false">
      <c r="B12" s="0" t="s">
        <v>213</v>
      </c>
      <c r="C12" s="0" t="s">
        <v>214</v>
      </c>
      <c r="D12" s="35" t="n">
        <v>700</v>
      </c>
      <c r="E12" s="0" t="s">
        <v>198</v>
      </c>
      <c r="F12" s="31" t="n">
        <v>1575</v>
      </c>
      <c r="G12" s="31" t="n">
        <v>1575</v>
      </c>
    </row>
    <row r="13" customFormat="false" ht="15" hidden="false" customHeight="false" outlineLevel="0" collapsed="false">
      <c r="B13" s="0" t="s">
        <v>215</v>
      </c>
      <c r="C13" s="0" t="s">
        <v>216</v>
      </c>
      <c r="D13" s="35" t="n">
        <v>700</v>
      </c>
      <c r="E13" s="0" t="s">
        <v>198</v>
      </c>
      <c r="F13" s="31" t="n">
        <v>1575</v>
      </c>
      <c r="G13" s="31" t="n">
        <v>1575</v>
      </c>
    </row>
    <row r="14" customFormat="false" ht="15" hidden="false" customHeight="false" outlineLevel="0" collapsed="false">
      <c r="B14" s="0" t="s">
        <v>217</v>
      </c>
      <c r="C14" s="0" t="s">
        <v>218</v>
      </c>
      <c r="D14" s="35" t="n">
        <v>700</v>
      </c>
      <c r="E14" s="0" t="s">
        <v>198</v>
      </c>
      <c r="F14" s="31" t="n">
        <v>1575</v>
      </c>
      <c r="G14" s="31" t="n">
        <v>1575</v>
      </c>
    </row>
    <row r="15" customFormat="false" ht="15" hidden="false" customHeight="false" outlineLevel="0" collapsed="false">
      <c r="B15" s="0" t="s">
        <v>219</v>
      </c>
      <c r="C15" s="0" t="s">
        <v>220</v>
      </c>
      <c r="D15" s="35" t="n">
        <v>700</v>
      </c>
      <c r="E15" s="0" t="s">
        <v>198</v>
      </c>
      <c r="F15" s="31" t="n">
        <v>1575</v>
      </c>
      <c r="G15" s="31" t="n">
        <v>1575</v>
      </c>
    </row>
    <row r="16" customFormat="false" ht="15" hidden="false" customHeight="false" outlineLevel="0" collapsed="false">
      <c r="B16" s="0" t="s">
        <v>221</v>
      </c>
      <c r="C16" s="0" t="s">
        <v>222</v>
      </c>
      <c r="D16" s="35" t="n">
        <v>700</v>
      </c>
      <c r="E16" s="0" t="s">
        <v>198</v>
      </c>
      <c r="F16" s="31" t="n">
        <v>1575</v>
      </c>
      <c r="G16" s="31" t="n">
        <v>1575</v>
      </c>
    </row>
    <row r="17" customFormat="false" ht="15" hidden="false" customHeight="false" outlineLevel="0" collapsed="false">
      <c r="B17" s="0" t="s">
        <v>223</v>
      </c>
      <c r="C17" s="0" t="s">
        <v>224</v>
      </c>
      <c r="D17" s="35" t="n">
        <v>700</v>
      </c>
      <c r="E17" s="0" t="s">
        <v>198</v>
      </c>
      <c r="F17" s="31" t="n">
        <v>1575</v>
      </c>
      <c r="G17" s="31" t="n">
        <v>1575</v>
      </c>
    </row>
    <row r="18" customFormat="false" ht="15" hidden="false" customHeight="false" outlineLevel="0" collapsed="false">
      <c r="B18" s="0" t="s">
        <v>225</v>
      </c>
      <c r="C18" s="0" t="s">
        <v>226</v>
      </c>
      <c r="D18" s="35" t="n">
        <v>700</v>
      </c>
      <c r="E18" s="0" t="s">
        <v>198</v>
      </c>
      <c r="F18" s="31" t="n">
        <v>1575</v>
      </c>
      <c r="G18" s="31" t="n">
        <v>1575</v>
      </c>
    </row>
    <row r="19" customFormat="false" ht="15" hidden="false" customHeight="false" outlineLevel="0" collapsed="false">
      <c r="B19" s="0" t="s">
        <v>227</v>
      </c>
      <c r="C19" s="0" t="s">
        <v>228</v>
      </c>
      <c r="D19" s="35" t="n">
        <v>700</v>
      </c>
      <c r="E19" s="0" t="s">
        <v>198</v>
      </c>
      <c r="F19" s="31" t="n">
        <v>1575</v>
      </c>
      <c r="G19" s="31" t="n">
        <v>1575</v>
      </c>
    </row>
    <row r="20" customFormat="false" ht="15" hidden="false" customHeight="false" outlineLevel="0" collapsed="false">
      <c r="B20" s="0" t="s">
        <v>229</v>
      </c>
      <c r="C20" s="0" t="s">
        <v>230</v>
      </c>
      <c r="D20" s="35" t="n">
        <v>700</v>
      </c>
      <c r="E20" s="0" t="s">
        <v>198</v>
      </c>
      <c r="F20" s="31" t="n">
        <v>1575</v>
      </c>
      <c r="G20" s="31" t="n">
        <v>1575</v>
      </c>
    </row>
    <row r="21" customFormat="false" ht="15" hidden="false" customHeight="false" outlineLevel="0" collapsed="false">
      <c r="B21" s="0" t="s">
        <v>231</v>
      </c>
      <c r="C21" s="0" t="s">
        <v>232</v>
      </c>
      <c r="D21" s="35" t="n">
        <v>700</v>
      </c>
      <c r="E21" s="0" t="s">
        <v>198</v>
      </c>
      <c r="F21" s="31" t="n">
        <v>1575</v>
      </c>
      <c r="G21" s="31" t="n">
        <v>1575</v>
      </c>
    </row>
    <row r="22" customFormat="false" ht="15" hidden="false" customHeight="false" outlineLevel="0" collapsed="false">
      <c r="B22" s="0" t="s">
        <v>233</v>
      </c>
      <c r="C22" s="0" t="s">
        <v>234</v>
      </c>
      <c r="D22" s="35" t="n">
        <v>700</v>
      </c>
      <c r="E22" s="0" t="s">
        <v>198</v>
      </c>
      <c r="F22" s="31" t="n">
        <v>1575</v>
      </c>
      <c r="G22" s="31" t="n">
        <v>1575</v>
      </c>
    </row>
    <row r="23" customFormat="false" ht="15" hidden="false" customHeight="false" outlineLevel="0" collapsed="false">
      <c r="B23" s="0" t="s">
        <v>235</v>
      </c>
      <c r="C23" s="0" t="s">
        <v>236</v>
      </c>
      <c r="D23" s="35" t="n">
        <v>700</v>
      </c>
      <c r="E23" s="0" t="s">
        <v>198</v>
      </c>
      <c r="F23" s="31" t="n">
        <v>1575</v>
      </c>
      <c r="G23" s="31" t="n">
        <v>1575</v>
      </c>
    </row>
    <row r="24" customFormat="false" ht="15" hidden="false" customHeight="false" outlineLevel="0" collapsed="false">
      <c r="B24" s="0" t="s">
        <v>237</v>
      </c>
      <c r="C24" s="0" t="s">
        <v>238</v>
      </c>
      <c r="D24" s="35" t="n">
        <v>700</v>
      </c>
      <c r="E24" s="0" t="s">
        <v>198</v>
      </c>
      <c r="F24" s="31" t="n">
        <v>1575</v>
      </c>
      <c r="G24" s="31" t="n">
        <v>1575</v>
      </c>
    </row>
    <row r="25" customFormat="false" ht="15" hidden="false" customHeight="false" outlineLevel="0" collapsed="false">
      <c r="B25" s="0" t="s">
        <v>239</v>
      </c>
      <c r="C25" s="0" t="s">
        <v>240</v>
      </c>
      <c r="D25" s="35" t="n">
        <v>700</v>
      </c>
      <c r="E25" s="0" t="s">
        <v>198</v>
      </c>
      <c r="F25" s="31" t="n">
        <v>1575</v>
      </c>
      <c r="G25" s="31" t="n">
        <v>1575</v>
      </c>
    </row>
    <row r="26" customFormat="false" ht="15" hidden="false" customHeight="false" outlineLevel="0" collapsed="false">
      <c r="B26" s="0" t="s">
        <v>241</v>
      </c>
      <c r="C26" s="0" t="s">
        <v>242</v>
      </c>
      <c r="D26" s="35" t="n">
        <v>700</v>
      </c>
      <c r="E26" s="0" t="s">
        <v>198</v>
      </c>
      <c r="F26" s="31" t="n">
        <v>1575</v>
      </c>
      <c r="G26" s="31" t="n">
        <v>1575</v>
      </c>
    </row>
    <row r="27" customFormat="false" ht="15" hidden="false" customHeight="false" outlineLevel="0" collapsed="false">
      <c r="B27" s="0" t="s">
        <v>243</v>
      </c>
      <c r="C27" s="0" t="s">
        <v>244</v>
      </c>
      <c r="D27" s="35" t="n">
        <v>700</v>
      </c>
      <c r="E27" s="0" t="s">
        <v>198</v>
      </c>
      <c r="F27" s="31" t="n">
        <v>1575</v>
      </c>
      <c r="G27" s="31" t="n">
        <v>1575</v>
      </c>
    </row>
    <row r="28" customFormat="false" ht="15" hidden="false" customHeight="false" outlineLevel="0" collapsed="false">
      <c r="B28" s="0" t="s">
        <v>245</v>
      </c>
      <c r="C28" s="0" t="s">
        <v>246</v>
      </c>
      <c r="D28" s="35" t="n">
        <v>1100</v>
      </c>
      <c r="E28" s="0" t="s">
        <v>198</v>
      </c>
      <c r="F28" s="31" t="n">
        <v>2025</v>
      </c>
      <c r="G28" s="31" t="n">
        <v>2025</v>
      </c>
      <c r="H28" s="0" t="s">
        <v>247</v>
      </c>
    </row>
    <row r="29" customFormat="false" ht="15" hidden="false" customHeight="false" outlineLevel="0" collapsed="false">
      <c r="B29" s="0" t="s">
        <v>248</v>
      </c>
      <c r="C29" s="0" t="s">
        <v>249</v>
      </c>
      <c r="D29" s="35" t="n">
        <v>1100</v>
      </c>
      <c r="E29" s="0" t="s">
        <v>198</v>
      </c>
      <c r="F29" s="31" t="n">
        <v>2025</v>
      </c>
      <c r="G29" s="31" t="n">
        <v>2025</v>
      </c>
      <c r="H29" s="0" t="s">
        <v>250</v>
      </c>
    </row>
    <row r="30" customFormat="false" ht="15" hidden="false" customHeight="false" outlineLevel="0" collapsed="false">
      <c r="B30" s="0" t="s">
        <v>251</v>
      </c>
      <c r="C30" s="0" t="s">
        <v>252</v>
      </c>
      <c r="D30" s="35" t="n">
        <v>1100</v>
      </c>
      <c r="E30" s="0" t="s">
        <v>198</v>
      </c>
      <c r="F30" s="31" t="n">
        <v>2025</v>
      </c>
      <c r="G30" s="31" t="n">
        <v>2025</v>
      </c>
      <c r="H30" s="0" t="s">
        <v>253</v>
      </c>
    </row>
    <row r="31" customFormat="false" ht="15" hidden="false" customHeight="false" outlineLevel="0" collapsed="false">
      <c r="B31" s="0" t="s">
        <v>254</v>
      </c>
      <c r="C31" s="0" t="s">
        <v>255</v>
      </c>
      <c r="D31" s="35" t="n">
        <v>1100</v>
      </c>
      <c r="E31" s="0" t="s">
        <v>198</v>
      </c>
      <c r="F31" s="31" t="n">
        <v>2025</v>
      </c>
      <c r="G31" s="31" t="n">
        <v>2025</v>
      </c>
      <c r="H31" s="0" t="s">
        <v>256</v>
      </c>
    </row>
    <row r="32" customFormat="false" ht="15" hidden="false" customHeight="false" outlineLevel="0" collapsed="false">
      <c r="B32" s="0" t="s">
        <v>257</v>
      </c>
      <c r="C32" s="0" t="s">
        <v>258</v>
      </c>
      <c r="D32" s="35" t="n">
        <v>1100</v>
      </c>
      <c r="E32" s="0" t="s">
        <v>198</v>
      </c>
      <c r="F32" s="31" t="n">
        <v>2025</v>
      </c>
      <c r="G32" s="31" t="n">
        <v>2025</v>
      </c>
      <c r="H32" s="0" t="s">
        <v>259</v>
      </c>
    </row>
    <row r="33" customFormat="false" ht="15" hidden="false" customHeight="false" outlineLevel="0" collapsed="false">
      <c r="B33" s="0" t="s">
        <v>260</v>
      </c>
      <c r="C33" s="0" t="s">
        <v>261</v>
      </c>
      <c r="D33" s="35" t="n">
        <v>1100</v>
      </c>
      <c r="E33" s="0" t="s">
        <v>198</v>
      </c>
      <c r="F33" s="31" t="n">
        <v>2025</v>
      </c>
      <c r="G33" s="31" t="n">
        <v>2025</v>
      </c>
      <c r="H33" s="0" t="s">
        <v>262</v>
      </c>
    </row>
    <row r="34" customFormat="false" ht="15" hidden="false" customHeight="false" outlineLevel="0" collapsed="false">
      <c r="B34" s="0" t="s">
        <v>263</v>
      </c>
      <c r="C34" s="0" t="s">
        <v>264</v>
      </c>
      <c r="D34" s="35" t="n">
        <v>1100</v>
      </c>
      <c r="E34" s="0" t="s">
        <v>198</v>
      </c>
      <c r="F34" s="31" t="n">
        <v>2025</v>
      </c>
      <c r="G34" s="31" t="n">
        <v>2025</v>
      </c>
      <c r="H34" s="0" t="s">
        <v>265</v>
      </c>
    </row>
    <row r="35" customFormat="false" ht="15" hidden="false" customHeight="false" outlineLevel="0" collapsed="false">
      <c r="B35" s="0" t="s">
        <v>266</v>
      </c>
      <c r="C35" s="0" t="s">
        <v>267</v>
      </c>
      <c r="D35" s="35" t="n">
        <v>1100</v>
      </c>
      <c r="E35" s="0" t="s">
        <v>198</v>
      </c>
      <c r="F35" s="31" t="n">
        <v>2025</v>
      </c>
      <c r="G35" s="31" t="n">
        <v>2025</v>
      </c>
      <c r="H35" s="0" t="s">
        <v>268</v>
      </c>
    </row>
    <row r="36" customFormat="false" ht="15" hidden="false" customHeight="false" outlineLevel="0" collapsed="false">
      <c r="B36" s="0" t="s">
        <v>269</v>
      </c>
      <c r="C36" s="0" t="s">
        <v>270</v>
      </c>
      <c r="D36" s="35" t="n">
        <v>1100</v>
      </c>
      <c r="E36" s="0" t="s">
        <v>198</v>
      </c>
      <c r="F36" s="31" t="n">
        <v>2025</v>
      </c>
      <c r="G36" s="31" t="n">
        <v>2025</v>
      </c>
      <c r="H36" s="0" t="s">
        <v>271</v>
      </c>
    </row>
    <row r="37" customFormat="false" ht="15" hidden="false" customHeight="false" outlineLevel="0" collapsed="false">
      <c r="B37" s="0" t="s">
        <v>272</v>
      </c>
      <c r="C37" s="0" t="s">
        <v>273</v>
      </c>
      <c r="D37" s="35" t="n">
        <v>1100</v>
      </c>
      <c r="E37" s="0" t="s">
        <v>273</v>
      </c>
      <c r="F37" s="31"/>
      <c r="G37" s="31" t="n">
        <v>2025</v>
      </c>
    </row>
    <row r="38" customFormat="false" ht="15" hidden="false" customHeight="false" outlineLevel="0" collapsed="false">
      <c r="B38" s="0" t="s">
        <v>274</v>
      </c>
      <c r="C38" s="0" t="s">
        <v>273</v>
      </c>
      <c r="D38" s="35" t="n">
        <v>1100</v>
      </c>
      <c r="E38" s="0" t="s">
        <v>273</v>
      </c>
      <c r="F38" s="31"/>
      <c r="G38" s="31" t="n">
        <v>2025</v>
      </c>
    </row>
    <row r="39" customFormat="false" ht="15" hidden="false" customHeight="false" outlineLevel="0" collapsed="false">
      <c r="B39" s="0" t="s">
        <v>275</v>
      </c>
      <c r="C39" s="0" t="s">
        <v>273</v>
      </c>
      <c r="D39" s="35" t="n">
        <v>1100</v>
      </c>
      <c r="E39" s="0" t="s">
        <v>273</v>
      </c>
      <c r="F39" s="31"/>
      <c r="G39" s="31" t="n">
        <v>2025</v>
      </c>
    </row>
    <row r="40" customFormat="false" ht="15" hidden="false" customHeight="false" outlineLevel="0" collapsed="false">
      <c r="B40" s="0" t="s">
        <v>276</v>
      </c>
      <c r="C40" s="0" t="s">
        <v>273</v>
      </c>
      <c r="D40" s="35" t="n">
        <v>1100</v>
      </c>
      <c r="E40" s="0" t="s">
        <v>273</v>
      </c>
      <c r="F40" s="31"/>
      <c r="G40" s="31" t="n">
        <v>2025</v>
      </c>
    </row>
    <row r="41" customFormat="false" ht="15" hidden="false" customHeight="false" outlineLevel="0" collapsed="false">
      <c r="B41" s="0" t="s">
        <v>277</v>
      </c>
      <c r="C41" s="0" t="s">
        <v>273</v>
      </c>
      <c r="D41" s="35" t="n">
        <v>1100</v>
      </c>
      <c r="E41" s="0" t="s">
        <v>273</v>
      </c>
      <c r="F41" s="31"/>
      <c r="G41" s="31" t="n">
        <v>2025</v>
      </c>
    </row>
    <row r="42" customFormat="false" ht="15" hidden="false" customHeight="false" outlineLevel="0" collapsed="false">
      <c r="B42" s="0" t="s">
        <v>278</v>
      </c>
      <c r="C42" s="0" t="s">
        <v>273</v>
      </c>
      <c r="D42" s="35" t="n">
        <v>1100</v>
      </c>
      <c r="E42" s="0" t="s">
        <v>273</v>
      </c>
      <c r="F42" s="31"/>
      <c r="G42" s="31" t="n">
        <v>2025</v>
      </c>
    </row>
    <row r="43" customFormat="false" ht="15" hidden="false" customHeight="false" outlineLevel="0" collapsed="false">
      <c r="B43" s="0" t="s">
        <v>279</v>
      </c>
      <c r="C43" s="0" t="s">
        <v>273</v>
      </c>
      <c r="D43" s="35" t="n">
        <v>1100</v>
      </c>
      <c r="E43" s="0" t="s">
        <v>273</v>
      </c>
      <c r="F43" s="31"/>
      <c r="G43" s="31" t="n">
        <v>2025</v>
      </c>
    </row>
    <row r="44" customFormat="false" ht="15" hidden="false" customHeight="false" outlineLevel="0" collapsed="false">
      <c r="B44" s="0" t="s">
        <v>280</v>
      </c>
      <c r="C44" s="0" t="s">
        <v>273</v>
      </c>
      <c r="D44" s="35" t="n">
        <v>1100</v>
      </c>
      <c r="E44" s="0" t="s">
        <v>273</v>
      </c>
      <c r="F44" s="31"/>
      <c r="G44" s="31" t="n">
        <v>2025</v>
      </c>
    </row>
    <row r="45" customFormat="false" ht="15" hidden="false" customHeight="false" outlineLevel="0" collapsed="false">
      <c r="B45" s="0" t="s">
        <v>281</v>
      </c>
      <c r="C45" s="0" t="s">
        <v>273</v>
      </c>
      <c r="D45" s="35" t="n">
        <v>1100</v>
      </c>
      <c r="E45" s="0" t="s">
        <v>273</v>
      </c>
      <c r="F45" s="31"/>
      <c r="G45" s="31" t="n">
        <v>2025</v>
      </c>
    </row>
    <row r="46" customFormat="false" ht="15" hidden="false" customHeight="false" outlineLevel="0" collapsed="false">
      <c r="B46" s="0" t="s">
        <v>282</v>
      </c>
      <c r="C46" s="0" t="s">
        <v>273</v>
      </c>
      <c r="D46" s="35" t="n">
        <v>1100</v>
      </c>
      <c r="E46" s="0" t="s">
        <v>273</v>
      </c>
      <c r="F46" s="31"/>
      <c r="G46" s="31" t="n">
        <v>2025</v>
      </c>
    </row>
    <row r="47" customFormat="false" ht="15" hidden="false" customHeight="false" outlineLevel="0" collapsed="false">
      <c r="B47" s="0" t="s">
        <v>283</v>
      </c>
      <c r="C47" s="0" t="s">
        <v>273</v>
      </c>
      <c r="D47" s="35" t="n">
        <v>1100</v>
      </c>
      <c r="E47" s="0" t="s">
        <v>273</v>
      </c>
      <c r="F47" s="31"/>
      <c r="G47" s="31" t="n">
        <v>2025</v>
      </c>
    </row>
    <row r="48" customFormat="false" ht="15" hidden="false" customHeight="false" outlineLevel="0" collapsed="false">
      <c r="B48" s="0" t="s">
        <v>284</v>
      </c>
      <c r="C48" s="0" t="s">
        <v>273</v>
      </c>
      <c r="D48" s="35" t="n">
        <v>1100</v>
      </c>
      <c r="E48" s="0" t="s">
        <v>273</v>
      </c>
      <c r="F48" s="31"/>
      <c r="G48" s="31" t="n">
        <v>2025</v>
      </c>
    </row>
    <row r="49" customFormat="false" ht="15" hidden="false" customHeight="false" outlineLevel="0" collapsed="false">
      <c r="B49" s="0" t="s">
        <v>285</v>
      </c>
      <c r="C49" s="0" t="s">
        <v>273</v>
      </c>
      <c r="D49" s="35" t="n">
        <v>1100</v>
      </c>
      <c r="E49" s="0" t="s">
        <v>273</v>
      </c>
      <c r="F49" s="31"/>
      <c r="G49" s="31" t="n">
        <v>2025</v>
      </c>
    </row>
    <row r="50" customFormat="false" ht="15" hidden="false" customHeight="false" outlineLevel="0" collapsed="false">
      <c r="B50" s="0" t="s">
        <v>286</v>
      </c>
      <c r="C50" s="0" t="s">
        <v>273</v>
      </c>
      <c r="D50" s="35" t="n">
        <v>1100</v>
      </c>
      <c r="E50" s="0" t="s">
        <v>273</v>
      </c>
      <c r="F50" s="31"/>
      <c r="G50" s="31" t="n">
        <v>2025</v>
      </c>
    </row>
    <row r="51" customFormat="false" ht="15" hidden="false" customHeight="false" outlineLevel="0" collapsed="false">
      <c r="B51" s="0" t="s">
        <v>287</v>
      </c>
      <c r="C51" s="0" t="s">
        <v>273</v>
      </c>
      <c r="D51" s="35" t="n">
        <v>1100</v>
      </c>
      <c r="E51" s="0" t="s">
        <v>273</v>
      </c>
      <c r="F51" s="31"/>
      <c r="G51" s="31" t="n">
        <v>2025</v>
      </c>
    </row>
    <row r="53" customFormat="false" ht="15" hidden="false" customHeight="false" outlineLevel="0" collapsed="false">
      <c r="B53" s="18" t="s">
        <v>288</v>
      </c>
      <c r="D53" s="36" t="n">
        <f aca="false">SUM(D4:D51)</f>
        <v>43200</v>
      </c>
      <c r="F53" s="37" t="n">
        <f aca="false">SUM(F4:F51)</f>
        <v>56025</v>
      </c>
    </row>
    <row r="54" customFormat="false" ht="15" hidden="false" customHeight="false" outlineLevel="0" collapsed="false">
      <c r="B54" s="0" t="s">
        <v>289</v>
      </c>
      <c r="D54" s="0" t="n">
        <f aca="false">COUNTIF(E4:E51,"Occupied")</f>
        <v>33</v>
      </c>
    </row>
    <row r="55" customFormat="false" ht="15" hidden="false" customHeight="false" outlineLevel="0" collapsed="false">
      <c r="B55" s="0" t="s">
        <v>290</v>
      </c>
      <c r="D55" s="0" t="n">
        <f aca="false">COUNTIF(E4:E51,"Vacant")</f>
        <v>15</v>
      </c>
    </row>
    <row r="56" customFormat="false" ht="15" hidden="false" customHeight="false" outlineLevel="0" collapsed="false">
      <c r="B56" s="0" t="s">
        <v>291</v>
      </c>
      <c r="D56" s="35" t="n">
        <f aca="false">SUMIFS(D4:D51,E4:E51,"Occupied")</f>
        <v>26700</v>
      </c>
    </row>
    <row r="57" customFormat="false" ht="15" hidden="false" customHeight="false" outlineLevel="0" collapsed="false">
      <c r="B57" s="0" t="s">
        <v>292</v>
      </c>
      <c r="D57" s="31" t="n">
        <f aca="false">F53</f>
        <v>56025</v>
      </c>
    </row>
    <row r="58" customFormat="false" ht="15" hidden="false" customHeight="false" outlineLevel="0" collapsed="false">
      <c r="B58" s="0" t="s">
        <v>293</v>
      </c>
      <c r="D58" s="31" t="n">
        <f aca="false">F53*12</f>
        <v>672300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9" t="s">
        <v>294</v>
      </c>
      <c r="B1" s="9"/>
      <c r="C1" s="9"/>
      <c r="D1" s="9"/>
    </row>
    <row r="3" customFormat="false" ht="15" hidden="false" customHeight="false" outlineLevel="0" collapsed="false">
      <c r="B3" s="10" t="s">
        <v>295</v>
      </c>
      <c r="C3" s="10" t="s">
        <v>81</v>
      </c>
      <c r="D3" s="10" t="s">
        <v>296</v>
      </c>
    </row>
    <row r="4" customFormat="false" ht="24" hidden="false" customHeight="true" outlineLevel="0" collapsed="false">
      <c r="B4" s="38" t="s">
        <v>297</v>
      </c>
      <c r="C4" s="8" t="n">
        <v>48</v>
      </c>
      <c r="D4" s="39" t="s">
        <v>298</v>
      </c>
    </row>
    <row r="5" customFormat="false" ht="24" hidden="false" customHeight="true" outlineLevel="0" collapsed="false">
      <c r="B5" s="38" t="s">
        <v>299</v>
      </c>
      <c r="C5" s="8" t="n">
        <v>33</v>
      </c>
      <c r="D5" s="39" t="s">
        <v>300</v>
      </c>
    </row>
    <row r="6" customFormat="false" ht="24" hidden="false" customHeight="true" outlineLevel="0" collapsed="false">
      <c r="B6" s="38" t="s">
        <v>301</v>
      </c>
      <c r="C6" s="8" t="n">
        <v>43200</v>
      </c>
      <c r="D6" s="39" t="s">
        <v>302</v>
      </c>
    </row>
    <row r="7" customFormat="false" ht="24" hidden="false" customHeight="true" outlineLevel="0" collapsed="false">
      <c r="B7" s="38" t="s">
        <v>303</v>
      </c>
      <c r="C7" s="8" t="n">
        <v>26700</v>
      </c>
      <c r="D7" s="39" t="s">
        <v>304</v>
      </c>
    </row>
    <row r="8" customFormat="false" ht="24" hidden="false" customHeight="true" outlineLevel="0" collapsed="false">
      <c r="B8" s="38" t="s">
        <v>305</v>
      </c>
      <c r="C8" s="40" t="n">
        <f aca="false">100*33/48</f>
        <v>68.75</v>
      </c>
      <c r="D8" s="39" t="n">
        <f aca="false">68.75%</f>
        <v>0.6875</v>
      </c>
    </row>
    <row r="9" customFormat="false" ht="24" hidden="false" customHeight="true" outlineLevel="0" collapsed="false">
      <c r="B9" s="38" t="s">
        <v>306</v>
      </c>
      <c r="C9" s="40" t="n">
        <f aca="false">100*26700/43200</f>
        <v>61.8055555555556</v>
      </c>
      <c r="D9" s="39" t="n">
        <f aca="false">61.8056%</f>
        <v>0.618056</v>
      </c>
    </row>
    <row r="10" customFormat="false" ht="24" hidden="false" customHeight="true" outlineLevel="0" collapsed="false">
      <c r="B10" s="38" t="s">
        <v>307</v>
      </c>
      <c r="C10" s="41" t="n">
        <f aca="false">24*1575+9*2025</f>
        <v>56025</v>
      </c>
      <c r="D10" s="39" t="s">
        <v>308</v>
      </c>
    </row>
    <row r="11" customFormat="false" ht="24" hidden="false" customHeight="true" outlineLevel="0" collapsed="false">
      <c r="B11" s="38" t="s">
        <v>309</v>
      </c>
      <c r="C11" s="41" t="n">
        <f aca="false">24*1575+9*2025</f>
        <v>56025</v>
      </c>
      <c r="D11" s="39" t="s">
        <v>310</v>
      </c>
    </row>
    <row r="12" customFormat="false" ht="24" hidden="false" customHeight="true" outlineLevel="0" collapsed="false">
      <c r="B12" s="38" t="s">
        <v>311</v>
      </c>
      <c r="C12" s="41" t="n">
        <f aca="false">T12_EGI</f>
        <v>691200</v>
      </c>
      <c r="D12" s="39" t="s">
        <v>101</v>
      </c>
    </row>
    <row r="13" customFormat="false" ht="24" hidden="false" customHeight="true" outlineLevel="0" collapsed="false">
      <c r="B13" s="38" t="s">
        <v>312</v>
      </c>
      <c r="C13" s="41" t="n">
        <f aca="false">T12_OpEx</f>
        <v>371200</v>
      </c>
      <c r="D13" s="39" t="s">
        <v>313</v>
      </c>
    </row>
    <row r="14" customFormat="false" ht="24" hidden="false" customHeight="true" outlineLevel="0" collapsed="false">
      <c r="B14" s="38" t="s">
        <v>314</v>
      </c>
      <c r="C14" s="41" t="n">
        <f aca="false">T12_NOI</f>
        <v>320000</v>
      </c>
      <c r="D14" s="39" t="s">
        <v>315</v>
      </c>
    </row>
    <row r="15" customFormat="false" ht="24" hidden="false" customHeight="true" outlineLevel="0" collapsed="false">
      <c r="B15" s="38" t="s">
        <v>316</v>
      </c>
      <c r="C15" s="41" t="n">
        <v>14400</v>
      </c>
      <c r="D15" s="39" t="s">
        <v>317</v>
      </c>
    </row>
    <row r="16" customFormat="false" ht="24" hidden="false" customHeight="true" outlineLevel="0" collapsed="false">
      <c r="B16" s="38" t="s">
        <v>318</v>
      </c>
      <c r="C16" s="41" t="n">
        <f aca="false">T12_NCF</f>
        <v>305600</v>
      </c>
      <c r="D16" s="39" t="s">
        <v>319</v>
      </c>
    </row>
    <row r="17" customFormat="false" ht="24" hidden="false" customHeight="true" outlineLevel="0" collapsed="false">
      <c r="B17" s="38" t="s">
        <v>320</v>
      </c>
      <c r="C17" s="41" t="n">
        <f aca="false">UW_EGI</f>
        <v>1025280</v>
      </c>
      <c r="D17" s="39" t="s">
        <v>321</v>
      </c>
    </row>
    <row r="18" customFormat="false" ht="24" hidden="false" customHeight="true" outlineLevel="0" collapsed="false">
      <c r="B18" s="38" t="s">
        <v>322</v>
      </c>
      <c r="C18" s="41" t="n">
        <f aca="false">UW_MgmtFee</f>
        <v>35884.8</v>
      </c>
      <c r="D18" s="39" t="s">
        <v>323</v>
      </c>
    </row>
    <row r="19" customFormat="false" ht="24" hidden="false" customHeight="true" outlineLevel="0" collapsed="false">
      <c r="B19" s="38" t="s">
        <v>324</v>
      </c>
      <c r="C19" s="41" t="n">
        <f aca="false">UW_OpEx</f>
        <v>377884.8</v>
      </c>
      <c r="D19" s="39" t="s">
        <v>325</v>
      </c>
    </row>
    <row r="20" customFormat="false" ht="24" hidden="false" customHeight="true" outlineLevel="0" collapsed="false">
      <c r="B20" s="38" t="s">
        <v>326</v>
      </c>
      <c r="C20" s="41" t="n">
        <f aca="false">UW_NOI</f>
        <v>647395.2</v>
      </c>
      <c r="D20" s="39" t="s">
        <v>327</v>
      </c>
    </row>
    <row r="21" customFormat="false" ht="24" hidden="false" customHeight="true" outlineLevel="0" collapsed="false">
      <c r="B21" s="38" t="s">
        <v>328</v>
      </c>
      <c r="C21" s="41" t="n">
        <f aca="false">UW_Reserves</f>
        <v>15600</v>
      </c>
      <c r="D21" s="39" t="s">
        <v>329</v>
      </c>
    </row>
    <row r="22" customFormat="false" ht="24" hidden="false" customHeight="true" outlineLevel="0" collapsed="false">
      <c r="B22" s="38" t="s">
        <v>330</v>
      </c>
      <c r="C22" s="41" t="n">
        <f aca="false">UW_NCF</f>
        <v>631795.2</v>
      </c>
      <c r="D22" s="39" t="s">
        <v>331</v>
      </c>
    </row>
    <row r="23" customFormat="false" ht="24" hidden="false" customHeight="true" outlineLevel="0" collapsed="false">
      <c r="B23" s="38" t="s">
        <v>332</v>
      </c>
      <c r="C23" s="41" t="n">
        <f aca="false">CapValue</f>
        <v>11259046.9565217</v>
      </c>
      <c r="D23" s="39" t="s">
        <v>333</v>
      </c>
    </row>
    <row r="24" customFormat="false" ht="24" hidden="false" customHeight="true" outlineLevel="0" collapsed="false">
      <c r="B24" s="38" t="s">
        <v>334</v>
      </c>
      <c r="C24" s="42" t="n">
        <f aca="false">ContractRate</f>
        <v>0.0625</v>
      </c>
      <c r="D24" s="39" t="s">
        <v>335</v>
      </c>
    </row>
    <row r="25" customFormat="false" ht="24" hidden="false" customHeight="true" outlineLevel="0" collapsed="false">
      <c r="B25" s="38" t="s">
        <v>336</v>
      </c>
      <c r="C25" s="42" t="n">
        <f aca="false">SizingRate</f>
        <v>0.075</v>
      </c>
      <c r="D25" s="39" t="s">
        <v>337</v>
      </c>
    </row>
    <row r="26" customFormat="false" ht="24" hidden="false" customHeight="true" outlineLevel="0" collapsed="false">
      <c r="B26" s="38" t="s">
        <v>338</v>
      </c>
      <c r="C26" s="43" t="n">
        <f aca="false">ADC</f>
        <v>0.0839057410263332</v>
      </c>
      <c r="D26" s="39" t="s">
        <v>339</v>
      </c>
    </row>
    <row r="27" customFormat="false" ht="24" hidden="false" customHeight="true" outlineLevel="0" collapsed="false">
      <c r="B27" s="38" t="s">
        <v>340</v>
      </c>
      <c r="C27" s="41" t="n">
        <f aca="false">'Loan Sizing'!C13</f>
        <v>6755428.17391304</v>
      </c>
      <c r="D27" s="39" t="s">
        <v>341</v>
      </c>
    </row>
    <row r="28" customFormat="false" ht="24" hidden="false" customHeight="true" outlineLevel="0" collapsed="false">
      <c r="B28" s="38" t="s">
        <v>342</v>
      </c>
      <c r="C28" s="41" t="n">
        <f aca="false">'Loan Sizing'!C14</f>
        <v>5792169.90098188</v>
      </c>
      <c r="D28" s="39" t="s">
        <v>343</v>
      </c>
    </row>
    <row r="29" customFormat="false" ht="24" hidden="false" customHeight="true" outlineLevel="0" collapsed="false">
      <c r="B29" s="38" t="s">
        <v>344</v>
      </c>
      <c r="C29" s="41" t="n">
        <f aca="false">'Loan Sizing'!C15</f>
        <v>7019946.66666667</v>
      </c>
      <c r="D29" s="39" t="s">
        <v>345</v>
      </c>
    </row>
    <row r="30" customFormat="false" ht="24" hidden="false" customHeight="true" outlineLevel="0" collapsed="false">
      <c r="B30" s="38" t="s">
        <v>346</v>
      </c>
      <c r="C30" s="41" t="n">
        <f aca="false">MaxLoan</f>
        <v>5792169.90098188</v>
      </c>
      <c r="D30" s="39" t="s">
        <v>347</v>
      </c>
    </row>
    <row r="31" customFormat="false" ht="24" hidden="false" customHeight="true" outlineLevel="0" collapsed="false">
      <c r="B31" s="38" t="s">
        <v>348</v>
      </c>
      <c r="C31" s="8" t="str">
        <f aca="false">'Loan Sizing'!C18</f>
        <v>DSCR</v>
      </c>
      <c r="D31" s="39" t="s">
        <v>349</v>
      </c>
    </row>
    <row r="32" customFormat="false" ht="24" hidden="false" customHeight="true" outlineLevel="0" collapsed="false">
      <c r="B32" s="38" t="s">
        <v>350</v>
      </c>
      <c r="C32" s="41" t="n">
        <f aca="false">'Loan Sizing'!C21</f>
        <v>485996.307692308</v>
      </c>
      <c r="D32" s="39" t="s">
        <v>351</v>
      </c>
    </row>
    <row r="33" customFormat="false" ht="24" hidden="false" customHeight="true" outlineLevel="0" collapsed="false">
      <c r="B33" s="38" t="s">
        <v>352</v>
      </c>
      <c r="C33" s="43" t="n">
        <f aca="false">'Loan Sizing'!C22</f>
        <v>1.3</v>
      </c>
      <c r="D33" s="39" t="e">
        <f aca="false">1.30x by construction</f>
        <v>#VALUE!</v>
      </c>
    </row>
    <row r="34" customFormat="false" ht="24" hidden="false" customHeight="true" outlineLevel="0" collapsed="false">
      <c r="B34" s="38" t="s">
        <v>353</v>
      </c>
      <c r="C34" s="42" t="n">
        <f aca="false">'Loan Sizing'!C23</f>
        <v>0.109077463334233</v>
      </c>
      <c r="D34" s="39" t="e">
        <f aca="false">uw ncf ÷ MaxLoan</f>
        <v>#N/A</v>
      </c>
    </row>
    <row r="35" customFormat="false" ht="24" hidden="false" customHeight="true" outlineLevel="0" collapsed="false">
      <c r="B35" s="38" t="s">
        <v>354</v>
      </c>
      <c r="C35" s="41" t="n">
        <f aca="false">'Loan Sizing'!C25</f>
        <v>362010.618811368</v>
      </c>
      <c r="D35" s="39" t="s">
        <v>355</v>
      </c>
    </row>
    <row r="36" customFormat="false" ht="24" hidden="false" customHeight="true" outlineLevel="0" collapsed="false">
      <c r="B36" s="38" t="s">
        <v>356</v>
      </c>
      <c r="C36" s="41" t="n">
        <f aca="false">'Loan Sizing'!F19</f>
        <v>1169248.20197206</v>
      </c>
      <c r="D36" s="39" t="s">
        <v>357</v>
      </c>
    </row>
    <row r="37" customFormat="false" ht="24" hidden="false" customHeight="true" outlineLevel="0" collapsed="false">
      <c r="B37" s="38" t="s">
        <v>358</v>
      </c>
      <c r="C37" s="41" t="n">
        <f aca="false">Sensitivity!C8</f>
        <v>597925.44</v>
      </c>
      <c r="D37" s="39" t="s">
        <v>359</v>
      </c>
    </row>
    <row r="38" customFormat="false" ht="24" hidden="false" customHeight="true" outlineLevel="0" collapsed="false">
      <c r="B38" s="38" t="s">
        <v>360</v>
      </c>
      <c r="C38" s="41" t="n">
        <f aca="false">Sensitivity!C19</f>
        <v>4854714.43056827</v>
      </c>
      <c r="D38" s="39" t="s">
        <v>185</v>
      </c>
    </row>
    <row r="39" customFormat="false" ht="24" hidden="false" customHeight="true" outlineLevel="0" collapsed="false">
      <c r="B39" s="38" t="s">
        <v>361</v>
      </c>
      <c r="C39" s="41" t="n">
        <v>1575</v>
      </c>
      <c r="D39" s="39" t="s">
        <v>362</v>
      </c>
    </row>
    <row r="40" customFormat="false" ht="24" hidden="false" customHeight="true" outlineLevel="0" collapsed="false">
      <c r="B40" s="38" t="s">
        <v>363</v>
      </c>
      <c r="C40" s="8" t="s">
        <v>364</v>
      </c>
      <c r="D40" s="39" t="s">
        <v>365</v>
      </c>
    </row>
    <row r="41" customFormat="false" ht="24" hidden="false" customHeight="true" outlineLevel="0" collapsed="false">
      <c r="B41" s="38" t="s">
        <v>366</v>
      </c>
      <c r="C41" s="41" t="n">
        <v>1200</v>
      </c>
      <c r="D41" s="39" t="s">
        <v>367</v>
      </c>
    </row>
    <row r="42" customFormat="false" ht="24" hidden="false" customHeight="true" outlineLevel="0" collapsed="false">
      <c r="B42" s="38" t="s">
        <v>368</v>
      </c>
      <c r="C42" s="41" t="n">
        <v>45600</v>
      </c>
      <c r="D42" s="39" t="s">
        <v>369</v>
      </c>
    </row>
    <row r="43" customFormat="false" ht="24" hidden="false" customHeight="true" outlineLevel="0" collapsed="false">
      <c r="B43" s="38" t="s">
        <v>370</v>
      </c>
      <c r="C43" s="8" t="s">
        <v>371</v>
      </c>
      <c r="D43" s="39" t="s">
        <v>372</v>
      </c>
    </row>
    <row r="44" customFormat="false" ht="24" hidden="false" customHeight="true" outlineLevel="0" collapsed="false">
      <c r="B44" s="38" t="s">
        <v>373</v>
      </c>
      <c r="C44" s="8" t="s">
        <v>374</v>
      </c>
      <c r="D44" s="39" t="s">
        <v>86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