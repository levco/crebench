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55445a0a0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9a8c8de4dad4040"/>
    <x:sheet xmlns:r="http://schemas.openxmlformats.org/officeDocument/2006/relationships" name="Assumptions" sheetId="2" r:id="R70b0c44955654fb7"/>
    <x:sheet xmlns:r="http://schemas.openxmlformats.org/officeDocument/2006/relationships" name="Underwriting" sheetId="3" r:id="R93fb651e59e54372"/>
    <x:sheet xmlns:r="http://schemas.openxmlformats.org/officeDocument/2006/relationships" name="Loan Sizing" sheetId="4" r:id="Rc157d29e35554c97"/>
    <x:sheet xmlns:r="http://schemas.openxmlformats.org/officeDocument/2006/relationships" name="Sensitivity" sheetId="5" r:id="R83439d7d7084488e"/>
    <x:sheet xmlns:r="http://schemas.openxmlformats.org/officeDocument/2006/relationships" name="Rent Roll" sheetId="6" r:id="Rf9fe723a227042ac"/>
    <x:sheet xmlns:r="http://schemas.openxmlformats.org/officeDocument/2006/relationships" name="Field IDs" sheetId="7" r:id="R7f03e2a07590498b"/>
  </x:sheets>
  <x:definedNames>
    <x:definedName name="CapRate">Assumptions!$C$7</x:definedName>
    <x:definedName name="ContractRate">Assumptions!$C$8</x:definedName>
    <x:definedName name="SizingFloor">Assumptions!$C$9</x:definedName>
    <x:definedName name="SizingRate">Assumptions!$C$10</x:definedName>
    <x:definedName name="AmortYears">Assumptions!$C$11</x:definedName>
    <x:definedName name="IOMonths">Assumptions!$C$12</x:definedName>
    <x:definedName name="Maturity">Assumptions!$C$13</x:definedName>
    <x:definedName name="LTVmax">Assumptions!$C$14</x:definedName>
    <x:definedName name="DSCRmin">Assumptions!$C$15</x:definedName>
    <x:definedName name="DYmin">Assumptions!$C$16</x:definedName>
    <x:definedName name="OrigFeePct">Assumptions!$C$17</x:definedName>
    <x:definedName name="ExistingPayoff">Assumptions!$C$18</x:definedName>
    <x:definedName name="FixedCosts">Assumptions!$C$19</x:definedName>
    <x:definedName name="ResPerUnit">Assumptions!$C$20</x:definedName>
    <x:definedName name="UW_GPR">Assumptions!$C$21</x:definedName>
    <x:definedName name="RevLossPct">Assumptions!$C$22</x:definedName>
    <x:definedName name="OtherInc">Assumptions!$C$23</x:definedName>
    <x:definedName name="MgmtPct">Assumptions!$C$24</x:definedName>
    <x:definedName name="MgmtDollarFloor">Assumptions!$C$25</x:definedName>
    <x:definedName name="TotalUnits">Assumptions!$C$26</x:definedName>
    <x:definedName name="UW_EGI">Underwriting!$D$10</x:definedName>
    <x:definedName name="UW_OpEx">Underwriting!$D$20</x:definedName>
    <x:definedName name="UW_MgmtFee">Underwriting!$D$19</x:definedName>
    <x:definedName name="UW_NOI">Underwriting!$D$22</x:definedName>
    <x:definedName name="UW_Reserves">Underwriting!$D$23</x:definedName>
    <x:definedName name="UW_NCF">Underwriting!$D$24</x:definedName>
    <x:definedName name="CapValue">Underwriting!$H$20</x:definedName>
    <x:definedName name="T12_EGI">Underwriting!$C$10</x:definedName>
    <x:definedName name="T12_OpEx">Underwriting!$C$20</x:definedName>
    <x:definedName name="T12_NOI">Underwriting!$C$22</x:definedName>
    <x:definedName name="T12_NCF">Underwriting!$C$24</x:definedName>
    <x:definedName name="ADC">'Loan Sizing'!$C$11</x:definedName>
    <x:definedName name="MaxLoan">'Loan Sizing'!$C$17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"/>
    <x:numFmt numFmtId="165" formatCode="$#,##0;($#,##0)"/>
    <x:numFmt numFmtId="166" formatCode="0.000%"/>
    <x:numFmt numFmtId="167" formatCode="0.00000000"/>
    <x:numFmt numFmtId="168" formatCode="0.000"/>
    <x:numFmt numFmtId="169" formatCode="0.0000"/>
    <x:numFmt numFmtId="170" formatCode="$#,##0.00"/>
    <x:numFmt numFmtId="171" formatCode="0.0000000000"/>
  </x:numFmts>
  <x:fonts count="10">
    <x:font>
      <x:sz val="11"/>
      <x:color theme="1"/>
      <x:name val="Calibri"/>
    </x:font>
    <x:font>
      <x:b/>
      <x:sz val="16"/>
      <x:color rgb="FF1F3864"/>
    </x:font>
    <x:font>
      <x:i/>
      <x:sz val="9"/>
      <x:color rgb="FF595959"/>
    </x:font>
    <x:font>
      <x:b/>
      <x:sz val="11"/>
    </x:font>
    <x:font>
      <x:b/>
    </x:font>
    <x:font>
      <x:b/>
      <x:sz val="12"/>
      <x:color rgb="FFFFFFFF"/>
    </x:font>
    <x:font>
      <x:b/>
      <x:color rgb="FF9C5700"/>
    </x:font>
    <x:font>
      <x:b/>
      <x:sz val="13"/>
    </x:font>
    <x:font>
      <x:b/>
      <x:sz val="12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2" borderId="1" xfId="0"/>
    <x:xf numFmtId="0" fontId="0" fillId="0" borderId="1" xfId="0"/>
    <x:xf numFmtId="0" fontId="0" fillId="3" borderId="1" xfId="0"/>
    <x:xf numFmtId="0" fontId="0" fillId="4" borderId="1" xfId="0"/>
    <x:xf numFmtId="0" fontId="5" fillId="5" borderId="0" xfId="0"/>
    <x:xf numFmtId="0" fontId="0" fillId="5" borderId="0" xfId="0"/>
    <x:xf numFmtId="10" fontId="6" fillId="3" borderId="1" xfId="0"/>
    <x:xf numFmtId="10" fontId="0" fillId="4" borderId="1" xfId="0"/>
    <x:xf numFmtId="1" fontId="6" fillId="3" borderId="1" xfId="0"/>
    <x:xf numFmtId="2" fontId="6" fillId="3" borderId="1" xfId="0"/>
    <x:xf numFmtId="164" fontId="6" fillId="3" borderId="1" xfId="0"/>
    <x:xf numFmtId="165" fontId="0" fillId="0" borderId="0" xfId="0"/>
    <x:xf numFmtId="0" fontId="4" fillId="0" borderId="0" xfId="0"/>
    <x:xf numFmtId="165" fontId="0" fillId="4" borderId="0" xfId="0"/>
    <x:xf numFmtId="0" fontId="4" fillId="2" borderId="0" xfId="0"/>
    <x:xf numFmtId="165" fontId="4" fillId="2" borderId="0" xfId="0"/>
    <x:xf numFmtId="10" fontId="0" fillId="0" borderId="0" xfId="0"/>
    <x:xf numFmtId="0" fontId="4" fillId="4" borderId="0" xfId="0"/>
    <x:xf numFmtId="165" fontId="4" fillId="4" borderId="0" xfId="0"/>
    <x:xf numFmtId="164" fontId="0" fillId="4" borderId="0" xfId="0"/>
    <x:xf numFmtId="166" fontId="0" fillId="0" borderId="0" xfId="0"/>
    <x:xf numFmtId="167" fontId="0" fillId="0" borderId="0" xfId="0"/>
    <x:xf numFmtId="167" fontId="4" fillId="4" borderId="0" xfId="0"/>
    <x:xf numFmtId="164" fontId="7" fillId="6" borderId="0" xfId="0"/>
    <x:xf numFmtId="0" fontId="4" fillId="6" borderId="0" xfId="0"/>
    <x:xf numFmtId="165" fontId="4" fillId="6" borderId="0" xfId="0"/>
    <x:xf numFmtId="164" fontId="0" fillId="0" borderId="0" xfId="0"/>
    <x:xf numFmtId="168" fontId="0" fillId="0" borderId="0" xfId="0"/>
    <x:xf numFmtId="164" fontId="4" fillId="4" borderId="0" xfId="0"/>
    <x:xf numFmtId="165" fontId="8" fillId="6" borderId="0" xfId="0"/>
    <x:xf numFmtId="3" fontId="0" fillId="0" borderId="0" xfId="0"/>
    <x:xf numFmtId="0" fontId="3" fillId="0" borderId="0" xfId="0"/>
    <x:xf numFmtId="3" fontId="4" fillId="0" borderId="0" xfId="0"/>
    <x:xf numFmtId="164" fontId="4" fillId="0" borderId="0" xfId="0"/>
    <x:xf numFmtId="0" fontId="9" fillId="0" borderId="1" xfId="0"/>
    <x:xf numFmtId="0" fontId="2" fillId="0" borderId="1" xfId="0" applyAlignment="1">
      <x:alignment vertical="top" wrapText="1"/>
    </x:xf>
    <x:xf numFmtId="169" fontId="0" fillId="4" borderId="1" xfId="0"/>
    <x:xf numFmtId="170" fontId="0" fillId="4" borderId="1" xfId="0"/>
    <x:xf numFmtId="166" fontId="0" fillId="4" borderId="1" xfId="0"/>
    <x:xf numFmtId="171" fontId="0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753fc82ee4ab0" /><Relationship Type="http://schemas.openxmlformats.org/officeDocument/2006/relationships/theme" Target="/xl/theme/theme1.xml" Id="R197009a0a6a8494e" /><Relationship Type="http://schemas.openxmlformats.org/officeDocument/2006/relationships/sharedStrings" Target="/xl/sharedStrings.xml" Id="R8a6d003f99f64b20" /><Relationship Type="http://schemas.openxmlformats.org/officeDocument/2006/relationships/worksheet" Target="/xl/worksheets/sheet1.xml" Id="R19a8c8de4dad4040" /><Relationship Type="http://schemas.openxmlformats.org/officeDocument/2006/relationships/worksheet" Target="/xl/worksheets/sheet2.xml" Id="R70b0c44955654fb7" /><Relationship Type="http://schemas.openxmlformats.org/officeDocument/2006/relationships/worksheet" Target="/xl/worksheets/sheet3.xml" Id="R93fb651e59e54372" /><Relationship Type="http://schemas.openxmlformats.org/officeDocument/2006/relationships/worksheet" Target="/xl/worksheets/sheet4.xml" Id="Rc157d29e35554c97" /><Relationship Type="http://schemas.openxmlformats.org/officeDocument/2006/relationships/worksheet" Target="/xl/worksheets/sheet5.xml" Id="R83439d7d7084488e" /><Relationship Type="http://schemas.openxmlformats.org/officeDocument/2006/relationships/worksheet" Target="/xl/worksheets/sheet6.xml" Id="Rf9fe723a227042ac" /><Relationship Type="http://schemas.openxmlformats.org/officeDocument/2006/relationships/worksheet" Target="/xl/worksheets/sheet7.xml" Id="R7f03e2a0759049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Cedar Landing — Refinance Underwriting Workbook</x:t>
        </x:is>
      </x:c>
    </x:row>
    <x:row r="2">
      <x:c r="A2" s="2" t="inlineStr">
        <x:is>
          <x:t xml:space="preserve">As-of: 2026-08-31 | Fictional scenario — internal analyst workbook</x:t>
        </x:is>
      </x:c>
    </x:row>
    <x:row r="4">
      <x:c r="A4" s="3" t="inlineStr">
        <x:is>
          <x:t xml:space="preserve">How to use</x:t>
        </x:is>
      </x:c>
    </x:row>
    <x:row r="5" ht="30" customHeight="1">
      <x:c r="A5" s="4" t="inlineStr">
        <x:is>
          <x:t xml:space="preserve">1) All editable assumptions are on the 'Assumptions' sheet, shaded YELLOW. Change any yellow cell and every other sheet recalculates.</x:t>
        </x:is>
      </x:c>
    </x:row>
    <x:row r="6" ht="30" customHeight="1">
      <x:c r="A6" s="4" t="inlineStr">
        <x:is>
          <x:t xml:space="preserve">2) The 'Underwriting' sheet computes T12 historical, underwritten scenario, and capitalization value.</x:t>
        </x:is>
      </x:c>
    </x:row>
    <x:row r="7" ht="30" customHeight="1">
      <x:c r="A7" s="4" t="inlineStr">
        <x:is>
          <x:t xml:space="preserve">3) The 'Loan Sizing' sheet solves LTV / DSCR / Debt Yield constraints, picks the binding minimum, and returns Sources &amp; Uses and cash to borrower.</x:t>
        </x:is>
      </x:c>
    </x:row>
    <x:row r="8" ht="30" customHeight="1">
      <x:c r="A8" s="4" t="inlineStr">
        <x:is>
          <x:t xml:space="preserve">4) The 'Sensitivity' sheet runs (a) EGI −5% + sizing rate +100 bps combined downside (cap rate unchanged) and (b) cap rate +50 bps standalone.</x:t>
        </x:is>
      </x:c>
    </x:row>
    <x:row r="9" ht="30" customHeight="1">
      <x:c r="A9" s="4" t="inlineStr">
        <x:is>
          <x:t xml:space="preserve">5) The 'Rent Roll' sheet holds the unit-level detail supporting the in-place monthly base.</x:t>
        </x:is>
      </x:c>
    </x:row>
    <x:row r="10" ht="30" customHeight="1">
      <x:c r="A10" s="4" t="inlineStr">
        <x:is>
          <x:t xml:space="preserve">6) Yellow = editable input · Green = calculated output · Orange = binding constraint highlight.</x:t>
        </x:is>
      </x:c>
    </x:row>
    <x:row r="11" ht="30" customHeight="1">
      <x:c r="A11" s="4" t="inlineStr">
        <x:is>
          <x:t xml:space="preserve">7) Every sizing formula uses named ranges (see Formulas tab in Excel &gt; Name Manager) so the intent is auditable.</x:t>
        </x:is>
      </x:c>
    </x:row>
    <x:row r="13">
      <x:c r="A13" s="3" t="inlineStr">
        <x:is>
          <x:t xml:space="preserve">Input &amp; Output Map</x:t>
        </x:is>
      </x:c>
    </x:row>
    <x:row r="14">
      <x:c r="A14" s="5" t="inlineStr">
        <x:is>
          <x:t xml:space="preserve">Sheet</x:t>
        </x:is>
      </x:c>
      <x:c r="B14" s="5" t="inlineStr">
        <x:is>
          <x:t xml:space="preserve">Cell / Range</x:t>
        </x:is>
      </x:c>
      <x:c r="C14" s="5" t="inlineStr">
        <x:is>
          <x:t xml:space="preserve">Item</x:t>
        </x:is>
      </x:c>
      <x:c r="D14" s="5" t="inlineStr">
        <x:is>
          <x:t xml:space="preserve">Type</x:t>
        </x:is>
      </x:c>
    </x:row>
    <x:row r="15">
      <x:c r="A15" s="6" t="inlineStr">
        <x:is>
          <x:t xml:space="preserve">Assumptions</x:t>
        </x:is>
      </x:c>
      <x:c r="B15" s="7" t="inlineStr">
        <x:is>
          <x:t xml:space="preserve">C7</x:t>
        </x:is>
      </x:c>
      <x:c r="C15" s="7" t="inlineStr">
        <x:is>
          <x:t xml:space="preserve">Cap rate</x:t>
        </x:is>
      </x:c>
      <x:c r="D15" s="7" t="inlineStr">
        <x:is>
          <x:t xml:space="preserve">INPUT</x:t>
        </x:is>
      </x:c>
    </x:row>
    <x:row r="16">
      <x:c r="A16" s="6" t="inlineStr">
        <x:is>
          <x:t xml:space="preserve">Assumptions</x:t>
        </x:is>
      </x:c>
      <x:c r="B16" s="7" t="inlineStr">
        <x:is>
          <x:t xml:space="preserve">C8</x:t>
        </x:is>
      </x:c>
      <x:c r="C16" s="7" t="inlineStr">
        <x:is>
          <x:t xml:space="preserve">Contract rate</x:t>
        </x:is>
      </x:c>
      <x:c r="D16" s="7" t="inlineStr">
        <x:is>
          <x:t xml:space="preserve">INPUT</x:t>
        </x:is>
      </x:c>
    </x:row>
    <x:row r="17">
      <x:c r="A17" s="6" t="inlineStr">
        <x:is>
          <x:t xml:space="preserve">Assumptions</x:t>
        </x:is>
      </x:c>
      <x:c r="B17" s="7" t="inlineStr">
        <x:is>
          <x:t xml:space="preserve">C9</x:t>
        </x:is>
      </x:c>
      <x:c r="C17" s="7" t="inlineStr">
        <x:is>
          <x:t xml:space="preserve">Sizing rate floor</x:t>
        </x:is>
      </x:c>
      <x:c r="D17" s="7" t="inlineStr">
        <x:is>
          <x:t xml:space="preserve">INPUT</x:t>
        </x:is>
      </x:c>
    </x:row>
    <x:row r="18">
      <x:c r="A18" s="6" t="inlineStr">
        <x:is>
          <x:t xml:space="preserve">Assumptions</x:t>
        </x:is>
      </x:c>
      <x:c r="B18" s="8" t="inlineStr">
        <x:is>
          <x:t xml:space="preserve">C10</x:t>
        </x:is>
      </x:c>
      <x:c r="C18" s="8" t="inlineStr">
        <x:is>
          <x:t xml:space="preserve">Sizing rate (effective)</x:t>
        </x:is>
      </x:c>
      <x:c r="D18" s="8" t="inlineStr">
        <x:is>
          <x:t xml:space="preserve">OUTPUT</x:t>
        </x:is>
      </x:c>
    </x:row>
    <x:row r="19">
      <x:c r="A19" s="6" t="inlineStr">
        <x:is>
          <x:t xml:space="preserve">Assumptions</x:t>
        </x:is>
      </x:c>
      <x:c r="B19" s="7" t="inlineStr">
        <x:is>
          <x:t xml:space="preserve">C11</x:t>
        </x:is>
      </x:c>
      <x:c r="C19" s="7" t="inlineStr">
        <x:is>
          <x:t xml:space="preserve">Amortization (years)</x:t>
        </x:is>
      </x:c>
      <x:c r="D19" s="7" t="inlineStr">
        <x:is>
          <x:t xml:space="preserve">INPUT</x:t>
        </x:is>
      </x:c>
    </x:row>
    <x:row r="20">
      <x:c r="A20" s="6" t="inlineStr">
        <x:is>
          <x:t xml:space="preserve">Assumptions</x:t>
        </x:is>
      </x:c>
      <x:c r="B20" s="7" t="inlineStr">
        <x:is>
          <x:t xml:space="preserve">C12</x:t>
        </x:is>
      </x:c>
      <x:c r="C20" s="7" t="inlineStr">
        <x:is>
          <x:t xml:space="preserve">IO months</x:t>
        </x:is>
      </x:c>
      <x:c r="D20" s="7" t="inlineStr">
        <x:is>
          <x:t xml:space="preserve">INPUT</x:t>
        </x:is>
      </x:c>
    </x:row>
    <x:row r="21">
      <x:c r="A21" s="6" t="inlineStr">
        <x:is>
          <x:t xml:space="preserve">Assumptions</x:t>
        </x:is>
      </x:c>
      <x:c r="B21" s="7" t="inlineStr">
        <x:is>
          <x:t xml:space="preserve">C13</x:t>
        </x:is>
      </x:c>
      <x:c r="C21" s="7" t="inlineStr">
        <x:is>
          <x:t xml:space="preserve">Maturity (months)</x:t>
        </x:is>
      </x:c>
      <x:c r="D21" s="7" t="inlineStr">
        <x:is>
          <x:t xml:space="preserve">INPUT</x:t>
        </x:is>
      </x:c>
    </x:row>
    <x:row r="22">
      <x:c r="A22" s="6" t="inlineStr">
        <x:is>
          <x:t xml:space="preserve">Assumptions</x:t>
        </x:is>
      </x:c>
      <x:c r="B22" s="7" t="inlineStr">
        <x:is>
          <x:t xml:space="preserve">C14</x:t>
        </x:is>
      </x:c>
      <x:c r="C22" s="7" t="inlineStr">
        <x:is>
          <x:t xml:space="preserve">LTV max</x:t>
        </x:is>
      </x:c>
      <x:c r="D22" s="7" t="inlineStr">
        <x:is>
          <x:t xml:space="preserve">INPUT</x:t>
        </x:is>
      </x:c>
    </x:row>
    <x:row r="23">
      <x:c r="A23" s="6" t="inlineStr">
        <x:is>
          <x:t xml:space="preserve">Assumptions</x:t>
        </x:is>
      </x:c>
      <x:c r="B23" s="7" t="inlineStr">
        <x:is>
          <x:t xml:space="preserve">C15</x:t>
        </x:is>
      </x:c>
      <x:c r="C23" s="7" t="inlineStr">
        <x:is>
          <x:t xml:space="preserve">DSCR min</x:t>
        </x:is>
      </x:c>
      <x:c r="D23" s="7" t="inlineStr">
        <x:is>
          <x:t xml:space="preserve">INPUT</x:t>
        </x:is>
      </x:c>
    </x:row>
    <x:row r="24">
      <x:c r="A24" s="6" t="inlineStr">
        <x:is>
          <x:t xml:space="preserve">Assumptions</x:t>
        </x:is>
      </x:c>
      <x:c r="B24" s="7" t="inlineStr">
        <x:is>
          <x:t xml:space="preserve">C16</x:t>
        </x:is>
      </x:c>
      <x:c r="C24" s="7" t="inlineStr">
        <x:is>
          <x:t xml:space="preserve">Debt yield min</x:t>
        </x:is>
      </x:c>
      <x:c r="D24" s="7" t="inlineStr">
        <x:is>
          <x:t xml:space="preserve">INPUT</x:t>
        </x:is>
      </x:c>
    </x:row>
    <x:row r="25">
      <x:c r="A25" s="6" t="inlineStr">
        <x:is>
          <x:t xml:space="preserve">Assumptions</x:t>
        </x:is>
      </x:c>
      <x:c r="B25" s="7" t="inlineStr">
        <x:is>
          <x:t xml:space="preserve">C17</x:t>
        </x:is>
      </x:c>
      <x:c r="C25" s="7" t="inlineStr">
        <x:is>
          <x:t xml:space="preserve">Origination fee %</x:t>
        </x:is>
      </x:c>
      <x:c r="D25" s="7" t="inlineStr">
        <x:is>
          <x:t xml:space="preserve">INPUT</x:t>
        </x:is>
      </x:c>
    </x:row>
    <x:row r="26">
      <x:c r="A26" s="6" t="inlineStr">
        <x:is>
          <x:t xml:space="preserve">Assumptions</x:t>
        </x:is>
      </x:c>
      <x:c r="B26" s="7" t="inlineStr">
        <x:is>
          <x:t xml:space="preserve">C18</x:t>
        </x:is>
      </x:c>
      <x:c r="C26" s="7" t="inlineStr">
        <x:is>
          <x:t xml:space="preserve">Existing payoff</x:t>
        </x:is>
      </x:c>
      <x:c r="D26" s="7" t="inlineStr">
        <x:is>
          <x:t xml:space="preserve">INPUT</x:t>
        </x:is>
      </x:c>
    </x:row>
    <x:row r="27">
      <x:c r="A27" s="6" t="inlineStr">
        <x:is>
          <x:t xml:space="preserve">Assumptions</x:t>
        </x:is>
      </x:c>
      <x:c r="B27" s="7" t="inlineStr">
        <x:is>
          <x:t xml:space="preserve">C19</x:t>
        </x:is>
      </x:c>
      <x:c r="C27" s="7" t="inlineStr">
        <x:is>
          <x:t xml:space="preserve">Fixed closing costs</x:t>
        </x:is>
      </x:c>
      <x:c r="D27" s="7" t="inlineStr">
        <x:is>
          <x:t xml:space="preserve">INPUT</x:t>
        </x:is>
      </x:c>
    </x:row>
    <x:row r="28">
      <x:c r="A28" s="6" t="inlineStr">
        <x:is>
          <x:t xml:space="preserve">Assumptions</x:t>
        </x:is>
      </x:c>
      <x:c r="B28" s="7" t="inlineStr">
        <x:is>
          <x:t xml:space="preserve">C20</x:t>
        </x:is>
      </x:c>
      <x:c r="C28" s="7" t="inlineStr">
        <x:is>
          <x:t xml:space="preserve">Reserves per unit/yr</x:t>
        </x:is>
      </x:c>
      <x:c r="D28" s="7" t="inlineStr">
        <x:is>
          <x:t xml:space="preserve">INPUT</x:t>
        </x:is>
      </x:c>
    </x:row>
    <x:row r="29">
      <x:c r="A29" s="6" t="inlineStr">
        <x:is>
          <x:t xml:space="preserve">Assumptions</x:t>
        </x:is>
      </x:c>
      <x:c r="B29" s="7" t="inlineStr">
        <x:is>
          <x:t xml:space="preserve">C21</x:t>
        </x:is>
      </x:c>
      <x:c r="C29" s="7" t="inlineStr">
        <x:is>
          <x:t xml:space="preserve">Underwritten GPR</x:t>
        </x:is>
      </x:c>
      <x:c r="D29" s="7" t="inlineStr">
        <x:is>
          <x:t xml:space="preserve">INPUT</x:t>
        </x:is>
      </x:c>
    </x:row>
    <x:row r="30">
      <x:c r="A30" s="6" t="inlineStr">
        <x:is>
          <x:t xml:space="preserve">Assumptions</x:t>
        </x:is>
      </x:c>
      <x:c r="B30" s="7" t="inlineStr">
        <x:is>
          <x:t xml:space="preserve">C22</x:t>
        </x:is>
      </x:c>
      <x:c r="C30" s="7" t="inlineStr">
        <x:is>
          <x:t xml:space="preserve">Revenue loss %</x:t>
        </x:is>
      </x:c>
      <x:c r="D30" s="7" t="inlineStr">
        <x:is>
          <x:t xml:space="preserve">INPUT</x:t>
        </x:is>
      </x:c>
    </x:row>
    <x:row r="31">
      <x:c r="A31" s="6" t="inlineStr">
        <x:is>
          <x:t xml:space="preserve">Assumptions</x:t>
        </x:is>
      </x:c>
      <x:c r="B31" s="7" t="inlineStr">
        <x:is>
          <x:t xml:space="preserve">C23</x:t>
        </x:is>
      </x:c>
      <x:c r="C31" s="7" t="inlineStr">
        <x:is>
          <x:t xml:space="preserve">Other income</x:t>
        </x:is>
      </x:c>
      <x:c r="D31" s="7" t="inlineStr">
        <x:is>
          <x:t xml:space="preserve">INPUT</x:t>
        </x:is>
      </x:c>
    </x:row>
    <x:row r="32">
      <x:c r="A32" s="6" t="inlineStr">
        <x:is>
          <x:t xml:space="preserve">Assumptions</x:t>
        </x:is>
      </x:c>
      <x:c r="B32" s="7" t="inlineStr">
        <x:is>
          <x:t xml:space="preserve">C24</x:t>
        </x:is>
      </x:c>
      <x:c r="C32" s="7" t="inlineStr">
        <x:is>
          <x:t xml:space="preserve">Mgmt fee % floor</x:t>
        </x:is>
      </x:c>
      <x:c r="D32" s="7" t="inlineStr">
        <x:is>
          <x:t xml:space="preserve">INPUT</x:t>
        </x:is>
      </x:c>
    </x:row>
    <x:row r="33">
      <x:c r="A33" s="6" t="inlineStr">
        <x:is>
          <x:t xml:space="preserve">Assumptions</x:t>
        </x:is>
      </x:c>
      <x:c r="B33" s="7" t="inlineStr">
        <x:is>
          <x:t xml:space="preserve">C25</x:t>
        </x:is>
      </x:c>
      <x:c r="C33" s="7" t="inlineStr">
        <x:is>
          <x:t xml:space="preserve">Mgmt fee dollar floor (T12)</x:t>
        </x:is>
      </x:c>
      <x:c r="D33" s="7" t="inlineStr">
        <x:is>
          <x:t xml:space="preserve">INPUT</x:t>
        </x:is>
      </x:c>
    </x:row>
    <x:row r="34">
      <x:c r="A34" s="6" t="inlineStr">
        <x:is>
          <x:t xml:space="preserve">Assumptions</x:t>
        </x:is>
      </x:c>
      <x:c r="B34" s="7" t="inlineStr">
        <x:is>
          <x:t xml:space="preserve">C26</x:t>
        </x:is>
      </x:c>
      <x:c r="C34" s="7" t="inlineStr">
        <x:is>
          <x:t xml:space="preserve">Total units</x:t>
        </x:is>
      </x:c>
      <x:c r="D34" s="7" t="inlineStr">
        <x:is>
          <x:t xml:space="preserve">INPUT</x:t>
        </x:is>
      </x:c>
    </x:row>
    <x:row r="35">
      <x:c r="A35" s="6" t="inlineStr">
        <x:is>
          <x:t xml:space="preserve">Underwriting</x:t>
        </x:is>
      </x:c>
      <x:c r="B35" s="8" t="inlineStr">
        <x:is>
          <x:t xml:space="preserve">G32</x:t>
        </x:is>
      </x:c>
      <x:c r="C35" s="8" t="inlineStr">
        <x:is>
          <x:t xml:space="preserve">Underwritten NOI before reserves</x:t>
        </x:is>
      </x:c>
      <x:c r="D35" s="8" t="inlineStr">
        <x:is>
          <x:t xml:space="preserve">OUTPUT</x:t>
        </x:is>
      </x:c>
    </x:row>
    <x:row r="36">
      <x:c r="A36" s="6" t="inlineStr">
        <x:is>
          <x:t xml:space="preserve">Underwriting</x:t>
        </x:is>
      </x:c>
      <x:c r="B36" s="8" t="inlineStr">
        <x:is>
          <x:t xml:space="preserve">G34</x:t>
        </x:is>
      </x:c>
      <x:c r="C36" s="8" t="inlineStr">
        <x:is>
          <x:t xml:space="preserve">Underwritten NCF</x:t>
        </x:is>
      </x:c>
      <x:c r="D36" s="8" t="inlineStr">
        <x:is>
          <x:t xml:space="preserve">OUTPUT</x:t>
        </x:is>
      </x:c>
    </x:row>
    <x:row r="37">
      <x:c r="A37" s="6" t="inlineStr">
        <x:is>
          <x:t xml:space="preserve">Underwriting</x:t>
        </x:is>
      </x:c>
      <x:c r="B37" s="8" t="inlineStr">
        <x:is>
          <x:t xml:space="preserve">G37</x:t>
        </x:is>
      </x:c>
      <x:c r="C37" s="8" t="inlineStr">
        <x:is>
          <x:t xml:space="preserve">Capitalization value</x:t>
        </x:is>
      </x:c>
      <x:c r="D37" s="8" t="inlineStr">
        <x:is>
          <x:t xml:space="preserve">OUTPUT</x:t>
        </x:is>
      </x:c>
    </x:row>
    <x:row r="38">
      <x:c r="A38" s="6" t="inlineStr">
        <x:is>
          <x:t xml:space="preserve">Loan Sizing</x:t>
        </x:is>
      </x:c>
      <x:c r="B38" s="8" t="inlineStr">
        <x:is>
          <x:t xml:space="preserve">C11</x:t>
        </x:is>
      </x:c>
      <x:c r="C38" s="8" t="inlineStr">
        <x:is>
          <x:t xml:space="preserve">Annual debt constant (sizing rate)</x:t>
        </x:is>
      </x:c>
      <x:c r="D38" s="8" t="inlineStr">
        <x:is>
          <x:t xml:space="preserve">OUTPUT</x:t>
        </x:is>
      </x:c>
    </x:row>
    <x:row r="39">
      <x:c r="A39" s="6" t="inlineStr">
        <x:is>
          <x:t xml:space="preserve">Loan Sizing</x:t>
        </x:is>
      </x:c>
      <x:c r="B39" s="8" t="inlineStr">
        <x:is>
          <x:t xml:space="preserve">C13</x:t>
        </x:is>
      </x:c>
      <x:c r="C39" s="8" t="inlineStr">
        <x:is>
          <x:t xml:space="preserve">LTV max loan</x:t>
        </x:is>
      </x:c>
      <x:c r="D39" s="8" t="inlineStr">
        <x:is>
          <x:t xml:space="preserve">OUTPUT</x:t>
        </x:is>
      </x:c>
    </x:row>
    <x:row r="40">
      <x:c r="A40" s="6" t="inlineStr">
        <x:is>
          <x:t xml:space="preserve">Loan Sizing</x:t>
        </x:is>
      </x:c>
      <x:c r="B40" s="8" t="inlineStr">
        <x:is>
          <x:t xml:space="preserve">C14</x:t>
        </x:is>
      </x:c>
      <x:c r="C40" s="8" t="inlineStr">
        <x:is>
          <x:t xml:space="preserve">DSCR max loan</x:t>
        </x:is>
      </x:c>
      <x:c r="D40" s="8" t="inlineStr">
        <x:is>
          <x:t xml:space="preserve">OUTPUT</x:t>
        </x:is>
      </x:c>
    </x:row>
    <x:row r="41">
      <x:c r="A41" s="6" t="inlineStr">
        <x:is>
          <x:t xml:space="preserve">Loan Sizing</x:t>
        </x:is>
      </x:c>
      <x:c r="B41" s="8" t="inlineStr">
        <x:is>
          <x:t xml:space="preserve">C15</x:t>
        </x:is>
      </x:c>
      <x:c r="C41" s="8" t="inlineStr">
        <x:is>
          <x:t xml:space="preserve">DY max loan</x:t>
        </x:is>
      </x:c>
      <x:c r="D41" s="8" t="inlineStr">
        <x:is>
          <x:t xml:space="preserve">OUTPUT</x:t>
        </x:is>
      </x:c>
    </x:row>
    <x:row r="42">
      <x:c r="A42" s="6" t="inlineStr">
        <x:is>
          <x:t xml:space="preserve">Loan Sizing</x:t>
        </x:is>
      </x:c>
      <x:c r="B42" s="8" t="inlineStr">
        <x:is>
          <x:t xml:space="preserve">C17</x:t>
        </x:is>
      </x:c>
      <x:c r="C42" s="8" t="inlineStr">
        <x:is>
          <x:t xml:space="preserve">MAXIMUM LOAN (binding)</x:t>
        </x:is>
      </x:c>
      <x:c r="D42" s="8" t="inlineStr">
        <x:is>
          <x:t xml:space="preserve">OUTPUT</x:t>
        </x:is>
      </x:c>
    </x:row>
    <x:row r="43">
      <x:c r="A43" s="6" t="inlineStr">
        <x:is>
          <x:t xml:space="preserve">Loan Sizing</x:t>
        </x:is>
      </x:c>
      <x:c r="B43" s="8" t="inlineStr">
        <x:is>
          <x:t xml:space="preserve">C18</x:t>
        </x:is>
      </x:c>
      <x:c r="C43" s="8" t="inlineStr">
        <x:is>
          <x:t xml:space="preserve">Binding constraint</x:t>
        </x:is>
      </x:c>
      <x:c r="D43" s="8" t="inlineStr">
        <x:is>
          <x:t xml:space="preserve">OUTPUT</x:t>
        </x:is>
      </x:c>
    </x:row>
    <x:row r="44">
      <x:c r="A44" s="6" t="inlineStr">
        <x:is>
          <x:t xml:space="preserve">Loan Sizing</x:t>
        </x:is>
      </x:c>
      <x:c r="B44" s="8" t="inlineStr">
        <x:is>
          <x:t xml:space="preserve">C25</x:t>
        </x:is>
      </x:c>
      <x:c r="C44" s="8" t="inlineStr">
        <x:is>
          <x:t xml:space="preserve">First-year debt service (IO)</x:t>
        </x:is>
      </x:c>
      <x:c r="D44" s="8" t="inlineStr">
        <x:is>
          <x:t xml:space="preserve">OUTPUT</x:t>
        </x:is>
      </x:c>
    </x:row>
    <x:row r="45">
      <x:c r="A45" s="6" t="inlineStr">
        <x:is>
          <x:t xml:space="preserve">Loan Sizing</x:t>
        </x:is>
      </x:c>
      <x:c r="B45" s="8" t="inlineStr">
        <x:is>
          <x:t xml:space="preserve">C31</x:t>
        </x:is>
      </x:c>
      <x:c r="C45" s="8" t="inlineStr">
        <x:is>
          <x:t xml:space="preserve">Cash to / (from) borrower</x:t>
        </x:is>
      </x:c>
      <x:c r="D45" s="8" t="inlineStr">
        <x:is>
          <x:t xml:space="preserve">OUTPUT</x:t>
        </x:is>
      </x:c>
    </x:row>
    <x:row r="46">
      <x:c r="A46" s="6" t="inlineStr">
        <x:is>
          <x:t xml:space="preserve">Sensitivity</x:t>
        </x:is>
      </x:c>
      <x:c r="B46" s="8" t="inlineStr">
        <x:is>
          <x:t xml:space="preserve">C22</x:t>
        </x:is>
      </x:c>
      <x:c r="C46" s="8" t="inlineStr">
        <x:is>
          <x:t xml:space="preserve">Combined downside max loan</x:t>
        </x:is>
      </x:c>
      <x:c r="D46" s="8" t="inlineStr">
        <x:is>
          <x:t xml:space="preserve">OUTPUT</x:t>
        </x:is>
      </x:c>
    </x:row>
    <x:row r="47">
      <x:c r="A47" s="6" t="inlineStr">
        <x:is>
          <x:t xml:space="preserve">Sensitivity</x:t>
        </x:is>
      </x:c>
      <x:c r="B47" s="8" t="inlineStr">
        <x:is>
          <x:t xml:space="preserve">G22</x:t>
        </x:is>
      </x:c>
      <x:c r="C47" s="8" t="inlineStr">
        <x:is>
          <x:t xml:space="preserve">Cap+50 bps max loan</x:t>
        </x:is>
      </x:c>
      <x:c r="D47" s="8" t="inlineStr">
        <x:is>
          <x:t xml:space="preserve">OUTPUT</x:t>
        </x:is>
      </x:c>
    </x:row>
  </x:sheetData>
  <x:mergeCells>
    <x:mergeCell ref="A2:F2"/>
    <x:mergeCell ref="A11:F11"/>
    <x:mergeCell ref="A10:F10"/>
    <x:mergeCell ref="A13:F13"/>
    <x:mergeCell ref="A1:F1"/>
    <x:mergeCell ref="A5:F5"/>
    <x:mergeCell ref="A9:F9"/>
    <x:mergeCell ref="A8:F8"/>
    <x:mergeCell ref="A6:F6"/>
    <x:mergeCell ref="A4:F4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0" customWidth="1"/>
    <x:col min="3" max="3" width="18" customWidth="1"/>
    <x:col min="4" max="4" width="4" customWidth="1"/>
    <x:col min="5" max="5" width="60" customWidth="1"/>
    <x:col min="6" max="6" width="20" customWidth="1"/>
  </x:cols>
  <x:sheetData>
    <x:row r="1">
      <x:c r="A1" s="9" t="inlineStr">
        <x:is>
          <x:t xml:space="preserve">  Editable Assumptions — change any yellow cell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All assumptions from lender term sheet, property plan, and T12 packet.</x:t>
        </x:is>
      </x:c>
    </x:row>
    <x:row r="5">
      <x:c r="B5" s="3" t="inlineStr">
        <x:is>
          <x:t xml:space="preserve">Item</x:t>
        </x:is>
      </x:c>
      <x:c r="C5" s="3" t="inlineStr">
        <x:is>
          <x:t xml:space="preserve">Value</x:t>
        </x:is>
      </x:c>
      <x:c r="E5" s="3" t="inlineStr">
        <x:is>
          <x:t xml:space="preserve">Source / note</x:t>
        </x:is>
      </x:c>
    </x:row>
    <x:row r="7">
      <x:c r="B7" t="inlineStr">
        <x:is>
          <x:t xml:space="preserve">Cap rate</x:t>
        </x:is>
      </x:c>
      <x:c r="C7" s="11" t="n">
        <x:v>0.0575</x:v>
      </x:c>
      <x:c r="E7" s="2" t="inlineStr">
        <x:is>
          <x:t xml:space="preserve">Lender-Terms.pdf p.1 — valuation cap</x:t>
        </x:is>
      </x:c>
    </x:row>
    <x:row r="8">
      <x:c r="B8" t="inlineStr">
        <x:is>
          <x:t xml:space="preserve">Contract rate</x:t>
        </x:is>
      </x:c>
      <x:c r="C8" s="11" t="n">
        <x:v>0.0625</x:v>
      </x:c>
      <x:c r="E8" s="2" t="inlineStr">
        <x:is>
          <x:t xml:space="preserve">Lender-Terms.pdf p.1 — fixed contract rate</x:t>
        </x:is>
      </x:c>
    </x:row>
    <x:row r="9">
      <x:c r="B9" t="inlineStr">
        <x:is>
          <x:t xml:space="preserve">Sizing rate floor</x:t>
        </x:is>
      </x:c>
      <x:c r="C9" s="11" t="n">
        <x:v>0.075</x:v>
      </x:c>
      <x:c r="E9" s="2" t="inlineStr">
        <x:is>
          <x:t xml:space="preserve">Lender-Terms.pdf p.1 — underwriting floor</x:t>
        </x:is>
      </x:c>
    </x:row>
    <x:row r="10">
      <x:c r="B10" t="inlineStr">
        <x:is>
          <x:t xml:space="preserve">Sizing rate (effective)</x:t>
        </x:is>
      </x:c>
      <x:c r="C10" s="12" t="n">
        <x:f>MAX(C8,C9)</x:f>
        <x:v>0.075</x:v>
      </x:c>
      <x:c r="E10" s="2" t="e">
        <x:f> greater of contract rate and sizing floor</x:f>
        <x:v>#NAME?</x:v>
      </x:c>
    </x:row>
    <x:row r="11">
      <x:c r="B11" t="inlineStr">
        <x:is>
          <x:t xml:space="preserve">Amortization (years)</x:t>
        </x:is>
      </x:c>
      <x:c r="C11" s="13" t="n">
        <x:v>30</x:v>
      </x:c>
      <x:c r="E11" s="2" t="inlineStr">
        <x:is>
          <x:t xml:space="preserve">Lender-Terms.pdf p.1</x:t>
        </x:is>
      </x:c>
    </x:row>
    <x:row r="12">
      <x:c r="B12" t="inlineStr">
        <x:is>
          <x:t xml:space="preserve">IO months</x:t>
        </x:is>
      </x:c>
      <x:c r="C12" s="13" t="n">
        <x:v>36</x:v>
      </x:c>
      <x:c r="E12" s="2" t="inlineStr">
        <x:is>
          <x:t xml:space="preserve">Lender-Terms.pdf p.1</x:t>
        </x:is>
      </x:c>
    </x:row>
    <x:row r="13">
      <x:c r="B13" t="inlineStr">
        <x:is>
          <x:t xml:space="preserve">Maturity (months)</x:t>
        </x:is>
      </x:c>
      <x:c r="C13" s="13" t="n">
        <x:v>60</x:v>
      </x:c>
      <x:c r="E13" s="2" t="inlineStr">
        <x:is>
          <x:t xml:space="preserve">Lender-Terms.pdf p.1</x:t>
        </x:is>
      </x:c>
    </x:row>
    <x:row r="14">
      <x:c r="B14" t="inlineStr">
        <x:is>
          <x:t xml:space="preserve">LTV max</x:t>
        </x:is>
      </x:c>
      <x:c r="C14" s="11" t="n">
        <x:v>0.6</x:v>
      </x:c>
      <x:c r="E14" s="2" t="inlineStr">
        <x:is>
          <x:t xml:space="preserve">Lender-Terms.pdf p.1</x:t>
        </x:is>
      </x:c>
    </x:row>
    <x:row r="15">
      <x:c r="B15" t="inlineStr">
        <x:is>
          <x:t xml:space="preserve">DSCR min</x:t>
        </x:is>
      </x:c>
      <x:c r="C15" s="14" t="n">
        <x:v>1.3</x:v>
      </x:c>
      <x:c r="E15" s="2" t="inlineStr">
        <x:is>
          <x:t xml:space="preserve">Lender-Terms.pdf p.1 — NCF / amortizing DS at sizing rate</x:t>
        </x:is>
      </x:c>
    </x:row>
    <x:row r="16">
      <x:c r="B16" t="inlineStr">
        <x:is>
          <x:t xml:space="preserve">Debt yield min</x:t>
        </x:is>
      </x:c>
      <x:c r="C16" s="11" t="n">
        <x:v>0.09</x:v>
      </x:c>
      <x:c r="E16" s="2" t="inlineStr">
        <x:is>
          <x:t xml:space="preserve">Lender-Terms.pdf p.1 — NCF / max loan</x:t>
        </x:is>
      </x:c>
    </x:row>
    <x:row r="17">
      <x:c r="B17" t="inlineStr">
        <x:is>
          <x:t xml:space="preserve">Origination fee (% of loan)</x:t>
        </x:is>
      </x:c>
      <x:c r="C17" s="11" t="n">
        <x:v>0.01</x:v>
      </x:c>
      <x:c r="E17" s="2" t="inlineStr">
        <x:is>
          <x:t xml:space="preserve">Lender-Terms.pdf p.1</x:t>
        </x:is>
      </x:c>
    </x:row>
    <x:row r="18">
      <x:c r="B18" t="inlineStr">
        <x:is>
          <x:t xml:space="preserve">Existing debt payoff</x:t>
        </x:is>
      </x:c>
      <x:c r="C18" s="15" t="n">
        <x:v>4500000</x:v>
      </x:c>
      <x:c r="E18" s="2" t="inlineStr">
        <x:is>
          <x:t xml:space="preserve">Property-and-Plan.pdf p.1</x:t>
        </x:is>
      </x:c>
    </x:row>
    <x:row r="19">
      <x:c r="B19" t="inlineStr">
        <x:is>
          <x:t xml:space="preserve">Fixed closing costs</x:t>
        </x:is>
      </x:c>
      <x:c r="C19" s="15" t="n">
        <x:v>65000</x:v>
      </x:c>
      <x:c r="E19" s="2" t="inlineStr">
        <x:is>
          <x:t xml:space="preserve">Property-and-Plan.pdf p.1</x:t>
        </x:is>
      </x:c>
    </x:row>
    <x:row r="20">
      <x:c r="B20" t="inlineStr">
        <x:is>
          <x:t xml:space="preserve">Replacement reserves ($/unit/yr)</x:t>
        </x:is>
      </x:c>
      <x:c r="C20" s="15" t="n">
        <x:v>325</x:v>
      </x:c>
      <x:c r="E20" s="2" t="inlineStr">
        <x:is>
          <x:t xml:space="preserve">Property-and-Plan.pdf p.2</x:t>
        </x:is>
      </x:c>
    </x:row>
    <x:row r="21">
      <x:c r="B21" t="inlineStr">
        <x:is>
          <x:t xml:space="preserve">Underwritten GPR</x:t>
        </x:is>
      </x:c>
      <x:c r="C21" s="15" t="n">
        <x:v>1056000</x:v>
      </x:c>
      <x:c r="E21" s="2" t="inlineStr">
        <x:is>
          <x:t xml:space="preserve">Property-and-Plan.pdf p.2 — scenario</x:t>
        </x:is>
      </x:c>
    </x:row>
    <x:row r="22">
      <x:c r="B22" t="inlineStr">
        <x:is>
          <x:t xml:space="preserve">Revenue loss % of GPR</x:t>
        </x:is>
      </x:c>
      <x:c r="C22" s="11" t="n">
        <x:v>0.07000000000000001</x:v>
      </x:c>
      <x:c r="E22" s="2" t="inlineStr">
        <x:is>
          <x:t xml:space="preserve">Property-and-Plan.pdf p.2 — vacancy+conc+bad debt</x:t>
        </x:is>
      </x:c>
    </x:row>
    <x:row r="23">
      <x:c r="B23" t="inlineStr">
        <x:is>
          <x:t xml:space="preserve">Other income (annual)</x:t>
        </x:is>
      </x:c>
      <x:c r="C23" s="15" t="n">
        <x:v>43200</x:v>
      </x:c>
      <x:c r="E23" s="2" t="inlineStr">
        <x:is>
          <x:t xml:space="preserve">Property-and-Plan.pdf p.2 — post revenue loss</x:t>
        </x:is>
      </x:c>
    </x:row>
    <x:row r="24">
      <x:c r="B24" t="inlineStr">
        <x:is>
          <x:t xml:space="preserve">Mgmt fee % of EGI (floor)</x:t>
        </x:is>
      </x:c>
      <x:c r="C24" s="11" t="n">
        <x:v>0.035</x:v>
      </x:c>
      <x:c r="E24" s="2" t="inlineStr">
        <x:is>
          <x:t xml:space="preserve">Property-and-Plan.pdf p.2</x:t>
        </x:is>
      </x:c>
    </x:row>
    <x:row r="25">
      <x:c r="B25" t="inlineStr">
        <x:is>
          <x:t xml:space="preserve">T12 mgmt fee (dollar floor)</x:t>
        </x:is>
      </x:c>
      <x:c r="C25" s="15" t="n">
        <x:v>28000</x:v>
      </x:c>
      <x:c r="E25" s="2" t="inlineStr">
        <x:is>
          <x:t xml:space="preserve">T12-Statement.pdf p.2 annual</x:t>
        </x:is>
      </x:c>
    </x:row>
    <x:row r="26">
      <x:c r="B26" t="inlineStr">
        <x:is>
          <x:t xml:space="preserve">Total units</x:t>
        </x:is>
      </x:c>
      <x:c r="C26" s="13" t="n">
        <x:v>48</x:v>
      </x:c>
      <x:c r="E26" s="2" t="inlineStr">
        <x:is>
          <x:t xml:space="preserve">Rent-Roll.xlsx</x:t>
        </x:is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4" customWidth="1"/>
    <x:col min="3" max="3" width="18" customWidth="1"/>
    <x:col min="4" max="4" width="18" customWidth="1"/>
    <x:col min="5" max="5" width="18" customWidth="1"/>
    <x:col min="6" max="6" width="4" customWidth="1"/>
    <x:col min="7" max="7" width="22" customWidth="1"/>
    <x:col min="8" max="8" width="18" customWidth="1"/>
  </x:cols>
  <x:sheetData>
    <x:row r="1">
      <x:c r="A1" s="9" t="inlineStr">
        <x:is>
          <x:t xml:space="preserve">  Historical T12 vs Underwritten Scenario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2" t="inlineStr">
        <x:is>
          <x:t xml:space="preserve">T12 = Sep-2025 to Aug-2026 (T12-Statement.pdf).  UW = scenario per Property-and-Plan.pdf p.2.</x:t>
        </x:is>
      </x:c>
    </x:row>
    <x:row r="5">
      <x:c r="B5" s="3" t="inlineStr">
        <x:is>
          <x:t xml:space="preserve">Line</x:t>
        </x:is>
      </x:c>
      <x:c r="C5" s="3" t="inlineStr">
        <x:is>
          <x:t xml:space="preserve">T12 Actual</x:t>
        </x:is>
      </x:c>
      <x:c r="D5" s="3" t="inlineStr">
        <x:is>
          <x:t xml:space="preserve">UW Scenario</x:t>
        </x:is>
      </x:c>
      <x:c r="E5" s="3" t="inlineStr">
        <x:is>
          <x:t xml:space="preserve">Delta</x:t>
        </x:is>
      </x:c>
      <x:c r="G5" s="3" t="inlineStr">
        <x:is>
          <x:t xml:space="preserve">Summary Output</x:t>
        </x:is>
      </x:c>
      <x:c r="H5" s="3" t="inlineStr">
        <x:is>
          <x:t xml:space="preserve">Value</x:t>
        </x:is>
      </x:c>
    </x:row>
    <x:row r="6">
      <x:c r="B6" s="3" t="inlineStr">
        <x:is>
          <x:t xml:space="preserve">REVENUE</x:t>
        </x:is>
      </x:c>
      <x:c r="C6" s="16" t="n"/>
      <x:c r="D6" s="16" t="n"/>
      <x:c r="E6" s="16" t="n"/>
    </x:row>
    <x:row r="7">
      <x:c r="B7" t="inlineStr">
        <x:is>
          <x:t xml:space="preserve">Gross potential base rent</x:t>
        </x:is>
      </x:c>
      <x:c r="C7" s="16" t="n">
        <x:v>1036800</x:v>
      </x:c>
      <x:c r="D7" s="16" t="n">
        <x:f>UW_GPR</x:f>
        <x:v>1056000</x:v>
      </x:c>
      <x:c r="E7" s="16" t="n">
        <x:f>D7-C7</x:f>
        <x:v>19200</x:v>
      </x:c>
      <x:c r="G7" s="17" t="inlineStr">
        <x:is>
          <x:t xml:space="preserve">Historical T12 EGI</x:t>
        </x:is>
      </x:c>
      <x:c r="H7" s="18" t="n">
        <x:f>C10</x:f>
        <x:v>691200</x:v>
      </x:c>
    </x:row>
    <x:row r="8">
      <x:c r="B8" t="inlineStr">
        <x:is>
          <x:t xml:space="preserve">Vacancy / concessions / bad debt</x:t>
        </x:is>
      </x:c>
      <x:c r="C8" s="16" t="n">
        <x:v>-375600</x:v>
      </x:c>
      <x:c r="D8" s="16" t="n">
        <x:f>-UW_GPR*RevLossPct</x:f>
        <x:v>-73920</x:v>
      </x:c>
      <x:c r="E8" s="16" t="n">
        <x:f>D8-C8</x:f>
        <x:v>301680</x:v>
      </x:c>
      <x:c r="G8" s="17" t="inlineStr">
        <x:is>
          <x:t xml:space="preserve">Historical T12 OpEx</x:t>
        </x:is>
      </x:c>
      <x:c r="H8" s="18" t="n">
        <x:f>C20</x:f>
        <x:v>371200</x:v>
      </x:c>
    </x:row>
    <x:row r="9">
      <x:c r="B9" t="inlineStr">
        <x:is>
          <x:t xml:space="preserve">Other income / recoveries</x:t>
        </x:is>
      </x:c>
      <x:c r="C9" s="16" t="n">
        <x:v>30000</x:v>
      </x:c>
      <x:c r="D9" s="16" t="n">
        <x:f>OtherInc</x:f>
        <x:v>43200</x:v>
      </x:c>
      <x:c r="E9" s="16" t="n">
        <x:f>D9-C9</x:f>
        <x:v>13200</x:v>
      </x:c>
      <x:c r="G9" s="17" t="inlineStr">
        <x:is>
          <x:t xml:space="preserve">Historical NOI before res.</x:t>
        </x:is>
      </x:c>
      <x:c r="H9" s="18" t="n">
        <x:f>C22</x:f>
        <x:v>320000</x:v>
      </x:c>
    </x:row>
    <x:row r="10">
      <x:c r="B10" s="19" t="inlineStr">
        <x:is>
          <x:t xml:space="preserve">Effective Gross Income (EGI)</x:t>
        </x:is>
      </x:c>
      <x:c r="C10" s="20" t="n">
        <x:f>C7+C8+C9</x:f>
        <x:v>691200</x:v>
      </x:c>
      <x:c r="D10" s="20" t="n">
        <x:f>D7+D8+D9</x:f>
        <x:v>1025280</x:v>
      </x:c>
      <x:c r="E10" s="16" t="n">
        <x:f>D10-C10</x:f>
        <x:v>334080</x:v>
      </x:c>
      <x:c r="G10" s="17" t="inlineStr">
        <x:is>
          <x:t xml:space="preserve">Historical NCF (after res.)</x:t>
        </x:is>
      </x:c>
      <x:c r="H10" s="18" t="n">
        <x:f>C24</x:f>
        <x:v>305600</x:v>
      </x:c>
    </x:row>
    <x:row r="11">
      <x:c r="C11" s="16" t="n"/>
      <x:c r="D11" s="16" t="n"/>
      <x:c r="E11" s="16" t="n"/>
    </x:row>
    <x:row r="12">
      <x:c r="B12" s="3" t="inlineStr">
        <x:is>
          <x:t xml:space="preserve">OPERATING EXPENSES</x:t>
        </x:is>
      </x:c>
      <x:c r="C12" s="16" t="n"/>
      <x:c r="D12" s="16" t="n"/>
      <x:c r="E12" s="16" t="n"/>
      <x:c r="G12" s="17" t="inlineStr">
        <x:is>
          <x:t xml:space="preserve">Underwritten EGI</x:t>
        </x:is>
      </x:c>
      <x:c r="H12" s="18" t="n">
        <x:f>D10</x:f>
        <x:v>1025280</x:v>
      </x:c>
    </x:row>
    <x:row r="13">
      <x:c r="B13" t="inlineStr">
        <x:is>
          <x:t xml:space="preserve">Real estate taxes</x:t>
        </x:is>
      </x:c>
      <x:c r="C13" s="16" t="n">
        <x:v>132000</x:v>
      </x:c>
      <x:c r="D13" s="16" t="n">
        <x:v>138000</x:v>
      </x:c>
      <x:c r="E13" s="16" t="n">
        <x:f>D13-C13</x:f>
        <x:v>6000</x:v>
      </x:c>
      <x:c r="G13" s="17" t="inlineStr">
        <x:is>
          <x:t xml:space="preserve">Underwritten Mgmt fee</x:t>
        </x:is>
      </x:c>
      <x:c r="H13" s="18" t="n">
        <x:f>D19</x:f>
        <x:v>35884.8</x:v>
      </x:c>
    </x:row>
    <x:row r="14">
      <x:c r="B14" t="inlineStr">
        <x:is>
          <x:t xml:space="preserve">Property insurance</x:t>
        </x:is>
      </x:c>
      <x:c r="C14" s="16" t="n">
        <x:v>40800</x:v>
      </x:c>
      <x:c r="D14" s="16" t="n">
        <x:v>45600</x:v>
      </x:c>
      <x:c r="E14" s="16" t="n">
        <x:f>D14-C14</x:f>
        <x:v>4800</x:v>
      </x:c>
      <x:c r="G14" s="17" t="inlineStr">
        <x:is>
          <x:t xml:space="preserve">Underwritten OpEx (pre-res.)</x:t>
        </x:is>
      </x:c>
      <x:c r="H14" s="18" t="n">
        <x:f>D20</x:f>
        <x:v>377884.8</x:v>
      </x:c>
    </x:row>
    <x:row r="15">
      <x:c r="B15" t="inlineStr">
        <x:is>
          <x:t xml:space="preserve">Utilities</x:t>
        </x:is>
      </x:c>
      <x:c r="C15" s="16" t="n">
        <x:v>33600</x:v>
      </x:c>
      <x:c r="D15" s="16" t="n">
        <x:v>33600</x:v>
      </x:c>
      <x:c r="E15" s="16" t="n">
        <x:f>D15-C15</x:f>
        <x:v>0</x:v>
      </x:c>
      <x:c r="G15" s="17" t="inlineStr">
        <x:is>
          <x:t xml:space="preserve">Underwritten NOI (pre-res.)</x:t>
        </x:is>
      </x:c>
      <x:c r="H15" s="18" t="n">
        <x:f>D22</x:f>
        <x:v>647395.2</x:v>
      </x:c>
    </x:row>
    <x:row r="16">
      <x:c r="B16" t="inlineStr">
        <x:is>
          <x:t xml:space="preserve">Repairs &amp; maintenance</x:t>
        </x:is>
      </x:c>
      <x:c r="C16" s="16" t="n">
        <x:v>54000</x:v>
      </x:c>
      <x:c r="D16" s="16" t="n">
        <x:v>42000</x:v>
      </x:c>
      <x:c r="E16" s="16" t="n">
        <x:f>D16-C16</x:f>
        <x:v>-12000</x:v>
      </x:c>
      <x:c r="G16" s="17" t="inlineStr">
        <x:is>
          <x:t xml:space="preserve">Underwritten Reserves</x:t>
        </x:is>
      </x:c>
      <x:c r="H16" s="18" t="n">
        <x:f>D23</x:f>
        <x:v>15600</x:v>
      </x:c>
    </x:row>
    <x:row r="17">
      <x:c r="B17" t="inlineStr">
        <x:is>
          <x:t xml:space="preserve">Payroll / contract labor</x:t>
        </x:is>
      </x:c>
      <x:c r="C17" s="16" t="n">
        <x:v>55200</x:v>
      </x:c>
      <x:c r="D17" s="16" t="n">
        <x:v>55200</x:v>
      </x:c>
      <x:c r="E17" s="16" t="n">
        <x:f>D17-C17</x:f>
        <x:v>0</x:v>
      </x:c>
      <x:c r="G17" s="17" t="inlineStr">
        <x:is>
          <x:t xml:space="preserve">Underwritten NCF (post-res.)</x:t>
        </x:is>
      </x:c>
      <x:c r="H17" s="18" t="n">
        <x:f>D24</x:f>
        <x:v>631795.2</x:v>
      </x:c>
    </x:row>
    <x:row r="18">
      <x:c r="B18" t="inlineStr">
        <x:is>
          <x:t xml:space="preserve">Administrative / legal</x:t>
        </x:is>
      </x:c>
      <x:c r="C18" s="16" t="n">
        <x:v>27600</x:v>
      </x:c>
      <x:c r="D18" s="16" t="n">
        <x:v>27600</x:v>
      </x:c>
      <x:c r="E18" s="16" t="n">
        <x:f>D18-C18</x:f>
        <x:v>0</x:v>
      </x:c>
    </x:row>
    <x:row r="19">
      <x:c r="B19" t="inlineStr">
        <x:is>
          <x:t xml:space="preserve">Management fee (greater of T12 or 3.50% EGI)</x:t>
        </x:is>
      </x:c>
      <x:c r="C19" s="16" t="n">
        <x:v>28000</x:v>
      </x:c>
      <x:c r="D19" s="16" t="n">
        <x:f>MAX(MgmtDollarFloor,D10*MgmtPct)</x:f>
        <x:v>35884.8</x:v>
      </x:c>
      <x:c r="E19" s="16" t="n">
        <x:f>D19-C19</x:f>
        <x:v>7884.800000000003</x:v>
      </x:c>
      <x:c r="G19" s="17" t="inlineStr">
        <x:is>
          <x:t xml:space="preserve">Cap rate</x:t>
        </x:is>
      </x:c>
      <x:c r="H19" s="21" t="n">
        <x:f>CapRate</x:f>
        <x:v>0.0575</x:v>
      </x:c>
    </x:row>
    <x:row r="20">
      <x:c r="B20" s="19" t="inlineStr">
        <x:is>
          <x:t xml:space="preserve">Total operating expenses</x:t>
        </x:is>
      </x:c>
      <x:c r="C20" s="20" t="n">
        <x:f>SUM(C13:C19)</x:f>
        <x:v>371200</x:v>
      </x:c>
      <x:c r="D20" s="20" t="n">
        <x:f>SUM(D13:D19)</x:f>
        <x:v>377884.8</x:v>
      </x:c>
      <x:c r="E20" s="16" t="n">
        <x:f>D20-C20</x:f>
        <x:v>6684.799999999988</x:v>
      </x:c>
      <x:c r="G20" s="17" t="inlineStr">
        <x:is>
          <x:t xml:space="preserve">Capitalization value</x:t>
        </x:is>
      </x:c>
      <x:c r="H20" s="18" t="n">
        <x:f>D22/CapRate</x:f>
        <x:v>11259046.956521738</x:v>
      </x:c>
    </x:row>
    <x:row r="21">
      <x:c r="C21" s="16" t="n"/>
      <x:c r="D21" s="16" t="n"/>
      <x:c r="E21" s="16" t="n"/>
    </x:row>
    <x:row r="22">
      <x:c r="B22" s="22" t="inlineStr">
        <x:is>
          <x:t xml:space="preserve">NOI before reserves</x:t>
        </x:is>
      </x:c>
      <x:c r="C22" s="23" t="n">
        <x:f>C10-C20</x:f>
        <x:v>320000</x:v>
      </x:c>
      <x:c r="D22" s="23" t="n">
        <x:f>D10-D20</x:f>
        <x:v>647395.2</x:v>
      </x:c>
      <x:c r="E22" s="16" t="n">
        <x:f>D22-C22</x:f>
        <x:v>327395.19999999995</x:v>
      </x:c>
    </x:row>
    <x:row r="23">
      <x:c r="B23" t="inlineStr">
        <x:is>
          <x:t xml:space="preserve">Replacement reserves</x:t>
        </x:is>
      </x:c>
      <x:c r="C23" s="16" t="n">
        <x:v>14400</x:v>
      </x:c>
      <x:c r="D23" s="16" t="n">
        <x:f>TotalUnits*ResPerUnit</x:f>
        <x:v>15600</x:v>
      </x:c>
      <x:c r="E23" s="16" t="n">
        <x:f>D23-C23</x:f>
        <x:v>1200</x:v>
      </x:c>
    </x:row>
    <x:row r="24">
      <x:c r="B24" s="22" t="inlineStr">
        <x:is>
          <x:t xml:space="preserve">Net Cash Flow (after reserves)</x:t>
        </x:is>
      </x:c>
      <x:c r="C24" s="23" t="n">
        <x:f>C22-C23</x:f>
        <x:v>305600</x:v>
      </x:c>
      <x:c r="D24" s="23" t="n">
        <x:f>D22-D23</x:f>
        <x:v>631795.2</x:v>
      </x:c>
      <x:c r="E24" s="16" t="n">
        <x:f>D24-C24</x:f>
        <x:v>326195.19999999995</x:v>
      </x:c>
    </x:row>
    <x:row r="32">
      <x:c r="G32" t="inlineStr">
        <x:is>
          <x:t xml:space="preserve">Underwritten NOI before reserves</x:t>
        </x:is>
      </x:c>
      <x:c r="H32" s="24" t="n">
        <x:f>UW_NOI</x:f>
        <x:v>647395.2</x:v>
      </x:c>
    </x:row>
    <x:row r="34">
      <x:c r="G34" t="inlineStr">
        <x:is>
          <x:t xml:space="preserve">Underwritten NCF</x:t>
        </x:is>
      </x:c>
      <x:c r="H34" s="24" t="n">
        <x:f>UW_NCF</x:f>
        <x:v>631795.2</x:v>
      </x:c>
    </x:row>
    <x:row r="37">
      <x:c r="G37" t="inlineStr">
        <x:is>
          <x:t xml:space="preserve">Capitalization value</x:t>
        </x:is>
      </x:c>
      <x:c r="H37" s="24" t="n">
        <x:f>CapValue</x:f>
        <x:v>11259046.956521738</x:v>
      </x:c>
    </x:row>
  </x:sheetData>
  <x:mergeCells>
    <x:mergeCell ref="B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20" customWidth="1"/>
    <x:col min="4" max="4" width="4" customWidth="1"/>
    <x:col min="5" max="5" width="42" customWidth="1"/>
    <x:col min="6" max="6" width="20" customWidth="1"/>
  </x:cols>
  <x:sheetData>
    <x:row r="1">
      <x:c r="A1" s="9" t="inlineStr">
        <x:is>
          <x:t xml:space="preserve">  Loan Sizing — LTV / DSCR / Debt Yield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Sizing follows lender-terms conventions exactly: LTV on UW NOI/cap; DSCR on UW NCF over amortizing DS at sizing rate; DY on UW NCF over loan.</x:t>
        </x:is>
      </x:c>
    </x:row>
    <x:row r="5">
      <x:c r="B5" s="3" t="inlineStr">
        <x:is>
          <x:t xml:space="preserve">Rate &amp; amortization inputs</x:t>
        </x:is>
      </x:c>
    </x:row>
    <x:row r="6">
      <x:c r="B6" t="inlineStr">
        <x:is>
          <x:t xml:space="preserve">Contract rate</x:t>
        </x:is>
      </x:c>
      <x:c r="C6" s="25" t="n">
        <x:f>ContractRate</x:f>
        <x:v>0.0625</x:v>
      </x:c>
      <x:c r="E6" s="3" t="inlineStr">
        <x:is>
          <x:t xml:space="preserve">Sources &amp; Uses</x:t>
        </x:is>
      </x:c>
    </x:row>
    <x:row r="7">
      <x:c r="B7" t="inlineStr">
        <x:is>
          <x:t xml:space="preserve">Sizing rate</x:t>
        </x:is>
      </x:c>
      <x:c r="C7" s="25" t="n">
        <x:f>SizingRate</x:f>
        <x:v>0.075</x:v>
      </x:c>
      <x:c r="E7" t="inlineStr">
        <x:is>
          <x:t xml:space="preserve">SOURCES</x:t>
        </x:is>
      </x:c>
    </x:row>
    <x:row r="8">
      <x:c r="B8" t="inlineStr">
        <x:is>
          <x:t xml:space="preserve">Amortization (years)</x:t>
        </x:is>
      </x:c>
      <x:c r="C8" t="n">
        <x:f>AmortYears</x:f>
        <x:v>30</x:v>
      </x:c>
      <x:c r="E8" t="inlineStr">
        <x:is>
          <x:t xml:space="preserve">New first mortgage</x:t>
        </x:is>
      </x:c>
      <x:c r="F8" s="16" t="n">
        <x:f>MaxLoan</x:f>
        <x:v>5792169.900981882</x:v>
      </x:c>
    </x:row>
    <x:row r="9">
      <x:c r="B9" t="inlineStr">
        <x:is>
          <x:t xml:space="preserve">Monthly amort factor</x:t>
        </x:is>
      </x:c>
      <x:c r="C9" s="26" t="n">
        <x:f>(SizingRate/12)/(1-(1+SizingRate/12)^(-AmortYears*12))</x:f>
        <x:v>0.0069921450855277645</x:v>
      </x:c>
      <x:c r="E9" t="inlineStr">
        <x:is>
          <x:t xml:space="preserve">Sponsor cash (if any)</x:t>
        </x:is>
      </x:c>
      <x:c r="F9" s="16" t="n">
        <x:f>MAX(0,-F19)</x:f>
        <x:v>0</x:v>
      </x:c>
    </x:row>
    <x:row r="10">
      <x:c r="B10" t="inlineStr">
        <x:is>
          <x:t xml:space="preserve">Annual debt constant</x:t>
        </x:is>
      </x:c>
      <x:c r="E10" t="inlineStr">
        <x:is>
          <x:t xml:space="preserve">Total sources</x:t>
        </x:is>
      </x:c>
      <x:c r="F10" s="16" t="n">
        <x:f>SUM(F8:F9)</x:f>
        <x:v>5792169.900981882</x:v>
      </x:c>
    </x:row>
    <x:row r="11">
      <x:c r="B11" t="inlineStr">
        <x:is>
          <x:t xml:space="preserve">  = 12 × monthly factor</x:t>
        </x:is>
      </x:c>
      <x:c r="C11" s="27" t="n">
        <x:f>C9*12</x:f>
        <x:v>0.08390574102633318</x:v>
      </x:c>
    </x:row>
    <x:row r="12">
      <x:c r="E12" t="inlineStr">
        <x:is>
          <x:t xml:space="preserve">USES</x:t>
        </x:is>
      </x:c>
    </x:row>
    <x:row r="13">
      <x:c r="B13" t="inlineStr">
        <x:is>
          <x:t xml:space="preserve">LTV max loan  = LTVmax × CapValue</x:t>
        </x:is>
      </x:c>
      <x:c r="C13" s="24" t="n">
        <x:f>LTVmax*CapValue</x:f>
        <x:v>6755428.173913043</x:v>
      </x:c>
      <x:c r="E13" t="inlineStr">
        <x:is>
          <x:t xml:space="preserve">Existing debt payoff</x:t>
        </x:is>
      </x:c>
      <x:c r="F13" s="16" t="n">
        <x:f>ExistingPayoff</x:f>
        <x:v>4500000</x:v>
      </x:c>
    </x:row>
    <x:row r="14">
      <x:c r="B14" t="inlineStr">
        <x:is>
          <x:t xml:space="preserve">DSCR max loan = UW NCF / (DSCRmin × ADC)</x:t>
        </x:is>
      </x:c>
      <x:c r="C14" s="24" t="n">
        <x:f>UW_NCF/(DSCRmin*ADC)</x:f>
        <x:v>5792169.900981882</x:v>
      </x:c>
      <x:c r="E14" t="inlineStr">
        <x:is>
          <x:t xml:space="preserve">Origination fee</x:t>
        </x:is>
      </x:c>
      <x:c r="F14" s="16" t="n">
        <x:f>MaxLoan*OrigFeePct</x:f>
        <x:v>57921.69900981882</x:v>
      </x:c>
    </x:row>
    <x:row r="15">
      <x:c r="B15" t="inlineStr">
        <x:is>
          <x:t xml:space="preserve">DY max loan   = UW NCF / DYmin</x:t>
        </x:is>
      </x:c>
      <x:c r="C15" s="24" t="n">
        <x:f>UW_NCF/DYmin</x:f>
        <x:v>7019946.666666666</x:v>
      </x:c>
      <x:c r="E15" t="inlineStr">
        <x:is>
          <x:t xml:space="preserve">Fixed closing costs</x:t>
        </x:is>
      </x:c>
      <x:c r="F15" s="16" t="n">
        <x:f>FixedCosts</x:f>
        <x:v>65000</x:v>
      </x:c>
    </x:row>
    <x:row r="16">
      <x:c r="E16" t="inlineStr">
        <x:is>
          <x:t xml:space="preserve">Cash to borrower (out)</x:t>
        </x:is>
      </x:c>
      <x:c r="F16" s="16" t="n">
        <x:f>MAX(0,F19)</x:f>
        <x:v>1169248.201972063</x:v>
      </x:c>
    </x:row>
    <x:row r="17">
      <x:c r="B17" t="inlineStr">
        <x:is>
          <x:t xml:space="preserve">MAXIMUM LOAN  (min of three)</x:t>
        </x:is>
      </x:c>
      <x:c r="C17" s="28" t="n">
        <x:f>MIN(C13:C15)</x:f>
        <x:v>5792169.900981882</x:v>
      </x:c>
      <x:c r="E17" t="inlineStr">
        <x:is>
          <x:t xml:space="preserve">Total uses</x:t>
        </x:is>
      </x:c>
      <x:c r="F17" s="16" t="n">
        <x:f>SUM(F13:F16)</x:f>
        <x:v>5792169.900981882</x:v>
      </x:c>
    </x:row>
    <x:row r="18">
      <x:c r="B18" t="inlineStr">
        <x:is>
          <x:t xml:space="preserve">Binding constraint</x:t>
        </x:is>
      </x:c>
      <x:c r="C18" s="29" t="e">
        <x:f>INDEX({"LTV","DSCR","Debt yield"},MATCH(C17,C13:C15,0))</x:f>
        <x:v>#REF!</x:v>
      </x:c>
    </x:row>
    <x:row r="19">
      <x:c r="E19" t="inlineStr">
        <x:is>
          <x:t xml:space="preserve">Cash to / (from) borrower</x:t>
        </x:is>
      </x:c>
      <x:c r="F19" s="30" t="n">
        <x:f>MaxLoan-ExistingPayoff-MaxLoan*OrigFeePct-FixedCosts</x:f>
        <x:v>1169248.201972063</x:v>
      </x:c>
    </x:row>
    <x:row r="20">
      <x:c r="B20" s="3" t="inlineStr">
        <x:is>
          <x:t xml:space="preserve">Sizing metrics at maximum loan</x:t>
        </x:is>
      </x:c>
    </x:row>
    <x:row r="21">
      <x:c r="B21" t="inlineStr">
        <x:is>
          <x:t xml:space="preserve">Annual DS (amortizing, sizing rate)</x:t>
        </x:is>
      </x:c>
      <x:c r="C21" s="31" t="n">
        <x:f>MaxLoan*ADC</x:f>
        <x:v>485996.30769230763</x:v>
      </x:c>
    </x:row>
    <x:row r="22">
      <x:c r="B22" t="inlineStr">
        <x:is>
          <x:t xml:space="preserve">Sizing DSCR (NCF / amort DS)</x:t>
        </x:is>
      </x:c>
      <x:c r="C22" s="32" t="n">
        <x:f>UW_NCF/C21</x:f>
        <x:v>1.3</x:v>
      </x:c>
    </x:row>
    <x:row r="23">
      <x:c r="B23" t="inlineStr">
        <x:is>
          <x:t xml:space="preserve">Sizing debt yield (NCF / loan)</x:t>
        </x:is>
      </x:c>
      <x:c r="C23" s="21" t="n">
        <x:f>UW_NCF/MaxLoan</x:f>
        <x:v>0.10907746333423313</x:v>
      </x:c>
    </x:row>
    <x:row r="24">
      <x:c r="B24" t="inlineStr">
        <x:is>
          <x:t xml:space="preserve">Actual LTV (loan / cap value)</x:t>
        </x:is>
      </x:c>
      <x:c r="C24" s="21" t="n">
        <x:f>MaxLoan/CapValue</x:f>
        <x:v>0.5144458428274695</x:v>
      </x:c>
    </x:row>
    <x:row r="25">
      <x:c r="B25" t="inlineStr">
        <x:is>
          <x:t xml:space="preserve">First-year contractual DS (IO @ contract rate)</x:t>
        </x:is>
      </x:c>
      <x:c r="C25" s="33" t="n">
        <x:f>MaxLoan*ContractRate</x:f>
        <x:v>362010.6188113676</x:v>
      </x:c>
    </x:row>
    <x:row r="31">
      <x:c r="B31" t="inlineStr">
        <x:is>
          <x:t xml:space="preserve">Cash to / (from) borrower  (negative = cash-in)</x:t>
        </x:is>
      </x:c>
      <x:c r="C31" s="30" t="n">
        <x:f>F19</x:f>
        <x:v>1169248.201972063</x:v>
      </x:c>
    </x:row>
  </x:sheetData>
  <x:mergeCells>
    <x:mergeCell ref="E6:F6"/>
    <x:mergeCell ref="B20:F20"/>
    <x:mergeCell ref="A1:F1"/>
    <x:mergeCell ref="B3:F3"/>
    <x:mergeCell ref="B5:F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18" customWidth="1"/>
    <x:col min="4" max="4" width="4" customWidth="1"/>
    <x:col min="5" max="5" width="42" customWidth="1"/>
    <x:col min="6" max="6" width="18" customWidth="1"/>
  </x:cols>
  <x:sheetData>
    <x:row r="1">
      <x:c r="A1" s="9" t="inlineStr">
        <x:is>
          <x:t xml:space="preserve">  Sensitivity — combined downside &amp; cap-rate shock</x:t>
        </x:is>
      </x:c>
      <x:c r="B1" s="10" t="n"/>
      <x:c r="C1" s="10" t="n"/>
      <x:c r="D1" s="10" t="n"/>
      <x:c r="E1" s="10" t="n"/>
      <x:c r="F1" s="10" t="n"/>
    </x:row>
    <x:row r="3">
      <x:c r="B3" s="3" t="inlineStr">
        <x:is>
          <x:t xml:space="preserve">A. Combined downside: EGI −5% AND sizing rate +100 bps (cap rate held constant)</x:t>
        </x:is>
      </x:c>
      <x:c r="E3" s="3" t="inlineStr">
        <x:is>
          <x:t xml:space="preserve">B. Cap rate +50 bps (standalone) — NOI and sizing rate unchanged</x:t>
        </x:is>
      </x:c>
    </x:row>
    <x:row r="5">
      <x:c r="B5" t="inlineStr">
        <x:is>
          <x:t xml:space="preserve">Stressed EGI</x:t>
        </x:is>
      </x:c>
      <x:c r="C5" s="16" t="n">
        <x:f>UW_EGI*0.95</x:f>
        <x:v>974016</x:v>
      </x:c>
      <x:c r="E5" t="inlineStr">
        <x:is>
          <x:t xml:space="preserve">Stressed cap rate</x:t>
        </x:is>
      </x:c>
      <x:c r="F5" s="25" t="n">
        <x:f>CapRate+0.005</x:f>
        <x:v>0.0625</x:v>
      </x:c>
    </x:row>
    <x:row r="6">
      <x:c r="B6" t="inlineStr">
        <x:is>
          <x:t xml:space="preserve">Stressed mgmt fee</x:t>
        </x:is>
      </x:c>
      <x:c r="C6" s="16" t="n">
        <x:f>MAX(MgmtDollarFloor,C5*MgmtPct)</x:f>
        <x:v>34090.560000000005</x:v>
      </x:c>
      <x:c r="E6" t="inlineStr">
        <x:is>
          <x:t xml:space="preserve">Stressed cap value</x:t>
        </x:is>
      </x:c>
      <x:c r="F6" s="16" t="n">
        <x:f>UW_NOI/F5</x:f>
        <x:v>10358323.2</x:v>
      </x:c>
    </x:row>
    <x:row r="7">
      <x:c r="B7" t="inlineStr">
        <x:is>
          <x:t xml:space="preserve">Stressed OpEx (ex. mgmt) + stressed mgmt</x:t>
        </x:is>
      </x:c>
      <x:c r="C7" s="16" t="n">
        <x:f>(UW_OpEx-UW_MgmtFee)+C6</x:f>
        <x:v>376090.56</x:v>
      </x:c>
    </x:row>
    <x:row r="8">
      <x:c r="B8" t="inlineStr">
        <x:is>
          <x:t xml:space="preserve">Stressed NOI (before reserves)</x:t>
        </x:is>
      </x:c>
      <x:c r="C8" s="16" t="n">
        <x:f>C5-C7</x:f>
        <x:v>597925.44</x:v>
      </x:c>
      <x:c r="E8" t="inlineStr">
        <x:is>
          <x:t xml:space="preserve">LTV limit</x:t>
        </x:is>
      </x:c>
      <x:c r="F8" s="16" t="n">
        <x:f>LTVmax*F6</x:f>
        <x:v>6214993.919999999</x:v>
      </x:c>
    </x:row>
    <x:row r="9">
      <x:c r="B9" t="inlineStr">
        <x:is>
          <x:t xml:space="preserve">Stressed NCF (after reserves)</x:t>
        </x:is>
      </x:c>
      <x:c r="C9" s="16" t="n">
        <x:f>C8-UW_Reserves</x:f>
        <x:v>582325.44</x:v>
      </x:c>
      <x:c r="E9" t="inlineStr">
        <x:is>
          <x:t xml:space="preserve">DSCR limit (unchanged)</x:t>
        </x:is>
      </x:c>
      <x:c r="F9" s="16" t="n">
        <x:f>UW_NCF/(DSCRmin*ADC)</x:f>
        <x:v>5792169.900981882</x:v>
      </x:c>
    </x:row>
    <x:row r="10">
      <x:c r="E10" t="inlineStr">
        <x:is>
          <x:t xml:space="preserve">DY limit (unchanged)</x:t>
        </x:is>
      </x:c>
      <x:c r="F10" s="16" t="n">
        <x:f>UW_NCF/DYmin</x:f>
        <x:v>7019946.666666666</x:v>
      </x:c>
    </x:row>
    <x:row r="11">
      <x:c r="B11" t="inlineStr">
        <x:is>
          <x:t xml:space="preserve">Stressed cap value (cap rate unchanged)</x:t>
        </x:is>
      </x:c>
      <x:c r="C11" s="16" t="n">
        <x:f>C8/CapRate</x:f>
        <x:v>10398703.304347824</x:v>
      </x:c>
    </x:row>
    <x:row r="12">
      <x:c r="B12" t="inlineStr">
        <x:is>
          <x:t xml:space="preserve">Stressed sizing rate (+100 bps)</x:t>
        </x:is>
      </x:c>
      <x:c r="C12" s="25" t="n">
        <x:f>SizingRate+0.01</x:f>
        <x:v>0.08499999999999999</x:v>
      </x:c>
      <x:c r="E12" t="inlineStr">
        <x:is>
          <x:t xml:space="preserve">Cap+50 MAX LOAN</x:t>
        </x:is>
      </x:c>
      <x:c r="F12" s="34" t="n">
        <x:f>MIN(F8:F10)</x:f>
        <x:v>5792169.900981882</x:v>
      </x:c>
    </x:row>
    <x:row r="13">
      <x:c r="B13" t="inlineStr">
        <x:is>
          <x:t xml:space="preserve">Stressed annual debt constant</x:t>
        </x:is>
      </x:c>
      <x:c r="C13" s="26" t="n">
        <x:f>12*((C12/12)/(1-(1+C12/12)^(-AmortYears*12)))</x:f>
        <x:v>0.09226961803012004</x:v>
      </x:c>
      <x:c r="E13" t="inlineStr">
        <x:is>
          <x:t xml:space="preserve">Binding</x:t>
        </x:is>
      </x:c>
      <x:c r="F13" s="29" t="e">
        <x:f>INDEX({"LTV","DSCR","Debt yield"},MATCH(F12,F8:F10,0))</x:f>
        <x:v>#REF!</x:v>
      </x:c>
    </x:row>
    <x:row r="15">
      <x:c r="B15" t="inlineStr">
        <x:is>
          <x:t xml:space="preserve">LTV limit</x:t>
        </x:is>
      </x:c>
      <x:c r="C15" s="16" t="n">
        <x:f>LTVmax*C11</x:f>
        <x:v>6239221.982608695</x:v>
      </x:c>
      <x:c r="E15" t="inlineStr">
        <x:is>
          <x:t xml:space="preserve">Δ vs base (max loan)</x:t>
        </x:is>
      </x:c>
      <x:c r="F15" s="16" t="n">
        <x:f>F12-MaxLoan</x:f>
        <x:v>0</x:v>
      </x:c>
    </x:row>
    <x:row r="16">
      <x:c r="B16" t="inlineStr">
        <x:is>
          <x:t xml:space="preserve">DSCR limit</x:t>
        </x:is>
      </x:c>
      <x:c r="C16" s="16" t="n">
        <x:f>C9/(DSCRmin*C13)</x:f>
        <x:v>4854714.430568271</x:v>
      </x:c>
    </x:row>
    <x:row r="17">
      <x:c r="B17" t="inlineStr">
        <x:is>
          <x:t xml:space="preserve">DY limit</x:t>
        </x:is>
      </x:c>
      <x:c r="C17" s="16" t="n">
        <x:f>C9/DYmin</x:f>
        <x:v>6470282.666666666</x:v>
      </x:c>
    </x:row>
    <x:row r="19">
      <x:c r="B19" t="inlineStr">
        <x:is>
          <x:t xml:space="preserve">Combined-downside MAX LOAN</x:t>
        </x:is>
      </x:c>
      <x:c r="C19" s="34" t="n">
        <x:f>MIN(C15:C17)</x:f>
        <x:v>4854714.430568271</x:v>
      </x:c>
    </x:row>
    <x:row r="20">
      <x:c r="B20" t="inlineStr">
        <x:is>
          <x:t xml:space="preserve">Binding</x:t>
        </x:is>
      </x:c>
      <x:c r="C20" s="29" t="e">
        <x:f>INDEX({"LTV","DSCR","Debt yield"},MATCH(C19,C15:C17,0))</x:f>
        <x:v>#REF!</x:v>
      </x:c>
    </x:row>
    <x:row r="22">
      <x:c r="B22" t="inlineStr">
        <x:is>
          <x:t xml:space="preserve">Δ vs base (max loan)</x:t>
        </x:is>
      </x:c>
      <x:c r="C22" s="31" t="n">
        <x:f>C19</x:f>
        <x:v>4854714.430568271</x:v>
      </x:c>
      <x:c r="E22" t="inlineStr">
        <x:is>
          <x:t xml:space="preserve">  → Cap+50 MAX LOAN (anchor)</x:t>
        </x:is>
      </x:c>
      <x:c r="F22" s="31" t="n">
        <x:f>F12</x:f>
        <x:v>5792169.900981882</x:v>
      </x:c>
      <x:c r="G22" s="31" t="n">
        <x:f>F12</x:f>
        <x:v>5792169.900981882</x:v>
      </x:c>
    </x:row>
    <x:row r="23">
      <x:c r="B23" t="inlineStr">
        <x:is>
          <x:t xml:space="preserve">  → Combined-downside MAX LOAN (anchor)</x:t>
        </x:is>
      </x:c>
    </x:row>
  </x:sheetData>
  <x:mergeCells>
    <x:mergeCell ref="B3:C3"/>
    <x:mergeCell ref="A1:F1"/>
    <x:mergeCell ref="E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2" customWidth="1"/>
    <x:col min="3" max="3" width="18" customWidth="1"/>
    <x:col min="4" max="4" width="10" customWidth="1"/>
    <x:col min="5" max="5" width="12" customWidth="1"/>
    <x:col min="6" max="6" width="15" customWidth="1"/>
    <x:col min="7" max="7" width="15" customWidth="1"/>
    <x:col min="8" max="8" width="15" customWidth="1"/>
  </x:cols>
  <x:sheetData>
    <x:row r="1">
      <x:c r="A1" s="9" t="inlineStr">
        <x:is>
          <x:t xml:space="preserve">  Rent Roll — as of 2026-08-31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3" t="inlineStr">
        <x:is>
          <x:t xml:space="preserve">Unit</x:t>
        </x:is>
      </x:c>
      <x:c r="C3" s="3" t="inlineStr">
        <x:is>
          <x:t xml:space="preserve">Tenant</x:t>
        </x:is>
      </x:c>
      <x:c r="D3" s="3" t="inlineStr">
        <x:is>
          <x:t xml:space="preserve">Area SF</x:t>
        </x:is>
      </x:c>
      <x:c r="E3" s="3" t="inlineStr">
        <x:is>
          <x:t xml:space="preserve">Status</x:t>
        </x:is>
      </x:c>
      <x:c r="F3" s="3" t="inlineStr">
        <x:is>
          <x:t xml:space="preserve">Monthly base</x:t>
        </x:is>
      </x:c>
      <x:c r="G3" s="3" t="inlineStr">
        <x:is>
          <x:t xml:space="preserve">Market rent</x:t>
        </x:is>
      </x:c>
      <x:c r="H3" s="3" t="inlineStr">
        <x:is>
          <x:t xml:space="preserve">Lease expiry</x:t>
        </x:is>
      </x:c>
    </x:row>
    <x:row r="4">
      <x:c r="B4" t="inlineStr">
        <x:is>
          <x:t xml:space="preserve">101</x:t>
        </x:is>
      </x:c>
      <x:c r="C4" t="inlineStr">
        <x:is>
          <x:t xml:space="preserve">Household 101</x:t>
        </x:is>
      </x:c>
      <x:c r="D4" s="35" t="n">
        <x:v>700</x:v>
      </x:c>
      <x:c r="E4" t="inlineStr">
        <x:is>
          <x:t xml:space="preserve">Occupied</x:t>
        </x:is>
      </x:c>
      <x:c r="F4" s="31" t="n">
        <x:v>1575</x:v>
      </x:c>
      <x:c r="G4" s="31" t="n">
        <x:v>1575</x:v>
      </x:c>
    </x:row>
    <x:row r="5">
      <x:c r="B5" t="inlineStr">
        <x:is>
          <x:t xml:space="preserve">102</x:t>
        </x:is>
      </x:c>
      <x:c r="C5" t="inlineStr">
        <x:is>
          <x:t xml:space="preserve">Household 102</x:t>
        </x:is>
      </x:c>
      <x:c r="D5" s="35" t="n">
        <x:v>700</x:v>
      </x:c>
      <x:c r="E5" t="inlineStr">
        <x:is>
          <x:t xml:space="preserve">Occupied</x:t>
        </x:is>
      </x:c>
      <x:c r="F5" s="31" t="n">
        <x:v>1575</x:v>
      </x:c>
      <x:c r="G5" s="31" t="n">
        <x:v>1575</x:v>
      </x:c>
    </x:row>
    <x:row r="6">
      <x:c r="B6" t="inlineStr">
        <x:is>
          <x:t xml:space="preserve">103</x:t>
        </x:is>
      </x:c>
      <x:c r="C6" t="inlineStr">
        <x:is>
          <x:t xml:space="preserve">Household 103</x:t>
        </x:is>
      </x:c>
      <x:c r="D6" s="35" t="n">
        <x:v>700</x:v>
      </x:c>
      <x:c r="E6" t="inlineStr">
        <x:is>
          <x:t xml:space="preserve">Occupied</x:t>
        </x:is>
      </x:c>
      <x:c r="F6" s="31" t="n">
        <x:v>1575</x:v>
      </x:c>
      <x:c r="G6" s="31" t="n">
        <x:v>1575</x:v>
      </x:c>
    </x:row>
    <x:row r="7">
      <x:c r="B7" t="inlineStr">
        <x:is>
          <x:t xml:space="preserve">104</x:t>
        </x:is>
      </x:c>
      <x:c r="C7" t="inlineStr">
        <x:is>
          <x:t xml:space="preserve">Household 104</x:t>
        </x:is>
      </x:c>
      <x:c r="D7" s="35" t="n">
        <x:v>700</x:v>
      </x:c>
      <x:c r="E7" t="inlineStr">
        <x:is>
          <x:t xml:space="preserve">Occupied</x:t>
        </x:is>
      </x:c>
      <x:c r="F7" s="31" t="n">
        <x:v>1575</x:v>
      </x:c>
      <x:c r="G7" s="31" t="n">
        <x:v>1575</x:v>
      </x:c>
    </x:row>
    <x:row r="8">
      <x:c r="B8" t="inlineStr">
        <x:is>
          <x:t xml:space="preserve">105</x:t>
        </x:is>
      </x:c>
      <x:c r="C8" t="inlineStr">
        <x:is>
          <x:t xml:space="preserve">Household 105</x:t>
        </x:is>
      </x:c>
      <x:c r="D8" s="35" t="n">
        <x:v>700</x:v>
      </x:c>
      <x:c r="E8" t="inlineStr">
        <x:is>
          <x:t xml:space="preserve">Occupied</x:t>
        </x:is>
      </x:c>
      <x:c r="F8" s="31" t="n">
        <x:v>1575</x:v>
      </x:c>
      <x:c r="G8" s="31" t="n">
        <x:v>1575</x:v>
      </x:c>
    </x:row>
    <x:row r="9">
      <x:c r="B9" t="inlineStr">
        <x:is>
          <x:t xml:space="preserve">106</x:t>
        </x:is>
      </x:c>
      <x:c r="C9" t="inlineStr">
        <x:is>
          <x:t xml:space="preserve">Household 106</x:t>
        </x:is>
      </x:c>
      <x:c r="D9" s="35" t="n">
        <x:v>700</x:v>
      </x:c>
      <x:c r="E9" t="inlineStr">
        <x:is>
          <x:t xml:space="preserve">Occupied</x:t>
        </x:is>
      </x:c>
      <x:c r="F9" s="31" t="n">
        <x:v>1575</x:v>
      </x:c>
      <x:c r="G9" s="31" t="n">
        <x:v>1575</x:v>
      </x:c>
    </x:row>
    <x:row r="10">
      <x:c r="B10" t="inlineStr">
        <x:is>
          <x:t xml:space="preserve">107</x:t>
        </x:is>
      </x:c>
      <x:c r="C10" t="inlineStr">
        <x:is>
          <x:t xml:space="preserve">Household 107</x:t>
        </x:is>
      </x:c>
      <x:c r="D10" s="35" t="n">
        <x:v>700</x:v>
      </x:c>
      <x:c r="E10" t="inlineStr">
        <x:is>
          <x:t xml:space="preserve">Occupied</x:t>
        </x:is>
      </x:c>
      <x:c r="F10" s="31" t="n">
        <x:v>1575</x:v>
      </x:c>
      <x:c r="G10" s="31" t="n">
        <x:v>1575</x:v>
      </x:c>
    </x:row>
    <x:row r="11">
      <x:c r="B11" t="inlineStr">
        <x:is>
          <x:t xml:space="preserve">108</x:t>
        </x:is>
      </x:c>
      <x:c r="C11" t="inlineStr">
        <x:is>
          <x:t xml:space="preserve">Household 108</x:t>
        </x:is>
      </x:c>
      <x:c r="D11" s="35" t="n">
        <x:v>700</x:v>
      </x:c>
      <x:c r="E11" t="inlineStr">
        <x:is>
          <x:t xml:space="preserve">Occupied</x:t>
        </x:is>
      </x:c>
      <x:c r="F11" s="31" t="n">
        <x:v>1575</x:v>
      </x:c>
      <x:c r="G11" s="31" t="n">
        <x:v>1575</x:v>
      </x:c>
    </x:row>
    <x:row r="12">
      <x:c r="B12" t="inlineStr">
        <x:is>
          <x:t xml:space="preserve">109</x:t>
        </x:is>
      </x:c>
      <x:c r="C12" t="inlineStr">
        <x:is>
          <x:t xml:space="preserve">Household 109</x:t>
        </x:is>
      </x:c>
      <x:c r="D12" s="35" t="n">
        <x:v>700</x:v>
      </x:c>
      <x:c r="E12" t="inlineStr">
        <x:is>
          <x:t xml:space="preserve">Occupied</x:t>
        </x:is>
      </x:c>
      <x:c r="F12" s="31" t="n">
        <x:v>1575</x:v>
      </x:c>
      <x:c r="G12" s="31" t="n">
        <x:v>1575</x:v>
      </x:c>
    </x:row>
    <x:row r="13">
      <x:c r="B13" t="inlineStr">
        <x:is>
          <x:t xml:space="preserve">110</x:t>
        </x:is>
      </x:c>
      <x:c r="C13" t="inlineStr">
        <x:is>
          <x:t xml:space="preserve">Household 110</x:t>
        </x:is>
      </x:c>
      <x:c r="D13" s="35" t="n">
        <x:v>700</x:v>
      </x:c>
      <x:c r="E13" t="inlineStr">
        <x:is>
          <x:t xml:space="preserve">Occupied</x:t>
        </x:is>
      </x:c>
      <x:c r="F13" s="31" t="n">
        <x:v>1575</x:v>
      </x:c>
      <x:c r="G13" s="31" t="n">
        <x:v>1575</x:v>
      </x:c>
    </x:row>
    <x:row r="14">
      <x:c r="B14" t="inlineStr">
        <x:is>
          <x:t xml:space="preserve">111</x:t>
        </x:is>
      </x:c>
      <x:c r="C14" t="inlineStr">
        <x:is>
          <x:t xml:space="preserve">Household 111</x:t>
        </x:is>
      </x:c>
      <x:c r="D14" s="35" t="n">
        <x:v>700</x:v>
      </x:c>
      <x:c r="E14" t="inlineStr">
        <x:is>
          <x:t xml:space="preserve">Occupied</x:t>
        </x:is>
      </x:c>
      <x:c r="F14" s="31" t="n">
        <x:v>1575</x:v>
      </x:c>
      <x:c r="G14" s="31" t="n">
        <x:v>1575</x:v>
      </x:c>
    </x:row>
    <x:row r="15">
      <x:c r="B15" t="inlineStr">
        <x:is>
          <x:t xml:space="preserve">112</x:t>
        </x:is>
      </x:c>
      <x:c r="C15" t="inlineStr">
        <x:is>
          <x:t xml:space="preserve">Household 112</x:t>
        </x:is>
      </x:c>
      <x:c r="D15" s="35" t="n">
        <x:v>700</x:v>
      </x:c>
      <x:c r="E15" t="inlineStr">
        <x:is>
          <x:t xml:space="preserve">Occupied</x:t>
        </x:is>
      </x:c>
      <x:c r="F15" s="31" t="n">
        <x:v>1575</x:v>
      </x:c>
      <x:c r="G15" s="31" t="n">
        <x:v>1575</x:v>
      </x:c>
    </x:row>
    <x:row r="16">
      <x:c r="B16" t="inlineStr">
        <x:is>
          <x:t xml:space="preserve">113</x:t>
        </x:is>
      </x:c>
      <x:c r="C16" t="inlineStr">
        <x:is>
          <x:t xml:space="preserve">Household 113</x:t>
        </x:is>
      </x:c>
      <x:c r="D16" s="35" t="n">
        <x:v>700</x:v>
      </x:c>
      <x:c r="E16" t="inlineStr">
        <x:is>
          <x:t xml:space="preserve">Occupied</x:t>
        </x:is>
      </x:c>
      <x:c r="F16" s="31" t="n">
        <x:v>1575</x:v>
      </x:c>
      <x:c r="G16" s="31" t="n">
        <x:v>1575</x:v>
      </x:c>
    </x:row>
    <x:row r="17">
      <x:c r="B17" t="inlineStr">
        <x:is>
          <x:t xml:space="preserve">114</x:t>
        </x:is>
      </x:c>
      <x:c r="C17" t="inlineStr">
        <x:is>
          <x:t xml:space="preserve">Household 114</x:t>
        </x:is>
      </x:c>
      <x:c r="D17" s="35" t="n">
        <x:v>700</x:v>
      </x:c>
      <x:c r="E17" t="inlineStr">
        <x:is>
          <x:t xml:space="preserve">Occupied</x:t>
        </x:is>
      </x:c>
      <x:c r="F17" s="31" t="n">
        <x:v>1575</x:v>
      </x:c>
      <x:c r="G17" s="31" t="n">
        <x:v>1575</x:v>
      </x:c>
    </x:row>
    <x:row r="18">
      <x:c r="B18" t="inlineStr">
        <x:is>
          <x:t xml:space="preserve">115</x:t>
        </x:is>
      </x:c>
      <x:c r="C18" t="inlineStr">
        <x:is>
          <x:t xml:space="preserve">Household 115</x:t>
        </x:is>
      </x:c>
      <x:c r="D18" s="35" t="n">
        <x:v>700</x:v>
      </x:c>
      <x:c r="E18" t="inlineStr">
        <x:is>
          <x:t xml:space="preserve">Occupied</x:t>
        </x:is>
      </x:c>
      <x:c r="F18" s="31" t="n">
        <x:v>1575</x:v>
      </x:c>
      <x:c r="G18" s="31" t="n">
        <x:v>1575</x:v>
      </x:c>
    </x:row>
    <x:row r="19">
      <x:c r="B19" t="inlineStr">
        <x:is>
          <x:t xml:space="preserve">116</x:t>
        </x:is>
      </x:c>
      <x:c r="C19" t="inlineStr">
        <x:is>
          <x:t xml:space="preserve">Household 116</x:t>
        </x:is>
      </x:c>
      <x:c r="D19" s="35" t="n">
        <x:v>700</x:v>
      </x:c>
      <x:c r="E19" t="inlineStr">
        <x:is>
          <x:t xml:space="preserve">Occupied</x:t>
        </x:is>
      </x:c>
      <x:c r="F19" s="31" t="n">
        <x:v>1575</x:v>
      </x:c>
      <x:c r="G19" s="31" t="n">
        <x:v>1575</x:v>
      </x:c>
    </x:row>
    <x:row r="20">
      <x:c r="B20" t="inlineStr">
        <x:is>
          <x:t xml:space="preserve">117</x:t>
        </x:is>
      </x:c>
      <x:c r="C20" t="inlineStr">
        <x:is>
          <x:t xml:space="preserve">Household 117</x:t>
        </x:is>
      </x:c>
      <x:c r="D20" s="35" t="n">
        <x:v>700</x:v>
      </x:c>
      <x:c r="E20" t="inlineStr">
        <x:is>
          <x:t xml:space="preserve">Occupied</x:t>
        </x:is>
      </x:c>
      <x:c r="F20" s="31" t="n">
        <x:v>1575</x:v>
      </x:c>
      <x:c r="G20" s="31" t="n">
        <x:v>1575</x:v>
      </x:c>
    </x:row>
    <x:row r="21">
      <x:c r="B21" t="inlineStr">
        <x:is>
          <x:t xml:space="preserve">118</x:t>
        </x:is>
      </x:c>
      <x:c r="C21" t="inlineStr">
        <x:is>
          <x:t xml:space="preserve">Household 118</x:t>
        </x:is>
      </x:c>
      <x:c r="D21" s="35" t="n">
        <x:v>700</x:v>
      </x:c>
      <x:c r="E21" t="inlineStr">
        <x:is>
          <x:t xml:space="preserve">Occupied</x:t>
        </x:is>
      </x:c>
      <x:c r="F21" s="31" t="n">
        <x:v>1575</x:v>
      </x:c>
      <x:c r="G21" s="31" t="n">
        <x:v>1575</x:v>
      </x:c>
    </x:row>
    <x:row r="22">
      <x:c r="B22" t="inlineStr">
        <x:is>
          <x:t xml:space="preserve">119</x:t>
        </x:is>
      </x:c>
      <x:c r="C22" t="inlineStr">
        <x:is>
          <x:t xml:space="preserve">Household 119</x:t>
        </x:is>
      </x:c>
      <x:c r="D22" s="35" t="n">
        <x:v>700</x:v>
      </x:c>
      <x:c r="E22" t="inlineStr">
        <x:is>
          <x:t xml:space="preserve">Occupied</x:t>
        </x:is>
      </x:c>
      <x:c r="F22" s="31" t="n">
        <x:v>1575</x:v>
      </x:c>
      <x:c r="G22" s="31" t="n">
        <x:v>1575</x:v>
      </x:c>
    </x:row>
    <x:row r="23">
      <x:c r="B23" t="inlineStr">
        <x:is>
          <x:t xml:space="preserve">120</x:t>
        </x:is>
      </x:c>
      <x:c r="C23" t="inlineStr">
        <x:is>
          <x:t xml:space="preserve">Household 120</x:t>
        </x:is>
      </x:c>
      <x:c r="D23" s="35" t="n">
        <x:v>700</x:v>
      </x:c>
      <x:c r="E23" t="inlineStr">
        <x:is>
          <x:t xml:space="preserve">Occupied</x:t>
        </x:is>
      </x:c>
      <x:c r="F23" s="31" t="n">
        <x:v>1575</x:v>
      </x:c>
      <x:c r="G23" s="31" t="n">
        <x:v>1575</x:v>
      </x:c>
    </x:row>
    <x:row r="24">
      <x:c r="B24" t="inlineStr">
        <x:is>
          <x:t xml:space="preserve">121</x:t>
        </x:is>
      </x:c>
      <x:c r="C24" t="inlineStr">
        <x:is>
          <x:t xml:space="preserve">Household 121</x:t>
        </x:is>
      </x:c>
      <x:c r="D24" s="35" t="n">
        <x:v>700</x:v>
      </x:c>
      <x:c r="E24" t="inlineStr">
        <x:is>
          <x:t xml:space="preserve">Occupied</x:t>
        </x:is>
      </x:c>
      <x:c r="F24" s="31" t="n">
        <x:v>1575</x:v>
      </x:c>
      <x:c r="G24" s="31" t="n">
        <x:v>1575</x:v>
      </x:c>
    </x:row>
    <x:row r="25">
      <x:c r="B25" t="inlineStr">
        <x:is>
          <x:t xml:space="preserve">122</x:t>
        </x:is>
      </x:c>
      <x:c r="C25" t="inlineStr">
        <x:is>
          <x:t xml:space="preserve">Household 122</x:t>
        </x:is>
      </x:c>
      <x:c r="D25" s="35" t="n">
        <x:v>700</x:v>
      </x:c>
      <x:c r="E25" t="inlineStr">
        <x:is>
          <x:t xml:space="preserve">Occupied</x:t>
        </x:is>
      </x:c>
      <x:c r="F25" s="31" t="n">
        <x:v>1575</x:v>
      </x:c>
      <x:c r="G25" s="31" t="n">
        <x:v>1575</x:v>
      </x:c>
    </x:row>
    <x:row r="26">
      <x:c r="B26" t="inlineStr">
        <x:is>
          <x:t xml:space="preserve">123</x:t>
        </x:is>
      </x:c>
      <x:c r="C26" t="inlineStr">
        <x:is>
          <x:t xml:space="preserve">Household 123</x:t>
        </x:is>
      </x:c>
      <x:c r="D26" s="35" t="n">
        <x:v>700</x:v>
      </x:c>
      <x:c r="E26" t="inlineStr">
        <x:is>
          <x:t xml:space="preserve">Occupied</x:t>
        </x:is>
      </x:c>
      <x:c r="F26" s="31" t="n">
        <x:v>1575</x:v>
      </x:c>
      <x:c r="G26" s="31" t="n">
        <x:v>1575</x:v>
      </x:c>
    </x:row>
    <x:row r="27">
      <x:c r="B27" t="inlineStr">
        <x:is>
          <x:t xml:space="preserve">124</x:t>
        </x:is>
      </x:c>
      <x:c r="C27" t="inlineStr">
        <x:is>
          <x:t xml:space="preserve">Household 124</x:t>
        </x:is>
      </x:c>
      <x:c r="D27" s="35" t="n">
        <x:v>700</x:v>
      </x:c>
      <x:c r="E27" t="inlineStr">
        <x:is>
          <x:t xml:space="preserve">Occupied</x:t>
        </x:is>
      </x:c>
      <x:c r="F27" s="31" t="n">
        <x:v>1575</x:v>
      </x:c>
      <x:c r="G27" s="31" t="n">
        <x:v>1575</x:v>
      </x:c>
    </x:row>
    <x:row r="28">
      <x:c r="B28" t="inlineStr">
        <x:is>
          <x:t xml:space="preserve">125</x:t>
        </x:is>
      </x:c>
      <x:c r="C28" t="inlineStr">
        <x:is>
          <x:t xml:space="preserve">Household 125</x:t>
        </x:is>
      </x:c>
      <x:c r="D28" s="35" t="n">
        <x:v>1100</x:v>
      </x:c>
      <x:c r="E28" t="inlineStr">
        <x:is>
          <x:t xml:space="preserve">Occupied</x:t>
        </x:is>
      </x:c>
      <x:c r="F28" s="31" t="n">
        <x:v>2025</x:v>
      </x:c>
      <x:c r="G28" s="31" t="n">
        <x:v>2025</x:v>
      </x:c>
      <x:c r="H28" t="inlineStr">
        <x:is>
          <x:t xml:space="preserve">2026-09-30</x:t>
        </x:is>
      </x:c>
    </x:row>
    <x:row r="29">
      <x:c r="B29" t="inlineStr">
        <x:is>
          <x:t xml:space="preserve">126</x:t>
        </x:is>
      </x:c>
      <x:c r="C29" t="inlineStr">
        <x:is>
          <x:t xml:space="preserve">Household 126</x:t>
        </x:is>
      </x:c>
      <x:c r="D29" s="35" t="n">
        <x:v>1100</x:v>
      </x:c>
      <x:c r="E29" t="inlineStr">
        <x:is>
          <x:t xml:space="preserve">Occupied</x:t>
        </x:is>
      </x:c>
      <x:c r="F29" s="31" t="n">
        <x:v>2025</x:v>
      </x:c>
      <x:c r="G29" s="31" t="n">
        <x:v>2025</x:v>
      </x:c>
      <x:c r="H29" t="inlineStr">
        <x:is>
          <x:t xml:space="preserve">2026-10-31</x:t>
        </x:is>
      </x:c>
    </x:row>
    <x:row r="30">
      <x:c r="B30" t="inlineStr">
        <x:is>
          <x:t xml:space="preserve">127</x:t>
        </x:is>
      </x:c>
      <x:c r="C30" t="inlineStr">
        <x:is>
          <x:t xml:space="preserve">Household 127</x:t>
        </x:is>
      </x:c>
      <x:c r="D30" s="35" t="n">
        <x:v>1100</x:v>
      </x:c>
      <x:c r="E30" t="inlineStr">
        <x:is>
          <x:t xml:space="preserve">Occupied</x:t>
        </x:is>
      </x:c>
      <x:c r="F30" s="31" t="n">
        <x:v>2025</x:v>
      </x:c>
      <x:c r="G30" s="31" t="n">
        <x:v>2025</x:v>
      </x:c>
      <x:c r="H30" t="inlineStr">
        <x:is>
          <x:t xml:space="preserve">2026-11-30</x:t>
        </x:is>
      </x:c>
    </x:row>
    <x:row r="31">
      <x:c r="B31" t="inlineStr">
        <x:is>
          <x:t xml:space="preserve">128</x:t>
        </x:is>
      </x:c>
      <x:c r="C31" t="inlineStr">
        <x:is>
          <x:t xml:space="preserve">Household 128</x:t>
        </x:is>
      </x:c>
      <x:c r="D31" s="35" t="n">
        <x:v>1100</x:v>
      </x:c>
      <x:c r="E31" t="inlineStr">
        <x:is>
          <x:t xml:space="preserve">Occupied</x:t>
        </x:is>
      </x:c>
      <x:c r="F31" s="31" t="n">
        <x:v>2025</x:v>
      </x:c>
      <x:c r="G31" s="31" t="n">
        <x:v>2025</x:v>
      </x:c>
      <x:c r="H31" t="inlineStr">
        <x:is>
          <x:t xml:space="preserve">2026-12-31</x:t>
        </x:is>
      </x:c>
    </x:row>
    <x:row r="32">
      <x:c r="B32" t="inlineStr">
        <x:is>
          <x:t xml:space="preserve">129</x:t>
        </x:is>
      </x:c>
      <x:c r="C32" t="inlineStr">
        <x:is>
          <x:t xml:space="preserve">Household 129</x:t>
        </x:is>
      </x:c>
      <x:c r="D32" s="35" t="n">
        <x:v>1100</x:v>
      </x:c>
      <x:c r="E32" t="inlineStr">
        <x:is>
          <x:t xml:space="preserve">Occupied</x:t>
        </x:is>
      </x:c>
      <x:c r="F32" s="31" t="n">
        <x:v>2025</x:v>
      </x:c>
      <x:c r="G32" s="31" t="n">
        <x:v>2025</x:v>
      </x:c>
      <x:c r="H32" t="inlineStr">
        <x:is>
          <x:t xml:space="preserve">2027-01-31</x:t>
        </x:is>
      </x:c>
    </x:row>
    <x:row r="33">
      <x:c r="B33" t="inlineStr">
        <x:is>
          <x:t xml:space="preserve">130</x:t>
        </x:is>
      </x:c>
      <x:c r="C33" t="inlineStr">
        <x:is>
          <x:t xml:space="preserve">Household 130</x:t>
        </x:is>
      </x:c>
      <x:c r="D33" s="35" t="n">
        <x:v>1100</x:v>
      </x:c>
      <x:c r="E33" t="inlineStr">
        <x:is>
          <x:t xml:space="preserve">Occupied</x:t>
        </x:is>
      </x:c>
      <x:c r="F33" s="31" t="n">
        <x:v>2025</x:v>
      </x:c>
      <x:c r="G33" s="31" t="n">
        <x:v>2025</x:v>
      </x:c>
      <x:c r="H33" t="inlineStr">
        <x:is>
          <x:t xml:space="preserve">2027-02-28</x:t>
        </x:is>
      </x:c>
    </x:row>
    <x:row r="34">
      <x:c r="B34" t="inlineStr">
        <x:is>
          <x:t xml:space="preserve">131</x:t>
        </x:is>
      </x:c>
      <x:c r="C34" t="inlineStr">
        <x:is>
          <x:t xml:space="preserve">Household 131</x:t>
        </x:is>
      </x:c>
      <x:c r="D34" s="35" t="n">
        <x:v>1100</x:v>
      </x:c>
      <x:c r="E34" t="inlineStr">
        <x:is>
          <x:t xml:space="preserve">Occupied</x:t>
        </x:is>
      </x:c>
      <x:c r="F34" s="31" t="n">
        <x:v>2025</x:v>
      </x:c>
      <x:c r="G34" s="31" t="n">
        <x:v>2025</x:v>
      </x:c>
      <x:c r="H34" t="inlineStr">
        <x:is>
          <x:t xml:space="preserve">2027-03-31</x:t>
        </x:is>
      </x:c>
    </x:row>
    <x:row r="35">
      <x:c r="B35" t="inlineStr">
        <x:is>
          <x:t xml:space="preserve">132</x:t>
        </x:is>
      </x:c>
      <x:c r="C35" t="inlineStr">
        <x:is>
          <x:t xml:space="preserve">Household 132</x:t>
        </x:is>
      </x:c>
      <x:c r="D35" s="35" t="n">
        <x:v>1100</x:v>
      </x:c>
      <x:c r="E35" t="inlineStr">
        <x:is>
          <x:t xml:space="preserve">Occupied</x:t>
        </x:is>
      </x:c>
      <x:c r="F35" s="31" t="n">
        <x:v>2025</x:v>
      </x:c>
      <x:c r="G35" s="31" t="n">
        <x:v>2025</x:v>
      </x:c>
      <x:c r="H35" t="inlineStr">
        <x:is>
          <x:t xml:space="preserve">2027-04-30</x:t>
        </x:is>
      </x:c>
    </x:row>
    <x:row r="36">
      <x:c r="B36" t="inlineStr">
        <x:is>
          <x:t xml:space="preserve">133</x:t>
        </x:is>
      </x:c>
      <x:c r="C36" t="inlineStr">
        <x:is>
          <x:t xml:space="preserve">Household 133</x:t>
        </x:is>
      </x:c>
      <x:c r="D36" s="35" t="n">
        <x:v>1100</x:v>
      </x:c>
      <x:c r="E36" t="inlineStr">
        <x:is>
          <x:t xml:space="preserve">Occupied</x:t>
        </x:is>
      </x:c>
      <x:c r="F36" s="31" t="n">
        <x:v>2025</x:v>
      </x:c>
      <x:c r="G36" s="31" t="n">
        <x:v>2025</x:v>
      </x:c>
      <x:c r="H36" t="inlineStr">
        <x:is>
          <x:t xml:space="preserve">2027-05-31</x:t>
        </x:is>
      </x:c>
    </x:row>
    <x:row r="37">
      <x:c r="B37" t="inlineStr">
        <x:is>
          <x:t xml:space="preserve">134</x:t>
        </x:is>
      </x:c>
      <x:c r="C37" t="inlineStr">
        <x:is>
          <x:t xml:space="preserve">Vacant</x:t>
        </x:is>
      </x:c>
      <x:c r="D37" s="35" t="n">
        <x:v>1100</x:v>
      </x:c>
      <x:c r="E37" t="inlineStr">
        <x:is>
          <x:t xml:space="preserve">Vacant</x:t>
        </x:is>
      </x:c>
      <x:c r="F37" s="31" t="n"/>
      <x:c r="G37" s="31" t="n">
        <x:v>2025</x:v>
      </x:c>
    </x:row>
    <x:row r="38">
      <x:c r="B38" t="inlineStr">
        <x:is>
          <x:t xml:space="preserve">135</x:t>
        </x:is>
      </x:c>
      <x:c r="C38" t="inlineStr">
        <x:is>
          <x:t xml:space="preserve">Vacant</x:t>
        </x:is>
      </x:c>
      <x:c r="D38" s="35" t="n">
        <x:v>1100</x:v>
      </x:c>
      <x:c r="E38" t="inlineStr">
        <x:is>
          <x:t xml:space="preserve">Vacant</x:t>
        </x:is>
      </x:c>
      <x:c r="F38" s="31" t="n"/>
      <x:c r="G38" s="31" t="n">
        <x:v>2025</x:v>
      </x:c>
    </x:row>
    <x:row r="39">
      <x:c r="B39" t="inlineStr">
        <x:is>
          <x:t xml:space="preserve">136</x:t>
        </x:is>
      </x:c>
      <x:c r="C39" t="inlineStr">
        <x:is>
          <x:t xml:space="preserve">Vacant</x:t>
        </x:is>
      </x:c>
      <x:c r="D39" s="35" t="n">
        <x:v>1100</x:v>
      </x:c>
      <x:c r="E39" t="inlineStr">
        <x:is>
          <x:t xml:space="preserve">Vacant</x:t>
        </x:is>
      </x:c>
      <x:c r="F39" s="31" t="n"/>
      <x:c r="G39" s="31" t="n">
        <x:v>2025</x:v>
      </x:c>
    </x:row>
    <x:row r="40">
      <x:c r="B40" t="inlineStr">
        <x:is>
          <x:t xml:space="preserve">137</x:t>
        </x:is>
      </x:c>
      <x:c r="C40" t="inlineStr">
        <x:is>
          <x:t xml:space="preserve">Vacant</x:t>
        </x:is>
      </x:c>
      <x:c r="D40" s="35" t="n">
        <x:v>1100</x:v>
      </x:c>
      <x:c r="E40" t="inlineStr">
        <x:is>
          <x:t xml:space="preserve">Vacant</x:t>
        </x:is>
      </x:c>
      <x:c r="F40" s="31" t="n"/>
      <x:c r="G40" s="31" t="n">
        <x:v>2025</x:v>
      </x:c>
    </x:row>
    <x:row r="41">
      <x:c r="B41" t="inlineStr">
        <x:is>
          <x:t xml:space="preserve">138</x:t>
        </x:is>
      </x:c>
      <x:c r="C41" t="inlineStr">
        <x:is>
          <x:t xml:space="preserve">Vacant</x:t>
        </x:is>
      </x:c>
      <x:c r="D41" s="35" t="n">
        <x:v>1100</x:v>
      </x:c>
      <x:c r="E41" t="inlineStr">
        <x:is>
          <x:t xml:space="preserve">Vacant</x:t>
        </x:is>
      </x:c>
      <x:c r="F41" s="31" t="n"/>
      <x:c r="G41" s="31" t="n">
        <x:v>2025</x:v>
      </x:c>
    </x:row>
    <x:row r="42">
      <x:c r="B42" t="inlineStr">
        <x:is>
          <x:t xml:space="preserve">139</x:t>
        </x:is>
      </x:c>
      <x:c r="C42" t="inlineStr">
        <x:is>
          <x:t xml:space="preserve">Vacant</x:t>
        </x:is>
      </x:c>
      <x:c r="D42" s="35" t="n">
        <x:v>1100</x:v>
      </x:c>
      <x:c r="E42" t="inlineStr">
        <x:is>
          <x:t xml:space="preserve">Vacant</x:t>
        </x:is>
      </x:c>
      <x:c r="F42" s="31" t="n"/>
      <x:c r="G42" s="31" t="n">
        <x:v>2025</x:v>
      </x:c>
    </x:row>
    <x:row r="43">
      <x:c r="B43" t="inlineStr">
        <x:is>
          <x:t xml:space="preserve">140</x:t>
        </x:is>
      </x:c>
      <x:c r="C43" t="inlineStr">
        <x:is>
          <x:t xml:space="preserve">Vacant</x:t>
        </x:is>
      </x:c>
      <x:c r="D43" s="35" t="n">
        <x:v>1100</x:v>
      </x:c>
      <x:c r="E43" t="inlineStr">
        <x:is>
          <x:t xml:space="preserve">Vacant</x:t>
        </x:is>
      </x:c>
      <x:c r="F43" s="31" t="n"/>
      <x:c r="G43" s="31" t="n">
        <x:v>2025</x:v>
      </x:c>
    </x:row>
    <x:row r="44">
      <x:c r="B44" t="inlineStr">
        <x:is>
          <x:t xml:space="preserve">141</x:t>
        </x:is>
      </x:c>
      <x:c r="C44" t="inlineStr">
        <x:is>
          <x:t xml:space="preserve">Vacant</x:t>
        </x:is>
      </x:c>
      <x:c r="D44" s="35" t="n">
        <x:v>1100</x:v>
      </x:c>
      <x:c r="E44" t="inlineStr">
        <x:is>
          <x:t xml:space="preserve">Vacant</x:t>
        </x:is>
      </x:c>
      <x:c r="F44" s="31" t="n"/>
      <x:c r="G44" s="31" t="n">
        <x:v>2025</x:v>
      </x:c>
    </x:row>
    <x:row r="45">
      <x:c r="B45" t="inlineStr">
        <x:is>
          <x:t xml:space="preserve">142</x:t>
        </x:is>
      </x:c>
      <x:c r="C45" t="inlineStr">
        <x:is>
          <x:t xml:space="preserve">Vacant</x:t>
        </x:is>
      </x:c>
      <x:c r="D45" s="35" t="n">
        <x:v>1100</x:v>
      </x:c>
      <x:c r="E45" t="inlineStr">
        <x:is>
          <x:t xml:space="preserve">Vacant</x:t>
        </x:is>
      </x:c>
      <x:c r="F45" s="31" t="n"/>
      <x:c r="G45" s="31" t="n">
        <x:v>2025</x:v>
      </x:c>
    </x:row>
    <x:row r="46">
      <x:c r="B46" t="inlineStr">
        <x:is>
          <x:t xml:space="preserve">143</x:t>
        </x:is>
      </x:c>
      <x:c r="C46" t="inlineStr">
        <x:is>
          <x:t xml:space="preserve">Vacant</x:t>
        </x:is>
      </x:c>
      <x:c r="D46" s="35" t="n">
        <x:v>1100</x:v>
      </x:c>
      <x:c r="E46" t="inlineStr">
        <x:is>
          <x:t xml:space="preserve">Vacant</x:t>
        </x:is>
      </x:c>
      <x:c r="F46" s="31" t="n"/>
      <x:c r="G46" s="31" t="n">
        <x:v>2025</x:v>
      </x:c>
    </x:row>
    <x:row r="47">
      <x:c r="B47" t="inlineStr">
        <x:is>
          <x:t xml:space="preserve">144</x:t>
        </x:is>
      </x:c>
      <x:c r="C47" t="inlineStr">
        <x:is>
          <x:t xml:space="preserve">Vacant</x:t>
        </x:is>
      </x:c>
      <x:c r="D47" s="35" t="n">
        <x:v>1100</x:v>
      </x:c>
      <x:c r="E47" t="inlineStr">
        <x:is>
          <x:t xml:space="preserve">Vacant</x:t>
        </x:is>
      </x:c>
      <x:c r="F47" s="31" t="n"/>
      <x:c r="G47" s="31" t="n">
        <x:v>2025</x:v>
      </x:c>
    </x:row>
    <x:row r="48">
      <x:c r="B48" t="inlineStr">
        <x:is>
          <x:t xml:space="preserve">145</x:t>
        </x:is>
      </x:c>
      <x:c r="C48" t="inlineStr">
        <x:is>
          <x:t xml:space="preserve">Vacant</x:t>
        </x:is>
      </x:c>
      <x:c r="D48" s="35" t="n">
        <x:v>1100</x:v>
      </x:c>
      <x:c r="E48" t="inlineStr">
        <x:is>
          <x:t xml:space="preserve">Vacant</x:t>
        </x:is>
      </x:c>
      <x:c r="F48" s="31" t="n"/>
      <x:c r="G48" s="31" t="n">
        <x:v>2025</x:v>
      </x:c>
    </x:row>
    <x:row r="49">
      <x:c r="B49" t="inlineStr">
        <x:is>
          <x:t xml:space="preserve">146</x:t>
        </x:is>
      </x:c>
      <x:c r="C49" t="inlineStr">
        <x:is>
          <x:t xml:space="preserve">Vacant</x:t>
        </x:is>
      </x:c>
      <x:c r="D49" s="35" t="n">
        <x:v>1100</x:v>
      </x:c>
      <x:c r="E49" t="inlineStr">
        <x:is>
          <x:t xml:space="preserve">Vacant</x:t>
        </x:is>
      </x:c>
      <x:c r="F49" s="31" t="n"/>
      <x:c r="G49" s="31" t="n">
        <x:v>2025</x:v>
      </x:c>
    </x:row>
    <x:row r="50">
      <x:c r="B50" t="inlineStr">
        <x:is>
          <x:t xml:space="preserve">147</x:t>
        </x:is>
      </x:c>
      <x:c r="C50" t="inlineStr">
        <x:is>
          <x:t xml:space="preserve">Vacant</x:t>
        </x:is>
      </x:c>
      <x:c r="D50" s="35" t="n">
        <x:v>1100</x:v>
      </x:c>
      <x:c r="E50" t="inlineStr">
        <x:is>
          <x:t xml:space="preserve">Vacant</x:t>
        </x:is>
      </x:c>
      <x:c r="F50" s="31" t="n"/>
      <x:c r="G50" s="31" t="n">
        <x:v>2025</x:v>
      </x:c>
    </x:row>
    <x:row r="51">
      <x:c r="B51" t="inlineStr">
        <x:is>
          <x:t xml:space="preserve">148</x:t>
        </x:is>
      </x:c>
      <x:c r="C51" t="inlineStr">
        <x:is>
          <x:t xml:space="preserve">Vacant</x:t>
        </x:is>
      </x:c>
      <x:c r="D51" s="35" t="n">
        <x:v>1100</x:v>
      </x:c>
      <x:c r="E51" t="inlineStr">
        <x:is>
          <x:t xml:space="preserve">Vacant</x:t>
        </x:is>
      </x:c>
      <x:c r="F51" s="31" t="n"/>
      <x:c r="G51" s="31" t="n">
        <x:v>2025</x:v>
      </x:c>
    </x:row>
    <x:row r="53">
      <x:c r="B53" s="36" t="inlineStr">
        <x:is>
          <x:t xml:space="preserve">Totals</x:t>
        </x:is>
      </x:c>
      <x:c r="D53" s="37" t="n">
        <x:f>SUM(D4:D51)</x:f>
        <x:v>43200</x:v>
      </x:c>
      <x:c r="F53" s="38" t="n">
        <x:f>SUM(F4:F51)</x:f>
        <x:v>56025</x:v>
      </x:c>
    </x:row>
    <x:row r="54">
      <x:c r="B54" t="inlineStr">
        <x:is>
          <x:t xml:space="preserve">Occupied units</x:t>
        </x:is>
      </x:c>
      <x:c r="D54" t="n">
        <x:f>COUNTIF(E4:E51,"Occupied")</x:f>
        <x:v>33</x:v>
      </x:c>
    </x:row>
    <x:row r="55">
      <x:c r="B55" t="inlineStr">
        <x:is>
          <x:t xml:space="preserve">Vacant units</x:t>
        </x:is>
      </x:c>
      <x:c r="D55" t="n">
        <x:f>COUNTIF(E4:E51,"Vacant")</x:f>
        <x:v>15</x:v>
      </x:c>
    </x:row>
    <x:row r="56">
      <x:c r="B56" t="inlineStr">
        <x:is>
          <x:t xml:space="preserve">Occupied area SF</x:t>
        </x:is>
      </x:c>
      <x:c r="D56" s="35" t="n">
        <x:f>SUMIFS(D4:D51,E4:E51,"Occupied")</x:f>
        <x:v>26700</x:v>
      </x:c>
    </x:row>
    <x:row r="57">
      <x:c r="B57" t="inlineStr">
        <x:is>
          <x:t xml:space="preserve">In-place monthly base (occupied)</x:t>
        </x:is>
      </x:c>
      <x:c r="D57" s="31" t="n">
        <x:f>F53</x:f>
        <x:v>56025</x:v>
      </x:c>
    </x:row>
    <x:row r="58">
      <x:c r="B58" t="inlineStr">
        <x:is>
          <x:t xml:space="preserve">In-place annualized base rent</x:t>
        </x:is>
      </x:c>
      <x:c r="D58" s="31" t="n">
        <x:f>F53*12</x:f>
        <x:v>672300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34" customWidth="1"/>
    <x:col min="3" max="3" width="22" customWidth="1"/>
    <x:col min="4" max="4" width="55" customWidth="1"/>
  </x:cols>
  <x:sheetData>
    <x:row r="1">
      <x:c r="A1" s="9" t="inlineStr">
        <x:is>
          <x:t xml:space="preserve">  Requested Analysis Fields</x:t>
        </x:is>
      </x:c>
      <x:c r="B1" s="10" t="n"/>
      <x:c r="C1" s="10" t="n"/>
      <x:c r="D1" s="10" t="n"/>
    </x:row>
    <x:row r="3">
      <x:c r="B3" s="3" t="inlineStr">
        <x:is>
          <x:t xml:space="preserve">Field ID</x:t>
        </x:is>
      </x:c>
      <x:c r="C3" s="3" t="inlineStr">
        <x:is>
          <x:t xml:space="preserve">Value</x:t>
        </x:is>
      </x:c>
      <x:c r="D3" s="3" t="inlineStr">
        <x:is>
          <x:t xml:space="preserve">Basis / source</x:t>
        </x:is>
      </x:c>
    </x:row>
    <x:row r="4" ht="24" customHeight="1">
      <x:c r="B4" s="39" t="inlineStr">
        <x:is>
          <x:t xml:space="preserve">space_count</x:t>
        </x:is>
      </x:c>
      <x:c r="C4" s="8" t="n">
        <x:v>48</x:v>
      </x:c>
      <x:c r="D4" s="40" t="inlineStr">
        <x:is>
          <x:t xml:space="preserve">Rent-Roll.xlsx — 48 unit rows (101-148)</x:t>
        </x:is>
      </x:c>
    </x:row>
    <x:row r="5" ht="24" customHeight="1">
      <x:c r="B5" s="39" t="inlineStr">
        <x:is>
          <x:t xml:space="preserve">occupied_count</x:t>
        </x:is>
      </x:c>
      <x:c r="C5" s="8" t="n">
        <x:v>33</x:v>
      </x:c>
      <x:c r="D5" s="40" t="inlineStr">
        <x:is>
          <x:t xml:space="preserve">Rent-Roll.xlsx — Status='Occupied'</x:t>
        </x:is>
      </x:c>
    </x:row>
    <x:row r="6" ht="24" customHeight="1">
      <x:c r="B6" s="39" t="inlineStr">
        <x:is>
          <x:t xml:space="preserve">total_area_sf</x:t>
        </x:is>
      </x:c>
      <x:c r="C6" s="8" t="n">
        <x:v>43200</x:v>
      </x:c>
      <x:c r="D6" s="40" t="inlineStr">
        <x:is>
          <x:t xml:space="preserve">24×700 + 24×1100</x:t>
        </x:is>
      </x:c>
    </x:row>
    <x:row r="7" ht="24" customHeight="1">
      <x:c r="B7" s="39" t="inlineStr">
        <x:is>
          <x:t xml:space="preserve">occupied_area_sf</x:t>
        </x:is>
      </x:c>
      <x:c r="C7" s="8" t="n">
        <x:v>26700</x:v>
      </x:c>
      <x:c r="D7" s="40" t="inlineStr">
        <x:is>
          <x:t xml:space="preserve">24×700 + 9×1100</x:t>
        </x:is>
      </x:c>
    </x:row>
    <x:row r="8" ht="24" customHeight="1">
      <x:c r="B8" s="39" t="inlineStr">
        <x:is>
          <x:t xml:space="preserve">occupancy_count_pct</x:t>
        </x:is>
      </x:c>
      <x:c r="C8" s="41" t="n">
        <x:f>100*33/48</x:f>
        <x:v>68.75</x:v>
      </x:c>
      <x:c r="D8" s="40" t="n">
        <x:f> 68.75%</x:f>
        <x:v>0.6875</x:v>
      </x:c>
    </x:row>
    <x:row r="9" ht="24" customHeight="1">
      <x:c r="B9" s="39" t="inlineStr">
        <x:is>
          <x:t xml:space="preserve">occupancy_area_pct</x:t>
        </x:is>
      </x:c>
      <x:c r="C9" s="41" t="n">
        <x:f>100*26700/43200</x:f>
        <x:v>61.80555555555556</x:v>
      </x:c>
      <x:c r="D9" s="40" t="n">
        <x:f> 61.8056%</x:f>
        <x:v>0.6180559999999999</x:v>
      </x:c>
    </x:row>
    <x:row r="10" ht="24" customHeight="1">
      <x:c r="B10" s="39" t="inlineStr">
        <x:is>
          <x:t xml:space="preserve">rent_roll_monthly_base</x:t>
        </x:is>
      </x:c>
      <x:c r="C10" s="42" t="n">
        <x:f>24*1575+9*2025</x:f>
        <x:v>56025</x:v>
      </x:c>
      <x:c r="D10" s="40" t="inlineStr">
        <x:is>
          <x:t xml:space="preserve">occupied units only; vacants blank</x:t>
        </x:is>
      </x:c>
    </x:row>
    <x:row r="11" ht="24" customHeight="1">
      <x:c r="B11" s="39" t="inlineStr">
        <x:is>
          <x:t xml:space="preserve">effective_monthly_base</x:t>
        </x:is>
      </x:c>
      <x:c r="C11" s="42" t="n">
        <x:f>24*1575+9*2025</x:f>
        <x:v>56025</x:v>
      </x:c>
      <x:c r="D11" s="40" t="inlineStr">
        <x:is>
          <x:t xml:space="preserve">Lease-File p.1 confirms unit 101 rent = $1,575/mo; no amendments in packet</x:t>
        </x:is>
      </x:c>
    </x:row>
    <x:row r="12" ht="24" customHeight="1">
      <x:c r="B12" s="39" t="inlineStr">
        <x:is>
          <x:t xml:space="preserve">t12_egi</x:t>
        </x:is>
      </x:c>
      <x:c r="C12" s="42" t="n">
        <x:f>T12_EGI</x:f>
        <x:v>691200</x:v>
      </x:c>
      <x:c r="D12" s="40" t="inlineStr">
        <x:is>
          <x:t xml:space="preserve">T12-Statement.pdf p.2 annual</x:t>
        </x:is>
      </x:c>
    </x:row>
    <x:row r="13" ht="24" customHeight="1">
      <x:c r="B13" s="39" t="inlineStr">
        <x:is>
          <x:t xml:space="preserve">t12_operating_expenses</x:t>
        </x:is>
      </x:c>
      <x:c r="C13" s="42" t="n">
        <x:f>T12_OpEx</x:f>
        <x:v>371200</x:v>
      </x:c>
      <x:c r="D13" s="40" t="inlineStr">
        <x:is>
          <x:t xml:space="preserve">T12 opex ex reserves/capex/debt/depreciation</x:t>
        </x:is>
      </x:c>
    </x:row>
    <x:row r="14" ht="24" customHeight="1">
      <x:c r="B14" s="39" t="inlineStr">
        <x:is>
          <x:t xml:space="preserve">t12_noi_before_reserves</x:t>
        </x:is>
      </x:c>
      <x:c r="C14" s="42" t="n">
        <x:f>T12_NOI</x:f>
        <x:v>320000</x:v>
      </x:c>
      <x:c r="D14" s="40" t="inlineStr">
        <x:is>
          <x:t xml:space="preserve">T12 EGI − OpEx</x:t>
        </x:is>
      </x:c>
    </x:row>
    <x:row r="15" ht="24" customHeight="1">
      <x:c r="B15" s="39" t="inlineStr">
        <x:is>
          <x:t xml:space="preserve">t12_reserves</x:t>
        </x:is>
      </x:c>
      <x:c r="C15" s="42" t="n">
        <x:v>14400</x:v>
      </x:c>
      <x:c r="D15" s="40" t="inlineStr">
        <x:is>
          <x:t xml:space="preserve">T12 replacement reserves (below-NOI)</x:t>
        </x:is>
      </x:c>
    </x:row>
    <x:row r="16" ht="24" customHeight="1">
      <x:c r="B16" s="39" t="inlineStr">
        <x:is>
          <x:t xml:space="preserve">t12_ncf</x:t>
        </x:is>
      </x:c>
      <x:c r="C16" s="42" t="n">
        <x:f>T12_NCF</x:f>
        <x:v>305600</x:v>
      </x:c>
      <x:c r="D16" s="40" t="inlineStr">
        <x:is>
          <x:t xml:space="preserve">T12 NOI − reserves</x:t>
        </x:is>
      </x:c>
    </x:row>
    <x:row r="17" ht="24" customHeight="1">
      <x:c r="B17" s="39" t="inlineStr">
        <x:is>
          <x:t xml:space="preserve">uw_egi</x:t>
        </x:is>
      </x:c>
      <x:c r="C17" s="42" t="n">
        <x:f>UW_EGI</x:f>
        <x:v>1025280</x:v>
      </x:c>
      <x:c r="D17" s="40" t="inlineStr">
        <x:is>
          <x:t xml:space="preserve">UW_GPR × (1-RevLoss) + OtherInc</x:t>
        </x:is>
      </x:c>
    </x:row>
    <x:row r="18" ht="24" customHeight="1">
      <x:c r="B18" s="39" t="inlineStr">
        <x:is>
          <x:t xml:space="preserve">uw_management_fee</x:t>
        </x:is>
      </x:c>
      <x:c r="C18" s="42" t="n">
        <x:f>UW_MgmtFee</x:f>
        <x:v>35884.8</x:v>
      </x:c>
      <x:c r="D18" s="40" t="inlineStr">
        <x:is>
          <x:t xml:space="preserve">MAX(T12 $28,000; 3.50% × UW EGI)</x:t>
        </x:is>
      </x:c>
    </x:row>
    <x:row r="19" ht="24" customHeight="1">
      <x:c r="B19" s="39" t="inlineStr">
        <x:is>
          <x:t xml:space="preserve">uw_operating_expenses</x:t>
        </x:is>
      </x:c>
      <x:c r="C19" s="42" t="n">
        <x:f>UW_OpEx</x:f>
        <x:v>377884.8</x:v>
      </x:c>
      <x:c r="D19" s="40" t="inlineStr">
        <x:is>
          <x:t xml:space="preserve">Per Property-and-Plan p.2 line-item instructions</x:t>
        </x:is>
      </x:c>
    </x:row>
    <x:row r="20" ht="24" customHeight="1">
      <x:c r="B20" s="39" t="inlineStr">
        <x:is>
          <x:t xml:space="preserve">uw_noi_before_reserves</x:t>
        </x:is>
      </x:c>
      <x:c r="C20" s="42" t="n">
        <x:f>UW_NOI</x:f>
        <x:v>647395.2</x:v>
      </x:c>
      <x:c r="D20" s="40" t="inlineStr">
        <x:is>
          <x:t xml:space="preserve">UW EGI − UW OpEx</x:t>
        </x:is>
      </x:c>
    </x:row>
    <x:row r="21" ht="24" customHeight="1">
      <x:c r="B21" s="39" t="inlineStr">
        <x:is>
          <x:t xml:space="preserve">uw_reserves</x:t>
        </x:is>
      </x:c>
      <x:c r="C21" s="42" t="n">
        <x:f>UW_Reserves</x:f>
        <x:v>15600</x:v>
      </x:c>
      <x:c r="D21" s="40" t="inlineStr">
        <x:is>
          <x:t xml:space="preserve">48 units × $325</x:t>
        </x:is>
      </x:c>
    </x:row>
    <x:row r="22" ht="24" customHeight="1">
      <x:c r="B22" s="39" t="inlineStr">
        <x:is>
          <x:t xml:space="preserve">uw_ncf</x:t>
        </x:is>
      </x:c>
      <x:c r="C22" s="42" t="n">
        <x:f>UW_NCF</x:f>
        <x:v>631795.2</x:v>
      </x:c>
      <x:c r="D22" s="40" t="inlineStr">
        <x:is>
          <x:t xml:space="preserve">UW NOI − reserves</x:t>
        </x:is>
      </x:c>
    </x:row>
    <x:row r="23" ht="24" customHeight="1">
      <x:c r="B23" s="39" t="inlineStr">
        <x:is>
          <x:t xml:space="preserve">capitalization_value</x:t>
        </x:is>
      </x:c>
      <x:c r="C23" s="42" t="n">
        <x:f>CapValue</x:f>
        <x:v>11259046.956521738</x:v>
      </x:c>
      <x:c r="D23" s="40" t="inlineStr">
        <x:is>
          <x:t xml:space="preserve">UW NOI ÷ 5.75% cap</x:t>
        </x:is>
      </x:c>
    </x:row>
    <x:row r="24" ht="24" customHeight="1">
      <x:c r="B24" s="39" t="inlineStr">
        <x:is>
          <x:t xml:space="preserve">contract_rate</x:t>
        </x:is>
      </x:c>
      <x:c r="C24" s="43" t="n">
        <x:f>ContractRate</x:f>
        <x:v>0.0625</x:v>
      </x:c>
      <x:c r="D24" s="40" t="inlineStr">
        <x:is>
          <x:t xml:space="preserve">Lender-Terms p.1</x:t>
        </x:is>
      </x:c>
    </x:row>
    <x:row r="25" ht="24" customHeight="1">
      <x:c r="B25" s="39" t="inlineStr">
        <x:is>
          <x:t xml:space="preserve">sizing_rate</x:t>
        </x:is>
      </x:c>
      <x:c r="C25" s="43" t="n">
        <x:f>SizingRate</x:f>
        <x:v>0.075</x:v>
      </x:c>
      <x:c r="D25" s="40" t="inlineStr">
        <x:is>
          <x:t xml:space="preserve">MAX(contract, 6.50% floor)</x:t>
        </x:is>
      </x:c>
    </x:row>
    <x:row r="26" ht="24" customHeight="1">
      <x:c r="B26" s="39" t="inlineStr">
        <x:is>
          <x:t xml:space="preserve">annual_debt_constant</x:t>
        </x:is>
      </x:c>
      <x:c r="C26" s="44" t="n">
        <x:f>ADC</x:f>
        <x:v>0.08390574102633318</x:v>
      </x:c>
      <x:c r="D26" s="40" t="inlineStr">
        <x:is>
          <x:t xml:space="preserve">30-yr amort, monthly pmts, sizing rate</x:t>
        </x:is>
      </x:c>
    </x:row>
    <x:row r="27" ht="24" customHeight="1">
      <x:c r="B27" s="39" t="inlineStr">
        <x:is>
          <x:t xml:space="preserve">ltv_limit</x:t>
        </x:is>
      </x:c>
      <x:c r="C27" s="42" t="n">
        <x:f>'Loan Sizing'!C13</x:f>
        <x:v>6755428.173913043</x:v>
      </x:c>
      <x:c r="D27" s="40" t="inlineStr">
        <x:is>
          <x:t xml:space="preserve">60% × CapValue</x:t>
        </x:is>
      </x:c>
    </x:row>
    <x:row r="28" ht="24" customHeight="1">
      <x:c r="B28" s="39" t="inlineStr">
        <x:is>
          <x:t xml:space="preserve">dscr_limit</x:t>
        </x:is>
      </x:c>
      <x:c r="C28" s="42" t="n">
        <x:f>'Loan Sizing'!C14</x:f>
        <x:v>5792169.900981882</x:v>
      </x:c>
      <x:c r="D28" s="40" t="inlineStr">
        <x:is>
          <x:t xml:space="preserve">UW NCF ÷ (1.30 × ADC)</x:t>
        </x:is>
      </x:c>
    </x:row>
    <x:row r="29" ht="24" customHeight="1">
      <x:c r="B29" s="39" t="inlineStr">
        <x:is>
          <x:t xml:space="preserve">debt_yield_limit</x:t>
        </x:is>
      </x:c>
      <x:c r="C29" s="42" t="n">
        <x:f>'Loan Sizing'!C15</x:f>
        <x:v>7019946.666666666</x:v>
      </x:c>
      <x:c r="D29" s="40" t="inlineStr">
        <x:is>
          <x:t xml:space="preserve">UW NCF ÷ 9%</x:t>
        </x:is>
      </x:c>
    </x:row>
    <x:row r="30" ht="24" customHeight="1">
      <x:c r="B30" s="39" t="inlineStr">
        <x:is>
          <x:t xml:space="preserve">maximum_loan</x:t>
        </x:is>
      </x:c>
      <x:c r="C30" s="42" t="n">
        <x:f>MaxLoan</x:f>
        <x:v>5792169.900981882</x:v>
      </x:c>
      <x:c r="D30" s="40" t="inlineStr">
        <x:is>
          <x:t xml:space="preserve">MIN of three</x:t>
        </x:is>
      </x:c>
    </x:row>
    <x:row r="31" ht="24" customHeight="1">
      <x:c r="B31" s="39" t="inlineStr">
        <x:is>
          <x:t xml:space="preserve">binding_constraint</x:t>
        </x:is>
      </x:c>
      <x:c r="C31" s="8" t="e">
        <x:f>'Loan Sizing'!C18</x:f>
        <x:v>#REF!</x:v>
      </x:c>
      <x:c r="D31" s="40" t="inlineStr">
        <x:is>
          <x:t xml:space="preserve">DSCR at base case</x:t>
        </x:is>
      </x:c>
    </x:row>
    <x:row r="32" ht="24" customHeight="1">
      <x:c r="B32" s="39" t="inlineStr">
        <x:is>
          <x:t xml:space="preserve">sizing_annual_debt_service</x:t>
        </x:is>
      </x:c>
      <x:c r="C32" s="42" t="n">
        <x:f>'Loan Sizing'!C21</x:f>
        <x:v>485996.30769230763</x:v>
      </x:c>
      <x:c r="D32" s="40" t="inlineStr">
        <x:is>
          <x:t xml:space="preserve">MaxLoan × ADC</x:t>
        </x:is>
      </x:c>
    </x:row>
    <x:row r="33" ht="24" customHeight="1">
      <x:c r="B33" s="39" t="inlineStr">
        <x:is>
          <x:t xml:space="preserve">sizing_dscr</x:t>
        </x:is>
      </x:c>
      <x:c r="C33" s="44" t="n">
        <x:f>'Loan Sizing'!C22</x:f>
        <x:v>1.3</x:v>
      </x:c>
      <x:c r="D33" s="40" t="e">
        <x:f> 1.30x by construction</x:f>
        <x:v>#NAME?</x:v>
      </x:c>
    </x:row>
    <x:row r="34" ht="24" customHeight="1">
      <x:c r="B34" s="39" t="inlineStr">
        <x:is>
          <x:t xml:space="preserve">sizing_debt_yield</x:t>
        </x:is>
      </x:c>
      <x:c r="C34" s="43" t="n">
        <x:f>'Loan Sizing'!C23</x:f>
        <x:v>0.10907746333423313</x:v>
      </x:c>
      <x:c r="D34" s="40" t="e">
        <x:f> UW NCF ÷ MaxLoan</x:f>
        <x:v>#NAME?</x:v>
      </x:c>
    </x:row>
    <x:row r="35" ht="24" customHeight="1">
      <x:c r="B35" s="39" t="inlineStr">
        <x:is>
          <x:t xml:space="preserve">first_year_debt_service</x:t>
        </x:is>
      </x:c>
      <x:c r="C35" s="42" t="n">
        <x:f>'Loan Sizing'!C25</x:f>
        <x:v>362010.6188113676</x:v>
      </x:c>
      <x:c r="D35" s="40" t="inlineStr">
        <x:is>
          <x:t xml:space="preserve">IO for 36 mo — MaxLoan × ContractRate</x:t>
        </x:is>
      </x:c>
    </x:row>
    <x:row r="36" ht="24" customHeight="1">
      <x:c r="B36" s="39" t="inlineStr">
        <x:is>
          <x:t xml:space="preserve">cash_to_borrower</x:t>
        </x:is>
      </x:c>
      <x:c r="C36" s="42" t="n">
        <x:f>'Loan Sizing'!F19</x:f>
        <x:v>1169248.201972063</x:v>
      </x:c>
      <x:c r="D36" s="40" t="inlineStr">
        <x:is>
          <x:t xml:space="preserve">MaxLoan − payoff − orig fee − closing</x:t>
        </x:is>
      </x:c>
    </x:row>
    <x:row r="37" ht="24" customHeight="1">
      <x:c r="B37" s="39" t="inlineStr">
        <x:is>
          <x:t xml:space="preserve">stress_uw_noi</x:t>
        </x:is>
      </x:c>
      <x:c r="C37" s="42" t="n">
        <x:f>Sensitivity!C8</x:f>
        <x:v>597925.44</x:v>
      </x:c>
      <x:c r="D37" s="40" t="inlineStr">
        <x:is>
          <x:t xml:space="preserve">Combined-downside NOI</x:t>
        </x:is>
      </x:c>
    </x:row>
    <x:row r="38" ht="24" customHeight="1">
      <x:c r="B38" s="39" t="inlineStr">
        <x:is>
          <x:t xml:space="preserve">stress_maximum_loan</x:t>
        </x:is>
      </x:c>
      <x:c r="C38" s="42" t="n">
        <x:f>Sensitivity!C19</x:f>
        <x:v>4854714.430568271</x:v>
      </x:c>
      <x:c r="D38" s="40" t="inlineStr">
        <x:is>
          <x:t xml:space="preserve">Combined-downside MAX LOAN</x:t>
        </x:is>
      </x:c>
    </x:row>
    <x:row r="39" ht="24" customHeight="1">
      <x:c r="B39" s="39" t="inlineStr">
        <x:is>
          <x:t xml:space="preserve">subject_lease_monthly_rent</x:t>
        </x:is>
      </x:c>
      <x:c r="C39" s="42" t="n">
        <x:v>1575</x:v>
      </x:c>
      <x:c r="D39" s="40" t="inlineStr">
        <x:is>
          <x:t xml:space="preserve">Lease-File.pdf §3</x:t>
        </x:is>
      </x:c>
    </x:row>
    <x:row r="40" ht="24" customHeight="1">
      <x:c r="B40" s="39" t="inlineStr">
        <x:is>
          <x:t xml:space="preserve">subject_lease_expiry</x:t>
        </x:is>
      </x:c>
      <x:c r="C40" s="8" t="inlineStr">
        <x:is>
          <x:t xml:space="preserve">2027-06-30</x:t>
        </x:is>
      </x:c>
      <x:c r="D40" s="40" t="inlineStr">
        <x:is>
          <x:t xml:space="preserve">Lease-File.pdf §2 (initial term)</x:t>
        </x:is>
      </x:c>
    </x:row>
    <x:row r="41" ht="24" customHeight="1">
      <x:c r="B41" s="39" t="inlineStr">
        <x:is>
          <x:t xml:space="preserve">subject_lease_deposit</x:t>
        </x:is>
      </x:c>
      <x:c r="C41" s="42" t="n">
        <x:v>1200</x:v>
      </x:c>
      <x:c r="D41" s="40" t="inlineStr">
        <x:is>
          <x:t xml:space="preserve">Lease-File.pdf §4</x:t>
        </x:is>
      </x:c>
    </x:row>
    <x:row r="42" ht="24" customHeight="1">
      <x:c r="B42" s="39" t="inlineStr">
        <x:is>
          <x:t xml:space="preserve">verified_renewal_insurance</x:t>
        </x:is>
      </x:c>
      <x:c r="C42" s="42" t="n">
        <x:v>45600</x:v>
      </x:c>
      <x:c r="D42" s="40" t="inlineStr">
        <x:is>
          <x:t xml:space="preserve">Property-and-Plan.pdf p.2 — fictional insurer renewal confirmation Aug 25, 2026</x:t>
        </x:is>
      </x:c>
    </x:row>
    <x:row r="43" ht="24" customHeight="1">
      <x:c r="B43" s="39" t="inlineStr">
        <x:is>
          <x:t xml:space="preserve">renewal_option_exercised</x:t>
        </x:is>
      </x:c>
      <x:c r="C43" s="8" t="inlineStr">
        <x:is>
          <x:t xml:space="preserve">No</x:t>
        </x:is>
      </x:c>
      <x:c r="D43" s="40" t="inlineStr">
        <x:is>
          <x:t xml:space="preserve">Lease-File.pdf §5 — no exercise notice included in packet</x:t>
        </x:is>
      </x:c>
    </x:row>
    <x:row r="44" ht="24" customHeight="1">
      <x:c r="B44" s="39" t="inlineStr">
        <x:is>
          <x:t xml:space="preserve">prepayment_friction</x:t>
        </x:is>
      </x:c>
      <x:c r="C44" s="8" t="inlineStr">
        <x:is>
          <x:t xml:space="preserve">1% of outstanding principal in years 1-2; no stated bank penalty thereafter. No swap assumed.</x:t>
        </x:is>
      </x:c>
      <x:c r="D44" s="40" t="inlineStr">
        <x:is>
          <x:t xml:space="preserve">Lender-Terms.pdf p.1</x:t>
        </x:is>
      </x:c>
    </x:row>
  </x:sheetData>
  <x:mergeCells>
    <x:mergeCell ref="A1:D1"/>
  </x:mergeCells>
  <x:pageMargins left="0.7" right="0.7" top="0.75" bottom="0.75" header="0.3" footer="0.3"/>
</x:worksheet>
</file>