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Underwriting" sheetId="3" state="visible" r:id="rId3"/>
    <sheet xmlns:r="http://schemas.openxmlformats.org/officeDocument/2006/relationships" name="Loan Sizing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Rent Roll" sheetId="6" state="visible" r:id="rId6"/>
    <sheet xmlns:r="http://schemas.openxmlformats.org/officeDocument/2006/relationships" name="Field IDs" sheetId="7" state="visible" r:id="rId7"/>
  </sheets>
  <definedNames>
    <definedName name="CapRate">Assumptions!$C$7</definedName>
    <definedName name="ContractRate">Assumptions!$C$8</definedName>
    <definedName name="SizingFloor">Assumptions!$C$9</definedName>
    <definedName name="SizingRate">Assumptions!$C$10</definedName>
    <definedName name="AmortYears">Assumptions!$C$11</definedName>
    <definedName name="IOMonths">Assumptions!$C$12</definedName>
    <definedName name="Maturity">Assumptions!$C$13</definedName>
    <definedName name="LTVmax">Assumptions!$C$14</definedName>
    <definedName name="DSCRmin">Assumptions!$C$15</definedName>
    <definedName name="DYmin">Assumptions!$C$16</definedName>
    <definedName name="OrigFeePct">Assumptions!$C$17</definedName>
    <definedName name="ExistingPayoff">Assumptions!$C$18</definedName>
    <definedName name="FixedCosts">Assumptions!$C$19</definedName>
    <definedName name="ResPerUnit">Assumptions!$C$20</definedName>
    <definedName name="UW_GPR">Assumptions!$C$21</definedName>
    <definedName name="RevLossPct">Assumptions!$C$22</definedName>
    <definedName name="OtherInc">Assumptions!$C$23</definedName>
    <definedName name="MgmtPct">Assumptions!$C$24</definedName>
    <definedName name="MgmtDollarFloor">Assumptions!$C$25</definedName>
    <definedName name="TotalUnits">Assumptions!$C$26</definedName>
    <definedName name="UW_EGI">Underwriting!$D$10</definedName>
    <definedName name="UW_OpEx">Underwriting!$D$20</definedName>
    <definedName name="UW_MgmtFee">Underwriting!$D$19</definedName>
    <definedName name="UW_NOI">Underwriting!$D$22</definedName>
    <definedName name="UW_Reserves">Underwriting!$D$23</definedName>
    <definedName name="UW_NCF">Underwriting!$D$24</definedName>
    <definedName name="CapValue">Underwriting!$H$20</definedName>
    <definedName name="T12_EGI">Underwriting!$C$10</definedName>
    <definedName name="T12_OpEx">Underwriting!$C$20</definedName>
    <definedName name="T12_NOI">Underwriting!$C$22</definedName>
    <definedName name="T12_NCF">Underwriting!$C$24</definedName>
    <definedName name="ADC">'Loan Sizing'!$C$11</definedName>
    <definedName name="MaxLoan">'Loan Sizing'!$C$17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$#,##0"/>
    <numFmt numFmtId="165" formatCode="$#,##0;($#,##0)"/>
    <numFmt numFmtId="166" formatCode="0.000%"/>
    <numFmt numFmtId="167" formatCode="0.00000000"/>
    <numFmt numFmtId="168" formatCode="0.000"/>
    <numFmt numFmtId="169" formatCode="0.0000"/>
    <numFmt numFmtId="170" formatCode="$#,##0.00"/>
    <numFmt numFmtId="171" formatCode="0.0000000000"/>
  </numFmts>
  <fonts count="10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595959"/>
      <sz val="9"/>
    </font>
    <font>
      <b val="1"/>
      <sz val="11"/>
    </font>
    <font>
      <b val="1"/>
    </font>
    <font>
      <b val="1"/>
      <color rgb="00FFFFFF"/>
      <sz val="12"/>
    </font>
    <font>
      <b val="1"/>
      <color rgb="009C5700"/>
    </font>
    <font>
      <b val="1"/>
      <sz val="13"/>
    </font>
    <font>
      <b val="1"/>
      <sz val="12"/>
    </font>
    <font>
      <name val="Consolas"/>
      <sz val="10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1F3864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5" fillId="5" borderId="0" pivotButton="0" quotePrefix="0" xfId="0"/>
    <xf numFmtId="0" fontId="0" fillId="5" borderId="0" pivotButton="0" quotePrefix="0" xfId="0"/>
    <xf numFmtId="10" fontId="6" fillId="3" borderId="1" pivotButton="0" quotePrefix="0" xfId="0"/>
    <xf numFmtId="10" fontId="0" fillId="4" borderId="1" pivotButton="0" quotePrefix="0" xfId="0"/>
    <xf numFmtId="1" fontId="6" fillId="3" borderId="1" pivotButton="0" quotePrefix="0" xfId="0"/>
    <xf numFmtId="2" fontId="6" fillId="3" borderId="1" pivotButton="0" quotePrefix="0" xfId="0"/>
    <xf numFmtId="164" fontId="6" fillId="3" borderId="1" pivotButton="0" quotePrefix="0" xfId="0"/>
    <xf numFmtId="165" fontId="0" fillId="0" borderId="0" pivotButton="0" quotePrefix="0" xfId="0"/>
    <xf numFmtId="0" fontId="4" fillId="0" borderId="0" pivotButton="0" quotePrefix="0" xfId="0"/>
    <xf numFmtId="165" fontId="0" fillId="4" borderId="0" pivotButton="0" quotePrefix="0" xfId="0"/>
    <xf numFmtId="0" fontId="4" fillId="2" borderId="0" pivotButton="0" quotePrefix="0" xfId="0"/>
    <xf numFmtId="165" fontId="4" fillId="2" borderId="0" pivotButton="0" quotePrefix="0" xfId="0"/>
    <xf numFmtId="10" fontId="0" fillId="0" borderId="0" pivotButton="0" quotePrefix="0" xfId="0"/>
    <xf numFmtId="0" fontId="4" fillId="4" borderId="0" pivotButton="0" quotePrefix="0" xfId="0"/>
    <xf numFmtId="165" fontId="4" fillId="4" borderId="0" pivotButton="0" quotePrefix="0" xfId="0"/>
    <xf numFmtId="164" fontId="0" fillId="4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7" fontId="4" fillId="4" borderId="0" pivotButton="0" quotePrefix="0" xfId="0"/>
    <xf numFmtId="164" fontId="7" fillId="6" borderId="0" pivotButton="0" quotePrefix="0" xfId="0"/>
    <xf numFmtId="0" fontId="4" fillId="6" borderId="0" pivotButton="0" quotePrefix="0" xfId="0"/>
    <xf numFmtId="165" fontId="4" fillId="6" borderId="0" pivotButton="0" quotePrefix="0" xfId="0"/>
    <xf numFmtId="164" fontId="0" fillId="0" borderId="0" pivotButton="0" quotePrefix="0" xfId="0"/>
    <xf numFmtId="168" fontId="0" fillId="0" borderId="0" pivotButton="0" quotePrefix="0" xfId="0"/>
    <xf numFmtId="164" fontId="4" fillId="4" borderId="0" pivotButton="0" quotePrefix="0" xfId="0"/>
    <xf numFmtId="165" fontId="8" fillId="6" borderId="0" pivotButton="0" quotePrefix="0" xfId="0"/>
    <xf numFmtId="3" fontId="0" fillId="0" borderId="0" pivotButton="0" quotePrefix="0" xfId="0"/>
    <xf numFmtId="0" fontId="3" fillId="0" borderId="0" pivotButton="0" quotePrefix="0" xfId="0"/>
    <xf numFmtId="3" fontId="4" fillId="0" borderId="0" pivotButton="0" quotePrefix="0" xfId="0"/>
    <xf numFmtId="164" fontId="4" fillId="0" borderId="0" pivotButton="0" quotePrefix="0" xfId="0"/>
    <xf numFmtId="0" fontId="9" fillId="0" borderId="1" pivotButton="0" quotePrefix="0" xfId="0"/>
    <xf numFmtId="0" fontId="2" fillId="0" borderId="1" applyAlignment="1" pivotButton="0" quotePrefix="0" xfId="0">
      <alignment vertical="top" wrapText="1"/>
    </xf>
    <xf numFmtId="169" fontId="0" fillId="4" borderId="1" pivotButton="0" quotePrefix="0" xfId="0"/>
    <xf numFmtId="170" fontId="0" fillId="4" borderId="1" pivotButton="0" quotePrefix="0" xfId="0"/>
    <xf numFmtId="166" fontId="0" fillId="4" borderId="1" pivotButton="0" quotePrefix="0" xfId="0"/>
    <xf numFmtId="171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Cedar Landing — Refinance Underwriting Workbook</t>
        </is>
      </c>
    </row>
    <row r="2">
      <c r="A2" s="2" t="inlineStr">
        <is>
          <t>As-of: 2026-08-31 | Fictional scenario — internal analyst workbook</t>
        </is>
      </c>
    </row>
    <row r="4">
      <c r="A4" s="3" t="inlineStr">
        <is>
          <t>How to use</t>
        </is>
      </c>
    </row>
    <row r="5" ht="30" customHeight="1">
      <c r="A5" s="4" t="inlineStr">
        <is>
          <t>1) All editable assumptions are on the 'Assumptions' sheet, shaded YELLOW. Change any yellow cell and every other sheet recalculates.</t>
        </is>
      </c>
    </row>
    <row r="6" ht="30" customHeight="1">
      <c r="A6" s="4" t="inlineStr">
        <is>
          <t>2) The 'Underwriting' sheet computes T12 historical, underwritten scenario, and capitalization value.</t>
        </is>
      </c>
    </row>
    <row r="7" ht="30" customHeight="1">
      <c r="A7" s="4" t="inlineStr">
        <is>
          <t>3) The 'Loan Sizing' sheet solves LTV / DSCR / Debt Yield constraints, picks the binding minimum, and returns Sources &amp; Uses and cash to borrower.</t>
        </is>
      </c>
    </row>
    <row r="8" ht="30" customHeight="1">
      <c r="A8" s="4" t="inlineStr">
        <is>
          <t>4) The 'Sensitivity' sheet runs (a) EGI −5% + sizing rate +100 bps combined downside (cap rate unchanged) and (b) cap rate +50 bps standalone.</t>
        </is>
      </c>
    </row>
    <row r="9" ht="30" customHeight="1">
      <c r="A9" s="4" t="inlineStr">
        <is>
          <t>5) The 'Rent Roll' sheet holds the unit-level detail supporting the in-place monthly base.</t>
        </is>
      </c>
    </row>
    <row r="10" ht="30" customHeight="1">
      <c r="A10" s="4" t="inlineStr">
        <is>
          <t>6) Yellow = editable input · Green = calculated output · Orange = binding constraint highlight.</t>
        </is>
      </c>
    </row>
    <row r="11" ht="30" customHeight="1">
      <c r="A11" s="4" t="inlineStr">
        <is>
          <t>7) Every sizing formula uses named ranges (see Formulas tab in Excel &gt; Name Manager) so the intent is auditable.</t>
        </is>
      </c>
    </row>
    <row r="13">
      <c r="A13" s="3" t="inlineStr">
        <is>
          <t>Input &amp; Output Map</t>
        </is>
      </c>
    </row>
    <row r="14">
      <c r="A14" s="5" t="inlineStr">
        <is>
          <t>Sheet</t>
        </is>
      </c>
      <c r="B14" s="5" t="inlineStr">
        <is>
          <t>Cell / Range</t>
        </is>
      </c>
      <c r="C14" s="5" t="inlineStr">
        <is>
          <t>Item</t>
        </is>
      </c>
      <c r="D14" s="5" t="inlineStr">
        <is>
          <t>Type</t>
        </is>
      </c>
    </row>
    <row r="15">
      <c r="A15" s="6" t="inlineStr">
        <is>
          <t>Assumptions</t>
        </is>
      </c>
      <c r="B15" s="7" t="inlineStr">
        <is>
          <t>C7</t>
        </is>
      </c>
      <c r="C15" s="7" t="inlineStr">
        <is>
          <t>Cap rate</t>
        </is>
      </c>
      <c r="D15" s="7" t="inlineStr">
        <is>
          <t>INPUT</t>
        </is>
      </c>
    </row>
    <row r="16">
      <c r="A16" s="6" t="inlineStr">
        <is>
          <t>Assumptions</t>
        </is>
      </c>
      <c r="B16" s="7" t="inlineStr">
        <is>
          <t>C8</t>
        </is>
      </c>
      <c r="C16" s="7" t="inlineStr">
        <is>
          <t>Contract rate</t>
        </is>
      </c>
      <c r="D16" s="7" t="inlineStr">
        <is>
          <t>INPUT</t>
        </is>
      </c>
    </row>
    <row r="17">
      <c r="A17" s="6" t="inlineStr">
        <is>
          <t>Assumptions</t>
        </is>
      </c>
      <c r="B17" s="7" t="inlineStr">
        <is>
          <t>C9</t>
        </is>
      </c>
      <c r="C17" s="7" t="inlineStr">
        <is>
          <t>Sizing rate floor</t>
        </is>
      </c>
      <c r="D17" s="7" t="inlineStr">
        <is>
          <t>INPUT</t>
        </is>
      </c>
    </row>
    <row r="18">
      <c r="A18" s="6" t="inlineStr">
        <is>
          <t>Assumptions</t>
        </is>
      </c>
      <c r="B18" s="8" t="inlineStr">
        <is>
          <t>C10</t>
        </is>
      </c>
      <c r="C18" s="8" t="inlineStr">
        <is>
          <t>Sizing rate (effective)</t>
        </is>
      </c>
      <c r="D18" s="8" t="inlineStr">
        <is>
          <t>OUTPUT</t>
        </is>
      </c>
    </row>
    <row r="19">
      <c r="A19" s="6" t="inlineStr">
        <is>
          <t>Assumptions</t>
        </is>
      </c>
      <c r="B19" s="7" t="inlineStr">
        <is>
          <t>C11</t>
        </is>
      </c>
      <c r="C19" s="7" t="inlineStr">
        <is>
          <t>Amortization (years)</t>
        </is>
      </c>
      <c r="D19" s="7" t="inlineStr">
        <is>
          <t>INPUT</t>
        </is>
      </c>
    </row>
    <row r="20">
      <c r="A20" s="6" t="inlineStr">
        <is>
          <t>Assumptions</t>
        </is>
      </c>
      <c r="B20" s="7" t="inlineStr">
        <is>
          <t>C12</t>
        </is>
      </c>
      <c r="C20" s="7" t="inlineStr">
        <is>
          <t>IO months</t>
        </is>
      </c>
      <c r="D20" s="7" t="inlineStr">
        <is>
          <t>INPUT</t>
        </is>
      </c>
    </row>
    <row r="21">
      <c r="A21" s="6" t="inlineStr">
        <is>
          <t>Assumptions</t>
        </is>
      </c>
      <c r="B21" s="7" t="inlineStr">
        <is>
          <t>C13</t>
        </is>
      </c>
      <c r="C21" s="7" t="inlineStr">
        <is>
          <t>Maturity (months)</t>
        </is>
      </c>
      <c r="D21" s="7" t="inlineStr">
        <is>
          <t>INPUT</t>
        </is>
      </c>
    </row>
    <row r="22">
      <c r="A22" s="6" t="inlineStr">
        <is>
          <t>Assumptions</t>
        </is>
      </c>
      <c r="B22" s="7" t="inlineStr">
        <is>
          <t>C14</t>
        </is>
      </c>
      <c r="C22" s="7" t="inlineStr">
        <is>
          <t>LTV max</t>
        </is>
      </c>
      <c r="D22" s="7" t="inlineStr">
        <is>
          <t>INPUT</t>
        </is>
      </c>
    </row>
    <row r="23">
      <c r="A23" s="6" t="inlineStr">
        <is>
          <t>Assumptions</t>
        </is>
      </c>
      <c r="B23" s="7" t="inlineStr">
        <is>
          <t>C15</t>
        </is>
      </c>
      <c r="C23" s="7" t="inlineStr">
        <is>
          <t>DSCR min</t>
        </is>
      </c>
      <c r="D23" s="7" t="inlineStr">
        <is>
          <t>INPUT</t>
        </is>
      </c>
    </row>
    <row r="24">
      <c r="A24" s="6" t="inlineStr">
        <is>
          <t>Assumptions</t>
        </is>
      </c>
      <c r="B24" s="7" t="inlineStr">
        <is>
          <t>C16</t>
        </is>
      </c>
      <c r="C24" s="7" t="inlineStr">
        <is>
          <t>Debt yield min</t>
        </is>
      </c>
      <c r="D24" s="7" t="inlineStr">
        <is>
          <t>INPUT</t>
        </is>
      </c>
    </row>
    <row r="25">
      <c r="A25" s="6" t="inlineStr">
        <is>
          <t>Assumptions</t>
        </is>
      </c>
      <c r="B25" s="7" t="inlineStr">
        <is>
          <t>C17</t>
        </is>
      </c>
      <c r="C25" s="7" t="inlineStr">
        <is>
          <t>Origination fee %</t>
        </is>
      </c>
      <c r="D25" s="7" t="inlineStr">
        <is>
          <t>INPUT</t>
        </is>
      </c>
    </row>
    <row r="26">
      <c r="A26" s="6" t="inlineStr">
        <is>
          <t>Assumptions</t>
        </is>
      </c>
      <c r="B26" s="7" t="inlineStr">
        <is>
          <t>C18</t>
        </is>
      </c>
      <c r="C26" s="7" t="inlineStr">
        <is>
          <t>Existing payoff</t>
        </is>
      </c>
      <c r="D26" s="7" t="inlineStr">
        <is>
          <t>INPUT</t>
        </is>
      </c>
    </row>
    <row r="27">
      <c r="A27" s="6" t="inlineStr">
        <is>
          <t>Assumptions</t>
        </is>
      </c>
      <c r="B27" s="7" t="inlineStr">
        <is>
          <t>C19</t>
        </is>
      </c>
      <c r="C27" s="7" t="inlineStr">
        <is>
          <t>Fixed closing costs</t>
        </is>
      </c>
      <c r="D27" s="7" t="inlineStr">
        <is>
          <t>INPUT</t>
        </is>
      </c>
    </row>
    <row r="28">
      <c r="A28" s="6" t="inlineStr">
        <is>
          <t>Assumptions</t>
        </is>
      </c>
      <c r="B28" s="7" t="inlineStr">
        <is>
          <t>C20</t>
        </is>
      </c>
      <c r="C28" s="7" t="inlineStr">
        <is>
          <t>Reserves per unit/yr</t>
        </is>
      </c>
      <c r="D28" s="7" t="inlineStr">
        <is>
          <t>INPUT</t>
        </is>
      </c>
    </row>
    <row r="29">
      <c r="A29" s="6" t="inlineStr">
        <is>
          <t>Assumptions</t>
        </is>
      </c>
      <c r="B29" s="7" t="inlineStr">
        <is>
          <t>C21</t>
        </is>
      </c>
      <c r="C29" s="7" t="inlineStr">
        <is>
          <t>Underwritten GPR</t>
        </is>
      </c>
      <c r="D29" s="7" t="inlineStr">
        <is>
          <t>INPUT</t>
        </is>
      </c>
    </row>
    <row r="30">
      <c r="A30" s="6" t="inlineStr">
        <is>
          <t>Assumptions</t>
        </is>
      </c>
      <c r="B30" s="7" t="inlineStr">
        <is>
          <t>C22</t>
        </is>
      </c>
      <c r="C30" s="7" t="inlineStr">
        <is>
          <t>Revenue loss %</t>
        </is>
      </c>
      <c r="D30" s="7" t="inlineStr">
        <is>
          <t>INPUT</t>
        </is>
      </c>
    </row>
    <row r="31">
      <c r="A31" s="6" t="inlineStr">
        <is>
          <t>Assumptions</t>
        </is>
      </c>
      <c r="B31" s="7" t="inlineStr">
        <is>
          <t>C23</t>
        </is>
      </c>
      <c r="C31" s="7" t="inlineStr">
        <is>
          <t>Other income</t>
        </is>
      </c>
      <c r="D31" s="7" t="inlineStr">
        <is>
          <t>INPUT</t>
        </is>
      </c>
    </row>
    <row r="32">
      <c r="A32" s="6" t="inlineStr">
        <is>
          <t>Assumptions</t>
        </is>
      </c>
      <c r="B32" s="7" t="inlineStr">
        <is>
          <t>C24</t>
        </is>
      </c>
      <c r="C32" s="7" t="inlineStr">
        <is>
          <t>Mgmt fee % floor</t>
        </is>
      </c>
      <c r="D32" s="7" t="inlineStr">
        <is>
          <t>INPUT</t>
        </is>
      </c>
    </row>
    <row r="33">
      <c r="A33" s="6" t="inlineStr">
        <is>
          <t>Assumptions</t>
        </is>
      </c>
      <c r="B33" s="7" t="inlineStr">
        <is>
          <t>C25</t>
        </is>
      </c>
      <c r="C33" s="7" t="inlineStr">
        <is>
          <t>Mgmt fee dollar floor (T12)</t>
        </is>
      </c>
      <c r="D33" s="7" t="inlineStr">
        <is>
          <t>INPUT</t>
        </is>
      </c>
    </row>
    <row r="34">
      <c r="A34" s="6" t="inlineStr">
        <is>
          <t>Assumptions</t>
        </is>
      </c>
      <c r="B34" s="7" t="inlineStr">
        <is>
          <t>C26</t>
        </is>
      </c>
      <c r="C34" s="7" t="inlineStr">
        <is>
          <t>Total units</t>
        </is>
      </c>
      <c r="D34" s="7" t="inlineStr">
        <is>
          <t>INPUT</t>
        </is>
      </c>
    </row>
    <row r="35">
      <c r="A35" s="6" t="inlineStr">
        <is>
          <t>Underwriting</t>
        </is>
      </c>
      <c r="B35" s="8" t="inlineStr">
        <is>
          <t>G32</t>
        </is>
      </c>
      <c r="C35" s="8" t="inlineStr">
        <is>
          <t>Underwritten NOI before reserves</t>
        </is>
      </c>
      <c r="D35" s="8" t="inlineStr">
        <is>
          <t>OUTPUT</t>
        </is>
      </c>
    </row>
    <row r="36">
      <c r="A36" s="6" t="inlineStr">
        <is>
          <t>Underwriting</t>
        </is>
      </c>
      <c r="B36" s="8" t="inlineStr">
        <is>
          <t>G34</t>
        </is>
      </c>
      <c r="C36" s="8" t="inlineStr">
        <is>
          <t>Underwritten NCF</t>
        </is>
      </c>
      <c r="D36" s="8" t="inlineStr">
        <is>
          <t>OUTPUT</t>
        </is>
      </c>
    </row>
    <row r="37">
      <c r="A37" s="6" t="inlineStr">
        <is>
          <t>Underwriting</t>
        </is>
      </c>
      <c r="B37" s="8" t="inlineStr">
        <is>
          <t>G37</t>
        </is>
      </c>
      <c r="C37" s="8" t="inlineStr">
        <is>
          <t>Capitalization value</t>
        </is>
      </c>
      <c r="D37" s="8" t="inlineStr">
        <is>
          <t>OUTPUT</t>
        </is>
      </c>
    </row>
    <row r="38">
      <c r="A38" s="6" t="inlineStr">
        <is>
          <t>Loan Sizing</t>
        </is>
      </c>
      <c r="B38" s="8" t="inlineStr">
        <is>
          <t>C11</t>
        </is>
      </c>
      <c r="C38" s="8" t="inlineStr">
        <is>
          <t>Annual debt constant (sizing rate)</t>
        </is>
      </c>
      <c r="D38" s="8" t="inlineStr">
        <is>
          <t>OUTPUT</t>
        </is>
      </c>
    </row>
    <row r="39">
      <c r="A39" s="6" t="inlineStr">
        <is>
          <t>Loan Sizing</t>
        </is>
      </c>
      <c r="B39" s="8" t="inlineStr">
        <is>
          <t>C13</t>
        </is>
      </c>
      <c r="C39" s="8" t="inlineStr">
        <is>
          <t>LTV max loan</t>
        </is>
      </c>
      <c r="D39" s="8" t="inlineStr">
        <is>
          <t>OUTPUT</t>
        </is>
      </c>
    </row>
    <row r="40">
      <c r="A40" s="6" t="inlineStr">
        <is>
          <t>Loan Sizing</t>
        </is>
      </c>
      <c r="B40" s="8" t="inlineStr">
        <is>
          <t>C14</t>
        </is>
      </c>
      <c r="C40" s="8" t="inlineStr">
        <is>
          <t>DSCR max loan</t>
        </is>
      </c>
      <c r="D40" s="8" t="inlineStr">
        <is>
          <t>OUTPUT</t>
        </is>
      </c>
    </row>
    <row r="41">
      <c r="A41" s="6" t="inlineStr">
        <is>
          <t>Loan Sizing</t>
        </is>
      </c>
      <c r="B41" s="8" t="inlineStr">
        <is>
          <t>C15</t>
        </is>
      </c>
      <c r="C41" s="8" t="inlineStr">
        <is>
          <t>DY max loan</t>
        </is>
      </c>
      <c r="D41" s="8" t="inlineStr">
        <is>
          <t>OUTPUT</t>
        </is>
      </c>
    </row>
    <row r="42">
      <c r="A42" s="6" t="inlineStr">
        <is>
          <t>Loan Sizing</t>
        </is>
      </c>
      <c r="B42" s="8" t="inlineStr">
        <is>
          <t>C17</t>
        </is>
      </c>
      <c r="C42" s="8" t="inlineStr">
        <is>
          <t>MAXIMUM LOAN (binding)</t>
        </is>
      </c>
      <c r="D42" s="8" t="inlineStr">
        <is>
          <t>OUTPUT</t>
        </is>
      </c>
    </row>
    <row r="43">
      <c r="A43" s="6" t="inlineStr">
        <is>
          <t>Loan Sizing</t>
        </is>
      </c>
      <c r="B43" s="8" t="inlineStr">
        <is>
          <t>C18</t>
        </is>
      </c>
      <c r="C43" s="8" t="inlineStr">
        <is>
          <t>Binding constraint</t>
        </is>
      </c>
      <c r="D43" s="8" t="inlineStr">
        <is>
          <t>OUTPUT</t>
        </is>
      </c>
    </row>
    <row r="44">
      <c r="A44" s="6" t="inlineStr">
        <is>
          <t>Loan Sizing</t>
        </is>
      </c>
      <c r="B44" s="8" t="inlineStr">
        <is>
          <t>C25</t>
        </is>
      </c>
      <c r="C44" s="8" t="inlineStr">
        <is>
          <t>First-year debt service (IO)</t>
        </is>
      </c>
      <c r="D44" s="8" t="inlineStr">
        <is>
          <t>OUTPUT</t>
        </is>
      </c>
    </row>
    <row r="45">
      <c r="A45" s="6" t="inlineStr">
        <is>
          <t>Loan Sizing</t>
        </is>
      </c>
      <c r="B45" s="8" t="inlineStr">
        <is>
          <t>C31</t>
        </is>
      </c>
      <c r="C45" s="8" t="inlineStr">
        <is>
          <t>Cash to / (from) borrower</t>
        </is>
      </c>
      <c r="D45" s="8" t="inlineStr">
        <is>
          <t>OUTPUT</t>
        </is>
      </c>
    </row>
    <row r="46">
      <c r="A46" s="6" t="inlineStr">
        <is>
          <t>Sensitivity</t>
        </is>
      </c>
      <c r="B46" s="8" t="inlineStr">
        <is>
          <t>C22</t>
        </is>
      </c>
      <c r="C46" s="8" t="inlineStr">
        <is>
          <t>Combined downside max loan</t>
        </is>
      </c>
      <c r="D46" s="8" t="inlineStr">
        <is>
          <t>OUTPUT</t>
        </is>
      </c>
    </row>
    <row r="47">
      <c r="A47" s="6" t="inlineStr">
        <is>
          <t>Sensitivity</t>
        </is>
      </c>
      <c r="B47" s="8" t="inlineStr">
        <is>
          <t>G22</t>
        </is>
      </c>
      <c r="C47" s="8" t="inlineStr">
        <is>
          <t>Cap+50 bps max loan</t>
        </is>
      </c>
      <c r="D47" s="8" t="inlineStr">
        <is>
          <t>OUTPUT</t>
        </is>
      </c>
    </row>
  </sheetData>
  <mergeCells count="11">
    <mergeCell ref="A2:F2"/>
    <mergeCell ref="A11:F11"/>
    <mergeCell ref="A10:F10"/>
    <mergeCell ref="A13:F13"/>
    <mergeCell ref="A1:F1"/>
    <mergeCell ref="A5:F5"/>
    <mergeCell ref="A9:F9"/>
    <mergeCell ref="A8:F8"/>
    <mergeCell ref="A6:F6"/>
    <mergeCell ref="A4:F4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8" customWidth="1" min="3" max="3"/>
    <col width="4" customWidth="1" min="4" max="4"/>
    <col width="60" customWidth="1" min="5" max="5"/>
    <col width="20" customWidth="1" min="6" max="6"/>
  </cols>
  <sheetData>
    <row r="1">
      <c r="A1" s="9" t="inlineStr">
        <is>
          <t xml:space="preserve">  Editable Assumptions — change any yellow cell</t>
        </is>
      </c>
      <c r="B1" s="10" t="n"/>
      <c r="C1" s="10" t="n"/>
      <c r="D1" s="10" t="n"/>
      <c r="E1" s="10" t="n"/>
      <c r="F1" s="10" t="n"/>
    </row>
    <row r="3">
      <c r="B3" s="2" t="inlineStr">
        <is>
          <t>All assumptions from lender term sheet, property plan, and T12 packet.</t>
        </is>
      </c>
    </row>
    <row r="5">
      <c r="B5" s="3" t="inlineStr">
        <is>
          <t>Item</t>
        </is>
      </c>
      <c r="C5" s="3" t="inlineStr">
        <is>
          <t>Value</t>
        </is>
      </c>
      <c r="E5" s="3" t="inlineStr">
        <is>
          <t>Source / note</t>
        </is>
      </c>
    </row>
    <row r="7">
      <c r="B7" t="inlineStr">
        <is>
          <t>Cap rate</t>
        </is>
      </c>
      <c r="C7" s="11" t="n">
        <v>0.0575</v>
      </c>
      <c r="E7" s="2" t="inlineStr">
        <is>
          <t>Lender-Terms.pdf p.1 — valuation cap</t>
        </is>
      </c>
    </row>
    <row r="8">
      <c r="B8" t="inlineStr">
        <is>
          <t>Contract rate</t>
        </is>
      </c>
      <c r="C8" s="11" t="n">
        <v>0.0625</v>
      </c>
      <c r="E8" s="2" t="inlineStr">
        <is>
          <t>Lender-Terms.pdf p.1 — fixed contract rate</t>
        </is>
      </c>
    </row>
    <row r="9">
      <c r="B9" t="inlineStr">
        <is>
          <t>Sizing rate floor</t>
        </is>
      </c>
      <c r="C9" s="11" t="n">
        <v>0.065</v>
      </c>
      <c r="E9" s="2" t="inlineStr">
        <is>
          <t>Lender-Terms.pdf p.1 — underwriting floor</t>
        </is>
      </c>
    </row>
    <row r="10">
      <c r="B10" t="inlineStr">
        <is>
          <t>Sizing rate (effective)</t>
        </is>
      </c>
      <c r="C10" s="12">
        <f>MAX(C8,C9)</f>
        <v/>
      </c>
      <c r="E10" s="2">
        <f> greater of contract rate and sizing floor</f>
        <v/>
      </c>
    </row>
    <row r="11">
      <c r="B11" t="inlineStr">
        <is>
          <t>Amortization (years)</t>
        </is>
      </c>
      <c r="C11" s="13" t="n">
        <v>30</v>
      </c>
      <c r="E11" s="2" t="inlineStr">
        <is>
          <t>Lender-Terms.pdf p.1</t>
        </is>
      </c>
    </row>
    <row r="12">
      <c r="B12" t="inlineStr">
        <is>
          <t>IO months</t>
        </is>
      </c>
      <c r="C12" s="13" t="n">
        <v>36</v>
      </c>
      <c r="E12" s="2" t="inlineStr">
        <is>
          <t>Lender-Terms.pdf p.1</t>
        </is>
      </c>
    </row>
    <row r="13">
      <c r="B13" t="inlineStr">
        <is>
          <t>Maturity (months)</t>
        </is>
      </c>
      <c r="C13" s="13" t="n">
        <v>60</v>
      </c>
      <c r="E13" s="2" t="inlineStr">
        <is>
          <t>Lender-Terms.pdf p.1</t>
        </is>
      </c>
    </row>
    <row r="14">
      <c r="B14" t="inlineStr">
        <is>
          <t>LTV max</t>
        </is>
      </c>
      <c r="C14" s="11" t="n">
        <v>0.6</v>
      </c>
      <c r="E14" s="2" t="inlineStr">
        <is>
          <t>Lender-Terms.pdf p.1</t>
        </is>
      </c>
    </row>
    <row r="15">
      <c r="B15" t="inlineStr">
        <is>
          <t>DSCR min</t>
        </is>
      </c>
      <c r="C15" s="14" t="n">
        <v>1.3</v>
      </c>
      <c r="E15" s="2" t="inlineStr">
        <is>
          <t>Lender-Terms.pdf p.1 — NCF / amortizing DS at sizing rate</t>
        </is>
      </c>
    </row>
    <row r="16">
      <c r="B16" t="inlineStr">
        <is>
          <t>Debt yield min</t>
        </is>
      </c>
      <c r="C16" s="11" t="n">
        <v>0.09</v>
      </c>
      <c r="E16" s="2" t="inlineStr">
        <is>
          <t>Lender-Terms.pdf p.1 — NCF / max loan</t>
        </is>
      </c>
    </row>
    <row r="17">
      <c r="B17" t="inlineStr">
        <is>
          <t>Origination fee (% of loan)</t>
        </is>
      </c>
      <c r="C17" s="11" t="n">
        <v>0.01</v>
      </c>
      <c r="E17" s="2" t="inlineStr">
        <is>
          <t>Lender-Terms.pdf p.1</t>
        </is>
      </c>
    </row>
    <row r="18">
      <c r="B18" t="inlineStr">
        <is>
          <t>Existing debt payoff</t>
        </is>
      </c>
      <c r="C18" s="15" t="n">
        <v>4500000</v>
      </c>
      <c r="E18" s="2" t="inlineStr">
        <is>
          <t>Property-and-Plan.pdf p.1</t>
        </is>
      </c>
    </row>
    <row r="19">
      <c r="B19" t="inlineStr">
        <is>
          <t>Fixed closing costs</t>
        </is>
      </c>
      <c r="C19" s="15" t="n">
        <v>65000</v>
      </c>
      <c r="E19" s="2" t="inlineStr">
        <is>
          <t>Property-and-Plan.pdf p.1</t>
        </is>
      </c>
    </row>
    <row r="20">
      <c r="B20" t="inlineStr">
        <is>
          <t>Replacement reserves ($/unit/yr)</t>
        </is>
      </c>
      <c r="C20" s="15" t="n">
        <v>325</v>
      </c>
      <c r="E20" s="2" t="inlineStr">
        <is>
          <t>Property-and-Plan.pdf p.2</t>
        </is>
      </c>
    </row>
    <row r="21">
      <c r="B21" t="inlineStr">
        <is>
          <t>Underwritten GPR</t>
        </is>
      </c>
      <c r="C21" s="15" t="n">
        <v>1056000</v>
      </c>
      <c r="E21" s="2" t="inlineStr">
        <is>
          <t>Property-and-Plan.pdf p.2 — scenario</t>
        </is>
      </c>
    </row>
    <row r="22">
      <c r="B22" t="inlineStr">
        <is>
          <t>Revenue loss % of GPR</t>
        </is>
      </c>
      <c r="C22" s="11" t="n">
        <v>0.07000000000000001</v>
      </c>
      <c r="E22" s="2" t="inlineStr">
        <is>
          <t>Property-and-Plan.pdf p.2 — vacancy+conc+bad debt</t>
        </is>
      </c>
    </row>
    <row r="23">
      <c r="B23" t="inlineStr">
        <is>
          <t>Other income (annual)</t>
        </is>
      </c>
      <c r="C23" s="15" t="n">
        <v>43200</v>
      </c>
      <c r="E23" s="2" t="inlineStr">
        <is>
          <t>Property-and-Plan.pdf p.2 — post revenue loss</t>
        </is>
      </c>
    </row>
    <row r="24">
      <c r="B24" t="inlineStr">
        <is>
          <t>Mgmt fee % of EGI (floor)</t>
        </is>
      </c>
      <c r="C24" s="11" t="n">
        <v>0.035</v>
      </c>
      <c r="E24" s="2" t="inlineStr">
        <is>
          <t>Property-and-Plan.pdf p.2</t>
        </is>
      </c>
    </row>
    <row r="25">
      <c r="B25" t="inlineStr">
        <is>
          <t>T12 mgmt fee (dollar floor)</t>
        </is>
      </c>
      <c r="C25" s="15" t="n">
        <v>28000</v>
      </c>
      <c r="E25" s="2" t="inlineStr">
        <is>
          <t>T12-Statement.pdf p.2 annual</t>
        </is>
      </c>
    </row>
    <row r="26">
      <c r="B26" t="inlineStr">
        <is>
          <t>Total units</t>
        </is>
      </c>
      <c r="C26" s="13" t="n">
        <v>48</v>
      </c>
      <c r="E26" s="2" t="inlineStr">
        <is>
          <t>Rent-Roll.xlsx</t>
        </is>
      </c>
    </row>
  </sheetData>
  <mergeCells count="2">
    <mergeCell ref="A1:F1"/>
    <mergeCell ref="B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8" customWidth="1" min="3" max="3"/>
    <col width="18" customWidth="1" min="4" max="4"/>
    <col width="18" customWidth="1" min="5" max="5"/>
    <col width="4" customWidth="1" min="6" max="6"/>
    <col width="22" customWidth="1" min="7" max="7"/>
    <col width="18" customWidth="1" min="8" max="8"/>
  </cols>
  <sheetData>
    <row r="1">
      <c r="A1" s="9" t="inlineStr">
        <is>
          <t xml:space="preserve">  Historical T12 vs Underwritten Scenario</t>
        </is>
      </c>
      <c r="B1" s="10" t="n"/>
      <c r="C1" s="10" t="n"/>
      <c r="D1" s="10" t="n"/>
      <c r="E1" s="10" t="n"/>
      <c r="F1" s="10" t="n"/>
      <c r="G1" s="10" t="n"/>
      <c r="H1" s="10" t="n"/>
    </row>
    <row r="3">
      <c r="B3" s="2" t="inlineStr">
        <is>
          <t>T12 = Sep-2025 to Aug-2026 (T12-Statement.pdf).  UW = scenario per Property-and-Plan.pdf p.2.</t>
        </is>
      </c>
    </row>
    <row r="5">
      <c r="B5" s="3" t="inlineStr">
        <is>
          <t>Line</t>
        </is>
      </c>
      <c r="C5" s="3" t="inlineStr">
        <is>
          <t>T12 Actual</t>
        </is>
      </c>
      <c r="D5" s="3" t="inlineStr">
        <is>
          <t>UW Scenario</t>
        </is>
      </c>
      <c r="E5" s="3" t="inlineStr">
        <is>
          <t>Delta</t>
        </is>
      </c>
      <c r="G5" s="3" t="inlineStr">
        <is>
          <t>Summary Output</t>
        </is>
      </c>
      <c r="H5" s="3" t="inlineStr">
        <is>
          <t>Value</t>
        </is>
      </c>
    </row>
    <row r="6">
      <c r="B6" s="3" t="inlineStr">
        <is>
          <t>REVENUE</t>
        </is>
      </c>
      <c r="C6" s="16" t="n"/>
      <c r="D6" s="16" t="n"/>
      <c r="E6" s="16" t="n"/>
    </row>
    <row r="7">
      <c r="B7" t="inlineStr">
        <is>
          <t>Gross potential base rent</t>
        </is>
      </c>
      <c r="C7" s="16" t="n">
        <v>1036800</v>
      </c>
      <c r="D7" s="16">
        <f>UW_GPR</f>
        <v/>
      </c>
      <c r="E7" s="16">
        <f>D7-C7</f>
        <v/>
      </c>
      <c r="G7" s="17" t="inlineStr">
        <is>
          <t>Historical T12 EGI</t>
        </is>
      </c>
      <c r="H7" s="18">
        <f>C10</f>
        <v/>
      </c>
    </row>
    <row r="8">
      <c r="B8" t="inlineStr">
        <is>
          <t>Vacancy / concessions / bad debt</t>
        </is>
      </c>
      <c r="C8" s="16" t="n">
        <v>-375600</v>
      </c>
      <c r="D8" s="16">
        <f>-UW_GPR*RevLossPct</f>
        <v/>
      </c>
      <c r="E8" s="16">
        <f>D8-C8</f>
        <v/>
      </c>
      <c r="G8" s="17" t="inlineStr">
        <is>
          <t>Historical T12 OpEx</t>
        </is>
      </c>
      <c r="H8" s="18">
        <f>C20</f>
        <v/>
      </c>
    </row>
    <row r="9">
      <c r="B9" t="inlineStr">
        <is>
          <t>Other income / recoveries</t>
        </is>
      </c>
      <c r="C9" s="16" t="n">
        <v>30000</v>
      </c>
      <c r="D9" s="16">
        <f>OtherInc</f>
        <v/>
      </c>
      <c r="E9" s="16">
        <f>D9-C9</f>
        <v/>
      </c>
      <c r="G9" s="17" t="inlineStr">
        <is>
          <t>Historical NOI before res.</t>
        </is>
      </c>
      <c r="H9" s="18">
        <f>C22</f>
        <v/>
      </c>
    </row>
    <row r="10">
      <c r="B10" s="19" t="inlineStr">
        <is>
          <t>Effective Gross Income (EGI)</t>
        </is>
      </c>
      <c r="C10" s="20">
        <f>C7+C8+C9</f>
        <v/>
      </c>
      <c r="D10" s="20">
        <f>D7+D8+D9</f>
        <v/>
      </c>
      <c r="E10" s="16">
        <f>D10-C10</f>
        <v/>
      </c>
      <c r="G10" s="17" t="inlineStr">
        <is>
          <t>Historical NCF (after res.)</t>
        </is>
      </c>
      <c r="H10" s="18">
        <f>C24</f>
        <v/>
      </c>
    </row>
    <row r="11">
      <c r="C11" s="16" t="n"/>
      <c r="D11" s="16" t="n"/>
      <c r="E11" s="16" t="n"/>
    </row>
    <row r="12">
      <c r="B12" s="3" t="inlineStr">
        <is>
          <t>OPERATING EXPENSES</t>
        </is>
      </c>
      <c r="C12" s="16" t="n"/>
      <c r="D12" s="16" t="n"/>
      <c r="E12" s="16" t="n"/>
      <c r="G12" s="17" t="inlineStr">
        <is>
          <t>Underwritten EGI</t>
        </is>
      </c>
      <c r="H12" s="18">
        <f>D10</f>
        <v/>
      </c>
    </row>
    <row r="13">
      <c r="B13" t="inlineStr">
        <is>
          <t>Real estate taxes</t>
        </is>
      </c>
      <c r="C13" s="16" t="n">
        <v>132000</v>
      </c>
      <c r="D13" s="16" t="n">
        <v>138000</v>
      </c>
      <c r="E13" s="16">
        <f>D13-C13</f>
        <v/>
      </c>
      <c r="G13" s="17" t="inlineStr">
        <is>
          <t>Underwritten Mgmt fee</t>
        </is>
      </c>
      <c r="H13" s="18">
        <f>D19</f>
        <v/>
      </c>
    </row>
    <row r="14">
      <c r="B14" t="inlineStr">
        <is>
          <t>Property insurance</t>
        </is>
      </c>
      <c r="C14" s="16" t="n">
        <v>40800</v>
      </c>
      <c r="D14" s="16" t="n">
        <v>45600</v>
      </c>
      <c r="E14" s="16">
        <f>D14-C14</f>
        <v/>
      </c>
      <c r="G14" s="17" t="inlineStr">
        <is>
          <t>Underwritten OpEx (pre-res.)</t>
        </is>
      </c>
      <c r="H14" s="18">
        <f>D20</f>
        <v/>
      </c>
    </row>
    <row r="15">
      <c r="B15" t="inlineStr">
        <is>
          <t>Utilities</t>
        </is>
      </c>
      <c r="C15" s="16" t="n">
        <v>33600</v>
      </c>
      <c r="D15" s="16" t="n">
        <v>33600</v>
      </c>
      <c r="E15" s="16">
        <f>D15-C15</f>
        <v/>
      </c>
      <c r="G15" s="17" t="inlineStr">
        <is>
          <t>Underwritten NOI (pre-res.)</t>
        </is>
      </c>
      <c r="H15" s="18">
        <f>D22</f>
        <v/>
      </c>
    </row>
    <row r="16">
      <c r="B16" t="inlineStr">
        <is>
          <t>Repairs &amp; maintenance</t>
        </is>
      </c>
      <c r="C16" s="16" t="n">
        <v>54000</v>
      </c>
      <c r="D16" s="16" t="n">
        <v>42000</v>
      </c>
      <c r="E16" s="16">
        <f>D16-C16</f>
        <v/>
      </c>
      <c r="G16" s="17" t="inlineStr">
        <is>
          <t>Underwritten Reserves</t>
        </is>
      </c>
      <c r="H16" s="18">
        <f>D23</f>
        <v/>
      </c>
    </row>
    <row r="17">
      <c r="B17" t="inlineStr">
        <is>
          <t>Payroll / contract labor</t>
        </is>
      </c>
      <c r="C17" s="16" t="n">
        <v>55200</v>
      </c>
      <c r="D17" s="16" t="n">
        <v>55200</v>
      </c>
      <c r="E17" s="16">
        <f>D17-C17</f>
        <v/>
      </c>
      <c r="G17" s="17" t="inlineStr">
        <is>
          <t>Underwritten NCF (post-res.)</t>
        </is>
      </c>
      <c r="H17" s="18">
        <f>D24</f>
        <v/>
      </c>
    </row>
    <row r="18">
      <c r="B18" t="inlineStr">
        <is>
          <t>Administrative / legal</t>
        </is>
      </c>
      <c r="C18" s="16" t="n">
        <v>27600</v>
      </c>
      <c r="D18" s="16" t="n">
        <v>27600</v>
      </c>
      <c r="E18" s="16">
        <f>D18-C18</f>
        <v/>
      </c>
    </row>
    <row r="19">
      <c r="B19" t="inlineStr">
        <is>
          <t>Management fee (greater of T12 or 3.50% EGI)</t>
        </is>
      </c>
      <c r="C19" s="16" t="n">
        <v>28000</v>
      </c>
      <c r="D19" s="16">
        <f>MAX(MgmtDollarFloor,D10*MgmtPct)</f>
        <v/>
      </c>
      <c r="E19" s="16">
        <f>D19-C19</f>
        <v/>
      </c>
      <c r="G19" s="17" t="inlineStr">
        <is>
          <t>Cap rate</t>
        </is>
      </c>
      <c r="H19" s="21">
        <f>CapRate</f>
        <v/>
      </c>
    </row>
    <row r="20">
      <c r="B20" s="19" t="inlineStr">
        <is>
          <t>Total operating expenses</t>
        </is>
      </c>
      <c r="C20" s="20">
        <f>SUM(C13:C19)</f>
        <v/>
      </c>
      <c r="D20" s="20">
        <f>SUM(D13:D19)</f>
        <v/>
      </c>
      <c r="E20" s="16">
        <f>D20-C20</f>
        <v/>
      </c>
      <c r="G20" s="17" t="inlineStr">
        <is>
          <t>Capitalization value</t>
        </is>
      </c>
      <c r="H20" s="18">
        <f>D22/CapRate</f>
        <v/>
      </c>
    </row>
    <row r="21">
      <c r="C21" s="16" t="n"/>
      <c r="D21" s="16" t="n"/>
      <c r="E21" s="16" t="n"/>
    </row>
    <row r="22">
      <c r="B22" s="22" t="inlineStr">
        <is>
          <t>NOI before reserves</t>
        </is>
      </c>
      <c r="C22" s="23">
        <f>C10-C20</f>
        <v/>
      </c>
      <c r="D22" s="23">
        <f>D10-D20</f>
        <v/>
      </c>
      <c r="E22" s="16">
        <f>D22-C22</f>
        <v/>
      </c>
    </row>
    <row r="23">
      <c r="B23" t="inlineStr">
        <is>
          <t>Replacement reserves</t>
        </is>
      </c>
      <c r="C23" s="16" t="n">
        <v>14400</v>
      </c>
      <c r="D23" s="16">
        <f>TotalUnits*ResPerUnit</f>
        <v/>
      </c>
      <c r="E23" s="16">
        <f>D23-C23</f>
        <v/>
      </c>
    </row>
    <row r="24">
      <c r="B24" s="22" t="inlineStr">
        <is>
          <t>Net Cash Flow (after reserves)</t>
        </is>
      </c>
      <c r="C24" s="23">
        <f>C22-C23</f>
        <v/>
      </c>
      <c r="D24" s="23">
        <f>D22-D23</f>
        <v/>
      </c>
      <c r="E24" s="16">
        <f>D24-C24</f>
        <v/>
      </c>
    </row>
    <row r="32">
      <c r="G32" t="inlineStr">
        <is>
          <t>Underwritten NOI before reserves</t>
        </is>
      </c>
      <c r="H32" s="24">
        <f>UW_NOI</f>
        <v/>
      </c>
    </row>
    <row r="34">
      <c r="G34" t="inlineStr">
        <is>
          <t>Underwritten NCF</t>
        </is>
      </c>
      <c r="H34" s="24">
        <f>UW_NCF</f>
        <v/>
      </c>
    </row>
    <row r="37">
      <c r="G37" t="inlineStr">
        <is>
          <t>Capitalization value</t>
        </is>
      </c>
      <c r="H37" s="24">
        <f>CapValue</f>
        <v/>
      </c>
    </row>
  </sheetData>
  <mergeCells count="2">
    <mergeCell ref="B3:H3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20" customWidth="1" min="3" max="3"/>
    <col width="4" customWidth="1" min="4" max="4"/>
    <col width="42" customWidth="1" min="5" max="5"/>
    <col width="20" customWidth="1" min="6" max="6"/>
  </cols>
  <sheetData>
    <row r="1">
      <c r="A1" s="9" t="inlineStr">
        <is>
          <t xml:space="preserve">  Loan Sizing — LTV / DSCR / Debt Yield</t>
        </is>
      </c>
      <c r="B1" s="10" t="n"/>
      <c r="C1" s="10" t="n"/>
      <c r="D1" s="10" t="n"/>
      <c r="E1" s="10" t="n"/>
      <c r="F1" s="10" t="n"/>
    </row>
    <row r="3">
      <c r="B3" s="2" t="inlineStr">
        <is>
          <t>Sizing follows lender-terms conventions exactly: LTV on UW NOI/cap; DSCR on UW NCF over amortizing DS at sizing rate; DY on UW NCF over loan.</t>
        </is>
      </c>
    </row>
    <row r="5">
      <c r="B5" s="3" t="inlineStr">
        <is>
          <t>Rate &amp; amortization inputs</t>
        </is>
      </c>
    </row>
    <row r="6">
      <c r="B6" t="inlineStr">
        <is>
          <t>Contract rate</t>
        </is>
      </c>
      <c r="C6" s="25">
        <f>ContractRate</f>
        <v/>
      </c>
      <c r="E6" s="3" t="inlineStr">
        <is>
          <t>Sources &amp; Uses</t>
        </is>
      </c>
    </row>
    <row r="7">
      <c r="B7" t="inlineStr">
        <is>
          <t>Sizing rate</t>
        </is>
      </c>
      <c r="C7" s="25">
        <f>SizingRate</f>
        <v/>
      </c>
      <c r="E7" t="inlineStr">
        <is>
          <t>SOURCES</t>
        </is>
      </c>
    </row>
    <row r="8">
      <c r="B8" t="inlineStr">
        <is>
          <t>Amortization (years)</t>
        </is>
      </c>
      <c r="C8">
        <f>AmortYears</f>
        <v/>
      </c>
      <c r="E8" t="inlineStr">
        <is>
          <t>New first mortgage</t>
        </is>
      </c>
      <c r="F8" s="16">
        <f>MaxLoan</f>
        <v/>
      </c>
    </row>
    <row r="9">
      <c r="B9" t="inlineStr">
        <is>
          <t>Monthly amort factor</t>
        </is>
      </c>
      <c r="C9" s="26">
        <f>(SizingRate/12)/(1-(1+SizingRate/12)^(-AmortYears*12))</f>
        <v/>
      </c>
      <c r="E9" t="inlineStr">
        <is>
          <t>Sponsor cash (if any)</t>
        </is>
      </c>
      <c r="F9" s="16">
        <f>MAX(0,-F19)</f>
        <v/>
      </c>
    </row>
    <row r="10">
      <c r="B10" t="inlineStr">
        <is>
          <t>Annual debt constant</t>
        </is>
      </c>
      <c r="E10" t="inlineStr">
        <is>
          <t>Total sources</t>
        </is>
      </c>
      <c r="F10" s="16">
        <f>SUM(F8:F9)</f>
        <v/>
      </c>
    </row>
    <row r="11">
      <c r="B11" t="inlineStr">
        <is>
          <t xml:space="preserve">  = 12 × monthly factor</t>
        </is>
      </c>
      <c r="C11" s="27">
        <f>C9*12</f>
        <v/>
      </c>
    </row>
    <row r="12">
      <c r="E12" t="inlineStr">
        <is>
          <t>USES</t>
        </is>
      </c>
    </row>
    <row r="13">
      <c r="B13" t="inlineStr">
        <is>
          <t>LTV max loan  = LTVmax × CapValue</t>
        </is>
      </c>
      <c r="C13" s="24">
        <f>LTVmax*CapValue</f>
        <v/>
      </c>
      <c r="E13" t="inlineStr">
        <is>
          <t>Existing debt payoff</t>
        </is>
      </c>
      <c r="F13" s="16">
        <f>ExistingPayoff</f>
        <v/>
      </c>
    </row>
    <row r="14">
      <c r="B14" t="inlineStr">
        <is>
          <t>DSCR max loan = UW NCF / (DSCRmin × ADC)</t>
        </is>
      </c>
      <c r="C14" s="24">
        <f>UW_NCF/(DSCRmin*ADC)</f>
        <v/>
      </c>
      <c r="E14" t="inlineStr">
        <is>
          <t>Origination fee</t>
        </is>
      </c>
      <c r="F14" s="16">
        <f>MaxLoan*OrigFeePct</f>
        <v/>
      </c>
    </row>
    <row r="15">
      <c r="B15" t="inlineStr">
        <is>
          <t>DY max loan   = UW NCF / DYmin</t>
        </is>
      </c>
      <c r="C15" s="24">
        <f>UW_NCF/DYmin</f>
        <v/>
      </c>
      <c r="E15" t="inlineStr">
        <is>
          <t>Fixed closing costs</t>
        </is>
      </c>
      <c r="F15" s="16">
        <f>FixedCosts</f>
        <v/>
      </c>
    </row>
    <row r="16">
      <c r="E16" t="inlineStr">
        <is>
          <t>Cash to borrower (out)</t>
        </is>
      </c>
      <c r="F16" s="16">
        <f>MAX(0,F19)</f>
        <v/>
      </c>
    </row>
    <row r="17">
      <c r="B17" t="inlineStr">
        <is>
          <t>MAXIMUM LOAN  (min of three)</t>
        </is>
      </c>
      <c r="C17" s="28">
        <f>MIN(C13:C15)</f>
        <v/>
      </c>
      <c r="E17" t="inlineStr">
        <is>
          <t>Total uses</t>
        </is>
      </c>
      <c r="F17" s="16">
        <f>SUM(F13:F16)</f>
        <v/>
      </c>
    </row>
    <row r="18">
      <c r="B18" t="inlineStr">
        <is>
          <t>Binding constraint</t>
        </is>
      </c>
      <c r="C18" s="29">
        <f>INDEX({"LTV","DSCR","Debt yield"},MATCH(C17,C13:C15,0))</f>
        <v/>
      </c>
    </row>
    <row r="19">
      <c r="E19" t="inlineStr">
        <is>
          <t>Cash to / (from) borrower</t>
        </is>
      </c>
      <c r="F19" s="30">
        <f>MaxLoan-ExistingPayoff-MaxLoan*OrigFeePct-FixedCosts</f>
        <v/>
      </c>
    </row>
    <row r="20">
      <c r="B20" s="3" t="inlineStr">
        <is>
          <t>Sizing metrics at maximum loan</t>
        </is>
      </c>
    </row>
    <row r="21">
      <c r="B21" t="inlineStr">
        <is>
          <t>Annual DS (amortizing, sizing rate)</t>
        </is>
      </c>
      <c r="C21" s="31">
        <f>MaxLoan*ADC</f>
        <v/>
      </c>
    </row>
    <row r="22">
      <c r="B22" t="inlineStr">
        <is>
          <t>Sizing DSCR (NCF / amort DS)</t>
        </is>
      </c>
      <c r="C22" s="32">
        <f>UW_NCF/C21</f>
        <v/>
      </c>
    </row>
    <row r="23">
      <c r="B23" t="inlineStr">
        <is>
          <t>Sizing debt yield (NCF / loan)</t>
        </is>
      </c>
      <c r="C23" s="21">
        <f>UW_NCF/MaxLoan</f>
        <v/>
      </c>
    </row>
    <row r="24">
      <c r="B24" t="inlineStr">
        <is>
          <t>Actual LTV (loan / cap value)</t>
        </is>
      </c>
      <c r="C24" s="21">
        <f>MaxLoan/CapValue</f>
        <v/>
      </c>
    </row>
    <row r="25">
      <c r="B25" t="inlineStr">
        <is>
          <t>First-year contractual DS (IO @ contract rate)</t>
        </is>
      </c>
      <c r="C25" s="33">
        <f>MaxLoan*ContractRate</f>
        <v/>
      </c>
    </row>
    <row r="31">
      <c r="B31" t="inlineStr">
        <is>
          <t>Cash to / (from) borrower  (negative = cash-in)</t>
        </is>
      </c>
      <c r="C31" s="30">
        <f>F19</f>
        <v/>
      </c>
    </row>
  </sheetData>
  <mergeCells count="5">
    <mergeCell ref="E6:F6"/>
    <mergeCell ref="B20:F20"/>
    <mergeCell ref="A1:F1"/>
    <mergeCell ref="B3:F3"/>
    <mergeCell ref="B5:F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4" customWidth="1" min="4" max="4"/>
    <col width="42" customWidth="1" min="5" max="5"/>
    <col width="18" customWidth="1" min="6" max="6"/>
  </cols>
  <sheetData>
    <row r="1">
      <c r="A1" s="9" t="inlineStr">
        <is>
          <t xml:space="preserve">  Sensitivity — combined downside &amp; cap-rate shock</t>
        </is>
      </c>
      <c r="B1" s="10" t="n"/>
      <c r="C1" s="10" t="n"/>
      <c r="D1" s="10" t="n"/>
      <c r="E1" s="10" t="n"/>
      <c r="F1" s="10" t="n"/>
    </row>
    <row r="3">
      <c r="B3" s="3" t="inlineStr">
        <is>
          <t>A. Combined downside: EGI −5% AND sizing rate +100 bps (cap rate held constant)</t>
        </is>
      </c>
      <c r="E3" s="3" t="inlineStr">
        <is>
          <t>B. Cap rate +50 bps (standalone) — NOI and sizing rate unchanged</t>
        </is>
      </c>
    </row>
    <row r="5">
      <c r="B5" t="inlineStr">
        <is>
          <t>Stressed EGI</t>
        </is>
      </c>
      <c r="C5" s="16">
        <f>UW_EGI*0.95</f>
        <v/>
      </c>
      <c r="E5" t="inlineStr">
        <is>
          <t>Stressed cap rate</t>
        </is>
      </c>
      <c r="F5" s="25">
        <f>CapRate+0.005</f>
        <v/>
      </c>
    </row>
    <row r="6">
      <c r="B6" t="inlineStr">
        <is>
          <t>Stressed mgmt fee</t>
        </is>
      </c>
      <c r="C6" s="16">
        <f>MAX(MgmtDollarFloor,C5*MgmtPct)</f>
        <v/>
      </c>
      <c r="E6" t="inlineStr">
        <is>
          <t>Stressed cap value</t>
        </is>
      </c>
      <c r="F6" s="16">
        <f>UW_NOI/F5</f>
        <v/>
      </c>
    </row>
    <row r="7">
      <c r="B7" t="inlineStr">
        <is>
          <t>Stressed OpEx (ex. mgmt) + stressed mgmt</t>
        </is>
      </c>
      <c r="C7" s="16">
        <f>(UW_OpEx-UW_MgmtFee)+C6</f>
        <v/>
      </c>
    </row>
    <row r="8">
      <c r="B8" t="inlineStr">
        <is>
          <t>Stressed NOI (before reserves)</t>
        </is>
      </c>
      <c r="C8" s="16">
        <f>C5-C7</f>
        <v/>
      </c>
      <c r="E8" t="inlineStr">
        <is>
          <t>LTV limit</t>
        </is>
      </c>
      <c r="F8" s="16">
        <f>LTVmax*F6</f>
        <v/>
      </c>
    </row>
    <row r="9">
      <c r="B9" t="inlineStr">
        <is>
          <t>Stressed NCF (after reserves)</t>
        </is>
      </c>
      <c r="C9" s="16">
        <f>C8-UW_Reserves</f>
        <v/>
      </c>
      <c r="E9" t="inlineStr">
        <is>
          <t>DSCR limit (unchanged)</t>
        </is>
      </c>
      <c r="F9" s="16">
        <f>UW_NCF/(DSCRmin*ADC)</f>
        <v/>
      </c>
    </row>
    <row r="10">
      <c r="E10" t="inlineStr">
        <is>
          <t>DY limit (unchanged)</t>
        </is>
      </c>
      <c r="F10" s="16">
        <f>UW_NCF/DYmin</f>
        <v/>
      </c>
    </row>
    <row r="11">
      <c r="B11" t="inlineStr">
        <is>
          <t>Stressed cap value (cap rate unchanged)</t>
        </is>
      </c>
      <c r="C11" s="16">
        <f>C8/CapRate</f>
        <v/>
      </c>
    </row>
    <row r="12">
      <c r="B12" t="inlineStr">
        <is>
          <t>Stressed sizing rate (+100 bps)</t>
        </is>
      </c>
      <c r="C12" s="25">
        <f>SizingRate+0.01</f>
        <v/>
      </c>
      <c r="E12" t="inlineStr">
        <is>
          <t>Cap+50 MAX LOAN</t>
        </is>
      </c>
      <c r="F12" s="34">
        <f>MIN(F8:F10)</f>
        <v/>
      </c>
    </row>
    <row r="13">
      <c r="B13" t="inlineStr">
        <is>
          <t>Stressed annual debt constant</t>
        </is>
      </c>
      <c r="C13" s="26">
        <f>12*((C12/12)/(1-(1+C12/12)^(-AmortYears*12)))</f>
        <v/>
      </c>
      <c r="E13" t="inlineStr">
        <is>
          <t>Binding</t>
        </is>
      </c>
      <c r="F13" s="29">
        <f>INDEX({"LTV","DSCR","Debt yield"},MATCH(F12,F8:F10,0))</f>
        <v/>
      </c>
    </row>
    <row r="15">
      <c r="B15" t="inlineStr">
        <is>
          <t>LTV limit</t>
        </is>
      </c>
      <c r="C15" s="16">
        <f>LTVmax*C11</f>
        <v/>
      </c>
      <c r="E15" t="inlineStr">
        <is>
          <t>Δ vs base (max loan)</t>
        </is>
      </c>
      <c r="F15" s="16">
        <f>F12-MaxLoan</f>
        <v/>
      </c>
    </row>
    <row r="16">
      <c r="B16" t="inlineStr">
        <is>
          <t>DSCR limit</t>
        </is>
      </c>
      <c r="C16" s="16">
        <f>C9/(DSCRmin*C13)</f>
        <v/>
      </c>
    </row>
    <row r="17">
      <c r="B17" t="inlineStr">
        <is>
          <t>DY limit</t>
        </is>
      </c>
      <c r="C17" s="16">
        <f>C9/DYmin</f>
        <v/>
      </c>
    </row>
    <row r="19">
      <c r="B19" t="inlineStr">
        <is>
          <t>Combined-downside MAX LOAN</t>
        </is>
      </c>
      <c r="C19" s="34">
        <f>MIN(C15:C17)</f>
        <v/>
      </c>
    </row>
    <row r="20">
      <c r="B20" t="inlineStr">
        <is>
          <t>Binding</t>
        </is>
      </c>
      <c r="C20" s="29">
        <f>INDEX({"LTV","DSCR","Debt yield"},MATCH(C19,C15:C17,0))</f>
        <v/>
      </c>
    </row>
    <row r="22">
      <c r="B22" t="inlineStr">
        <is>
          <t>Δ vs base (max loan)</t>
        </is>
      </c>
      <c r="C22" s="31">
        <f>C19</f>
        <v/>
      </c>
      <c r="E22" t="inlineStr">
        <is>
          <t xml:space="preserve">  → Cap+50 MAX LOAN (anchor)</t>
        </is>
      </c>
      <c r="F22" s="31">
        <f>F12</f>
        <v/>
      </c>
      <c r="G22" s="31">
        <f>F12</f>
        <v/>
      </c>
    </row>
    <row r="23">
      <c r="B23" t="inlineStr">
        <is>
          <t xml:space="preserve">  → Combined-downside MAX LOAN (anchor)</t>
        </is>
      </c>
    </row>
  </sheetData>
  <mergeCells count="3">
    <mergeCell ref="B3:C3"/>
    <mergeCell ref="A1:F1"/>
    <mergeCell ref="E3:F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8" customWidth="1" min="3" max="3"/>
    <col width="10" customWidth="1" min="4" max="4"/>
    <col width="12" customWidth="1" min="5" max="5"/>
    <col width="15" customWidth="1" min="6" max="6"/>
    <col width="15" customWidth="1" min="7" max="7"/>
    <col width="15" customWidth="1" min="8" max="8"/>
  </cols>
  <sheetData>
    <row r="1">
      <c r="A1" s="9" t="inlineStr">
        <is>
          <t xml:space="preserve">  Rent Roll — as of 2026-08-31</t>
        </is>
      </c>
      <c r="B1" s="10" t="n"/>
      <c r="C1" s="10" t="n"/>
      <c r="D1" s="10" t="n"/>
      <c r="E1" s="10" t="n"/>
      <c r="F1" s="10" t="n"/>
      <c r="G1" s="10" t="n"/>
      <c r="H1" s="10" t="n"/>
    </row>
    <row r="3">
      <c r="B3" s="3" t="inlineStr">
        <is>
          <t>Unit</t>
        </is>
      </c>
      <c r="C3" s="3" t="inlineStr">
        <is>
          <t>Tenant</t>
        </is>
      </c>
      <c r="D3" s="3" t="inlineStr">
        <is>
          <t>Area SF</t>
        </is>
      </c>
      <c r="E3" s="3" t="inlineStr">
        <is>
          <t>Status</t>
        </is>
      </c>
      <c r="F3" s="3" t="inlineStr">
        <is>
          <t>Monthly base</t>
        </is>
      </c>
      <c r="G3" s="3" t="inlineStr">
        <is>
          <t>Market rent</t>
        </is>
      </c>
      <c r="H3" s="3" t="inlineStr">
        <is>
          <t>Lease expiry</t>
        </is>
      </c>
    </row>
    <row r="4">
      <c r="B4" t="inlineStr">
        <is>
          <t>101</t>
        </is>
      </c>
      <c r="C4" t="inlineStr">
        <is>
          <t>Household 101</t>
        </is>
      </c>
      <c r="D4" s="35" t="n">
        <v>700</v>
      </c>
      <c r="E4" t="inlineStr">
        <is>
          <t>Occupied</t>
        </is>
      </c>
      <c r="F4" s="31" t="n">
        <v>1575</v>
      </c>
      <c r="G4" s="31" t="n">
        <v>1575</v>
      </c>
    </row>
    <row r="5">
      <c r="B5" t="inlineStr">
        <is>
          <t>102</t>
        </is>
      </c>
      <c r="C5" t="inlineStr">
        <is>
          <t>Household 102</t>
        </is>
      </c>
      <c r="D5" s="35" t="n">
        <v>700</v>
      </c>
      <c r="E5" t="inlineStr">
        <is>
          <t>Occupied</t>
        </is>
      </c>
      <c r="F5" s="31" t="n">
        <v>1575</v>
      </c>
      <c r="G5" s="31" t="n">
        <v>1575</v>
      </c>
    </row>
    <row r="6">
      <c r="B6" t="inlineStr">
        <is>
          <t>103</t>
        </is>
      </c>
      <c r="C6" t="inlineStr">
        <is>
          <t>Household 103</t>
        </is>
      </c>
      <c r="D6" s="35" t="n">
        <v>700</v>
      </c>
      <c r="E6" t="inlineStr">
        <is>
          <t>Occupied</t>
        </is>
      </c>
      <c r="F6" s="31" t="n">
        <v>1575</v>
      </c>
      <c r="G6" s="31" t="n">
        <v>1575</v>
      </c>
    </row>
    <row r="7">
      <c r="B7" t="inlineStr">
        <is>
          <t>104</t>
        </is>
      </c>
      <c r="C7" t="inlineStr">
        <is>
          <t>Household 104</t>
        </is>
      </c>
      <c r="D7" s="35" t="n">
        <v>700</v>
      </c>
      <c r="E7" t="inlineStr">
        <is>
          <t>Occupied</t>
        </is>
      </c>
      <c r="F7" s="31" t="n">
        <v>1575</v>
      </c>
      <c r="G7" s="31" t="n">
        <v>1575</v>
      </c>
    </row>
    <row r="8">
      <c r="B8" t="inlineStr">
        <is>
          <t>105</t>
        </is>
      </c>
      <c r="C8" t="inlineStr">
        <is>
          <t>Household 105</t>
        </is>
      </c>
      <c r="D8" s="35" t="n">
        <v>700</v>
      </c>
      <c r="E8" t="inlineStr">
        <is>
          <t>Occupied</t>
        </is>
      </c>
      <c r="F8" s="31" t="n">
        <v>1575</v>
      </c>
      <c r="G8" s="31" t="n">
        <v>1575</v>
      </c>
    </row>
    <row r="9">
      <c r="B9" t="inlineStr">
        <is>
          <t>106</t>
        </is>
      </c>
      <c r="C9" t="inlineStr">
        <is>
          <t>Household 106</t>
        </is>
      </c>
      <c r="D9" s="35" t="n">
        <v>700</v>
      </c>
      <c r="E9" t="inlineStr">
        <is>
          <t>Occupied</t>
        </is>
      </c>
      <c r="F9" s="31" t="n">
        <v>1575</v>
      </c>
      <c r="G9" s="31" t="n">
        <v>1575</v>
      </c>
    </row>
    <row r="10">
      <c r="B10" t="inlineStr">
        <is>
          <t>107</t>
        </is>
      </c>
      <c r="C10" t="inlineStr">
        <is>
          <t>Household 107</t>
        </is>
      </c>
      <c r="D10" s="35" t="n">
        <v>700</v>
      </c>
      <c r="E10" t="inlineStr">
        <is>
          <t>Occupied</t>
        </is>
      </c>
      <c r="F10" s="31" t="n">
        <v>1575</v>
      </c>
      <c r="G10" s="31" t="n">
        <v>1575</v>
      </c>
    </row>
    <row r="11">
      <c r="B11" t="inlineStr">
        <is>
          <t>108</t>
        </is>
      </c>
      <c r="C11" t="inlineStr">
        <is>
          <t>Household 108</t>
        </is>
      </c>
      <c r="D11" s="35" t="n">
        <v>700</v>
      </c>
      <c r="E11" t="inlineStr">
        <is>
          <t>Occupied</t>
        </is>
      </c>
      <c r="F11" s="31" t="n">
        <v>1575</v>
      </c>
      <c r="G11" s="31" t="n">
        <v>1575</v>
      </c>
    </row>
    <row r="12">
      <c r="B12" t="inlineStr">
        <is>
          <t>109</t>
        </is>
      </c>
      <c r="C12" t="inlineStr">
        <is>
          <t>Household 109</t>
        </is>
      </c>
      <c r="D12" s="35" t="n">
        <v>700</v>
      </c>
      <c r="E12" t="inlineStr">
        <is>
          <t>Occupied</t>
        </is>
      </c>
      <c r="F12" s="31" t="n">
        <v>1575</v>
      </c>
      <c r="G12" s="31" t="n">
        <v>1575</v>
      </c>
    </row>
    <row r="13">
      <c r="B13" t="inlineStr">
        <is>
          <t>110</t>
        </is>
      </c>
      <c r="C13" t="inlineStr">
        <is>
          <t>Household 110</t>
        </is>
      </c>
      <c r="D13" s="35" t="n">
        <v>700</v>
      </c>
      <c r="E13" t="inlineStr">
        <is>
          <t>Occupied</t>
        </is>
      </c>
      <c r="F13" s="31" t="n">
        <v>1575</v>
      </c>
      <c r="G13" s="31" t="n">
        <v>1575</v>
      </c>
    </row>
    <row r="14">
      <c r="B14" t="inlineStr">
        <is>
          <t>111</t>
        </is>
      </c>
      <c r="C14" t="inlineStr">
        <is>
          <t>Household 111</t>
        </is>
      </c>
      <c r="D14" s="35" t="n">
        <v>700</v>
      </c>
      <c r="E14" t="inlineStr">
        <is>
          <t>Occupied</t>
        </is>
      </c>
      <c r="F14" s="31" t="n">
        <v>1575</v>
      </c>
      <c r="G14" s="31" t="n">
        <v>1575</v>
      </c>
    </row>
    <row r="15">
      <c r="B15" t="inlineStr">
        <is>
          <t>112</t>
        </is>
      </c>
      <c r="C15" t="inlineStr">
        <is>
          <t>Household 112</t>
        </is>
      </c>
      <c r="D15" s="35" t="n">
        <v>700</v>
      </c>
      <c r="E15" t="inlineStr">
        <is>
          <t>Occupied</t>
        </is>
      </c>
      <c r="F15" s="31" t="n">
        <v>1575</v>
      </c>
      <c r="G15" s="31" t="n">
        <v>1575</v>
      </c>
    </row>
    <row r="16">
      <c r="B16" t="inlineStr">
        <is>
          <t>113</t>
        </is>
      </c>
      <c r="C16" t="inlineStr">
        <is>
          <t>Household 113</t>
        </is>
      </c>
      <c r="D16" s="35" t="n">
        <v>700</v>
      </c>
      <c r="E16" t="inlineStr">
        <is>
          <t>Occupied</t>
        </is>
      </c>
      <c r="F16" s="31" t="n">
        <v>1575</v>
      </c>
      <c r="G16" s="31" t="n">
        <v>1575</v>
      </c>
    </row>
    <row r="17">
      <c r="B17" t="inlineStr">
        <is>
          <t>114</t>
        </is>
      </c>
      <c r="C17" t="inlineStr">
        <is>
          <t>Household 114</t>
        </is>
      </c>
      <c r="D17" s="35" t="n">
        <v>700</v>
      </c>
      <c r="E17" t="inlineStr">
        <is>
          <t>Occupied</t>
        </is>
      </c>
      <c r="F17" s="31" t="n">
        <v>1575</v>
      </c>
      <c r="G17" s="31" t="n">
        <v>1575</v>
      </c>
    </row>
    <row r="18">
      <c r="B18" t="inlineStr">
        <is>
          <t>115</t>
        </is>
      </c>
      <c r="C18" t="inlineStr">
        <is>
          <t>Household 115</t>
        </is>
      </c>
      <c r="D18" s="35" t="n">
        <v>700</v>
      </c>
      <c r="E18" t="inlineStr">
        <is>
          <t>Occupied</t>
        </is>
      </c>
      <c r="F18" s="31" t="n">
        <v>1575</v>
      </c>
      <c r="G18" s="31" t="n">
        <v>1575</v>
      </c>
    </row>
    <row r="19">
      <c r="B19" t="inlineStr">
        <is>
          <t>116</t>
        </is>
      </c>
      <c r="C19" t="inlineStr">
        <is>
          <t>Household 116</t>
        </is>
      </c>
      <c r="D19" s="35" t="n">
        <v>700</v>
      </c>
      <c r="E19" t="inlineStr">
        <is>
          <t>Occupied</t>
        </is>
      </c>
      <c r="F19" s="31" t="n">
        <v>1575</v>
      </c>
      <c r="G19" s="31" t="n">
        <v>1575</v>
      </c>
    </row>
    <row r="20">
      <c r="B20" t="inlineStr">
        <is>
          <t>117</t>
        </is>
      </c>
      <c r="C20" t="inlineStr">
        <is>
          <t>Household 117</t>
        </is>
      </c>
      <c r="D20" s="35" t="n">
        <v>700</v>
      </c>
      <c r="E20" t="inlineStr">
        <is>
          <t>Occupied</t>
        </is>
      </c>
      <c r="F20" s="31" t="n">
        <v>1575</v>
      </c>
      <c r="G20" s="31" t="n">
        <v>1575</v>
      </c>
    </row>
    <row r="21">
      <c r="B21" t="inlineStr">
        <is>
          <t>118</t>
        </is>
      </c>
      <c r="C21" t="inlineStr">
        <is>
          <t>Household 118</t>
        </is>
      </c>
      <c r="D21" s="35" t="n">
        <v>700</v>
      </c>
      <c r="E21" t="inlineStr">
        <is>
          <t>Occupied</t>
        </is>
      </c>
      <c r="F21" s="31" t="n">
        <v>1575</v>
      </c>
      <c r="G21" s="31" t="n">
        <v>1575</v>
      </c>
    </row>
    <row r="22">
      <c r="B22" t="inlineStr">
        <is>
          <t>119</t>
        </is>
      </c>
      <c r="C22" t="inlineStr">
        <is>
          <t>Household 119</t>
        </is>
      </c>
      <c r="D22" s="35" t="n">
        <v>700</v>
      </c>
      <c r="E22" t="inlineStr">
        <is>
          <t>Occupied</t>
        </is>
      </c>
      <c r="F22" s="31" t="n">
        <v>1575</v>
      </c>
      <c r="G22" s="31" t="n">
        <v>1575</v>
      </c>
    </row>
    <row r="23">
      <c r="B23" t="inlineStr">
        <is>
          <t>120</t>
        </is>
      </c>
      <c r="C23" t="inlineStr">
        <is>
          <t>Household 120</t>
        </is>
      </c>
      <c r="D23" s="35" t="n">
        <v>700</v>
      </c>
      <c r="E23" t="inlineStr">
        <is>
          <t>Occupied</t>
        </is>
      </c>
      <c r="F23" s="31" t="n">
        <v>1575</v>
      </c>
      <c r="G23" s="31" t="n">
        <v>1575</v>
      </c>
    </row>
    <row r="24">
      <c r="B24" t="inlineStr">
        <is>
          <t>121</t>
        </is>
      </c>
      <c r="C24" t="inlineStr">
        <is>
          <t>Household 121</t>
        </is>
      </c>
      <c r="D24" s="35" t="n">
        <v>700</v>
      </c>
      <c r="E24" t="inlineStr">
        <is>
          <t>Occupied</t>
        </is>
      </c>
      <c r="F24" s="31" t="n">
        <v>1575</v>
      </c>
      <c r="G24" s="31" t="n">
        <v>1575</v>
      </c>
    </row>
    <row r="25">
      <c r="B25" t="inlineStr">
        <is>
          <t>122</t>
        </is>
      </c>
      <c r="C25" t="inlineStr">
        <is>
          <t>Household 122</t>
        </is>
      </c>
      <c r="D25" s="35" t="n">
        <v>700</v>
      </c>
      <c r="E25" t="inlineStr">
        <is>
          <t>Occupied</t>
        </is>
      </c>
      <c r="F25" s="31" t="n">
        <v>1575</v>
      </c>
      <c r="G25" s="31" t="n">
        <v>1575</v>
      </c>
    </row>
    <row r="26">
      <c r="B26" t="inlineStr">
        <is>
          <t>123</t>
        </is>
      </c>
      <c r="C26" t="inlineStr">
        <is>
          <t>Household 123</t>
        </is>
      </c>
      <c r="D26" s="35" t="n">
        <v>700</v>
      </c>
      <c r="E26" t="inlineStr">
        <is>
          <t>Occupied</t>
        </is>
      </c>
      <c r="F26" s="31" t="n">
        <v>1575</v>
      </c>
      <c r="G26" s="31" t="n">
        <v>1575</v>
      </c>
    </row>
    <row r="27">
      <c r="B27" t="inlineStr">
        <is>
          <t>124</t>
        </is>
      </c>
      <c r="C27" t="inlineStr">
        <is>
          <t>Household 124</t>
        </is>
      </c>
      <c r="D27" s="35" t="n">
        <v>700</v>
      </c>
      <c r="E27" t="inlineStr">
        <is>
          <t>Occupied</t>
        </is>
      </c>
      <c r="F27" s="31" t="n">
        <v>1575</v>
      </c>
      <c r="G27" s="31" t="n">
        <v>1575</v>
      </c>
    </row>
    <row r="28">
      <c r="B28" t="inlineStr">
        <is>
          <t>125</t>
        </is>
      </c>
      <c r="C28" t="inlineStr">
        <is>
          <t>Household 125</t>
        </is>
      </c>
      <c r="D28" s="35" t="n">
        <v>1100</v>
      </c>
      <c r="E28" t="inlineStr">
        <is>
          <t>Occupied</t>
        </is>
      </c>
      <c r="F28" s="31" t="n">
        <v>2025</v>
      </c>
      <c r="G28" s="31" t="n">
        <v>2025</v>
      </c>
      <c r="H28" t="inlineStr">
        <is>
          <t>2026-09-30</t>
        </is>
      </c>
    </row>
    <row r="29">
      <c r="B29" t="inlineStr">
        <is>
          <t>126</t>
        </is>
      </c>
      <c r="C29" t="inlineStr">
        <is>
          <t>Household 126</t>
        </is>
      </c>
      <c r="D29" s="35" t="n">
        <v>1100</v>
      </c>
      <c r="E29" t="inlineStr">
        <is>
          <t>Occupied</t>
        </is>
      </c>
      <c r="F29" s="31" t="n">
        <v>2025</v>
      </c>
      <c r="G29" s="31" t="n">
        <v>2025</v>
      </c>
      <c r="H29" t="inlineStr">
        <is>
          <t>2026-10-31</t>
        </is>
      </c>
    </row>
    <row r="30">
      <c r="B30" t="inlineStr">
        <is>
          <t>127</t>
        </is>
      </c>
      <c r="C30" t="inlineStr">
        <is>
          <t>Household 127</t>
        </is>
      </c>
      <c r="D30" s="35" t="n">
        <v>1100</v>
      </c>
      <c r="E30" t="inlineStr">
        <is>
          <t>Occupied</t>
        </is>
      </c>
      <c r="F30" s="31" t="n">
        <v>2025</v>
      </c>
      <c r="G30" s="31" t="n">
        <v>2025</v>
      </c>
      <c r="H30" t="inlineStr">
        <is>
          <t>2026-11-30</t>
        </is>
      </c>
    </row>
    <row r="31">
      <c r="B31" t="inlineStr">
        <is>
          <t>128</t>
        </is>
      </c>
      <c r="C31" t="inlineStr">
        <is>
          <t>Household 128</t>
        </is>
      </c>
      <c r="D31" s="35" t="n">
        <v>1100</v>
      </c>
      <c r="E31" t="inlineStr">
        <is>
          <t>Occupied</t>
        </is>
      </c>
      <c r="F31" s="31" t="n">
        <v>2025</v>
      </c>
      <c r="G31" s="31" t="n">
        <v>2025</v>
      </c>
      <c r="H31" t="inlineStr">
        <is>
          <t>2026-12-31</t>
        </is>
      </c>
    </row>
    <row r="32">
      <c r="B32" t="inlineStr">
        <is>
          <t>129</t>
        </is>
      </c>
      <c r="C32" t="inlineStr">
        <is>
          <t>Household 129</t>
        </is>
      </c>
      <c r="D32" s="35" t="n">
        <v>1100</v>
      </c>
      <c r="E32" t="inlineStr">
        <is>
          <t>Occupied</t>
        </is>
      </c>
      <c r="F32" s="31" t="n">
        <v>2025</v>
      </c>
      <c r="G32" s="31" t="n">
        <v>2025</v>
      </c>
      <c r="H32" t="inlineStr">
        <is>
          <t>2027-01-31</t>
        </is>
      </c>
    </row>
    <row r="33">
      <c r="B33" t="inlineStr">
        <is>
          <t>130</t>
        </is>
      </c>
      <c r="C33" t="inlineStr">
        <is>
          <t>Household 130</t>
        </is>
      </c>
      <c r="D33" s="35" t="n">
        <v>1100</v>
      </c>
      <c r="E33" t="inlineStr">
        <is>
          <t>Occupied</t>
        </is>
      </c>
      <c r="F33" s="31" t="n">
        <v>2025</v>
      </c>
      <c r="G33" s="31" t="n">
        <v>2025</v>
      </c>
      <c r="H33" t="inlineStr">
        <is>
          <t>2027-02-28</t>
        </is>
      </c>
    </row>
    <row r="34">
      <c r="B34" t="inlineStr">
        <is>
          <t>131</t>
        </is>
      </c>
      <c r="C34" t="inlineStr">
        <is>
          <t>Household 131</t>
        </is>
      </c>
      <c r="D34" s="35" t="n">
        <v>1100</v>
      </c>
      <c r="E34" t="inlineStr">
        <is>
          <t>Occupied</t>
        </is>
      </c>
      <c r="F34" s="31" t="n">
        <v>2025</v>
      </c>
      <c r="G34" s="31" t="n">
        <v>2025</v>
      </c>
      <c r="H34" t="inlineStr">
        <is>
          <t>2027-03-31</t>
        </is>
      </c>
    </row>
    <row r="35">
      <c r="B35" t="inlineStr">
        <is>
          <t>132</t>
        </is>
      </c>
      <c r="C35" t="inlineStr">
        <is>
          <t>Household 132</t>
        </is>
      </c>
      <c r="D35" s="35" t="n">
        <v>1100</v>
      </c>
      <c r="E35" t="inlineStr">
        <is>
          <t>Occupied</t>
        </is>
      </c>
      <c r="F35" s="31" t="n">
        <v>2025</v>
      </c>
      <c r="G35" s="31" t="n">
        <v>2025</v>
      </c>
      <c r="H35" t="inlineStr">
        <is>
          <t>2027-04-30</t>
        </is>
      </c>
    </row>
    <row r="36">
      <c r="B36" t="inlineStr">
        <is>
          <t>133</t>
        </is>
      </c>
      <c r="C36" t="inlineStr">
        <is>
          <t>Household 133</t>
        </is>
      </c>
      <c r="D36" s="35" t="n">
        <v>1100</v>
      </c>
      <c r="E36" t="inlineStr">
        <is>
          <t>Occupied</t>
        </is>
      </c>
      <c r="F36" s="31" t="n">
        <v>2025</v>
      </c>
      <c r="G36" s="31" t="n">
        <v>2025</v>
      </c>
      <c r="H36" t="inlineStr">
        <is>
          <t>2027-05-31</t>
        </is>
      </c>
    </row>
    <row r="37">
      <c r="B37" t="inlineStr">
        <is>
          <t>134</t>
        </is>
      </c>
      <c r="C37" t="inlineStr">
        <is>
          <t>Vacant</t>
        </is>
      </c>
      <c r="D37" s="35" t="n">
        <v>1100</v>
      </c>
      <c r="E37" t="inlineStr">
        <is>
          <t>Vacant</t>
        </is>
      </c>
      <c r="F37" s="31" t="n"/>
      <c r="G37" s="31" t="n">
        <v>2025</v>
      </c>
    </row>
    <row r="38">
      <c r="B38" t="inlineStr">
        <is>
          <t>135</t>
        </is>
      </c>
      <c r="C38" t="inlineStr">
        <is>
          <t>Vacant</t>
        </is>
      </c>
      <c r="D38" s="35" t="n">
        <v>1100</v>
      </c>
      <c r="E38" t="inlineStr">
        <is>
          <t>Vacant</t>
        </is>
      </c>
      <c r="F38" s="31" t="n"/>
      <c r="G38" s="31" t="n">
        <v>2025</v>
      </c>
    </row>
    <row r="39">
      <c r="B39" t="inlineStr">
        <is>
          <t>136</t>
        </is>
      </c>
      <c r="C39" t="inlineStr">
        <is>
          <t>Vacant</t>
        </is>
      </c>
      <c r="D39" s="35" t="n">
        <v>1100</v>
      </c>
      <c r="E39" t="inlineStr">
        <is>
          <t>Vacant</t>
        </is>
      </c>
      <c r="F39" s="31" t="n"/>
      <c r="G39" s="31" t="n">
        <v>2025</v>
      </c>
    </row>
    <row r="40">
      <c r="B40" t="inlineStr">
        <is>
          <t>137</t>
        </is>
      </c>
      <c r="C40" t="inlineStr">
        <is>
          <t>Vacant</t>
        </is>
      </c>
      <c r="D40" s="35" t="n">
        <v>1100</v>
      </c>
      <c r="E40" t="inlineStr">
        <is>
          <t>Vacant</t>
        </is>
      </c>
      <c r="F40" s="31" t="n"/>
      <c r="G40" s="31" t="n">
        <v>2025</v>
      </c>
    </row>
    <row r="41">
      <c r="B41" t="inlineStr">
        <is>
          <t>138</t>
        </is>
      </c>
      <c r="C41" t="inlineStr">
        <is>
          <t>Vacant</t>
        </is>
      </c>
      <c r="D41" s="35" t="n">
        <v>1100</v>
      </c>
      <c r="E41" t="inlineStr">
        <is>
          <t>Vacant</t>
        </is>
      </c>
      <c r="F41" s="31" t="n"/>
      <c r="G41" s="31" t="n">
        <v>2025</v>
      </c>
    </row>
    <row r="42">
      <c r="B42" t="inlineStr">
        <is>
          <t>139</t>
        </is>
      </c>
      <c r="C42" t="inlineStr">
        <is>
          <t>Vacant</t>
        </is>
      </c>
      <c r="D42" s="35" t="n">
        <v>1100</v>
      </c>
      <c r="E42" t="inlineStr">
        <is>
          <t>Vacant</t>
        </is>
      </c>
      <c r="F42" s="31" t="n"/>
      <c r="G42" s="31" t="n">
        <v>2025</v>
      </c>
    </row>
    <row r="43">
      <c r="B43" t="inlineStr">
        <is>
          <t>140</t>
        </is>
      </c>
      <c r="C43" t="inlineStr">
        <is>
          <t>Vacant</t>
        </is>
      </c>
      <c r="D43" s="35" t="n">
        <v>1100</v>
      </c>
      <c r="E43" t="inlineStr">
        <is>
          <t>Vacant</t>
        </is>
      </c>
      <c r="F43" s="31" t="n"/>
      <c r="G43" s="31" t="n">
        <v>2025</v>
      </c>
    </row>
    <row r="44">
      <c r="B44" t="inlineStr">
        <is>
          <t>141</t>
        </is>
      </c>
      <c r="C44" t="inlineStr">
        <is>
          <t>Vacant</t>
        </is>
      </c>
      <c r="D44" s="35" t="n">
        <v>1100</v>
      </c>
      <c r="E44" t="inlineStr">
        <is>
          <t>Vacant</t>
        </is>
      </c>
      <c r="F44" s="31" t="n"/>
      <c r="G44" s="31" t="n">
        <v>2025</v>
      </c>
    </row>
    <row r="45">
      <c r="B45" t="inlineStr">
        <is>
          <t>142</t>
        </is>
      </c>
      <c r="C45" t="inlineStr">
        <is>
          <t>Vacant</t>
        </is>
      </c>
      <c r="D45" s="35" t="n">
        <v>1100</v>
      </c>
      <c r="E45" t="inlineStr">
        <is>
          <t>Vacant</t>
        </is>
      </c>
      <c r="F45" s="31" t="n"/>
      <c r="G45" s="31" t="n">
        <v>2025</v>
      </c>
    </row>
    <row r="46">
      <c r="B46" t="inlineStr">
        <is>
          <t>143</t>
        </is>
      </c>
      <c r="C46" t="inlineStr">
        <is>
          <t>Vacant</t>
        </is>
      </c>
      <c r="D46" s="35" t="n">
        <v>1100</v>
      </c>
      <c r="E46" t="inlineStr">
        <is>
          <t>Vacant</t>
        </is>
      </c>
      <c r="F46" s="31" t="n"/>
      <c r="G46" s="31" t="n">
        <v>2025</v>
      </c>
    </row>
    <row r="47">
      <c r="B47" t="inlineStr">
        <is>
          <t>144</t>
        </is>
      </c>
      <c r="C47" t="inlineStr">
        <is>
          <t>Vacant</t>
        </is>
      </c>
      <c r="D47" s="35" t="n">
        <v>1100</v>
      </c>
      <c r="E47" t="inlineStr">
        <is>
          <t>Vacant</t>
        </is>
      </c>
      <c r="F47" s="31" t="n"/>
      <c r="G47" s="31" t="n">
        <v>2025</v>
      </c>
    </row>
    <row r="48">
      <c r="B48" t="inlineStr">
        <is>
          <t>145</t>
        </is>
      </c>
      <c r="C48" t="inlineStr">
        <is>
          <t>Vacant</t>
        </is>
      </c>
      <c r="D48" s="35" t="n">
        <v>1100</v>
      </c>
      <c r="E48" t="inlineStr">
        <is>
          <t>Vacant</t>
        </is>
      </c>
      <c r="F48" s="31" t="n"/>
      <c r="G48" s="31" t="n">
        <v>2025</v>
      </c>
    </row>
    <row r="49">
      <c r="B49" t="inlineStr">
        <is>
          <t>146</t>
        </is>
      </c>
      <c r="C49" t="inlineStr">
        <is>
          <t>Vacant</t>
        </is>
      </c>
      <c r="D49" s="35" t="n">
        <v>1100</v>
      </c>
      <c r="E49" t="inlineStr">
        <is>
          <t>Vacant</t>
        </is>
      </c>
      <c r="F49" s="31" t="n"/>
      <c r="G49" s="31" t="n">
        <v>2025</v>
      </c>
    </row>
    <row r="50">
      <c r="B50" t="inlineStr">
        <is>
          <t>147</t>
        </is>
      </c>
      <c r="C50" t="inlineStr">
        <is>
          <t>Vacant</t>
        </is>
      </c>
      <c r="D50" s="35" t="n">
        <v>1100</v>
      </c>
      <c r="E50" t="inlineStr">
        <is>
          <t>Vacant</t>
        </is>
      </c>
      <c r="F50" s="31" t="n"/>
      <c r="G50" s="31" t="n">
        <v>2025</v>
      </c>
    </row>
    <row r="51">
      <c r="B51" t="inlineStr">
        <is>
          <t>148</t>
        </is>
      </c>
      <c r="C51" t="inlineStr">
        <is>
          <t>Vacant</t>
        </is>
      </c>
      <c r="D51" s="35" t="n">
        <v>1100</v>
      </c>
      <c r="E51" t="inlineStr">
        <is>
          <t>Vacant</t>
        </is>
      </c>
      <c r="F51" s="31" t="n"/>
      <c r="G51" s="31" t="n">
        <v>2025</v>
      </c>
    </row>
    <row r="53">
      <c r="B53" s="36" t="inlineStr">
        <is>
          <t>Totals</t>
        </is>
      </c>
      <c r="D53" s="37">
        <f>SUM(D4:D51)</f>
        <v/>
      </c>
      <c r="F53" s="38">
        <f>SUM(F4:F51)</f>
        <v/>
      </c>
    </row>
    <row r="54">
      <c r="B54" t="inlineStr">
        <is>
          <t>Occupied units</t>
        </is>
      </c>
      <c r="D54">
        <f>COUNTIF(E4:E51,"Occupied")</f>
        <v/>
      </c>
    </row>
    <row r="55">
      <c r="B55" t="inlineStr">
        <is>
          <t>Vacant units</t>
        </is>
      </c>
      <c r="D55">
        <f>COUNTIF(E4:E51,"Vacant")</f>
        <v/>
      </c>
    </row>
    <row r="56">
      <c r="B56" t="inlineStr">
        <is>
          <t>Occupied area SF</t>
        </is>
      </c>
      <c r="D56" s="35">
        <f>SUMIFS(D4:D51,E4:E51,"Occupied")</f>
        <v/>
      </c>
    </row>
    <row r="57">
      <c r="B57" t="inlineStr">
        <is>
          <t>In-place monthly base (occupied)</t>
        </is>
      </c>
      <c r="D57" s="31">
        <f>F53</f>
        <v/>
      </c>
    </row>
    <row r="58">
      <c r="B58" t="inlineStr">
        <is>
          <t>In-place annualized base rent</t>
        </is>
      </c>
      <c r="D58" s="31">
        <f>F53*12</f>
        <v/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22" customWidth="1" min="3" max="3"/>
    <col width="55" customWidth="1" min="4" max="4"/>
  </cols>
  <sheetData>
    <row r="1">
      <c r="A1" s="9" t="inlineStr">
        <is>
          <t xml:space="preserve">  Requested Analysis Fields</t>
        </is>
      </c>
      <c r="B1" s="10" t="n"/>
      <c r="C1" s="10" t="n"/>
      <c r="D1" s="10" t="n"/>
    </row>
    <row r="3">
      <c r="B3" s="3" t="inlineStr">
        <is>
          <t>Field ID</t>
        </is>
      </c>
      <c r="C3" s="3" t="inlineStr">
        <is>
          <t>Value</t>
        </is>
      </c>
      <c r="D3" s="3" t="inlineStr">
        <is>
          <t>Basis / source</t>
        </is>
      </c>
    </row>
    <row r="4" ht="24" customHeight="1">
      <c r="B4" s="39" t="inlineStr">
        <is>
          <t>space_count</t>
        </is>
      </c>
      <c r="C4" s="8" t="n">
        <v>48</v>
      </c>
      <c r="D4" s="40" t="inlineStr">
        <is>
          <t>Rent-Roll.xlsx — 48 unit rows (101-148)</t>
        </is>
      </c>
    </row>
    <row r="5" ht="24" customHeight="1">
      <c r="B5" s="39" t="inlineStr">
        <is>
          <t>occupied_count</t>
        </is>
      </c>
      <c r="C5" s="8" t="n">
        <v>33</v>
      </c>
      <c r="D5" s="40" t="inlineStr">
        <is>
          <t>Rent-Roll.xlsx — Status='Occupied'</t>
        </is>
      </c>
    </row>
    <row r="6" ht="24" customHeight="1">
      <c r="B6" s="39" t="inlineStr">
        <is>
          <t>total_area_sf</t>
        </is>
      </c>
      <c r="C6" s="8" t="n">
        <v>43200</v>
      </c>
      <c r="D6" s="40" t="inlineStr">
        <is>
          <t>24×700 + 24×1100</t>
        </is>
      </c>
    </row>
    <row r="7" ht="24" customHeight="1">
      <c r="B7" s="39" t="inlineStr">
        <is>
          <t>occupied_area_sf</t>
        </is>
      </c>
      <c r="C7" s="8" t="n">
        <v>26700</v>
      </c>
      <c r="D7" s="40" t="inlineStr">
        <is>
          <t>24×700 + 9×1100</t>
        </is>
      </c>
    </row>
    <row r="8" ht="24" customHeight="1">
      <c r="B8" s="39" t="inlineStr">
        <is>
          <t>occupancy_count_pct</t>
        </is>
      </c>
      <c r="C8" s="41">
        <f>100*33/48</f>
        <v/>
      </c>
      <c r="D8" s="40">
        <f> 68.75%</f>
        <v/>
      </c>
    </row>
    <row r="9" ht="24" customHeight="1">
      <c r="B9" s="39" t="inlineStr">
        <is>
          <t>occupancy_area_pct</t>
        </is>
      </c>
      <c r="C9" s="41">
        <f>100*26700/43200</f>
        <v/>
      </c>
      <c r="D9" s="40">
        <f> 61.8056%</f>
        <v/>
      </c>
    </row>
    <row r="10" ht="24" customHeight="1">
      <c r="B10" s="39" t="inlineStr">
        <is>
          <t>rent_roll_monthly_base</t>
        </is>
      </c>
      <c r="C10" s="42">
        <f>24*1575+9*2025</f>
        <v/>
      </c>
      <c r="D10" s="40" t="inlineStr">
        <is>
          <t>occupied units only; vacants blank</t>
        </is>
      </c>
    </row>
    <row r="11" ht="24" customHeight="1">
      <c r="B11" s="39" t="inlineStr">
        <is>
          <t>effective_monthly_base</t>
        </is>
      </c>
      <c r="C11" s="42">
        <f>24*1575+9*2025</f>
        <v/>
      </c>
      <c r="D11" s="40" t="inlineStr">
        <is>
          <t>Lease-File p.1 confirms unit 101 rent = $1,575/mo; no amendments in packet</t>
        </is>
      </c>
    </row>
    <row r="12" ht="24" customHeight="1">
      <c r="B12" s="39" t="inlineStr">
        <is>
          <t>t12_egi</t>
        </is>
      </c>
      <c r="C12" s="42">
        <f>T12_EGI</f>
        <v/>
      </c>
      <c r="D12" s="40" t="inlineStr">
        <is>
          <t>T12-Statement.pdf p.2 annual</t>
        </is>
      </c>
    </row>
    <row r="13" ht="24" customHeight="1">
      <c r="B13" s="39" t="inlineStr">
        <is>
          <t>t12_operating_expenses</t>
        </is>
      </c>
      <c r="C13" s="42">
        <f>T12_OpEx</f>
        <v/>
      </c>
      <c r="D13" s="40" t="inlineStr">
        <is>
          <t>T12 opex ex reserves/capex/debt/depreciation</t>
        </is>
      </c>
    </row>
    <row r="14" ht="24" customHeight="1">
      <c r="B14" s="39" t="inlineStr">
        <is>
          <t>t12_noi_before_reserves</t>
        </is>
      </c>
      <c r="C14" s="42">
        <f>T12_NOI</f>
        <v/>
      </c>
      <c r="D14" s="40" t="inlineStr">
        <is>
          <t>T12 EGI − OpEx</t>
        </is>
      </c>
    </row>
    <row r="15" ht="24" customHeight="1">
      <c r="B15" s="39" t="inlineStr">
        <is>
          <t>t12_reserves</t>
        </is>
      </c>
      <c r="C15" s="42" t="n">
        <v>14400</v>
      </c>
      <c r="D15" s="40" t="inlineStr">
        <is>
          <t>T12 replacement reserves (below-NOI)</t>
        </is>
      </c>
    </row>
    <row r="16" ht="24" customHeight="1">
      <c r="B16" s="39" t="inlineStr">
        <is>
          <t>t12_ncf</t>
        </is>
      </c>
      <c r="C16" s="42">
        <f>T12_NCF</f>
        <v/>
      </c>
      <c r="D16" s="40" t="inlineStr">
        <is>
          <t>T12 NOI − reserves</t>
        </is>
      </c>
    </row>
    <row r="17" ht="24" customHeight="1">
      <c r="B17" s="39" t="inlineStr">
        <is>
          <t>uw_egi</t>
        </is>
      </c>
      <c r="C17" s="42">
        <f>UW_EGI</f>
        <v/>
      </c>
      <c r="D17" s="40" t="inlineStr">
        <is>
          <t>UW_GPR × (1-RevLoss) + OtherInc</t>
        </is>
      </c>
    </row>
    <row r="18" ht="24" customHeight="1">
      <c r="B18" s="39" t="inlineStr">
        <is>
          <t>uw_management_fee</t>
        </is>
      </c>
      <c r="C18" s="42">
        <f>UW_MgmtFee</f>
        <v/>
      </c>
      <c r="D18" s="40" t="inlineStr">
        <is>
          <t>MAX(T12 $28,000; 3.50% × UW EGI)</t>
        </is>
      </c>
    </row>
    <row r="19" ht="24" customHeight="1">
      <c r="B19" s="39" t="inlineStr">
        <is>
          <t>uw_operating_expenses</t>
        </is>
      </c>
      <c r="C19" s="42">
        <f>UW_OpEx</f>
        <v/>
      </c>
      <c r="D19" s="40" t="inlineStr">
        <is>
          <t>Per Property-and-Plan p.2 line-item instructions</t>
        </is>
      </c>
    </row>
    <row r="20" ht="24" customHeight="1">
      <c r="B20" s="39" t="inlineStr">
        <is>
          <t>uw_noi_before_reserves</t>
        </is>
      </c>
      <c r="C20" s="42">
        <f>UW_NOI</f>
        <v/>
      </c>
      <c r="D20" s="40" t="inlineStr">
        <is>
          <t>UW EGI − UW OpEx</t>
        </is>
      </c>
    </row>
    <row r="21" ht="24" customHeight="1">
      <c r="B21" s="39" t="inlineStr">
        <is>
          <t>uw_reserves</t>
        </is>
      </c>
      <c r="C21" s="42">
        <f>UW_Reserves</f>
        <v/>
      </c>
      <c r="D21" s="40" t="inlineStr">
        <is>
          <t>48 units × $325</t>
        </is>
      </c>
    </row>
    <row r="22" ht="24" customHeight="1">
      <c r="B22" s="39" t="inlineStr">
        <is>
          <t>uw_ncf</t>
        </is>
      </c>
      <c r="C22" s="42">
        <f>UW_NCF</f>
        <v/>
      </c>
      <c r="D22" s="40" t="inlineStr">
        <is>
          <t>UW NOI − reserves</t>
        </is>
      </c>
    </row>
    <row r="23" ht="24" customHeight="1">
      <c r="B23" s="39" t="inlineStr">
        <is>
          <t>capitalization_value</t>
        </is>
      </c>
      <c r="C23" s="42">
        <f>CapValue</f>
        <v/>
      </c>
      <c r="D23" s="40" t="inlineStr">
        <is>
          <t>UW NOI ÷ 5.75% cap</t>
        </is>
      </c>
    </row>
    <row r="24" ht="24" customHeight="1">
      <c r="B24" s="39" t="inlineStr">
        <is>
          <t>contract_rate</t>
        </is>
      </c>
      <c r="C24" s="43">
        <f>ContractRate</f>
        <v/>
      </c>
      <c r="D24" s="40" t="inlineStr">
        <is>
          <t>Lender-Terms p.1</t>
        </is>
      </c>
    </row>
    <row r="25" ht="24" customHeight="1">
      <c r="B25" s="39" t="inlineStr">
        <is>
          <t>sizing_rate</t>
        </is>
      </c>
      <c r="C25" s="43">
        <f>SizingRate</f>
        <v/>
      </c>
      <c r="D25" s="40" t="inlineStr">
        <is>
          <t>MAX(contract, 6.50% floor)</t>
        </is>
      </c>
    </row>
    <row r="26" ht="24" customHeight="1">
      <c r="B26" s="39" t="inlineStr">
        <is>
          <t>annual_debt_constant</t>
        </is>
      </c>
      <c r="C26" s="44">
        <f>ADC</f>
        <v/>
      </c>
      <c r="D26" s="40" t="inlineStr">
        <is>
          <t>30-yr amort, monthly pmts, sizing rate</t>
        </is>
      </c>
    </row>
    <row r="27" ht="24" customHeight="1">
      <c r="B27" s="39" t="inlineStr">
        <is>
          <t>ltv_limit</t>
        </is>
      </c>
      <c r="C27" s="42">
        <f>'Loan Sizing'!C13</f>
        <v/>
      </c>
      <c r="D27" s="40" t="inlineStr">
        <is>
          <t>60% × CapValue</t>
        </is>
      </c>
    </row>
    <row r="28" ht="24" customHeight="1">
      <c r="B28" s="39" t="inlineStr">
        <is>
          <t>dscr_limit</t>
        </is>
      </c>
      <c r="C28" s="42">
        <f>'Loan Sizing'!C14</f>
        <v/>
      </c>
      <c r="D28" s="40" t="inlineStr">
        <is>
          <t>UW NCF ÷ (1.30 × ADC)</t>
        </is>
      </c>
    </row>
    <row r="29" ht="24" customHeight="1">
      <c r="B29" s="39" t="inlineStr">
        <is>
          <t>debt_yield_limit</t>
        </is>
      </c>
      <c r="C29" s="42">
        <f>'Loan Sizing'!C15</f>
        <v/>
      </c>
      <c r="D29" s="40" t="inlineStr">
        <is>
          <t>UW NCF ÷ 9%</t>
        </is>
      </c>
    </row>
    <row r="30" ht="24" customHeight="1">
      <c r="B30" s="39" t="inlineStr">
        <is>
          <t>maximum_loan</t>
        </is>
      </c>
      <c r="C30" s="42">
        <f>MaxLoan</f>
        <v/>
      </c>
      <c r="D30" s="40" t="inlineStr">
        <is>
          <t>MIN of three</t>
        </is>
      </c>
    </row>
    <row r="31" ht="24" customHeight="1">
      <c r="B31" s="39" t="inlineStr">
        <is>
          <t>binding_constraint</t>
        </is>
      </c>
      <c r="C31" s="8">
        <f>'Loan Sizing'!C18</f>
        <v/>
      </c>
      <c r="D31" s="40" t="inlineStr">
        <is>
          <t>DSCR at base case</t>
        </is>
      </c>
    </row>
    <row r="32" ht="24" customHeight="1">
      <c r="B32" s="39" t="inlineStr">
        <is>
          <t>sizing_annual_debt_service</t>
        </is>
      </c>
      <c r="C32" s="42">
        <f>'Loan Sizing'!C21</f>
        <v/>
      </c>
      <c r="D32" s="40" t="inlineStr">
        <is>
          <t>MaxLoan × ADC</t>
        </is>
      </c>
    </row>
    <row r="33" ht="24" customHeight="1">
      <c r="B33" s="39" t="inlineStr">
        <is>
          <t>sizing_dscr</t>
        </is>
      </c>
      <c r="C33" s="44">
        <f>'Loan Sizing'!C22</f>
        <v/>
      </c>
      <c r="D33" s="40">
        <f> 1.30x by construction</f>
        <v/>
      </c>
    </row>
    <row r="34" ht="24" customHeight="1">
      <c r="B34" s="39" t="inlineStr">
        <is>
          <t>sizing_debt_yield</t>
        </is>
      </c>
      <c r="C34" s="43">
        <f>'Loan Sizing'!C23</f>
        <v/>
      </c>
      <c r="D34" s="40">
        <f> UW NCF ÷ MaxLoan</f>
        <v/>
      </c>
    </row>
    <row r="35" ht="24" customHeight="1">
      <c r="B35" s="39" t="inlineStr">
        <is>
          <t>first_year_debt_service</t>
        </is>
      </c>
      <c r="C35" s="42">
        <f>'Loan Sizing'!C25</f>
        <v/>
      </c>
      <c r="D35" s="40" t="inlineStr">
        <is>
          <t>IO for 36 mo — MaxLoan × ContractRate</t>
        </is>
      </c>
    </row>
    <row r="36" ht="24" customHeight="1">
      <c r="B36" s="39" t="inlineStr">
        <is>
          <t>cash_to_borrower</t>
        </is>
      </c>
      <c r="C36" s="42">
        <f>'Loan Sizing'!F19</f>
        <v/>
      </c>
      <c r="D36" s="40" t="inlineStr">
        <is>
          <t>MaxLoan − payoff − orig fee − closing</t>
        </is>
      </c>
    </row>
    <row r="37" ht="24" customHeight="1">
      <c r="B37" s="39" t="inlineStr">
        <is>
          <t>stress_uw_noi</t>
        </is>
      </c>
      <c r="C37" s="42">
        <f>Sensitivity!C8</f>
        <v/>
      </c>
      <c r="D37" s="40" t="inlineStr">
        <is>
          <t>Combined-downside NOI</t>
        </is>
      </c>
    </row>
    <row r="38" ht="24" customHeight="1">
      <c r="B38" s="39" t="inlineStr">
        <is>
          <t>stress_maximum_loan</t>
        </is>
      </c>
      <c r="C38" s="42">
        <f>Sensitivity!C19</f>
        <v/>
      </c>
      <c r="D38" s="40" t="inlineStr">
        <is>
          <t>Combined-downside MAX LOAN</t>
        </is>
      </c>
    </row>
    <row r="39" ht="24" customHeight="1">
      <c r="B39" s="39" t="inlineStr">
        <is>
          <t>subject_lease_monthly_rent</t>
        </is>
      </c>
      <c r="C39" s="42" t="n">
        <v>1575</v>
      </c>
      <c r="D39" s="40" t="inlineStr">
        <is>
          <t>Lease-File.pdf §3</t>
        </is>
      </c>
    </row>
    <row r="40" ht="24" customHeight="1">
      <c r="B40" s="39" t="inlineStr">
        <is>
          <t>subject_lease_expiry</t>
        </is>
      </c>
      <c r="C40" s="8" t="inlineStr">
        <is>
          <t>2027-06-30</t>
        </is>
      </c>
      <c r="D40" s="40" t="inlineStr">
        <is>
          <t>Lease-File.pdf §2 (initial term)</t>
        </is>
      </c>
    </row>
    <row r="41" ht="24" customHeight="1">
      <c r="B41" s="39" t="inlineStr">
        <is>
          <t>subject_lease_deposit</t>
        </is>
      </c>
      <c r="C41" s="42" t="n">
        <v>1200</v>
      </c>
      <c r="D41" s="40" t="inlineStr">
        <is>
          <t>Lease-File.pdf §4</t>
        </is>
      </c>
    </row>
    <row r="42" ht="24" customHeight="1">
      <c r="B42" s="39" t="inlineStr">
        <is>
          <t>verified_renewal_insurance</t>
        </is>
      </c>
      <c r="C42" s="42" t="n">
        <v>45600</v>
      </c>
      <c r="D42" s="40" t="inlineStr">
        <is>
          <t>Property-and-Plan.pdf p.2 — fictional insurer renewal confirmation Aug 25, 2026</t>
        </is>
      </c>
    </row>
    <row r="43" ht="24" customHeight="1">
      <c r="B43" s="39" t="inlineStr">
        <is>
          <t>renewal_option_exercised</t>
        </is>
      </c>
      <c r="C43" s="8" t="inlineStr">
        <is>
          <t>No</t>
        </is>
      </c>
      <c r="D43" s="40" t="inlineStr">
        <is>
          <t>Lease-File.pdf §5 — no exercise notice included in packet</t>
        </is>
      </c>
    </row>
    <row r="44" ht="24" customHeight="1">
      <c r="B44" s="39" t="inlineStr">
        <is>
          <t>prepayment_friction</t>
        </is>
      </c>
      <c r="C44" s="8" t="inlineStr">
        <is>
          <t>1% of outstanding principal in years 1-2; no stated bank penalty thereafter. No swap assumed.</t>
        </is>
      </c>
      <c r="D44" s="40" t="inlineStr">
        <is>
          <t>Lender-Terms.pdf p.1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2026-09-06T21:31:05Z</dcterms:created>
  <dcterms:modified xmlns:dcterms="http://purl.org/dc/terms/" xmlns:xsi="http://www.w3.org/2001/XMLSchema-instance" xsi:type="dcterms:W3CDTF">2026-09-06T21:31:05Z</dcterms:modified>
</cp:coreProperties>
</file>