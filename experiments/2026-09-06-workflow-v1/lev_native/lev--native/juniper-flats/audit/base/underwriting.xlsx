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Rent_Roll" sheetId="3" state="visible" r:id="rId5"/>
    <sheet name="T12_Historical" sheetId="4" state="visible" r:id="rId6"/>
    <sheet name="Underwriting" sheetId="5" state="visible" r:id="rId7"/>
    <sheet name="Loan_Sizing" sheetId="6" state="visible" r:id="rId8"/>
    <sheet name="Sensitivity" sheetId="7" state="visible" r:id="rId9"/>
    <sheet name="Reported_Fields" sheetId="8" state="visible" r:id="rId10"/>
  </sheets>
  <definedNames>
    <definedName function="false" hidden="false" name="ADC_Sizing" vbProcedure="false">Loan_Sizing!$B$15</definedName>
    <definedName function="false" hidden="false" name="AmortYears" vbProcedure="false">Inputs!$B$25</definedName>
    <definedName function="false" hidden="false" name="CapRate" vbProcedure="false">Inputs!$B$21</definedName>
    <definedName function="false" hidden="false" name="ClosingCosts" vbProcedure="false">Inputs!$B$30</definedName>
    <definedName function="false" hidden="false" name="ContractRate" vbProcedure="false">Inputs!$B$23</definedName>
    <definedName function="false" hidden="false" name="DSCR_Min" vbProcedure="false">Inputs!$B$20</definedName>
    <definedName function="false" hidden="false" name="DY_Min" vbProcedure="false">Inputs!$B$24</definedName>
    <definedName function="false" hidden="false" name="IOMonths" vbProcedure="false">Inputs!$B$26</definedName>
    <definedName function="false" hidden="false" name="LTV_Max" vbProcedure="false">Inputs!$B$19</definedName>
    <definedName function="false" hidden="false" name="MaturityMo" vbProcedure="false">Inputs!$B$27</definedName>
    <definedName function="false" hidden="false" name="MaxLoan" vbProcedure="false">Loan_Sizing!$B$22</definedName>
    <definedName function="false" hidden="false" name="MgmtFloor" vbProcedure="false">Inputs!$B$14</definedName>
    <definedName function="false" hidden="false" name="MgmtPct" vbProcedure="false">Inputs!$B$15</definedName>
    <definedName function="false" hidden="false" name="OrigFeePct" vbProcedure="false">Inputs!$B$28</definedName>
    <definedName function="false" hidden="false" name="Payoff" vbProcedure="false">Inputs!$B$29</definedName>
    <definedName function="false" hidden="false" name="ReservesPerUnit" vbProcedure="false">Inputs!$B$31</definedName>
    <definedName function="false" hidden="false" name="SizingRate" vbProcedure="false">Inputs!$B$22</definedName>
    <definedName function="false" hidden="false" name="UnitCount" vbProcedure="false">Inputs!$B$5</definedName>
    <definedName function="false" hidden="false" name="UW_EGI" vbProcedure="false">Underwriting!$B$8</definedName>
    <definedName function="false" hidden="false" name="UW_GPR" vbProcedure="false">Inputs!$B$10</definedName>
    <definedName function="false" hidden="false" name="UW_NCF" vbProcedure="false">Underwriting!$B$24</definedName>
    <definedName function="false" hidden="false" name="UW_NOI_BR" vbProcedure="false">Underwriting!$B$22</definedName>
    <definedName function="false" hidden="false" name="UW_OtherInc" vbProcedure="false">Inputs!$B$12</definedName>
    <definedName function="false" hidden="false" name="UW_RevLoss" vbProcedure="false">Inputs!$B$11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<sst xmlns="http://schemas.openxmlformats.org/spreadsheetml/2006/main" count="544" uniqueCount="403">
  <si>
    <t xml:space="preserve">Juniper Flats — Underwriting Workbook</t>
  </si>
  <si>
    <t xml:space="preserve">Fictional refinance scenario | As of 2026-08-31 | USD | Prepared 2026-09-06</t>
  </si>
  <si>
    <t xml:space="preserve">Cell Color Legend</t>
  </si>
  <si>
    <t xml:space="preserve">Yellow = Editable Input</t>
  </si>
  <si>
    <t xml:space="preserve">Green = Key Output</t>
  </si>
  <si>
    <t xml:space="preserve">White = Formula / calculated</t>
  </si>
  <si>
    <t xml:space="preserve">Sheet Map</t>
  </si>
  <si>
    <t xml:space="preserve">Sheet</t>
  </si>
  <si>
    <t xml:space="preserve">Purpose</t>
  </si>
  <si>
    <t xml:space="preserve">Inputs</t>
  </si>
  <si>
    <t xml:space="preserve">Central editable assumptions — Cap Rate (B21), Sizing Rate (B22), UW EGI drivers (B10:B12), Op-Ex line items, loan terms</t>
  </si>
  <si>
    <t xml:space="preserve">Rent_Roll</t>
  </si>
  <si>
    <t xml:space="preserve">Unit-level rent roll and derived occupancy / contractual rent</t>
  </si>
  <si>
    <t xml:space="preserve">T12_Historical</t>
  </si>
  <si>
    <t xml:space="preserve">T12 monthly income statement and annual totals; NOI before reserves; NCF</t>
  </si>
  <si>
    <t xml:space="preserve">Underwriting</t>
  </si>
  <si>
    <t xml:space="preserve">Underwritten EGI, OpEx (incl. lender mgmt normalization), NOI, NCF — linked to Inputs</t>
  </si>
  <si>
    <t xml:space="preserve">Loan_Sizing</t>
  </si>
  <si>
    <t xml:space="preserve">LTV, DSCR and Debt-Yield constraints; binding maximum; first-year DS; sources &amp; uses; cash to borrower</t>
  </si>
  <si>
    <t xml:space="preserve">Sensitivity</t>
  </si>
  <si>
    <t xml:space="preserve">Combined downside (EGI -5%, sizing rate +100 bps) and cap-rate +50 bps sensitivity</t>
  </si>
  <si>
    <t xml:space="preserve">Reported_Fields</t>
  </si>
  <si>
    <t xml:space="preserve">All requested field IDs with values, formulas and source citations</t>
  </si>
  <si>
    <t xml:space="preserve">Key Editable Inputs (jump to Inputs sheet)</t>
  </si>
  <si>
    <t xml:space="preserve">Cap Rate</t>
  </si>
  <si>
    <t xml:space="preserve">Sizing Rate (floor)</t>
  </si>
  <si>
    <t xml:space="preserve">Contract Rate</t>
  </si>
  <si>
    <t xml:space="preserve">UW GPR (annual)</t>
  </si>
  <si>
    <t xml:space="preserve">UW Revenue Loss %</t>
  </si>
  <si>
    <t xml:space="preserve">UW Other Income</t>
  </si>
  <si>
    <t xml:space="preserve">Key Outputs (live)</t>
  </si>
  <si>
    <t xml:space="preserve">UW NOI (before reserves)</t>
  </si>
  <si>
    <t xml:space="preserve">UW NCF (after reserves)</t>
  </si>
  <si>
    <t xml:space="preserve">Capitalized Value</t>
  </si>
  <si>
    <t xml:space="preserve">Maximum Loan</t>
  </si>
  <si>
    <t xml:space="preserve">Binding Constraint</t>
  </si>
  <si>
    <t xml:space="preserve">Cash to Borrower</t>
  </si>
  <si>
    <t xml:space="preserve">Inputs — Editable Assumptions</t>
  </si>
  <si>
    <t xml:space="preserve">Underwriting Revenue</t>
  </si>
  <si>
    <t xml:space="preserve">Field</t>
  </si>
  <si>
    <t xml:space="preserve">Value</t>
  </si>
  <si>
    <t xml:space="preserve">Note</t>
  </si>
  <si>
    <t xml:space="preserve">Unit count (space_count)</t>
  </si>
  <si>
    <t xml:space="preserve">Rent roll count</t>
  </si>
  <si>
    <t xml:space="preserve">Occupied count</t>
  </si>
  <si>
    <t xml:space="preserve">Rent roll status</t>
  </si>
  <si>
    <t xml:space="preserve">Total rentable SF</t>
  </si>
  <si>
    <t xml:space="preserve">20 x 750 + 16 x 1050</t>
  </si>
  <si>
    <t xml:space="preserve">Occupied SF</t>
  </si>
  <si>
    <t xml:space="preserve">Rent roll</t>
  </si>
  <si>
    <t xml:space="preserve">UW Gross Potential Base Rent (annual)</t>
  </si>
  <si>
    <t xml:space="preserve">Property-and-Plan p.2 (supplied scenario)</t>
  </si>
  <si>
    <t xml:space="preserve">UW Combined Revenue Loss %</t>
  </si>
  <si>
    <t xml:space="preserve">6.00% of UW GPR — vacancy/concessions/bad debt</t>
  </si>
  <si>
    <t xml:space="preserve">UW Other Income / Recoveries (annual)</t>
  </si>
  <si>
    <t xml:space="preserve">Property-and-Plan p.2 (added AFTER revenue loss)</t>
  </si>
  <si>
    <t xml:space="preserve">Management Fee — T12 actual (floor)</t>
  </si>
  <si>
    <t xml:space="preserve">T12-Statement annual col</t>
  </si>
  <si>
    <t xml:space="preserve">Management Fee — % of UW EGI (rate)</t>
  </si>
  <si>
    <t xml:space="preserve">3.00% per lender convention</t>
  </si>
  <si>
    <t xml:space="preserve">Loan Assumptions</t>
  </si>
  <si>
    <t xml:space="preserve">LTV maximum</t>
  </si>
  <si>
    <t xml:space="preserve">Lender-Terms</t>
  </si>
  <si>
    <t xml:space="preserve">Loan-sizing DSCR minimum</t>
  </si>
  <si>
    <t xml:space="preserve">Cap Rate (valuation)</t>
  </si>
  <si>
    <t xml:space="preserve">Lender-Terms — applied to UW NOI BEFORE reserves</t>
  </si>
  <si>
    <t xml:space="preserve">Lender-Terms — greater of contract rate and 6.25%</t>
  </si>
  <si>
    <t xml:space="preserve">Contract Rate (annual, fixed)</t>
  </si>
  <si>
    <t xml:space="preserve">Debt-Yield minimum (on NCF)</t>
  </si>
  <si>
    <t xml:space="preserve">Amortization (years)</t>
  </si>
  <si>
    <t xml:space="preserve">Interest-Only period (months)</t>
  </si>
  <si>
    <t xml:space="preserve">Maturity (months)</t>
  </si>
  <si>
    <t xml:space="preserve">Origination fee (% of initial principal)</t>
  </si>
  <si>
    <t xml:space="preserve">Existing debt payoff</t>
  </si>
  <si>
    <t xml:space="preserve">Property-and-Plan</t>
  </si>
  <si>
    <t xml:space="preserve">Fixed closing costs</t>
  </si>
  <si>
    <t xml:space="preserve">Replacement Reserves ($/unit/yr)</t>
  </si>
  <si>
    <t xml:space="preserve">UW Operating Expenses (per Property-and-Plan)</t>
  </si>
  <si>
    <t xml:space="preserve">Line item</t>
  </si>
  <si>
    <t xml:space="preserve">UW annual $</t>
  </si>
  <si>
    <t xml:space="preserve">Basis</t>
  </si>
  <si>
    <t xml:space="preserve">Real estate taxes</t>
  </si>
  <si>
    <t xml:space="preserve">Property-and-Plan table</t>
  </si>
  <si>
    <t xml:space="preserve">Property insurance</t>
  </si>
  <si>
    <t xml:space="preserve">Renewal quote in packet ($33,600)</t>
  </si>
  <si>
    <t xml:space="preserve">Utilities</t>
  </si>
  <si>
    <t xml:space="preserve">T12 actual</t>
  </si>
  <si>
    <t xml:space="preserve">Repairs &amp; maintenance</t>
  </si>
  <si>
    <t xml:space="preserve">T12 46,200 less 6,000 one-time casualty</t>
  </si>
  <si>
    <t xml:space="preserve">Payroll / contract labor</t>
  </si>
  <si>
    <t xml:space="preserve">Administrative / legal</t>
  </si>
  <si>
    <t xml:space="preserve">Rent Roll — as of 2026-08-31</t>
  </si>
  <si>
    <t xml:space="preserve">Source: Rent-Roll.xlsx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</si>
  <si>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</si>
  <si>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</si>
  <si>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</si>
  <si>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</si>
  <si>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</si>
  <si>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</si>
  <si>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</si>
  <si>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</si>
  <si>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</si>
  <si>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</si>
  <si>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2027-07-31</t>
  </si>
  <si>
    <t xml:space="preserve">102</t>
  </si>
  <si>
    <t xml:space="preserve">Household 102</t>
  </si>
  <si>
    <t xml:space="preserve">2026-10-31</t>
  </si>
  <si>
    <t xml:space="preserve">103</t>
  </si>
  <si>
    <t xml:space="preserve">Household 103</t>
  </si>
  <si>
    <t xml:space="preserve">2026-11-30</t>
  </si>
  <si>
    <t xml:space="preserve">104</t>
  </si>
  <si>
    <t xml:space="preserve">Household 104</t>
  </si>
  <si>
    <t xml:space="preserve">2026-12-31</t>
  </si>
  <si>
    <t xml:space="preserve">105</t>
  </si>
  <si>
    <t xml:space="preserve">Household 105</t>
  </si>
  <si>
    <t xml:space="preserve">2027-01-31</t>
  </si>
  <si>
    <t xml:space="preserve">106</t>
  </si>
  <si>
    <t xml:space="preserve">Household 106</t>
  </si>
  <si>
    <t xml:space="preserve">2027-02-28</t>
  </si>
  <si>
    <t xml:space="preserve">107</t>
  </si>
  <si>
    <t xml:space="preserve">Household 107</t>
  </si>
  <si>
    <t xml:space="preserve">2027-03-31</t>
  </si>
  <si>
    <t xml:space="preserve">108</t>
  </si>
  <si>
    <t xml:space="preserve">Household 108</t>
  </si>
  <si>
    <t xml:space="preserve">2027-04-30</t>
  </si>
  <si>
    <t xml:space="preserve">109</t>
  </si>
  <si>
    <t xml:space="preserve">Vacant</t>
  </si>
  <si>
    <t xml:space="preserve">110</t>
  </si>
  <si>
    <t xml:space="preserve">Household 110</t>
  </si>
  <si>
    <t xml:space="preserve">2027-06-30</t>
  </si>
  <si>
    <t xml:space="preserve">111</t>
  </si>
  <si>
    <t xml:space="preserve">Household 111</t>
  </si>
  <si>
    <t xml:space="preserve">112</t>
  </si>
  <si>
    <t xml:space="preserve">Household 112</t>
  </si>
  <si>
    <t xml:space="preserve">2027-08-31</t>
  </si>
  <si>
    <t xml:space="preserve">113</t>
  </si>
  <si>
    <t xml:space="preserve">Household 113</t>
  </si>
  <si>
    <t xml:space="preserve">2026-09-30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</si>
  <si>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</si>
  <si>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</si>
  <si>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</si>
  <si>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</si>
  <si>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</si>
  <si>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</si>
  <si>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</si>
  <si>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</si>
  <si>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</si>
  <si>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</si>
  <si>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</si>
  <si>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</si>
  <si>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</si>
  <si>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</si>
  <si>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</si>
  <si>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</si>
  <si>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2027-05-31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</si>
  <si>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</si>
  <si>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</si>
  <si>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</si>
  <si>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</si>
  <si>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</si>
  <si>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</si>
  <si>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</si>
  <si>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126</t>
  </si>
  <si>
    <t xml:space="preserve">Household 126</t>
  </si>
  <si>
    <t xml:space="preserve">127</t>
  </si>
  <si>
    <t xml:space="preserve">Household 127</t>
  </si>
  <si>
    <t xml:space="preserve">128</t>
  </si>
  <si>
    <t xml:space="preserve">Household 128</t>
  </si>
  <si>
    <t xml:space="preserve">129</t>
  </si>
  <si>
    <t xml:space="preserve">Household 129</t>
  </si>
  <si>
    <t xml:space="preserve">130</t>
  </si>
  <si>
    <t xml:space="preserve">Household 130</t>
  </si>
  <si>
    <t xml:space="preserve">131</t>
  </si>
  <si>
    <t xml:space="preserve">Household 131</t>
  </si>
  <si>
    <t xml:space="preserve">132</t>
  </si>
  <si>
    <t xml:space="preserve">Household 132</t>
  </si>
  <si>
    <t xml:space="preserve">133</t>
  </si>
  <si>
    <t xml:space="preserve">Household 133</t>
  </si>
  <si>
    <t xml:space="preserve">134</t>
  </si>
  <si>
    <t xml:space="preserve">Household 134</t>
  </si>
  <si>
    <t xml:space="preserve">135</t>
  </si>
  <si>
    <t xml:space="preserve">Household 135</t>
  </si>
  <si>
    <t xml:space="preserve">136</t>
  </si>
  <si>
    <t xml:space="preserve">TOTALS / Derived</t>
  </si>
  <si>
    <t xml:space="preserve">space_count (units)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</si>
  <si>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</si>
  <si>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</si>
  <si>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</si>
  <si>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</si>
  <si>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</si>
  <si>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</si>
  <si>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in-place annualized (contractual only)</t>
  </si>
  <si>
    <t xml:space="preserve">effective_monthly_base (per Lease-File 101 = rent roll; no amendments)</t>
  </si>
  <si>
    <t xml:space="preserve">T12 Historical Income Statement (Sep-2025 through Aug-2026)</t>
  </si>
  <si>
    <t xml:space="preserve">Source: T12-Statement.pdf p.1-2</t>
  </si>
  <si>
    <t xml:space="preserve">Account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</si>
  <si>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</si>
  <si>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</si>
  <si>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</si>
  <si>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</si>
  <si>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</si>
  <si>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</si>
  <si>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</si>
  <si>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</si>
  <si>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</si>
  <si>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</si>
  <si>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</si>
  <si>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</si>
  <si>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Annual</t>
  </si>
  <si>
    <t xml:space="preserve">Source note</t>
  </si>
  <si>
    <t xml:space="preserve">Gross potential base rent</t>
  </si>
  <si>
    <t xml:space="preserve">T12 p.1-2, Annual col = 840,000</t>
  </si>
  <si>
    <t xml:space="preserve">Vacancy loss</t>
  </si>
  <si>
    <t xml:space="preserve">Negative revenue</t>
  </si>
  <si>
    <t xml:space="preserve">Concessions</t>
  </si>
  <si>
    <t xml:space="preserve">Bad debt</t>
  </si>
  <si>
    <t xml:space="preserve">Other income / recoveries</t>
  </si>
  <si>
    <t xml:space="preserve">Reimbursements/other</t>
  </si>
  <si>
    <t xml:space="preserve">Repairs and maintenance</t>
  </si>
  <si>
    <t xml:space="preserve">Includes $6k one-time casualty</t>
  </si>
  <si>
    <t xml:space="preserve">Management fee</t>
  </si>
  <si>
    <t xml:space="preserve">Replacement reserves (below NOI)</t>
  </si>
  <si>
    <t xml:space="preserve">Below NOI</t>
  </si>
  <si>
    <t xml:space="preserve">Capital improvements (below cash flow)</t>
  </si>
  <si>
    <t xml:space="preserve">Below cash flow</t>
  </si>
  <si>
    <t xml:space="preserve">Loan principal and interest (below CF)</t>
  </si>
  <si>
    <t xml:space="preserve">Depreciation (noncash)</t>
  </si>
  <si>
    <t xml:space="preserve">Noncash — not operating</t>
  </si>
  <si>
    <t xml:space="preserve">T12 EGI</t>
  </si>
  <si>
    <t xml:space="preserve">T12 Operating Expenses</t>
  </si>
  <si>
    <t xml:space="preserve">T12 NOI (before reserves)</t>
  </si>
  <si>
    <t xml:space="preserve">T12 Replacement reserves</t>
  </si>
  <si>
    <t xml:space="preserve">T12 NCF (after reserves)</t>
  </si>
  <si>
    <t xml:space="preserve">Underwritten Cash Flow (linked to Inputs)</t>
  </si>
  <si>
    <t xml:space="preserve">All rates and assumptions per Property-and-Plan</t>
  </si>
  <si>
    <t xml:space="preserve">Line</t>
  </si>
  <si>
    <t xml:space="preserve">Amount</t>
  </si>
  <si>
    <t xml:space="preserve">Formula / Basis</t>
  </si>
  <si>
    <t xml:space="preserve">UW Gross Potential Base Rent</t>
  </si>
  <si>
    <t xml:space="preserve">Inputs B10</t>
  </si>
  <si>
    <t xml:space="preserve">Less: combined revenue loss (vacancy/concessions/bad debt)</t>
  </si>
  <si>
    <t xml:space="preserve">Plus: other income / recoveries</t>
  </si>
  <si>
    <t xml:space="preserve">Inputs B12</t>
  </si>
  <si>
    <t xml:space="preserve">Underwritten EGI (uw_egi)</t>
  </si>
  <si>
    <t xml:space="preserve">GPR - loss + other</t>
  </si>
  <si>
    <t xml:space="preserve">UW Operating Expenses</t>
  </si>
  <si>
    <t xml:space="preserve">Inputs B36</t>
  </si>
  <si>
    <t xml:space="preserve">Renewal quote</t>
  </si>
  <si>
    <t xml:space="preserve">Repairs &amp; maintenance (T12 less $6k one-time)</t>
  </si>
  <si>
    <t xml:space="preserve">Inputs B39</t>
  </si>
  <si>
    <t xml:space="preserve">Management fee (uw_management_fee)</t>
  </si>
  <si>
    <t xml:space="preserve">MAX(T12 $30,000; 3% x EGI)</t>
  </si>
  <si>
    <t xml:space="preserve">Total UW OpEx (uw_operating_expenses)</t>
  </si>
  <si>
    <t xml:space="preserve">Excludes reserves/capex/debt/depr.</t>
  </si>
  <si>
    <t xml:space="preserve">UW NOI before reserves (uw_noi_before_reserves)</t>
  </si>
  <si>
    <t xml:space="preserve">Less: Replacement reserves ($300/unit)</t>
  </si>
  <si>
    <t xml:space="preserve">UW NCF after reserves (uw_ncf)</t>
  </si>
  <si>
    <t xml:space="preserve">Loan Sizing — LTV / DSCR / Debt Yield</t>
  </si>
  <si>
    <t xml:space="preserve">From Underwriting</t>
  </si>
  <si>
    <t xml:space="preserve">Indicative Value (capitalization_value)</t>
  </si>
  <si>
    <t xml:space="preserve">NOI / Cap</t>
  </si>
  <si>
    <t xml:space="preserve">Sizing Rate</t>
  </si>
  <si>
    <t xml:space="preserve">Greater of Contract &amp; 6.25%</t>
  </si>
  <si>
    <t xml:space="preserve">Monthly rate (sizing)</t>
  </si>
  <si>
    <t xml:space="preserve">Number of payments</t>
  </si>
  <si>
    <t xml:space="preserve">Monthly payment factor</t>
  </si>
  <si>
    <t xml:space="preserve">Annual debt constant (sizing) — annual_debt_constant</t>
  </si>
  <si>
    <t xml:space="preserve">Constraints</t>
  </si>
  <si>
    <t xml:space="preserve">ltv_limit  (LTV_Max * Value)</t>
  </si>
  <si>
    <t xml:space="preserve">dscr_limit  (NCF / DSCR_Min / ADC)</t>
  </si>
  <si>
    <t xml:space="preserve">debt_yield_limit  (NCF / DY_Min)</t>
  </si>
  <si>
    <t xml:space="preserve">maximum_loan (min of the three)</t>
  </si>
  <si>
    <t xml:space="preserve">binding_constraint</t>
  </si>
  <si>
    <t xml:space="preserve">sizing_annual_debt_service (loan x ADC)</t>
  </si>
  <si>
    <t xml:space="preserve">sizing_dscr (NCF / Sizing ADS)</t>
  </si>
  <si>
    <t xml:space="preserve">sizing_debt_yield (NCF / Loan)</t>
  </si>
  <si>
    <t xml:space="preserve">first_year_debt_service (IO — Loan x Contract rate)</t>
  </si>
  <si>
    <t xml:space="preserve">First 24 mo. IO; year-1 DS = interest only</t>
  </si>
  <si>
    <t xml:space="preserve">Sources &amp; Uses</t>
  </si>
  <si>
    <t xml:space="preserve">Loan proceeds</t>
  </si>
  <si>
    <t xml:space="preserve">Less: Existing debt payoff</t>
  </si>
  <si>
    <t xml:space="preserve">Less: Origination fee (0.75% of loan)</t>
  </si>
  <si>
    <t xml:space="preserve">Less: Fixed closing costs</t>
  </si>
  <si>
    <t xml:space="preserve">cash_to_borrower (net; negative = cash-in)</t>
  </si>
  <si>
    <t xml:space="preserve">Sensitivity — Downside cases</t>
  </si>
  <si>
    <t xml:space="preserve">Per Property-and-Plan: EGI -5% &amp; +100 bps sizing (cap unchanged); separately +50 bps cap</t>
  </si>
  <si>
    <t xml:space="preserve">Base Case</t>
  </si>
  <si>
    <t xml:space="preserve">UW EGI</t>
  </si>
  <si>
    <t xml:space="preserve">UW NCF</t>
  </si>
  <si>
    <t xml:space="preserve">Sizing rate</t>
  </si>
  <si>
    <t xml:space="preserve">Cap rate</t>
  </si>
  <si>
    <t xml:space="preserve">Max loan</t>
  </si>
  <si>
    <t xml:space="preserve">Binding</t>
  </si>
  <si>
    <t xml:space="preserve">Combined downside (EGI -5%, +100 bps sizing, cap unchanged)</t>
  </si>
  <si>
    <t xml:space="preserve">Stress EGI (95% of UW)</t>
  </si>
  <si>
    <t xml:space="preserve">Stress management fee (MAX floor, 3% stress EGI)</t>
  </si>
  <si>
    <t xml:space="preserve">Other OpEx (unchanged)</t>
  </si>
  <si>
    <t xml:space="preserve">Stress OpEx (total)</t>
  </si>
  <si>
    <t xml:space="preserve">stress_uw_noi (before reserves)</t>
  </si>
  <si>
    <t xml:space="preserve">Stress replacement reserves (unchanged)</t>
  </si>
  <si>
    <t xml:space="preserve">Stress NCF</t>
  </si>
  <si>
    <t xml:space="preserve">Stress sizing rate (+100 bps)</t>
  </si>
  <si>
    <t xml:space="preserve">Stress monthly rate</t>
  </si>
  <si>
    <t xml:space="preserve">Stress ADC (sizing)</t>
  </si>
  <si>
    <t xml:space="preserve">Stress value (Stress NOI / Cap; cap unchanged)</t>
  </si>
  <si>
    <t xml:space="preserve">Stress LTV limit</t>
  </si>
  <si>
    <t xml:space="preserve">Stress DSCR limit (Stress NCF / DSCR_Min / Stress ADC)</t>
  </si>
  <si>
    <t xml:space="preserve">Stress DY limit (Stress NCF / DY_Min)</t>
  </si>
  <si>
    <t xml:space="preserve">stress_maximum_loan</t>
  </si>
  <si>
    <t xml:space="preserve">Stress binding</t>
  </si>
  <si>
    <t xml:space="preserve">Cap rate +50 bps (base income, unchanged sizing)</t>
  </si>
  <si>
    <t xml:space="preserve">Cap rate +50 bps</t>
  </si>
  <si>
    <t xml:space="preserve">Alt value</t>
  </si>
  <si>
    <t xml:space="preserve">Alt LTV limit</t>
  </si>
  <si>
    <t xml:space="preserve">DSCR limit (unchanged rates/NCF)</t>
  </si>
  <si>
    <t xml:space="preserve">DY limit (unchanged NCF)</t>
  </si>
  <si>
    <t xml:space="preserve">Alt max loan</t>
  </si>
  <si>
    <t xml:space="preserve">Alt binding</t>
  </si>
  <si>
    <t xml:space="preserve">Reported Analysis Fields</t>
  </si>
  <si>
    <t xml:space="preserve">Field ID</t>
  </si>
  <si>
    <t xml:space="preserve">Value / Formula</t>
  </si>
  <si>
    <t xml:space="preserve">Format</t>
  </si>
  <si>
    <t xml:space="preserve">Source / Basis</t>
  </si>
  <si>
    <t xml:space="preserve">space_count</t>
  </si>
  <si>
    <t xml:space="preserve">#,##0</t>
  </si>
  <si>
    <t xml:space="preserve">Rent-Roll.xlsx units 101-136</t>
  </si>
  <si>
    <t xml:space="preserve">COUNTIF status Occupied</t>
  </si>
  <si>
    <t xml:space="preserve">SUM(area)</t>
  </si>
  <si>
    <t xml:space="preserve">SUMIF occupied</t>
  </si>
  <si>
    <t xml:space="preserve">0.0000</t>
  </si>
  <si>
    <t xml:space="preserve">"$"#,##0.00;[Red]("$"#,##0.00)</t>
  </si>
  <si>
    <t xml:space="preserve">SUM rent roll monthly base (occupied only)</t>
  </si>
  <si>
    <t xml:space="preserve">effective_monthly_base</t>
  </si>
  <si>
    <t xml:space="preserve">Lease-101 rent $1,675 matches rent roll; no amendments</t>
  </si>
  <si>
    <t xml:space="preserve">t12_egi</t>
  </si>
  <si>
    <t xml:space="preserve">Sum revenue lines</t>
  </si>
  <si>
    <t xml:space="preserve">t12_operating_expenses</t>
  </si>
  <si>
    <t xml:space="preserve">Sum OpEx (excl. reserves/capex/debt/depr.)</t>
  </si>
  <si>
    <t xml:space="preserve">t12_noi_before_reserves</t>
  </si>
  <si>
    <t xml:space="preserve">EGI - OpEx</t>
  </si>
  <si>
    <t xml:space="preserve">t12_reserves</t>
  </si>
  <si>
    <t xml:space="preserve">T12 reserves line</t>
  </si>
  <si>
    <t xml:space="preserve">t12_ncf</t>
  </si>
  <si>
    <t xml:space="preserve">NOI - reserves</t>
  </si>
  <si>
    <t xml:space="preserve">uw_egi</t>
  </si>
  <si>
    <t xml:space="preserve">uw_management_fee</t>
  </si>
  <si>
    <t xml:space="preserve">MAX(T12 $30k, 3% x UW EGI)</t>
  </si>
  <si>
    <t xml:space="preserve">uw_operating_expenses</t>
  </si>
  <si>
    <t xml:space="preserve">Sum of OpEx incl. lender mgmt</t>
  </si>
  <si>
    <t xml:space="preserve">uw_noi_before_reserves</t>
  </si>
  <si>
    <t xml:space="preserve">UW EGI - UW OpEx</t>
  </si>
  <si>
    <t xml:space="preserve">uw_reserves</t>
  </si>
  <si>
    <t xml:space="preserve">$300/unit x 36 units</t>
  </si>
  <si>
    <t xml:space="preserve">uw_ncf</t>
  </si>
  <si>
    <t xml:space="preserve">UW NOI - reserves</t>
  </si>
  <si>
    <t xml:space="preserve">capitalization_value</t>
  </si>
  <si>
    <t xml:space="preserve">UW NOI / 5.75%</t>
  </si>
  <si>
    <t xml:space="preserve">contract_rate</t>
  </si>
  <si>
    <t xml:space="preserve">0.00%</t>
  </si>
  <si>
    <t xml:space="preserve">5.90% (Lender-Terms)</t>
  </si>
  <si>
    <t xml:space="preserve">sizing_rate</t>
  </si>
  <si>
    <t xml:space="preserve">Greater of contract &amp; 6.25%</t>
  </si>
  <si>
    <t xml:space="preserve">annual_debt_constant</t>
  </si>
  <si>
    <t xml:space="preserve">0.00000000</t>
  </si>
  <si>
    <t xml:space="preserve">30-yr, monthly amort at sizing rate</t>
  </si>
  <si>
    <t xml:space="preserve">ltv_limit</t>
  </si>
  <si>
    <t xml:space="preserve">65% x value</t>
  </si>
  <si>
    <t xml:space="preserve">dscr_limit</t>
  </si>
  <si>
    <t xml:space="preserve">NCF / 1.25 / ADC</t>
  </si>
  <si>
    <t xml:space="preserve">debt_yield_limit</t>
  </si>
  <si>
    <t xml:space="preserve">NCF / 8.50%</t>
  </si>
  <si>
    <t xml:space="preserve">maximum_loan</t>
  </si>
  <si>
    <t xml:space="preserve">MIN of three constraints</t>
  </si>
  <si>
    <t xml:space="preserve">General</t>
  </si>
  <si>
    <t xml:space="preserve">LTV/DSCR/Debt yield</t>
  </si>
  <si>
    <t xml:space="preserve">sizing_annual_debt_service</t>
  </si>
  <si>
    <t xml:space="preserve">Max loan x ADC</t>
  </si>
  <si>
    <t xml:space="preserve">sizing_dscr</t>
  </si>
  <si>
    <t xml:space="preserve">0.0000"x"</t>
  </si>
  <si>
    <t xml:space="preserve">NCF / Sizing ADS</t>
  </si>
  <si>
    <t xml:space="preserve">sizing_debt_yield</t>
  </si>
  <si>
    <t xml:space="preserve">NCF / Max loan</t>
  </si>
  <si>
    <t xml:space="preserve">first_year_debt_service</t>
  </si>
  <si>
    <t xml:space="preserve">IO year — Loan x contract rate</t>
  </si>
  <si>
    <t xml:space="preserve">cash_to_borrower</t>
  </si>
  <si>
    <t xml:space="preserve">Loan - payoff - orig fee - closing</t>
  </si>
  <si>
    <t xml:space="preserve">stress_uw_noi</t>
  </si>
  <si>
    <t xml:space="preserve">EGI -5%, mgmt recalc, other OpEx unchanged</t>
  </si>
  <si>
    <t xml:space="preserve">EGI -5% AND sizing +100 bps; cap unchanged</t>
  </si>
  <si>
    <t xml:space="preserve">subject_lease_monthly_rent</t>
  </si>
  <si>
    <t xml:space="preserve">Lease-File §3 (unit 101)</t>
  </si>
  <si>
    <t xml:space="preserve">subject_lease_expiry</t>
  </si>
  <si>
    <t xml:space="preserve">@</t>
  </si>
  <si>
    <t xml:space="preserve">Lease-File §2 (unit 101)</t>
  </si>
  <si>
    <t xml:space="preserve">subject_lease_deposit</t>
  </si>
  <si>
    <t xml:space="preserve">Lease-File §4 (unit 101)</t>
  </si>
  <si>
    <t xml:space="preserve">verified_renewal_insurance</t>
  </si>
  <si>
    <t xml:space="preserve">Property-and-Plan p.2 renewal quote</t>
  </si>
  <si>
    <t xml:space="preserve">renewal_option_exercised</t>
  </si>
  <si>
    <t xml:space="preserve">No — option exists per §5 but no signed exercise notice in packet</t>
  </si>
  <si>
    <t xml:space="preserve">Lease-File §5; Rent-Roll note</t>
  </si>
  <si>
    <t xml:space="preserve">prepayment_friction</t>
  </si>
  <si>
    <t xml:space="preserve">1% of outstanding principal in years 1-2; none thereafter; no swap assumed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</si>
</sst>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\$#,##0.00;[RED]&quot;($&quot;#,##0.00\)"/>
    <numFmt numFmtId="168" formatCode="0.0000\x"/>
    <numFmt numFmtId="169" formatCode="0"/>
    <numFmt numFmtId="170" formatCode="#,##0"/>
    <numFmt numFmtId="171" formatCode="0.00000000"/>
    <numFmt numFmtId="172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5E1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D9E1F2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5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0" t="s">
        <v>3</v>
      </c>
      <c r="C6" s="4"/>
    </row>
    <row r="7" customFormat="false" ht="15" hidden="false" customHeight="false" outlineLevel="0" collapsed="false">
      <c r="B7" s="0" t="s">
        <v>4</v>
      </c>
      <c r="C7" s="5"/>
    </row>
    <row r="8" customFormat="false" ht="15" hidden="false" customHeight="false" outlineLevel="0" collapsed="false">
      <c r="B8" s="0" t="s">
        <v>5</v>
      </c>
      <c r="C8" s="6"/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7" t="s">
        <v>7</v>
      </c>
      <c r="C11" s="7" t="s">
        <v>8</v>
      </c>
    </row>
    <row r="12" customFormat="false" ht="15" hidden="false" customHeight="false" outlineLevel="0" collapsed="false">
      <c r="B12" s="8" t="s">
        <v>9</v>
      </c>
      <c r="C12" s="0" t="s">
        <v>10</v>
      </c>
    </row>
    <row r="13" customFormat="false" ht="15" hidden="false" customHeight="false" outlineLevel="0" collapsed="false">
      <c r="B13" s="8" t="s">
        <v>11</v>
      </c>
      <c r="C13" s="0" t="s">
        <v>12</v>
      </c>
    </row>
    <row r="14" customFormat="false" ht="15" hidden="false" customHeight="false" outlineLevel="0" collapsed="false">
      <c r="B14" s="8" t="s">
        <v>13</v>
      </c>
      <c r="C14" s="0" t="s">
        <v>14</v>
      </c>
    </row>
    <row r="15" customFormat="false" ht="15" hidden="false" customHeight="false" outlineLevel="0" collapsed="false">
      <c r="B15" s="8" t="s">
        <v>15</v>
      </c>
      <c r="C15" s="0" t="s">
        <v>16</v>
      </c>
    </row>
    <row r="16" customFormat="false" ht="15" hidden="false" customHeight="false" outlineLevel="0" collapsed="false">
      <c r="B16" s="8" t="s">
        <v>17</v>
      </c>
      <c r="C16" s="0" t="s">
        <v>18</v>
      </c>
    </row>
    <row r="17" customFormat="false" ht="15" hidden="false" customHeight="false" outlineLevel="0" collapsed="false">
      <c r="B17" s="8" t="s">
        <v>19</v>
      </c>
      <c r="C17" s="0" t="s">
        <v>20</v>
      </c>
    </row>
    <row r="18" customFormat="false" ht="15" hidden="false" customHeight="false" outlineLevel="0" collapsed="false">
      <c r="B18" s="8" t="s">
        <v>21</v>
      </c>
      <c r="C18" s="0" t="s">
        <v>22</v>
      </c>
    </row>
    <row r="21" customFormat="false" ht="15" hidden="false" customHeight="false" outlineLevel="0" collapsed="false">
      <c r="B21" s="3" t="s">
        <v>23</v>
      </c>
    </row>
    <row r="22" customFormat="false" ht="15" hidden="false" customHeight="false" outlineLevel="0" collapsed="false">
      <c r="B22" s="0" t="s">
        <v>24</v>
      </c>
      <c r="C22" s="9" t="n">
        <f aca="false">Inputs!B21</f>
        <v>0.0575</v>
      </c>
    </row>
    <row r="23" customFormat="false" ht="15" hidden="false" customHeight="false" outlineLevel="0" collapsed="false">
      <c r="B23" s="0" t="s">
        <v>25</v>
      </c>
      <c r="C23" s="9" t="n">
        <f aca="false">Inputs!B22</f>
        <v>0.0625</v>
      </c>
    </row>
    <row r="24" customFormat="false" ht="15" hidden="false" customHeight="false" outlineLevel="0" collapsed="false">
      <c r="B24" s="0" t="s">
        <v>26</v>
      </c>
      <c r="C24" s="9" t="n">
        <f aca="false">Inputs!B23</f>
        <v>0.059</v>
      </c>
    </row>
    <row r="25" customFormat="false" ht="15" hidden="false" customHeight="false" outlineLevel="0" collapsed="false">
      <c r="B25" s="0" t="s">
        <v>27</v>
      </c>
      <c r="C25" s="10" t="n">
        <f aca="false">Inputs!B10</f>
        <v>864000</v>
      </c>
    </row>
    <row r="26" customFormat="false" ht="15" hidden="false" customHeight="false" outlineLevel="0" collapsed="false">
      <c r="B26" s="0" t="s">
        <v>28</v>
      </c>
      <c r="C26" s="9" t="n">
        <f aca="false">Inputs!B11</f>
        <v>0.06</v>
      </c>
    </row>
    <row r="27" customFormat="false" ht="15" hidden="false" customHeight="false" outlineLevel="0" collapsed="false">
      <c r="B27" s="0" t="s">
        <v>29</v>
      </c>
      <c r="C27" s="10" t="n">
        <f aca="false">Inputs!B12</f>
        <v>42000</v>
      </c>
    </row>
    <row r="32" customFormat="false" ht="15" hidden="false" customHeight="false" outlineLevel="0" collapsed="false">
      <c r="B32" s="3" t="s">
        <v>30</v>
      </c>
    </row>
    <row r="33" customFormat="false" ht="15" hidden="false" customHeight="false" outlineLevel="0" collapsed="false">
      <c r="B33" s="0" t="s">
        <v>31</v>
      </c>
      <c r="C33" s="11" t="n">
        <f aca="false">Underwriting!B22</f>
        <v>545960</v>
      </c>
    </row>
    <row r="34" customFormat="false" ht="15" hidden="false" customHeight="false" outlineLevel="0" collapsed="false">
      <c r="B34" s="0" t="s">
        <v>32</v>
      </c>
      <c r="C34" s="11" t="n">
        <f aca="false">Underwriting!B24</f>
        <v>535160</v>
      </c>
    </row>
    <row r="35" customFormat="false" ht="15" hidden="false" customHeight="false" outlineLevel="0" collapsed="false">
      <c r="B35" s="0" t="s">
        <v>33</v>
      </c>
      <c r="C35" s="11" t="n">
        <f aca="false">Loan_Sizing!B7</f>
        <v>9494956.52173913</v>
      </c>
    </row>
    <row r="36" customFormat="false" ht="15" hidden="false" customHeight="false" outlineLevel="0" collapsed="false">
      <c r="B36" s="0" t="s">
        <v>34</v>
      </c>
      <c r="C36" s="11" t="n">
        <f aca="false">Loan_Sizing!B22</f>
        <v>5794435.06022346</v>
      </c>
    </row>
    <row r="37" customFormat="false" ht="15" hidden="false" customHeight="false" outlineLevel="0" collapsed="false">
      <c r="B37" s="0" t="s">
        <v>35</v>
      </c>
      <c r="C37" s="12" t="str">
        <f aca="false">Loan_Sizing!B23</f>
        <v>DSCR</v>
      </c>
    </row>
    <row r="38" customFormat="false" ht="15" hidden="false" customHeight="false" outlineLevel="0" collapsed="false">
      <c r="B38" s="0" t="s">
        <v>36</v>
      </c>
      <c r="C38" s="11" t="n">
        <f aca="false">Loan_Sizing!B36</f>
        <v>2405976.79727178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68"/>
  </cols>
  <sheetData>
    <row r="1" customFormat="false" ht="19.7" hidden="false" customHeight="false" outlineLevel="0" collapsed="false">
      <c r="A1" s="13" t="s">
        <v>37</v>
      </c>
      <c r="B1" s="13"/>
      <c r="C1" s="13"/>
    </row>
    <row r="3" customFormat="false" ht="15" hidden="false" customHeight="false" outlineLevel="0" collapsed="false">
      <c r="A3" s="14" t="s">
        <v>38</v>
      </c>
      <c r="B3" s="14"/>
      <c r="C3" s="14"/>
    </row>
    <row r="4" customFormat="false" ht="15" hidden="false" customHeight="false" outlineLevel="0" collapsed="false">
      <c r="A4" s="7" t="s">
        <v>39</v>
      </c>
      <c r="B4" s="7" t="s">
        <v>40</v>
      </c>
      <c r="C4" s="7" t="s">
        <v>41</v>
      </c>
    </row>
    <row r="5" customFormat="false" ht="15" hidden="false" customHeight="false" outlineLevel="0" collapsed="false">
      <c r="A5" s="0" t="s">
        <v>42</v>
      </c>
      <c r="B5" s="15" t="n">
        <v>36</v>
      </c>
      <c r="C5" s="2" t="s">
        <v>43</v>
      </c>
    </row>
    <row r="6" customFormat="false" ht="15" hidden="false" customHeight="false" outlineLevel="0" collapsed="false">
      <c r="A6" s="0" t="s">
        <v>44</v>
      </c>
      <c r="B6" s="15" t="n">
        <v>33</v>
      </c>
      <c r="C6" s="2" t="s">
        <v>45</v>
      </c>
    </row>
    <row r="7" customFormat="false" ht="15" hidden="false" customHeight="false" outlineLevel="0" collapsed="false">
      <c r="A7" s="0" t="s">
        <v>46</v>
      </c>
      <c r="B7" s="15" t="n">
        <v>31800</v>
      </c>
      <c r="C7" s="2" t="s">
        <v>47</v>
      </c>
    </row>
    <row r="8" customFormat="false" ht="15" hidden="false" customHeight="false" outlineLevel="0" collapsed="false">
      <c r="A8" s="0" t="s">
        <v>48</v>
      </c>
      <c r="B8" s="15" t="n">
        <v>28950</v>
      </c>
      <c r="C8" s="2" t="s">
        <v>49</v>
      </c>
    </row>
    <row r="9" customFormat="false" ht="15" hidden="false" customHeight="false" outlineLevel="0" collapsed="false">
      <c r="C9" s="2"/>
    </row>
    <row r="10" customFormat="false" ht="15" hidden="false" customHeight="false" outlineLevel="0" collapsed="false">
      <c r="A10" s="0" t="s">
        <v>50</v>
      </c>
      <c r="B10" s="16" t="n">
        <v>864000</v>
      </c>
      <c r="C10" s="2" t="s">
        <v>51</v>
      </c>
    </row>
    <row r="11" customFormat="false" ht="15" hidden="false" customHeight="false" outlineLevel="0" collapsed="false">
      <c r="A11" s="0" t="s">
        <v>52</v>
      </c>
      <c r="B11" s="17" t="n">
        <v>0.06</v>
      </c>
      <c r="C11" s="2" t="s">
        <v>53</v>
      </c>
    </row>
    <row r="12" customFormat="false" ht="15" hidden="false" customHeight="false" outlineLevel="0" collapsed="false">
      <c r="A12" s="0" t="s">
        <v>54</v>
      </c>
      <c r="B12" s="16" t="n">
        <v>42000</v>
      </c>
      <c r="C12" s="2" t="s">
        <v>55</v>
      </c>
    </row>
    <row r="13" customFormat="false" ht="15" hidden="false" customHeight="false" outlineLevel="0" collapsed="false">
      <c r="C13" s="2"/>
    </row>
    <row r="14" customFormat="false" ht="15" hidden="false" customHeight="false" outlineLevel="0" collapsed="false">
      <c r="A14" s="0" t="s">
        <v>56</v>
      </c>
      <c r="B14" s="16" t="n">
        <v>30000</v>
      </c>
      <c r="C14" s="2" t="s">
        <v>57</v>
      </c>
    </row>
    <row r="15" customFormat="false" ht="15" hidden="false" customHeight="false" outlineLevel="0" collapsed="false">
      <c r="A15" s="0" t="s">
        <v>58</v>
      </c>
      <c r="B15" s="17" t="n">
        <v>0.03</v>
      </c>
      <c r="C15" s="2" t="s">
        <v>59</v>
      </c>
    </row>
    <row r="16" customFormat="false" ht="15" hidden="false" customHeight="false" outlineLevel="0" collapsed="false">
      <c r="C16" s="2"/>
    </row>
    <row r="17" customFormat="false" ht="15" hidden="false" customHeight="false" outlineLevel="0" collapsed="false">
      <c r="A17" s="14" t="s">
        <v>60</v>
      </c>
      <c r="B17" s="14"/>
      <c r="C17" s="14"/>
    </row>
    <row r="18" customFormat="false" ht="15" hidden="false" customHeight="false" outlineLevel="0" collapsed="false">
      <c r="A18" s="7" t="s">
        <v>39</v>
      </c>
      <c r="B18" s="7" t="s">
        <v>40</v>
      </c>
      <c r="C18" s="7" t="s">
        <v>41</v>
      </c>
    </row>
    <row r="19" customFormat="false" ht="15" hidden="false" customHeight="false" outlineLevel="0" collapsed="false">
      <c r="A19" s="0" t="s">
        <v>61</v>
      </c>
      <c r="B19" s="17" t="n">
        <v>0.65</v>
      </c>
      <c r="C19" s="2" t="s">
        <v>62</v>
      </c>
    </row>
    <row r="20" customFormat="false" ht="15" hidden="false" customHeight="false" outlineLevel="0" collapsed="false">
      <c r="A20" s="0" t="s">
        <v>63</v>
      </c>
      <c r="B20" s="18" t="n">
        <v>1.25</v>
      </c>
      <c r="C20" s="2" t="s">
        <v>62</v>
      </c>
    </row>
    <row r="21" customFormat="false" ht="15" hidden="false" customHeight="false" outlineLevel="0" collapsed="false">
      <c r="A21" s="0" t="s">
        <v>64</v>
      </c>
      <c r="B21" s="17" t="n">
        <v>0.0575</v>
      </c>
      <c r="C21" s="2" t="s">
        <v>65</v>
      </c>
    </row>
    <row r="22" customFormat="false" ht="15" hidden="false" customHeight="false" outlineLevel="0" collapsed="false">
      <c r="A22" s="0" t="s">
        <v>25</v>
      </c>
      <c r="B22" s="17" t="n">
        <v>0.0625</v>
      </c>
      <c r="C22" s="2" t="s">
        <v>66</v>
      </c>
    </row>
    <row r="23" customFormat="false" ht="15" hidden="false" customHeight="false" outlineLevel="0" collapsed="false">
      <c r="A23" s="0" t="s">
        <v>67</v>
      </c>
      <c r="B23" s="17" t="n">
        <v>0.059</v>
      </c>
      <c r="C23" s="2" t="s">
        <v>62</v>
      </c>
    </row>
    <row r="24" customFormat="false" ht="15" hidden="false" customHeight="false" outlineLevel="0" collapsed="false">
      <c r="A24" s="0" t="s">
        <v>68</v>
      </c>
      <c r="B24" s="17" t="n">
        <v>0.085</v>
      </c>
      <c r="C24" s="2" t="s">
        <v>62</v>
      </c>
    </row>
    <row r="25" customFormat="false" ht="15" hidden="false" customHeight="false" outlineLevel="0" collapsed="false">
      <c r="A25" s="0" t="s">
        <v>69</v>
      </c>
      <c r="B25" s="19" t="n">
        <v>30</v>
      </c>
      <c r="C25" s="2" t="s">
        <v>62</v>
      </c>
    </row>
    <row r="26" customFormat="false" ht="15" hidden="false" customHeight="false" outlineLevel="0" collapsed="false">
      <c r="A26" s="0" t="s">
        <v>70</v>
      </c>
      <c r="B26" s="19" t="n">
        <v>24</v>
      </c>
      <c r="C26" s="2" t="s">
        <v>62</v>
      </c>
    </row>
    <row r="27" customFormat="false" ht="15" hidden="false" customHeight="false" outlineLevel="0" collapsed="false">
      <c r="A27" s="0" t="s">
        <v>71</v>
      </c>
      <c r="B27" s="19" t="n">
        <v>84</v>
      </c>
      <c r="C27" s="2" t="s">
        <v>62</v>
      </c>
    </row>
    <row r="28" customFormat="false" ht="15" hidden="false" customHeight="false" outlineLevel="0" collapsed="false">
      <c r="A28" s="0" t="s">
        <v>72</v>
      </c>
      <c r="B28" s="17" t="n">
        <v>0.0075</v>
      </c>
      <c r="C28" s="2" t="s">
        <v>62</v>
      </c>
    </row>
    <row r="29" customFormat="false" ht="15" hidden="false" customHeight="false" outlineLevel="0" collapsed="false">
      <c r="A29" s="0" t="s">
        <v>73</v>
      </c>
      <c r="B29" s="16" t="n">
        <v>3300000</v>
      </c>
      <c r="C29" s="2" t="s">
        <v>74</v>
      </c>
    </row>
    <row r="30" customFormat="false" ht="15" hidden="false" customHeight="false" outlineLevel="0" collapsed="false">
      <c r="A30" s="0" t="s">
        <v>75</v>
      </c>
      <c r="B30" s="16" t="n">
        <v>45000</v>
      </c>
      <c r="C30" s="2" t="s">
        <v>74</v>
      </c>
    </row>
    <row r="31" customFormat="false" ht="15" hidden="false" customHeight="false" outlineLevel="0" collapsed="false">
      <c r="A31" s="0" t="s">
        <v>76</v>
      </c>
      <c r="B31" s="16" t="n">
        <v>300</v>
      </c>
      <c r="C31" s="2" t="s">
        <v>74</v>
      </c>
    </row>
    <row r="34" customFormat="false" ht="15" hidden="false" customHeight="false" outlineLevel="0" collapsed="false">
      <c r="A34" s="14" t="s">
        <v>77</v>
      </c>
      <c r="B34" s="14"/>
      <c r="C34" s="14"/>
    </row>
    <row r="35" customFormat="false" ht="15" hidden="false" customHeight="false" outlineLevel="0" collapsed="false">
      <c r="A35" s="7" t="s">
        <v>78</v>
      </c>
      <c r="B35" s="7" t="s">
        <v>79</v>
      </c>
      <c r="C35" s="7" t="s">
        <v>80</v>
      </c>
    </row>
    <row r="36" customFormat="false" ht="15" hidden="false" customHeight="false" outlineLevel="0" collapsed="false">
      <c r="A36" s="0" t="s">
        <v>81</v>
      </c>
      <c r="B36" s="16" t="n">
        <v>112000</v>
      </c>
      <c r="C36" s="2" t="s">
        <v>82</v>
      </c>
    </row>
    <row r="37" customFormat="false" ht="15" hidden="false" customHeight="false" outlineLevel="0" collapsed="false">
      <c r="A37" s="0" t="s">
        <v>83</v>
      </c>
      <c r="B37" s="16" t="n">
        <v>33600</v>
      </c>
      <c r="C37" s="2" t="s">
        <v>84</v>
      </c>
    </row>
    <row r="38" customFormat="false" ht="15" hidden="false" customHeight="false" outlineLevel="0" collapsed="false">
      <c r="A38" s="0" t="s">
        <v>85</v>
      </c>
      <c r="B38" s="16" t="n">
        <v>28800</v>
      </c>
      <c r="C38" s="2" t="s">
        <v>86</v>
      </c>
    </row>
    <row r="39" customFormat="false" ht="15" hidden="false" customHeight="false" outlineLevel="0" collapsed="false">
      <c r="A39" s="0" t="s">
        <v>87</v>
      </c>
      <c r="B39" s="16" t="n">
        <v>40200</v>
      </c>
      <c r="C39" s="2" t="s">
        <v>88</v>
      </c>
    </row>
    <row r="40" customFormat="false" ht="15" hidden="false" customHeight="false" outlineLevel="0" collapsed="false">
      <c r="A40" s="0" t="s">
        <v>89</v>
      </c>
      <c r="B40" s="16" t="n">
        <v>42000</v>
      </c>
      <c r="C40" s="2" t="s">
        <v>86</v>
      </c>
    </row>
    <row r="41" customFormat="false" ht="15" hidden="false" customHeight="false" outlineLevel="0" collapsed="false">
      <c r="A41" s="0" t="s">
        <v>90</v>
      </c>
      <c r="B41" s="16" t="n">
        <v>21600</v>
      </c>
      <c r="C41" s="2" t="s">
        <v>86</v>
      </c>
    </row>
  </sheetData>
  <mergeCells count="4">
    <mergeCell ref="A1:C1"/>
    <mergeCell ref="A3:C3"/>
    <mergeCell ref="A17:C17"/>
    <mergeCell ref="A34:C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93</v>
      </c>
      <c r="B4" s="7" t="s">
        <v>94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</row>
    <row r="5" customFormat="false" ht="15" hidden="false" customHeight="false" outlineLevel="0" collapsed="false">
      <c r="A5" s="0" t="s">
        <v>100</v>
      </c>
      <c r="B5" s="0" t="s">
        <v>101</v>
      </c>
      <c r="C5" s="0" t="n">
        <v>750</v>
      </c>
      <c r="D5" s="0" t="s">
        <v>102</v>
      </c>
      <c r="E5" s="10" t="n">
        <v>1675</v>
      </c>
      <c r="F5" s="10" t="n">
        <v>1675</v>
      </c>
      <c r="G5" s="0" t="s">
        <v>103</v>
      </c>
    </row>
    <row r="6" customFormat="false" ht="15" hidden="false" customHeight="false" outlineLevel="0" collapsed="false">
      <c r="A6" s="0" t="s">
        <v>104</v>
      </c>
      <c r="B6" s="0" t="s">
        <v>105</v>
      </c>
      <c r="C6" s="0" t="n">
        <v>750</v>
      </c>
      <c r="D6" s="0" t="s">
        <v>102</v>
      </c>
      <c r="E6" s="10" t="n">
        <v>1675</v>
      </c>
      <c r="F6" s="10" t="n">
        <v>1675</v>
      </c>
      <c r="G6" s="0" t="s">
        <v>106</v>
      </c>
    </row>
    <row r="7" customFormat="false" ht="15" hidden="false" customHeight="false" outlineLevel="0" collapsed="false">
      <c r="A7" s="0" t="s">
        <v>107</v>
      </c>
      <c r="B7" s="0" t="s">
        <v>108</v>
      </c>
      <c r="C7" s="0" t="n">
        <v>750</v>
      </c>
      <c r="D7" s="0" t="s">
        <v>102</v>
      </c>
      <c r="E7" s="10" t="n">
        <v>1675</v>
      </c>
      <c r="F7" s="10" t="n">
        <v>1675</v>
      </c>
      <c r="G7" s="0" t="s">
        <v>109</v>
      </c>
    </row>
    <row r="8" customFormat="false" ht="15" hidden="false" customHeight="false" outlineLevel="0" collapsed="false">
      <c r="A8" s="0" t="s">
        <v>110</v>
      </c>
      <c r="B8" s="0" t="s">
        <v>111</v>
      </c>
      <c r="C8" s="0" t="n">
        <v>750</v>
      </c>
      <c r="D8" s="0" t="s">
        <v>102</v>
      </c>
      <c r="E8" s="10" t="n">
        <v>1675</v>
      </c>
      <c r="F8" s="10" t="n">
        <v>1675</v>
      </c>
      <c r="G8" s="0" t="s">
        <v>112</v>
      </c>
    </row>
    <row r="9" customFormat="false" ht="15" hidden="false" customHeight="false" outlineLevel="0" collapsed="false">
      <c r="A9" s="0" t="s">
        <v>113</v>
      </c>
      <c r="B9" s="0" t="s">
        <v>114</v>
      </c>
      <c r="C9" s="0" t="n">
        <v>750</v>
      </c>
      <c r="D9" s="0" t="s">
        <v>102</v>
      </c>
      <c r="E9" s="10" t="n">
        <v>1675</v>
      </c>
      <c r="F9" s="10" t="n">
        <v>1675</v>
      </c>
      <c r="G9" s="0" t="s">
        <v>115</v>
      </c>
    </row>
    <row r="10" customFormat="false" ht="15" hidden="false" customHeight="false" outlineLevel="0" collapsed="false">
      <c r="A10" s="0" t="s">
        <v>116</v>
      </c>
      <c r="B10" s="0" t="s">
        <v>117</v>
      </c>
      <c r="C10" s="0" t="n">
        <v>750</v>
      </c>
      <c r="D10" s="0" t="s">
        <v>102</v>
      </c>
      <c r="E10" s="10" t="n">
        <v>1675</v>
      </c>
      <c r="F10" s="10" t="n">
        <v>1675</v>
      </c>
      <c r="G10" s="0" t="s">
        <v>118</v>
      </c>
    </row>
    <row r="11" customFormat="false" ht="15" hidden="false" customHeight="false" outlineLevel="0" collapsed="false">
      <c r="A11" s="0" t="s">
        <v>119</v>
      </c>
      <c r="B11" s="0" t="s">
        <v>120</v>
      </c>
      <c r="C11" s="0" t="n">
        <v>750</v>
      </c>
      <c r="D11" s="0" t="s">
        <v>102</v>
      </c>
      <c r="E11" s="10" t="n">
        <v>1675</v>
      </c>
      <c r="F11" s="10" t="n">
        <v>1675</v>
      </c>
      <c r="G11" s="0" t="s">
        <v>121</v>
      </c>
    </row>
    <row r="12" customFormat="false" ht="15" hidden="false" customHeight="false" outlineLevel="0" collapsed="false">
      <c r="A12" s="0" t="s">
        <v>122</v>
      </c>
      <c r="B12" s="0" t="s">
        <v>123</v>
      </c>
      <c r="C12" s="0" t="n">
        <v>750</v>
      </c>
      <c r="D12" s="0" t="s">
        <v>102</v>
      </c>
      <c r="E12" s="10" t="n">
        <v>1675</v>
      </c>
      <c r="F12" s="10" t="n">
        <v>1675</v>
      </c>
      <c r="G12" s="0" t="s">
        <v>124</v>
      </c>
    </row>
    <row r="13" customFormat="false" ht="15" hidden="false" customHeight="false" outlineLevel="0" collapsed="false">
      <c r="A13" s="0" t="s">
        <v>125</v>
      </c>
      <c r="B13" s="0" t="s">
        <v>126</v>
      </c>
      <c r="C13" s="0" t="n">
        <v>750</v>
      </c>
      <c r="D13" s="0" t="s">
        <v>126</v>
      </c>
      <c r="E13" s="10"/>
      <c r="F13" s="10" t="n">
        <v>1675</v>
      </c>
    </row>
    <row r="14" customFormat="false" ht="15" hidden="false" customHeight="false" outlineLevel="0" collapsed="false">
      <c r="A14" s="0" t="s">
        <v>127</v>
      </c>
      <c r="B14" s="0" t="s">
        <v>128</v>
      </c>
      <c r="C14" s="0" t="n">
        <v>750</v>
      </c>
      <c r="D14" s="0" t="s">
        <v>102</v>
      </c>
      <c r="E14" s="10" t="n">
        <v>1675</v>
      </c>
      <c r="F14" s="10" t="n">
        <v>1675</v>
      </c>
      <c r="G14" s="0" t="s">
        <v>129</v>
      </c>
    </row>
    <row r="15" customFormat="false" ht="15" hidden="false" customHeight="false" outlineLevel="0" collapsed="false">
      <c r="A15" s="0" t="s">
        <v>130</v>
      </c>
      <c r="B15" s="0" t="s">
        <v>131</v>
      </c>
      <c r="C15" s="0" t="n">
        <v>750</v>
      </c>
      <c r="D15" s="0" t="s">
        <v>102</v>
      </c>
      <c r="E15" s="10" t="n">
        <v>1675</v>
      </c>
      <c r="F15" s="10" t="n">
        <v>1675</v>
      </c>
      <c r="G15" s="0" t="s">
        <v>103</v>
      </c>
    </row>
    <row r="16" customFormat="false" ht="15" hidden="false" customHeight="false" outlineLevel="0" collapsed="false">
      <c r="A16" s="0" t="s">
        <v>132</v>
      </c>
      <c r="B16" s="0" t="s">
        <v>133</v>
      </c>
      <c r="C16" s="0" t="n">
        <v>750</v>
      </c>
      <c r="D16" s="0" t="s">
        <v>102</v>
      </c>
      <c r="E16" s="10" t="n">
        <v>1675</v>
      </c>
      <c r="F16" s="10" t="n">
        <v>1675</v>
      </c>
      <c r="G16" s="0" t="s">
        <v>134</v>
      </c>
    </row>
    <row r="17" customFormat="false" ht="15" hidden="false" customHeight="false" outlineLevel="0" collapsed="false">
      <c r="A17" s="0" t="s">
        <v>135</v>
      </c>
      <c r="B17" s="0" t="s">
        <v>136</v>
      </c>
      <c r="C17" s="0" t="n">
        <v>750</v>
      </c>
      <c r="D17" s="0" t="s">
        <v>102</v>
      </c>
      <c r="E17" s="10" t="n">
        <v>1675</v>
      </c>
      <c r="F17" s="10" t="n">
        <v>1675</v>
      </c>
      <c r="G17" s="0" t="s">
        <v>137</v>
      </c>
    </row>
    <row r="18" customFormat="false" ht="15" hidden="false" customHeight="false" outlineLevel="0" collapsed="false">
      <c r="A18" s="0" t="s">
        <v>138</v>
      </c>
      <c r="B18" s="0" t="s">
        <v>139</v>
      </c>
      <c r="C18" s="0" t="n">
        <v>750</v>
      </c>
      <c r="D18" s="0" t="s">
        <v>102</v>
      </c>
      <c r="E18" s="10" t="n">
        <v>1675</v>
      </c>
      <c r="F18" s="10" t="n">
        <v>1675</v>
      </c>
      <c r="G18" s="0" t="s">
        <v>106</v>
      </c>
    </row>
    <row r="19" customFormat="false" ht="15" hidden="false" customHeight="false" outlineLevel="0" collapsed="false">
      <c r="A19" s="0" t="s">
        <v>140</v>
      </c>
      <c r="B19" s="0" t="s">
        <v>141</v>
      </c>
      <c r="C19" s="0" t="n">
        <v>750</v>
      </c>
      <c r="D19" s="0" t="s">
        <v>102</v>
      </c>
      <c r="E19" s="10" t="n">
        <v>1675</v>
      </c>
      <c r="F19" s="10" t="n">
        <v>1675</v>
      </c>
      <c r="G19" s="0" t="s">
        <v>109</v>
      </c>
    </row>
    <row r="20" customFormat="false" ht="15" hidden="false" customHeight="false" outlineLevel="0" collapsed="false">
      <c r="A20" s="0" t="s">
        <v>142</v>
      </c>
      <c r="B20" s="0" t="s">
        <v>143</v>
      </c>
      <c r="C20" s="0" t="n">
        <v>750</v>
      </c>
      <c r="D20" s="0" t="s">
        <v>102</v>
      </c>
      <c r="E20" s="10" t="n">
        <v>1675</v>
      </c>
      <c r="F20" s="10" t="n">
        <v>1675</v>
      </c>
      <c r="G20" s="0" t="s">
        <v>112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n">
        <v>750</v>
      </c>
      <c r="D21" s="0" t="s">
        <v>102</v>
      </c>
      <c r="E21" s="10" t="n">
        <v>1675</v>
      </c>
      <c r="F21" s="10" t="n">
        <v>1675</v>
      </c>
      <c r="G21" s="0" t="s">
        <v>115</v>
      </c>
    </row>
    <row r="22" customFormat="false" ht="15" hidden="false" customHeight="false" outlineLevel="0" collapsed="false">
      <c r="A22" s="0" t="s">
        <v>146</v>
      </c>
      <c r="B22" s="0" t="s">
        <v>147</v>
      </c>
      <c r="C22" s="0" t="n">
        <v>750</v>
      </c>
      <c r="D22" s="0" t="s">
        <v>102</v>
      </c>
      <c r="E22" s="10" t="n">
        <v>1675</v>
      </c>
      <c r="F22" s="10" t="n">
        <v>1675</v>
      </c>
      <c r="G22" s="0" t="s">
        <v>118</v>
      </c>
    </row>
    <row r="23" customFormat="false" ht="15" hidden="false" customHeight="false" outlineLevel="0" collapsed="false">
      <c r="A23" s="0" t="s">
        <v>148</v>
      </c>
      <c r="B23" s="0" t="s">
        <v>149</v>
      </c>
      <c r="C23" s="0" t="n">
        <v>750</v>
      </c>
      <c r="D23" s="0" t="s">
        <v>102</v>
      </c>
      <c r="E23" s="10" t="n">
        <v>1675</v>
      </c>
      <c r="F23" s="10" t="n">
        <v>1675</v>
      </c>
      <c r="G23" s="0" t="s">
        <v>121</v>
      </c>
    </row>
    <row r="24" customFormat="false" ht="15" hidden="false" customHeight="false" outlineLevel="0" collapsed="false">
      <c r="A24" s="0" t="s">
        <v>150</v>
      </c>
      <c r="B24" s="0" t="s">
        <v>151</v>
      </c>
      <c r="C24" s="0" t="n">
        <v>750</v>
      </c>
      <c r="D24" s="0" t="s">
        <v>102</v>
      </c>
      <c r="E24" s="10" t="n">
        <v>1675</v>
      </c>
      <c r="F24" s="10" t="n">
        <v>1675</v>
      </c>
      <c r="G24" s="0" t="s">
        <v>124</v>
      </c>
    </row>
    <row r="25" customFormat="false" ht="15" hidden="false" customHeight="false" outlineLevel="0" collapsed="false">
      <c r="A25" s="0" t="s">
        <v>152</v>
      </c>
      <c r="B25" s="0" t="s">
        <v>153</v>
      </c>
      <c r="C25" s="0" t="n">
        <v>1050</v>
      </c>
      <c r="D25" s="0" t="s">
        <v>102</v>
      </c>
      <c r="E25" s="10" t="n">
        <v>2175</v>
      </c>
      <c r="F25" s="10" t="n">
        <v>2175</v>
      </c>
      <c r="G25" s="0" t="s">
        <v>154</v>
      </c>
    </row>
    <row r="26" customFormat="false" ht="15" hidden="false" customHeight="false" outlineLevel="0" collapsed="false">
      <c r="A26" s="0" t="s">
        <v>155</v>
      </c>
      <c r="B26" s="0" t="s">
        <v>156</v>
      </c>
      <c r="C26" s="0" t="n">
        <v>1050</v>
      </c>
      <c r="D26" s="0" t="s">
        <v>102</v>
      </c>
      <c r="E26" s="10" t="n">
        <v>2175</v>
      </c>
      <c r="F26" s="10" t="n">
        <v>2175</v>
      </c>
      <c r="G26" s="0" t="s">
        <v>129</v>
      </c>
    </row>
    <row r="27" customFormat="false" ht="15" hidden="false" customHeight="false" outlineLevel="0" collapsed="false">
      <c r="A27" s="0" t="s">
        <v>157</v>
      </c>
      <c r="B27" s="0" t="s">
        <v>158</v>
      </c>
      <c r="C27" s="0" t="n">
        <v>1050</v>
      </c>
      <c r="D27" s="0" t="s">
        <v>102</v>
      </c>
      <c r="E27" s="10" t="n">
        <v>2175</v>
      </c>
      <c r="F27" s="10" t="n">
        <v>2175</v>
      </c>
      <c r="G27" s="0" t="s">
        <v>103</v>
      </c>
    </row>
    <row r="28" customFormat="false" ht="15" hidden="false" customHeight="false" outlineLevel="0" collapsed="false">
      <c r="A28" s="0" t="s">
        <v>159</v>
      </c>
      <c r="B28" s="0" t="s">
        <v>160</v>
      </c>
      <c r="C28" s="0" t="n">
        <v>1050</v>
      </c>
      <c r="D28" s="0" t="s">
        <v>102</v>
      </c>
      <c r="E28" s="10" t="n">
        <v>2175</v>
      </c>
      <c r="F28" s="10" t="n">
        <v>2175</v>
      </c>
      <c r="G28" s="0" t="s">
        <v>134</v>
      </c>
    </row>
    <row r="29" customFormat="false" ht="15" hidden="false" customHeight="false" outlineLevel="0" collapsed="false">
      <c r="A29" s="0" t="s">
        <v>161</v>
      </c>
      <c r="B29" s="0" t="s">
        <v>126</v>
      </c>
      <c r="C29" s="0" t="n">
        <v>1050</v>
      </c>
      <c r="D29" s="0" t="s">
        <v>126</v>
      </c>
      <c r="E29" s="10"/>
      <c r="F29" s="10" t="n">
        <v>2175</v>
      </c>
    </row>
    <row r="30" customFormat="false" ht="15" hidden="false" customHeight="false" outlineLevel="0" collapsed="false">
      <c r="A30" s="0" t="s">
        <v>162</v>
      </c>
      <c r="B30" s="0" t="s">
        <v>163</v>
      </c>
      <c r="C30" s="0" t="n">
        <v>1050</v>
      </c>
      <c r="D30" s="0" t="s">
        <v>102</v>
      </c>
      <c r="E30" s="10" t="n">
        <v>2175</v>
      </c>
      <c r="F30" s="10" t="n">
        <v>2175</v>
      </c>
      <c r="G30" s="0" t="s">
        <v>106</v>
      </c>
    </row>
    <row r="31" customFormat="false" ht="15" hidden="false" customHeight="false" outlineLevel="0" collapsed="false">
      <c r="A31" s="0" t="s">
        <v>164</v>
      </c>
      <c r="B31" s="0" t="s">
        <v>165</v>
      </c>
      <c r="C31" s="0" t="n">
        <v>1050</v>
      </c>
      <c r="D31" s="0" t="s">
        <v>102</v>
      </c>
      <c r="E31" s="10" t="n">
        <v>2175</v>
      </c>
      <c r="F31" s="10" t="n">
        <v>2175</v>
      </c>
      <c r="G31" s="0" t="s">
        <v>109</v>
      </c>
    </row>
    <row r="32" customFormat="false" ht="15" hidden="false" customHeight="false" outlineLevel="0" collapsed="false">
      <c r="A32" s="0" t="s">
        <v>166</v>
      </c>
      <c r="B32" s="0" t="s">
        <v>167</v>
      </c>
      <c r="C32" s="0" t="n">
        <v>1050</v>
      </c>
      <c r="D32" s="0" t="s">
        <v>102</v>
      </c>
      <c r="E32" s="10" t="n">
        <v>2175</v>
      </c>
      <c r="F32" s="10" t="n">
        <v>2175</v>
      </c>
      <c r="G32" s="0" t="s">
        <v>112</v>
      </c>
    </row>
    <row r="33" customFormat="false" ht="15" hidden="false" customHeight="false" outlineLevel="0" collapsed="false">
      <c r="A33" s="0" t="s">
        <v>168</v>
      </c>
      <c r="B33" s="0" t="s">
        <v>169</v>
      </c>
      <c r="C33" s="0" t="n">
        <v>1050</v>
      </c>
      <c r="D33" s="0" t="s">
        <v>102</v>
      </c>
      <c r="E33" s="10" t="n">
        <v>2175</v>
      </c>
      <c r="F33" s="10" t="n">
        <v>2175</v>
      </c>
      <c r="G33" s="0" t="s">
        <v>115</v>
      </c>
    </row>
    <row r="34" customFormat="false" ht="15" hidden="false" customHeight="false" outlineLevel="0" collapsed="false">
      <c r="A34" s="0" t="s">
        <v>170</v>
      </c>
      <c r="B34" s="0" t="s">
        <v>171</v>
      </c>
      <c r="C34" s="0" t="n">
        <v>1050</v>
      </c>
      <c r="D34" s="0" t="s">
        <v>102</v>
      </c>
      <c r="E34" s="10" t="n">
        <v>2175</v>
      </c>
      <c r="F34" s="10" t="n">
        <v>2175</v>
      </c>
      <c r="G34" s="0" t="s">
        <v>118</v>
      </c>
    </row>
    <row r="35" customFormat="false" ht="15" hidden="false" customHeight="false" outlineLevel="0" collapsed="false">
      <c r="A35" s="0" t="s">
        <v>172</v>
      </c>
      <c r="B35" s="0" t="s">
        <v>173</v>
      </c>
      <c r="C35" s="0" t="n">
        <v>1050</v>
      </c>
      <c r="D35" s="0" t="s">
        <v>102</v>
      </c>
      <c r="E35" s="10" t="n">
        <v>2175</v>
      </c>
      <c r="F35" s="10" t="n">
        <v>2175</v>
      </c>
      <c r="G35" s="0" t="s">
        <v>121</v>
      </c>
    </row>
    <row r="36" customFormat="false" ht="15" hidden="false" customHeight="false" outlineLevel="0" collapsed="false">
      <c r="A36" s="0" t="s">
        <v>174</v>
      </c>
      <c r="B36" s="0" t="s">
        <v>175</v>
      </c>
      <c r="C36" s="0" t="n">
        <v>1050</v>
      </c>
      <c r="D36" s="0" t="s">
        <v>102</v>
      </c>
      <c r="E36" s="10" t="n">
        <v>2175</v>
      </c>
      <c r="F36" s="10" t="n">
        <v>2175</v>
      </c>
      <c r="G36" s="0" t="s">
        <v>124</v>
      </c>
    </row>
    <row r="37" customFormat="false" ht="15" hidden="false" customHeight="false" outlineLevel="0" collapsed="false">
      <c r="A37" s="0" t="s">
        <v>176</v>
      </c>
      <c r="B37" s="0" t="s">
        <v>177</v>
      </c>
      <c r="C37" s="0" t="n">
        <v>1050</v>
      </c>
      <c r="D37" s="0" t="s">
        <v>102</v>
      </c>
      <c r="E37" s="10" t="n">
        <v>2175</v>
      </c>
      <c r="F37" s="10" t="n">
        <v>2175</v>
      </c>
      <c r="G37" s="0" t="s">
        <v>154</v>
      </c>
    </row>
    <row r="38" customFormat="false" ht="15" hidden="false" customHeight="false" outlineLevel="0" collapsed="false">
      <c r="A38" s="0" t="s">
        <v>178</v>
      </c>
      <c r="B38" s="0" t="s">
        <v>179</v>
      </c>
      <c r="C38" s="0" t="n">
        <v>1050</v>
      </c>
      <c r="D38" s="0" t="s">
        <v>102</v>
      </c>
      <c r="E38" s="10" t="n">
        <v>2175</v>
      </c>
      <c r="F38" s="10" t="n">
        <v>2175</v>
      </c>
      <c r="G38" s="0" t="s">
        <v>129</v>
      </c>
    </row>
    <row r="39" customFormat="false" ht="15" hidden="false" customHeight="false" outlineLevel="0" collapsed="false">
      <c r="A39" s="0" t="s">
        <v>180</v>
      </c>
      <c r="B39" s="0" t="s">
        <v>181</v>
      </c>
      <c r="C39" s="0" t="n">
        <v>1050</v>
      </c>
      <c r="D39" s="0" t="s">
        <v>102</v>
      </c>
      <c r="E39" s="10" t="n">
        <v>2175</v>
      </c>
      <c r="F39" s="10" t="n">
        <v>2175</v>
      </c>
      <c r="G39" s="0" t="s">
        <v>103</v>
      </c>
    </row>
    <row r="40" customFormat="false" ht="15" hidden="false" customHeight="false" outlineLevel="0" collapsed="false">
      <c r="A40" s="0" t="s">
        <v>182</v>
      </c>
      <c r="B40" s="0" t="s">
        <v>126</v>
      </c>
      <c r="C40" s="0" t="n">
        <v>1050</v>
      </c>
      <c r="D40" s="0" t="s">
        <v>126</v>
      </c>
      <c r="E40" s="10"/>
      <c r="F40" s="10" t="n">
        <v>2175</v>
      </c>
    </row>
    <row r="42" customFormat="false" ht="15" hidden="false" customHeight="false" outlineLevel="0" collapsed="false">
      <c r="A42" s="3" t="s">
        <v>183</v>
      </c>
    </row>
    <row r="43" customFormat="false" ht="15" hidden="false" customHeight="false" outlineLevel="0" collapsed="false">
      <c r="A43" s="8" t="s">
        <v>184</v>
      </c>
      <c r="B43" s="12" t="n">
        <f aca="false">COUNTA(A5:A40)</f>
        <v>36</v>
      </c>
    </row>
    <row r="44" customFormat="false" ht="15" hidden="false" customHeight="false" outlineLevel="0" collapsed="false">
      <c r="A44" s="8" t="s">
        <v>185</v>
      </c>
      <c r="B44" s="12" t="n">
        <f aca="false">COUNTIF(D5:D40,"Occupied")</f>
        <v>33</v>
      </c>
    </row>
    <row r="45" customFormat="false" ht="15" hidden="false" customHeight="false" outlineLevel="0" collapsed="false">
      <c r="A45" s="8" t="s">
        <v>186</v>
      </c>
      <c r="B45" s="20" t="n">
        <f aca="false">SUM(C5:C40)</f>
        <v>31800</v>
      </c>
    </row>
    <row r="46" customFormat="false" ht="15" hidden="false" customHeight="false" outlineLevel="0" collapsed="false">
      <c r="A46" s="8" t="s">
        <v>187</v>
      </c>
      <c r="B46" s="20" t="n">
        <f aca="false">SUMIF(D5:D40,"Occupied",C5:C40)</f>
        <v>28950</v>
      </c>
    </row>
    <row r="47" customFormat="false" ht="15" hidden="false" customHeight="false" outlineLevel="0" collapsed="false">
      <c r="A47" s="8" t="s">
        <v>188</v>
      </c>
      <c r="B47" s="21" t="n">
        <f aca="false">B44/B43</f>
        <v>0.916666666666667</v>
      </c>
    </row>
    <row r="48" customFormat="false" ht="15" hidden="false" customHeight="false" outlineLevel="0" collapsed="false">
      <c r="A48" s="8" t="s">
        <v>189</v>
      </c>
      <c r="B48" s="21" t="n">
        <f aca="false">B46/B45</f>
        <v>0.910377358490566</v>
      </c>
    </row>
    <row r="49" customFormat="false" ht="15" hidden="false" customHeight="false" outlineLevel="0" collapsed="false">
      <c r="A49" s="8" t="s">
        <v>190</v>
      </c>
      <c r="B49" s="11" t="n">
        <f aca="false">SUM(E5:E40)</f>
        <v>62275</v>
      </c>
    </row>
    <row r="50" customFormat="false" ht="15" hidden="false" customHeight="false" outlineLevel="0" collapsed="false">
      <c r="A50" s="8" t="s">
        <v>191</v>
      </c>
      <c r="B50" s="11" t="n">
        <f aca="false">B49*12</f>
        <v>747300</v>
      </c>
    </row>
    <row r="51" customFormat="false" ht="15" hidden="false" customHeight="false" outlineLevel="0" collapsed="false">
      <c r="A51" s="8" t="s">
        <v>192</v>
      </c>
      <c r="B51" s="11" t="n">
        <f aca="false">B49</f>
        <v>62275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3" min="2" style="0" width="11"/>
    <col collapsed="false" customWidth="true" hidden="false" outlineLevel="0" max="14" min="14" style="0" width="15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3" t="s">
        <v>193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7" t="s">
        <v>195</v>
      </c>
      <c r="B4" s="7" t="s">
        <v>196</v>
      </c>
      <c r="C4" s="7" t="s">
        <v>197</v>
      </c>
      <c r="D4" s="7" t="s">
        <v>198</v>
      </c>
      <c r="E4" s="7" t="s">
        <v>199</v>
      </c>
      <c r="F4" s="7" t="s">
        <v>200</v>
      </c>
      <c r="G4" s="7" t="s">
        <v>201</v>
      </c>
      <c r="H4" s="7" t="s">
        <v>202</v>
      </c>
      <c r="I4" s="7" t="s">
        <v>203</v>
      </c>
      <c r="J4" s="7" t="s">
        <v>204</v>
      </c>
      <c r="K4" s="7" t="s">
        <v>205</v>
      </c>
      <c r="L4" s="7" t="s">
        <v>206</v>
      </c>
      <c r="M4" s="7" t="s">
        <v>207</v>
      </c>
      <c r="N4" s="7" t="s">
        <v>208</v>
      </c>
      <c r="O4" s="7" t="s">
        <v>209</v>
      </c>
    </row>
    <row r="5" customFormat="false" ht="15" hidden="false" customHeight="false" outlineLevel="0" collapsed="false">
      <c r="A5" s="0" t="s">
        <v>210</v>
      </c>
      <c r="B5" s="10" t="n">
        <v>65800</v>
      </c>
      <c r="C5" s="10" t="n">
        <v>67200</v>
      </c>
      <c r="D5" s="10" t="n">
        <v>68600</v>
      </c>
      <c r="E5" s="10" t="n">
        <v>69300</v>
      </c>
      <c r="F5" s="10" t="n">
        <v>70700</v>
      </c>
      <c r="G5" s="10" t="n">
        <v>72100</v>
      </c>
      <c r="H5" s="10" t="n">
        <v>72800</v>
      </c>
      <c r="I5" s="10" t="n">
        <v>74200</v>
      </c>
      <c r="J5" s="10" t="n">
        <v>72100</v>
      </c>
      <c r="K5" s="10" t="n">
        <v>70700</v>
      </c>
      <c r="L5" s="10" t="n">
        <v>68600</v>
      </c>
      <c r="M5" s="10" t="n">
        <v>67900</v>
      </c>
      <c r="N5" s="22" t="n">
        <f aca="false">SUM(B5:M5)</f>
        <v>840000</v>
      </c>
      <c r="O5" s="2" t="s">
        <v>211</v>
      </c>
    </row>
    <row r="6" customFormat="false" ht="15" hidden="false" customHeight="false" outlineLevel="0" collapsed="false">
      <c r="A6" s="0" t="s">
        <v>212</v>
      </c>
      <c r="B6" s="10" t="n">
        <v>-3360</v>
      </c>
      <c r="C6" s="10" t="n">
        <v>-3430</v>
      </c>
      <c r="D6" s="10" t="n">
        <v>-3465</v>
      </c>
      <c r="E6" s="10" t="n">
        <v>-3535</v>
      </c>
      <c r="F6" s="10" t="n">
        <v>-3605</v>
      </c>
      <c r="G6" s="10" t="n">
        <v>-3640</v>
      </c>
      <c r="H6" s="10" t="n">
        <v>-3710</v>
      </c>
      <c r="I6" s="10" t="n">
        <v>-3605</v>
      </c>
      <c r="J6" s="10" t="n">
        <v>-3535</v>
      </c>
      <c r="K6" s="10" t="n">
        <v>-3430</v>
      </c>
      <c r="L6" s="10" t="n">
        <v>-3395</v>
      </c>
      <c r="M6" s="10" t="n">
        <v>-3290</v>
      </c>
      <c r="N6" s="22" t="n">
        <f aca="false">SUM(B6:M6)</f>
        <v>-42000</v>
      </c>
      <c r="O6" s="2" t="s">
        <v>213</v>
      </c>
    </row>
    <row r="7" customFormat="false" ht="15" hidden="false" customHeight="false" outlineLevel="0" collapsed="false">
      <c r="A7" s="0" t="s">
        <v>214</v>
      </c>
      <c r="B7" s="10" t="n">
        <v>-980</v>
      </c>
      <c r="C7" s="10" t="n">
        <v>-990</v>
      </c>
      <c r="D7" s="10" t="n">
        <v>-1010</v>
      </c>
      <c r="E7" s="10" t="n">
        <v>-1030</v>
      </c>
      <c r="F7" s="10" t="n">
        <v>-1040</v>
      </c>
      <c r="G7" s="10" t="n">
        <v>-1060</v>
      </c>
      <c r="H7" s="10" t="n">
        <v>-1030</v>
      </c>
      <c r="I7" s="10" t="n">
        <v>-1010</v>
      </c>
      <c r="J7" s="10" t="n">
        <v>-980</v>
      </c>
      <c r="K7" s="10" t="n">
        <v>-970</v>
      </c>
      <c r="L7" s="10" t="n">
        <v>-940</v>
      </c>
      <c r="M7" s="10" t="n">
        <v>-960</v>
      </c>
      <c r="N7" s="22" t="n">
        <f aca="false">SUM(B7:M7)</f>
        <v>-12000</v>
      </c>
      <c r="O7" s="2"/>
    </row>
    <row r="8" customFormat="false" ht="15" hidden="false" customHeight="false" outlineLevel="0" collapsed="false">
      <c r="A8" s="0" t="s">
        <v>215</v>
      </c>
      <c r="B8" s="10" t="n">
        <v>-371</v>
      </c>
      <c r="C8" s="10" t="n">
        <v>-379</v>
      </c>
      <c r="D8" s="10" t="n">
        <v>-386</v>
      </c>
      <c r="E8" s="10" t="n">
        <v>-390</v>
      </c>
      <c r="F8" s="10" t="n">
        <v>-398</v>
      </c>
      <c r="G8" s="10" t="n">
        <v>-386</v>
      </c>
      <c r="H8" s="10" t="n">
        <v>-379</v>
      </c>
      <c r="I8" s="10" t="n">
        <v>-368</v>
      </c>
      <c r="J8" s="10" t="n">
        <v>-364</v>
      </c>
      <c r="K8" s="10" t="n">
        <v>-352</v>
      </c>
      <c r="L8" s="10" t="n">
        <v>-360</v>
      </c>
      <c r="M8" s="10" t="n">
        <v>-367</v>
      </c>
      <c r="N8" s="22" t="n">
        <f aca="false">SUM(B8:M8)</f>
        <v>-4500</v>
      </c>
      <c r="O8" s="2"/>
    </row>
    <row r="9" customFormat="false" ht="15" hidden="false" customHeight="false" outlineLevel="0" collapsed="false">
      <c r="A9" s="0" t="s">
        <v>216</v>
      </c>
      <c r="B9" s="10" t="n">
        <v>3333</v>
      </c>
      <c r="C9" s="10" t="n">
        <v>3399</v>
      </c>
      <c r="D9" s="10" t="n">
        <v>3432</v>
      </c>
      <c r="E9" s="10" t="n">
        <v>3498</v>
      </c>
      <c r="F9" s="10" t="n">
        <v>3399</v>
      </c>
      <c r="G9" s="10" t="n">
        <v>3333</v>
      </c>
      <c r="H9" s="10" t="n">
        <v>3234</v>
      </c>
      <c r="I9" s="10" t="n">
        <v>3201</v>
      </c>
      <c r="J9" s="10" t="n">
        <v>3102</v>
      </c>
      <c r="K9" s="10" t="n">
        <v>3168</v>
      </c>
      <c r="L9" s="10" t="n">
        <v>3234</v>
      </c>
      <c r="M9" s="10" t="n">
        <v>3267</v>
      </c>
      <c r="N9" s="22" t="n">
        <f aca="false">SUM(B9:M9)</f>
        <v>39600</v>
      </c>
      <c r="O9" s="2" t="s">
        <v>217</v>
      </c>
    </row>
    <row r="10" customFormat="false" ht="15" hidden="false" customHeight="false" outlineLevel="0" collapsed="false">
      <c r="A10" s="0" t="s">
        <v>81</v>
      </c>
      <c r="B10" s="10" t="n">
        <v>9270</v>
      </c>
      <c r="C10" s="10" t="n">
        <v>9360</v>
      </c>
      <c r="D10" s="10" t="n">
        <v>9540</v>
      </c>
      <c r="E10" s="10" t="n">
        <v>9270</v>
      </c>
      <c r="F10" s="10" t="n">
        <v>9090</v>
      </c>
      <c r="G10" s="10" t="n">
        <v>8820</v>
      </c>
      <c r="H10" s="10" t="n">
        <v>8730</v>
      </c>
      <c r="I10" s="10" t="n">
        <v>8460</v>
      </c>
      <c r="J10" s="10" t="n">
        <v>8640</v>
      </c>
      <c r="K10" s="10" t="n">
        <v>8820</v>
      </c>
      <c r="L10" s="10" t="n">
        <v>8910</v>
      </c>
      <c r="M10" s="10" t="n">
        <v>9090</v>
      </c>
      <c r="N10" s="22" t="n">
        <f aca="false">SUM(B10:M10)</f>
        <v>108000</v>
      </c>
      <c r="O10" s="2"/>
    </row>
    <row r="11" customFormat="false" ht="15" hidden="false" customHeight="false" outlineLevel="0" collapsed="false">
      <c r="A11" s="0" t="s">
        <v>83</v>
      </c>
      <c r="B11" s="10" t="n">
        <v>2704</v>
      </c>
      <c r="C11" s="10" t="n">
        <v>2756</v>
      </c>
      <c r="D11" s="10" t="n">
        <v>2678</v>
      </c>
      <c r="E11" s="10" t="n">
        <v>2626</v>
      </c>
      <c r="F11" s="10" t="n">
        <v>2548</v>
      </c>
      <c r="G11" s="10" t="n">
        <v>2522</v>
      </c>
      <c r="H11" s="10" t="n">
        <v>2444</v>
      </c>
      <c r="I11" s="10" t="n">
        <v>2496</v>
      </c>
      <c r="J11" s="10" t="n">
        <v>2548</v>
      </c>
      <c r="K11" s="10" t="n">
        <v>2574</v>
      </c>
      <c r="L11" s="10" t="n">
        <v>2626</v>
      </c>
      <c r="M11" s="10" t="n">
        <v>2678</v>
      </c>
      <c r="N11" s="22" t="n">
        <f aca="false">SUM(B11:M11)</f>
        <v>31200</v>
      </c>
      <c r="O11" s="2"/>
    </row>
    <row r="12" customFormat="false" ht="15" hidden="false" customHeight="false" outlineLevel="0" collapsed="false">
      <c r="A12" s="0" t="s">
        <v>85</v>
      </c>
      <c r="B12" s="10" t="n">
        <v>2544</v>
      </c>
      <c r="C12" s="10" t="n">
        <v>2472</v>
      </c>
      <c r="D12" s="10" t="n">
        <v>2424</v>
      </c>
      <c r="E12" s="10" t="n">
        <v>2352</v>
      </c>
      <c r="F12" s="10" t="n">
        <v>2328</v>
      </c>
      <c r="G12" s="10" t="n">
        <v>2256</v>
      </c>
      <c r="H12" s="10" t="n">
        <v>2304</v>
      </c>
      <c r="I12" s="10" t="n">
        <v>2352</v>
      </c>
      <c r="J12" s="10" t="n">
        <v>2376</v>
      </c>
      <c r="K12" s="10" t="n">
        <v>2424</v>
      </c>
      <c r="L12" s="10" t="n">
        <v>2472</v>
      </c>
      <c r="M12" s="10" t="n">
        <v>2496</v>
      </c>
      <c r="N12" s="22" t="n">
        <f aca="false">SUM(B12:M12)</f>
        <v>28800</v>
      </c>
      <c r="O12" s="2"/>
    </row>
    <row r="13" customFormat="false" ht="15" hidden="false" customHeight="false" outlineLevel="0" collapsed="false">
      <c r="A13" s="0" t="s">
        <v>218</v>
      </c>
      <c r="B13" s="10" t="n">
        <v>3966</v>
      </c>
      <c r="C13" s="10" t="n">
        <v>3888</v>
      </c>
      <c r="D13" s="10" t="n">
        <v>3773</v>
      </c>
      <c r="E13" s="10" t="n">
        <v>3734</v>
      </c>
      <c r="F13" s="10" t="n">
        <v>3619</v>
      </c>
      <c r="G13" s="10" t="n">
        <v>3696</v>
      </c>
      <c r="H13" s="10" t="n">
        <v>3773</v>
      </c>
      <c r="I13" s="10" t="n">
        <v>3812</v>
      </c>
      <c r="J13" s="10" t="n">
        <v>3888</v>
      </c>
      <c r="K13" s="10" t="n">
        <v>3966</v>
      </c>
      <c r="L13" s="10" t="n">
        <v>4004</v>
      </c>
      <c r="M13" s="10" t="n">
        <v>4081</v>
      </c>
      <c r="N13" s="22" t="n">
        <f aca="false">SUM(B13:M13)</f>
        <v>46200</v>
      </c>
      <c r="O13" s="2" t="s">
        <v>219</v>
      </c>
    </row>
    <row r="14" customFormat="false" ht="15" hidden="false" customHeight="false" outlineLevel="0" collapsed="false">
      <c r="A14" s="0" t="s">
        <v>89</v>
      </c>
      <c r="B14" s="10" t="n">
        <v>3535</v>
      </c>
      <c r="C14" s="10" t="n">
        <v>3430</v>
      </c>
      <c r="D14" s="10" t="n">
        <v>3395</v>
      </c>
      <c r="E14" s="10" t="n">
        <v>3290</v>
      </c>
      <c r="F14" s="10" t="n">
        <v>3360</v>
      </c>
      <c r="G14" s="10" t="n">
        <v>3430</v>
      </c>
      <c r="H14" s="10" t="n">
        <v>3465</v>
      </c>
      <c r="I14" s="10" t="n">
        <v>3535</v>
      </c>
      <c r="J14" s="10" t="n">
        <v>3605</v>
      </c>
      <c r="K14" s="10" t="n">
        <v>3640</v>
      </c>
      <c r="L14" s="10" t="n">
        <v>3710</v>
      </c>
      <c r="M14" s="10" t="n">
        <v>3605</v>
      </c>
      <c r="N14" s="22" t="n">
        <f aca="false">SUM(B14:M14)</f>
        <v>42000</v>
      </c>
      <c r="O14" s="2"/>
    </row>
    <row r="15" customFormat="false" ht="15" hidden="false" customHeight="false" outlineLevel="0" collapsed="false">
      <c r="A15" s="0" t="s">
        <v>90</v>
      </c>
      <c r="B15" s="10" t="n">
        <v>1764</v>
      </c>
      <c r="C15" s="10" t="n">
        <v>1746</v>
      </c>
      <c r="D15" s="10" t="n">
        <v>1692</v>
      </c>
      <c r="E15" s="10" t="n">
        <v>1728</v>
      </c>
      <c r="F15" s="10" t="n">
        <v>1764</v>
      </c>
      <c r="G15" s="10" t="n">
        <v>1782</v>
      </c>
      <c r="H15" s="10" t="n">
        <v>1818</v>
      </c>
      <c r="I15" s="10" t="n">
        <v>1854</v>
      </c>
      <c r="J15" s="10" t="n">
        <v>1872</v>
      </c>
      <c r="K15" s="10" t="n">
        <v>1908</v>
      </c>
      <c r="L15" s="10" t="n">
        <v>1854</v>
      </c>
      <c r="M15" s="10" t="n">
        <v>1818</v>
      </c>
      <c r="N15" s="22" t="n">
        <f aca="false">SUM(B15:M15)</f>
        <v>21600</v>
      </c>
      <c r="O15" s="2"/>
    </row>
    <row r="16" customFormat="false" ht="15" hidden="false" customHeight="false" outlineLevel="0" collapsed="false">
      <c r="A16" s="0" t="s">
        <v>220</v>
      </c>
      <c r="B16" s="10" t="n">
        <v>2425</v>
      </c>
      <c r="C16" s="10" t="n">
        <v>2350</v>
      </c>
      <c r="D16" s="10" t="n">
        <v>2400</v>
      </c>
      <c r="E16" s="10" t="n">
        <v>2450</v>
      </c>
      <c r="F16" s="10" t="n">
        <v>2475</v>
      </c>
      <c r="G16" s="10" t="n">
        <v>2525</v>
      </c>
      <c r="H16" s="10" t="n">
        <v>2575</v>
      </c>
      <c r="I16" s="10" t="n">
        <v>2600</v>
      </c>
      <c r="J16" s="10" t="n">
        <v>2650</v>
      </c>
      <c r="K16" s="10" t="n">
        <v>2575</v>
      </c>
      <c r="L16" s="10" t="n">
        <v>2525</v>
      </c>
      <c r="M16" s="10" t="n">
        <v>2450</v>
      </c>
      <c r="N16" s="22" t="n">
        <f aca="false">SUM(B16:M16)</f>
        <v>30000</v>
      </c>
      <c r="O16" s="2"/>
    </row>
    <row r="17" customFormat="false" ht="15" hidden="false" customHeight="false" outlineLevel="0" collapsed="false">
      <c r="A17" s="0" t="s">
        <v>221</v>
      </c>
      <c r="B17" s="10" t="n">
        <v>846</v>
      </c>
      <c r="C17" s="10" t="n">
        <v>864</v>
      </c>
      <c r="D17" s="10" t="n">
        <v>882</v>
      </c>
      <c r="E17" s="10" t="n">
        <v>891</v>
      </c>
      <c r="F17" s="10" t="n">
        <v>909</v>
      </c>
      <c r="G17" s="10" t="n">
        <v>927</v>
      </c>
      <c r="H17" s="10" t="n">
        <v>936</v>
      </c>
      <c r="I17" s="10" t="n">
        <v>954</v>
      </c>
      <c r="J17" s="10" t="n">
        <v>927</v>
      </c>
      <c r="K17" s="10" t="n">
        <v>909</v>
      </c>
      <c r="L17" s="10" t="n">
        <v>882</v>
      </c>
      <c r="M17" s="10" t="n">
        <v>873</v>
      </c>
      <c r="N17" s="22" t="n">
        <f aca="false">SUM(B17:M17)</f>
        <v>10800</v>
      </c>
      <c r="O17" s="2" t="s">
        <v>222</v>
      </c>
    </row>
    <row r="18" customFormat="false" ht="15" hidden="false" customHeight="false" outlineLevel="0" collapsed="false">
      <c r="A18" s="0" t="s">
        <v>223</v>
      </c>
      <c r="B18" s="10" t="n">
        <v>4960</v>
      </c>
      <c r="C18" s="10" t="n">
        <v>5063</v>
      </c>
      <c r="D18" s="10" t="n">
        <v>5115</v>
      </c>
      <c r="E18" s="10" t="n">
        <v>5218</v>
      </c>
      <c r="F18" s="10" t="n">
        <v>5322</v>
      </c>
      <c r="G18" s="10" t="n">
        <v>5373</v>
      </c>
      <c r="H18" s="10" t="n">
        <v>5477</v>
      </c>
      <c r="I18" s="10" t="n">
        <v>5322</v>
      </c>
      <c r="J18" s="10" t="n">
        <v>5218</v>
      </c>
      <c r="K18" s="10" t="n">
        <v>5063</v>
      </c>
      <c r="L18" s="10" t="n">
        <v>5012</v>
      </c>
      <c r="M18" s="10" t="n">
        <v>4857</v>
      </c>
      <c r="N18" s="22" t="n">
        <f aca="false">SUM(B18:M18)</f>
        <v>62000</v>
      </c>
      <c r="O18" s="2" t="s">
        <v>224</v>
      </c>
    </row>
    <row r="19" customFormat="false" ht="15" hidden="false" customHeight="false" outlineLevel="0" collapsed="false">
      <c r="A19" s="0" t="s">
        <v>225</v>
      </c>
      <c r="B19" s="10" t="n">
        <v>24010</v>
      </c>
      <c r="C19" s="10" t="n">
        <v>24255</v>
      </c>
      <c r="D19" s="10" t="n">
        <v>24745</v>
      </c>
      <c r="E19" s="10" t="n">
        <v>25235</v>
      </c>
      <c r="F19" s="10" t="n">
        <v>25480</v>
      </c>
      <c r="G19" s="10" t="n">
        <v>25970</v>
      </c>
      <c r="H19" s="10" t="n">
        <v>25235</v>
      </c>
      <c r="I19" s="10" t="n">
        <v>24745</v>
      </c>
      <c r="J19" s="10" t="n">
        <v>24010</v>
      </c>
      <c r="K19" s="10" t="n">
        <v>23765</v>
      </c>
      <c r="L19" s="10" t="n">
        <v>23030</v>
      </c>
      <c r="M19" s="10" t="n">
        <v>23520</v>
      </c>
      <c r="N19" s="22" t="n">
        <f aca="false">SUM(B19:M19)</f>
        <v>294000</v>
      </c>
      <c r="O19" s="2" t="s">
        <v>224</v>
      </c>
    </row>
    <row r="20" customFormat="false" ht="15" hidden="false" customHeight="false" outlineLevel="0" collapsed="false">
      <c r="A20" s="0" t="s">
        <v>226</v>
      </c>
      <c r="B20" s="10" t="n">
        <v>14850</v>
      </c>
      <c r="C20" s="10" t="n">
        <v>15150</v>
      </c>
      <c r="D20" s="10" t="n">
        <v>15450</v>
      </c>
      <c r="E20" s="10" t="n">
        <v>15600</v>
      </c>
      <c r="F20" s="10" t="n">
        <v>15900</v>
      </c>
      <c r="G20" s="10" t="n">
        <v>15450</v>
      </c>
      <c r="H20" s="10" t="n">
        <v>15150</v>
      </c>
      <c r="I20" s="10" t="n">
        <v>14700</v>
      </c>
      <c r="J20" s="10" t="n">
        <v>14550</v>
      </c>
      <c r="K20" s="10" t="n">
        <v>14100</v>
      </c>
      <c r="L20" s="10" t="n">
        <v>14400</v>
      </c>
      <c r="M20" s="10" t="n">
        <v>14700</v>
      </c>
      <c r="N20" s="22" t="n">
        <f aca="false">SUM(B20:M20)</f>
        <v>180000</v>
      </c>
      <c r="O20" s="2" t="s">
        <v>227</v>
      </c>
    </row>
    <row r="22" customFormat="false" ht="15" hidden="false" customHeight="false" outlineLevel="0" collapsed="false">
      <c r="A22" s="8" t="s">
        <v>228</v>
      </c>
      <c r="N22" s="11" t="n">
        <f aca="false">N5+N6+N7+N8+N9</f>
        <v>821100</v>
      </c>
    </row>
    <row r="23" customFormat="false" ht="15" hidden="false" customHeight="false" outlineLevel="0" collapsed="false">
      <c r="A23" s="8" t="s">
        <v>229</v>
      </c>
      <c r="N23" s="11" t="n">
        <f aca="false">SUM(N10:N16)</f>
        <v>307800</v>
      </c>
    </row>
    <row r="24" customFormat="false" ht="15" hidden="false" customHeight="false" outlineLevel="0" collapsed="false">
      <c r="A24" s="8" t="s">
        <v>230</v>
      </c>
      <c r="N24" s="11" t="n">
        <f aca="false">N22-N23</f>
        <v>513300</v>
      </c>
    </row>
    <row r="25" customFormat="false" ht="15" hidden="false" customHeight="false" outlineLevel="0" collapsed="false">
      <c r="A25" s="0" t="s">
        <v>231</v>
      </c>
      <c r="N25" s="23" t="n">
        <f aca="false">N17</f>
        <v>10800</v>
      </c>
    </row>
    <row r="26" customFormat="false" ht="15" hidden="false" customHeight="false" outlineLevel="0" collapsed="false">
      <c r="A26" s="8" t="s">
        <v>232</v>
      </c>
      <c r="N26" s="11" t="n">
        <f aca="false">N24-N25</f>
        <v>502500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7" t="s">
        <v>235</v>
      </c>
      <c r="B4" s="7" t="s">
        <v>236</v>
      </c>
      <c r="C4" s="7" t="s">
        <v>237</v>
      </c>
    </row>
    <row r="5" customFormat="false" ht="15" hidden="false" customHeight="false" outlineLevel="0" collapsed="false">
      <c r="A5" s="0" t="s">
        <v>238</v>
      </c>
      <c r="B5" s="23" t="n">
        <f aca="false">UW_GPR</f>
        <v>864000</v>
      </c>
      <c r="C5" s="0" t="s">
        <v>239</v>
      </c>
    </row>
    <row r="6" customFormat="false" ht="15" hidden="false" customHeight="false" outlineLevel="0" collapsed="false">
      <c r="A6" s="0" t="s">
        <v>240</v>
      </c>
      <c r="B6" s="23" t="n">
        <f aca="false">-UW_RevLoss*UW_GPR</f>
        <v>-51840</v>
      </c>
      <c r="C6" s="0" t="e">
        <f aca="false">-6% x uw gpr</f>
        <v>#VALUE!</v>
      </c>
    </row>
    <row r="7" customFormat="false" ht="15" hidden="false" customHeight="false" outlineLevel="0" collapsed="false">
      <c r="A7" s="0" t="s">
        <v>241</v>
      </c>
      <c r="B7" s="23" t="n">
        <f aca="false">UW_OtherInc</f>
        <v>42000</v>
      </c>
      <c r="C7" s="0" t="s">
        <v>242</v>
      </c>
    </row>
    <row r="8" customFormat="false" ht="15" hidden="false" customHeight="false" outlineLevel="0" collapsed="false">
      <c r="A8" s="0" t="s">
        <v>243</v>
      </c>
      <c r="B8" s="11" t="n">
        <f aca="false">B5+B6+B7</f>
        <v>854160</v>
      </c>
      <c r="C8" s="0" t="s">
        <v>244</v>
      </c>
    </row>
    <row r="10" customFormat="false" ht="15" hidden="false" customHeight="false" outlineLevel="0" collapsed="false">
      <c r="A10" s="14" t="s">
        <v>245</v>
      </c>
      <c r="B10" s="14"/>
      <c r="C10" s="14"/>
    </row>
    <row r="11" customFormat="false" ht="15" hidden="false" customHeight="false" outlineLevel="0" collapsed="false">
      <c r="A11" s="0" t="s">
        <v>81</v>
      </c>
      <c r="B11" s="23" t="n">
        <f aca="false">Inputs!B36</f>
        <v>112000</v>
      </c>
      <c r="C11" s="0" t="s">
        <v>246</v>
      </c>
    </row>
    <row r="12" customFormat="false" ht="15" hidden="false" customHeight="false" outlineLevel="0" collapsed="false">
      <c r="A12" s="0" t="s">
        <v>83</v>
      </c>
      <c r="B12" s="23" t="n">
        <f aca="false">Inputs!B37</f>
        <v>33600</v>
      </c>
      <c r="C12" s="0" t="s">
        <v>247</v>
      </c>
    </row>
    <row r="13" customFormat="false" ht="15" hidden="false" customHeight="false" outlineLevel="0" collapsed="false">
      <c r="A13" s="0" t="s">
        <v>85</v>
      </c>
      <c r="B13" s="23" t="n">
        <f aca="false">Inputs!B38</f>
        <v>28800</v>
      </c>
      <c r="C13" s="0" t="s">
        <v>86</v>
      </c>
    </row>
    <row r="14" customFormat="false" ht="15" hidden="false" customHeight="false" outlineLevel="0" collapsed="false">
      <c r="A14" s="0" t="s">
        <v>248</v>
      </c>
      <c r="B14" s="23" t="n">
        <f aca="false">Inputs!B39</f>
        <v>40200</v>
      </c>
      <c r="C14" s="0" t="s">
        <v>249</v>
      </c>
    </row>
    <row r="15" customFormat="false" ht="15" hidden="false" customHeight="false" outlineLevel="0" collapsed="false">
      <c r="A15" s="0" t="s">
        <v>89</v>
      </c>
      <c r="B15" s="23" t="n">
        <f aca="false">Inputs!B40</f>
        <v>42000</v>
      </c>
      <c r="C15" s="0" t="s">
        <v>86</v>
      </c>
    </row>
    <row r="16" customFormat="false" ht="15" hidden="false" customHeight="false" outlineLevel="0" collapsed="false">
      <c r="A16" s="0" t="s">
        <v>90</v>
      </c>
      <c r="B16" s="23" t="n">
        <f aca="false">Inputs!B41</f>
        <v>21600</v>
      </c>
      <c r="C16" s="0" t="s">
        <v>86</v>
      </c>
    </row>
    <row r="17" customFormat="false" ht="15" hidden="false" customHeight="false" outlineLevel="0" collapsed="false">
      <c r="A17" s="0" t="s">
        <v>250</v>
      </c>
      <c r="B17" s="11" t="n">
        <f aca="false">MAX(MgmtFloor,MgmtPct*B8)</f>
        <v>30000</v>
      </c>
      <c r="C17" s="0" t="s">
        <v>251</v>
      </c>
    </row>
    <row r="19" customFormat="false" ht="15" hidden="false" customHeight="false" outlineLevel="0" collapsed="false">
      <c r="A19" s="0" t="s">
        <v>252</v>
      </c>
      <c r="B19" s="11" t="n">
        <f aca="false">SUM(B11:B17)</f>
        <v>308200</v>
      </c>
      <c r="C19" s="0" t="s">
        <v>253</v>
      </c>
    </row>
    <row r="22" customFormat="false" ht="15" hidden="false" customHeight="false" outlineLevel="0" collapsed="false">
      <c r="A22" s="0" t="s">
        <v>254</v>
      </c>
      <c r="B22" s="11" t="n">
        <f aca="false">B8-B19</f>
        <v>545960</v>
      </c>
    </row>
    <row r="23" customFormat="false" ht="15" hidden="false" customHeight="false" outlineLevel="0" collapsed="false">
      <c r="A23" s="0" t="s">
        <v>255</v>
      </c>
      <c r="B23" s="23" t="n">
        <f aca="false">ReservesPerUnit*UnitCount</f>
        <v>10800</v>
      </c>
    </row>
    <row r="24" customFormat="false" ht="15" hidden="false" customHeight="false" outlineLevel="0" collapsed="false">
      <c r="A24" s="0" t="s">
        <v>256</v>
      </c>
      <c r="B24" s="11" t="n">
        <f aca="false">B22-B23</f>
        <v>535160</v>
      </c>
    </row>
  </sheetData>
  <mergeCells count="1"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257</v>
      </c>
    </row>
    <row r="3" customFormat="false" ht="15" hidden="false" customHeight="false" outlineLevel="0" collapsed="false">
      <c r="A3" s="7" t="s">
        <v>39</v>
      </c>
      <c r="B3" s="7" t="s">
        <v>40</v>
      </c>
      <c r="C3" s="7" t="s">
        <v>237</v>
      </c>
    </row>
    <row r="5" customFormat="false" ht="15" hidden="false" customHeight="false" outlineLevel="0" collapsed="false">
      <c r="A5" s="0" t="s">
        <v>31</v>
      </c>
      <c r="B5" s="23" t="n">
        <f aca="false">UW_NOI_BR</f>
        <v>545960</v>
      </c>
      <c r="C5" s="0" t="s">
        <v>258</v>
      </c>
    </row>
    <row r="6" customFormat="false" ht="15" hidden="false" customHeight="false" outlineLevel="0" collapsed="false">
      <c r="A6" s="0" t="s">
        <v>24</v>
      </c>
      <c r="B6" s="9" t="n">
        <f aca="false">CapRate</f>
        <v>0.0575</v>
      </c>
      <c r="C6" s="0" t="s">
        <v>9</v>
      </c>
    </row>
    <row r="7" customFormat="false" ht="15" hidden="false" customHeight="false" outlineLevel="0" collapsed="false">
      <c r="A7" s="0" t="s">
        <v>259</v>
      </c>
      <c r="B7" s="11" t="n">
        <f aca="false">B5/B6</f>
        <v>9494956.52173913</v>
      </c>
      <c r="C7" s="0" t="s">
        <v>260</v>
      </c>
    </row>
    <row r="9" customFormat="false" ht="15" hidden="false" customHeight="false" outlineLevel="0" collapsed="false">
      <c r="A9" s="0" t="s">
        <v>261</v>
      </c>
      <c r="B9" s="9" t="n">
        <f aca="false">SizingRate</f>
        <v>0.0625</v>
      </c>
      <c r="C9" s="0" t="s">
        <v>262</v>
      </c>
    </row>
    <row r="10" customFormat="false" ht="15" hidden="false" customHeight="false" outlineLevel="0" collapsed="false">
      <c r="A10" s="0" t="s">
        <v>26</v>
      </c>
      <c r="B10" s="9" t="n">
        <f aca="false">ContractRate</f>
        <v>0.059</v>
      </c>
      <c r="C10" s="0" t="s">
        <v>9</v>
      </c>
    </row>
    <row r="11" customFormat="false" ht="15" hidden="false" customHeight="false" outlineLevel="0" collapsed="false">
      <c r="A11" s="0" t="s">
        <v>69</v>
      </c>
      <c r="B11" s="24" t="n">
        <f aca="false">AmortYears</f>
        <v>30</v>
      </c>
    </row>
    <row r="12" customFormat="false" ht="15" hidden="false" customHeight="false" outlineLevel="0" collapsed="false">
      <c r="A12" s="0" t="s">
        <v>263</v>
      </c>
      <c r="B12" s="25" t="n">
        <f aca="false">B9/12</f>
        <v>0.00520833333333333</v>
      </c>
    </row>
    <row r="13" customFormat="false" ht="15" hidden="false" customHeight="false" outlineLevel="0" collapsed="false">
      <c r="A13" s="0" t="s">
        <v>264</v>
      </c>
      <c r="B13" s="0" t="n">
        <f aca="false">B11*12</f>
        <v>360</v>
      </c>
    </row>
    <row r="14" customFormat="false" ht="15" hidden="false" customHeight="false" outlineLevel="0" collapsed="false">
      <c r="A14" s="0" t="s">
        <v>265</v>
      </c>
      <c r="B14" s="25" t="n">
        <f aca="false">B12/(1-(1+B12)^-B13)</f>
        <v>0.00615717200426395</v>
      </c>
    </row>
    <row r="15" customFormat="false" ht="15" hidden="false" customHeight="false" outlineLevel="0" collapsed="false">
      <c r="A15" s="0" t="s">
        <v>266</v>
      </c>
      <c r="B15" s="26" t="n">
        <f aca="false">B14*12</f>
        <v>0.0738860640511673</v>
      </c>
    </row>
    <row r="17" customFormat="false" ht="15" hidden="false" customHeight="false" outlineLevel="0" collapsed="false">
      <c r="A17" s="14" t="s">
        <v>267</v>
      </c>
      <c r="B17" s="14"/>
      <c r="C17" s="14"/>
    </row>
    <row r="18" customFormat="false" ht="15" hidden="false" customHeight="false" outlineLevel="0" collapsed="false">
      <c r="A18" s="0" t="s">
        <v>268</v>
      </c>
      <c r="B18" s="23" t="n">
        <f aca="false">LTV_Max*B7</f>
        <v>6171721.73913044</v>
      </c>
    </row>
    <row r="19" customFormat="false" ht="15" hidden="false" customHeight="false" outlineLevel="0" collapsed="false">
      <c r="A19" s="0" t="s">
        <v>269</v>
      </c>
      <c r="B19" s="23" t="n">
        <f aca="false">UW_NCF/DSCR_Min/B15</f>
        <v>5794435.06022346</v>
      </c>
    </row>
    <row r="20" customFormat="false" ht="15" hidden="false" customHeight="false" outlineLevel="0" collapsed="false">
      <c r="A20" s="0" t="s">
        <v>270</v>
      </c>
      <c r="B20" s="23" t="n">
        <f aca="false">UW_NCF/DY_Min</f>
        <v>6296000</v>
      </c>
    </row>
    <row r="22" customFormat="false" ht="15" hidden="false" customHeight="false" outlineLevel="0" collapsed="false">
      <c r="A22" s="0" t="s">
        <v>271</v>
      </c>
      <c r="B22" s="11" t="n">
        <f aca="false">MIN(B18:B20)</f>
        <v>5794435.06022346</v>
      </c>
    </row>
    <row r="23" customFormat="false" ht="15" hidden="false" customHeight="false" outlineLevel="0" collapsed="false">
      <c r="A23" s="0" t="s">
        <v>272</v>
      </c>
      <c r="B23" s="12" t="str">
        <f aca="false">IF(B22=B18,"LTV",IF(B22=B19,"DSCR","Debt yield"))</f>
        <v>DSCR</v>
      </c>
    </row>
    <row r="25" customFormat="false" ht="15" hidden="false" customHeight="false" outlineLevel="0" collapsed="false">
      <c r="A25" s="0" t="s">
        <v>273</v>
      </c>
      <c r="B25" s="23" t="n">
        <f aca="false">B22*B15</f>
        <v>428128</v>
      </c>
    </row>
    <row r="26" customFormat="false" ht="15" hidden="false" customHeight="false" outlineLevel="0" collapsed="false">
      <c r="A26" s="0" t="s">
        <v>274</v>
      </c>
      <c r="B26" s="27" t="n">
        <f aca="false">UW_NCF/B25</f>
        <v>1.25</v>
      </c>
    </row>
    <row r="27" customFormat="false" ht="15" hidden="false" customHeight="false" outlineLevel="0" collapsed="false">
      <c r="A27" s="0" t="s">
        <v>275</v>
      </c>
      <c r="B27" s="9" t="n">
        <f aca="false">UW_NCF/B22</f>
        <v>0.0923575800639592</v>
      </c>
    </row>
    <row r="29" customFormat="false" ht="15" hidden="false" customHeight="false" outlineLevel="0" collapsed="false">
      <c r="A29" s="0" t="s">
        <v>276</v>
      </c>
      <c r="B29" s="23" t="n">
        <f aca="false">B22*B10</f>
        <v>341871.668553184</v>
      </c>
      <c r="C29" s="0" t="s">
        <v>277</v>
      </c>
    </row>
    <row r="31" customFormat="false" ht="15" hidden="false" customHeight="false" outlineLevel="0" collapsed="false">
      <c r="A31" s="14" t="s">
        <v>278</v>
      </c>
      <c r="B31" s="14"/>
      <c r="C31" s="14"/>
    </row>
    <row r="32" customFormat="false" ht="15" hidden="false" customHeight="false" outlineLevel="0" collapsed="false">
      <c r="A32" s="0" t="s">
        <v>279</v>
      </c>
      <c r="B32" s="23" t="n">
        <f aca="false">B22</f>
        <v>5794435.06022346</v>
      </c>
    </row>
    <row r="33" customFormat="false" ht="15" hidden="false" customHeight="false" outlineLevel="0" collapsed="false">
      <c r="A33" s="0" t="s">
        <v>280</v>
      </c>
      <c r="B33" s="23" t="n">
        <f aca="false">-Payoff</f>
        <v>-3300000</v>
      </c>
    </row>
    <row r="34" customFormat="false" ht="15" hidden="false" customHeight="false" outlineLevel="0" collapsed="false">
      <c r="A34" s="0" t="s">
        <v>281</v>
      </c>
      <c r="B34" s="23" t="n">
        <f aca="false">-OrigFeePct*B22</f>
        <v>-43458.2629516759</v>
      </c>
    </row>
    <row r="35" customFormat="false" ht="15" hidden="false" customHeight="false" outlineLevel="0" collapsed="false">
      <c r="A35" s="0" t="s">
        <v>282</v>
      </c>
      <c r="B35" s="23" t="n">
        <f aca="false">-ClosingCosts</f>
        <v>-45000</v>
      </c>
    </row>
    <row r="36" customFormat="false" ht="15" hidden="false" customHeight="false" outlineLevel="0" collapsed="false">
      <c r="A36" s="0" t="s">
        <v>283</v>
      </c>
      <c r="B36" s="11" t="n">
        <f aca="false">SUM(B32:B35)</f>
        <v>2405976.79727178</v>
      </c>
    </row>
  </sheetData>
  <mergeCells count="2">
    <mergeCell ref="A17:C17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284</v>
      </c>
    </row>
    <row r="2" customFormat="false" ht="15" hidden="false" customHeight="false" outlineLevel="0" collapsed="false">
      <c r="A2" s="2" t="s">
        <v>285</v>
      </c>
    </row>
    <row r="4" customFormat="false" ht="15" hidden="false" customHeight="false" outlineLevel="0" collapsed="false">
      <c r="A4" s="14" t="s">
        <v>286</v>
      </c>
      <c r="B4" s="14"/>
      <c r="C4" s="14"/>
    </row>
    <row r="5" customFormat="false" ht="15" hidden="false" customHeight="false" outlineLevel="0" collapsed="false">
      <c r="A5" s="0" t="s">
        <v>287</v>
      </c>
      <c r="B5" s="23" t="n">
        <f aca="false">UW_EGI</f>
        <v>854160</v>
      </c>
    </row>
    <row r="6" customFormat="false" ht="15" hidden="false" customHeight="false" outlineLevel="0" collapsed="false">
      <c r="A6" s="0" t="s">
        <v>31</v>
      </c>
      <c r="B6" s="23" t="n">
        <f aca="false">UW_NOI_BR</f>
        <v>545960</v>
      </c>
    </row>
    <row r="7" customFormat="false" ht="15" hidden="false" customHeight="false" outlineLevel="0" collapsed="false">
      <c r="A7" s="0" t="s">
        <v>288</v>
      </c>
      <c r="B7" s="23" t="n">
        <f aca="false">UW_NCF</f>
        <v>535160</v>
      </c>
    </row>
    <row r="8" customFormat="false" ht="15" hidden="false" customHeight="false" outlineLevel="0" collapsed="false">
      <c r="A8" s="0" t="s">
        <v>289</v>
      </c>
      <c r="B8" s="9" t="n">
        <f aca="false">SizingRate</f>
        <v>0.0625</v>
      </c>
    </row>
    <row r="9" customFormat="false" ht="15" hidden="false" customHeight="false" outlineLevel="0" collapsed="false">
      <c r="A9" s="0" t="s">
        <v>290</v>
      </c>
      <c r="B9" s="9" t="n">
        <f aca="false">CapRate</f>
        <v>0.0575</v>
      </c>
    </row>
    <row r="10" customFormat="false" ht="15" hidden="false" customHeight="false" outlineLevel="0" collapsed="false">
      <c r="A10" s="0" t="s">
        <v>291</v>
      </c>
      <c r="B10" s="23" t="n">
        <f aca="false">MaxLoan</f>
        <v>5794435.06022346</v>
      </c>
    </row>
    <row r="11" customFormat="false" ht="15" hidden="false" customHeight="false" outlineLevel="0" collapsed="false">
      <c r="A11" s="0" t="s">
        <v>292</v>
      </c>
      <c r="B11" s="0" t="str">
        <f aca="false">Loan_Sizing!B23</f>
        <v>DSCR</v>
      </c>
    </row>
    <row r="14" customFormat="false" ht="15" hidden="false" customHeight="false" outlineLevel="0" collapsed="false">
      <c r="A14" s="14" t="s">
        <v>293</v>
      </c>
      <c r="B14" s="14"/>
      <c r="C14" s="14"/>
    </row>
    <row r="15" customFormat="false" ht="15" hidden="false" customHeight="false" outlineLevel="0" collapsed="false">
      <c r="A15" s="0" t="s">
        <v>294</v>
      </c>
      <c r="B15" s="23" t="n">
        <f aca="false">UW_EGI*0.95</f>
        <v>811452</v>
      </c>
    </row>
    <row r="16" customFormat="false" ht="15" hidden="false" customHeight="false" outlineLevel="0" collapsed="false">
      <c r="A16" s="0" t="s">
        <v>295</v>
      </c>
      <c r="B16" s="23" t="n">
        <f aca="false">MAX(MgmtFloor,MgmtPct*B15)</f>
        <v>30000</v>
      </c>
    </row>
    <row r="17" customFormat="false" ht="15" hidden="false" customHeight="false" outlineLevel="0" collapsed="false">
      <c r="A17" s="0" t="s">
        <v>296</v>
      </c>
      <c r="B17" s="23" t="n">
        <f aca="false">Underwriting!B19-Underwriting!B17</f>
        <v>278200</v>
      </c>
    </row>
    <row r="18" customFormat="false" ht="15" hidden="false" customHeight="false" outlineLevel="0" collapsed="false">
      <c r="A18" s="0" t="s">
        <v>297</v>
      </c>
      <c r="B18" s="23" t="n">
        <f aca="false">B16+B17</f>
        <v>308200</v>
      </c>
    </row>
    <row r="19" customFormat="false" ht="15" hidden="false" customHeight="false" outlineLevel="0" collapsed="false">
      <c r="A19" s="0" t="s">
        <v>298</v>
      </c>
      <c r="B19" s="11" t="n">
        <f aca="false">B15-B18</f>
        <v>503252</v>
      </c>
    </row>
    <row r="20" customFormat="false" ht="15" hidden="false" customHeight="false" outlineLevel="0" collapsed="false">
      <c r="A20" s="0" t="s">
        <v>299</v>
      </c>
      <c r="B20" s="23" t="n">
        <f aca="false">ReservesPerUnit*UnitCount</f>
        <v>10800</v>
      </c>
    </row>
    <row r="21" customFormat="false" ht="15" hidden="false" customHeight="false" outlineLevel="0" collapsed="false">
      <c r="A21" s="0" t="s">
        <v>300</v>
      </c>
      <c r="B21" s="23" t="n">
        <f aca="false">B19-B20</f>
        <v>492452</v>
      </c>
    </row>
    <row r="23" customFormat="false" ht="15" hidden="false" customHeight="false" outlineLevel="0" collapsed="false">
      <c r="A23" s="0" t="s">
        <v>301</v>
      </c>
      <c r="B23" s="9" t="n">
        <f aca="false">SizingRate+0.01</f>
        <v>0.0725</v>
      </c>
    </row>
    <row r="24" customFormat="false" ht="15" hidden="false" customHeight="false" outlineLevel="0" collapsed="false">
      <c r="A24" s="0" t="s">
        <v>302</v>
      </c>
      <c r="B24" s="25" t="n">
        <f aca="false">B23/12</f>
        <v>0.00604166666666667</v>
      </c>
    </row>
    <row r="25" customFormat="false" ht="15" hidden="false" customHeight="false" outlineLevel="0" collapsed="false">
      <c r="A25" s="0" t="s">
        <v>303</v>
      </c>
      <c r="B25" s="25" t="n">
        <f aca="false">(B24/(1-(1+B24)^-(AmortYears*12)))*12</f>
        <v>0.0818611536067428</v>
      </c>
    </row>
    <row r="27" customFormat="false" ht="15" hidden="false" customHeight="false" outlineLevel="0" collapsed="false">
      <c r="A27" s="0" t="s">
        <v>304</v>
      </c>
      <c r="B27" s="23" t="n">
        <f aca="false">B19/CapRate</f>
        <v>8752208.69565217</v>
      </c>
    </row>
    <row r="28" customFormat="false" ht="15" hidden="false" customHeight="false" outlineLevel="0" collapsed="false">
      <c r="A28" s="0" t="s">
        <v>305</v>
      </c>
      <c r="B28" s="23" t="n">
        <f aca="false">LTV_Max*B27</f>
        <v>5688935.65217391</v>
      </c>
    </row>
    <row r="29" customFormat="false" ht="15" hidden="false" customHeight="false" outlineLevel="0" collapsed="false">
      <c r="A29" s="0" t="s">
        <v>306</v>
      </c>
      <c r="B29" s="23" t="n">
        <f aca="false">B21/DSCR_Min/B25</f>
        <v>4812558.61470721</v>
      </c>
    </row>
    <row r="30" customFormat="false" ht="15" hidden="false" customHeight="false" outlineLevel="0" collapsed="false">
      <c r="A30" s="0" t="s">
        <v>307</v>
      </c>
      <c r="B30" s="23" t="n">
        <f aca="false">B21/DY_Min</f>
        <v>5793552.94117647</v>
      </c>
    </row>
    <row r="31" customFormat="false" ht="15" hidden="false" customHeight="false" outlineLevel="0" collapsed="false">
      <c r="A31" s="0" t="s">
        <v>308</v>
      </c>
      <c r="B31" s="11" t="n">
        <f aca="false">MIN(B28:B30)</f>
        <v>4812558.61470721</v>
      </c>
    </row>
    <row r="32" customFormat="false" ht="15" hidden="false" customHeight="false" outlineLevel="0" collapsed="false">
      <c r="A32" s="0" t="s">
        <v>309</v>
      </c>
      <c r="B32" s="0" t="str">
        <f aca="false">IF(B31=B28,"LTV",IF(B31=B29,"DSCR","Debt yield"))</f>
        <v>DSCR</v>
      </c>
    </row>
    <row r="35" customFormat="false" ht="15" hidden="false" customHeight="false" outlineLevel="0" collapsed="false">
      <c r="A35" s="14" t="s">
        <v>310</v>
      </c>
      <c r="B35" s="14"/>
      <c r="C35" s="14"/>
    </row>
    <row r="36" customFormat="false" ht="15" hidden="false" customHeight="false" outlineLevel="0" collapsed="false">
      <c r="A36" s="0" t="s">
        <v>311</v>
      </c>
      <c r="B36" s="9" t="n">
        <f aca="false">CapRate+0.005</f>
        <v>0.0625</v>
      </c>
    </row>
    <row r="37" customFormat="false" ht="15" hidden="false" customHeight="false" outlineLevel="0" collapsed="false">
      <c r="A37" s="0" t="s">
        <v>312</v>
      </c>
      <c r="B37" s="23" t="n">
        <f aca="false">UW_NOI_BR/B36</f>
        <v>8735360</v>
      </c>
    </row>
    <row r="38" customFormat="false" ht="15" hidden="false" customHeight="false" outlineLevel="0" collapsed="false">
      <c r="A38" s="0" t="s">
        <v>313</v>
      </c>
      <c r="B38" s="23" t="n">
        <f aca="false">LTV_Max*B37</f>
        <v>5677984</v>
      </c>
    </row>
    <row r="39" customFormat="false" ht="15" hidden="false" customHeight="false" outlineLevel="0" collapsed="false">
      <c r="A39" s="0" t="s">
        <v>314</v>
      </c>
      <c r="B39" s="23" t="n">
        <f aca="false">UW_NCF/DSCR_Min/ADC_Sizing</f>
        <v>5794435.06022346</v>
      </c>
    </row>
    <row r="40" customFormat="false" ht="15" hidden="false" customHeight="false" outlineLevel="0" collapsed="false">
      <c r="A40" s="0" t="s">
        <v>315</v>
      </c>
      <c r="B40" s="23" t="n">
        <f aca="false">UW_NCF/DY_Min</f>
        <v>6296000</v>
      </c>
    </row>
    <row r="41" customFormat="false" ht="15" hidden="false" customHeight="false" outlineLevel="0" collapsed="false">
      <c r="A41" s="0" t="s">
        <v>316</v>
      </c>
      <c r="B41" s="11" t="n">
        <f aca="false">MIN(B38:B40)</f>
        <v>5677984</v>
      </c>
    </row>
    <row r="42" customFormat="false" ht="15" hidden="false" customHeight="false" outlineLevel="0" collapsed="false">
      <c r="A42" s="0" t="s">
        <v>317</v>
      </c>
      <c r="B42" s="0" t="str">
        <f aca="false">IF(B41=B38,"LTV",IF(B41=B39,"DSCR","Debt yield"))</f>
        <v>LTV</v>
      </c>
    </row>
  </sheetData>
  <mergeCells count="3">
    <mergeCell ref="A4:C4"/>
    <mergeCell ref="A14:C14"/>
    <mergeCell ref="A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19.7" hidden="false" customHeight="false" outlineLevel="0" collapsed="false">
      <c r="A1" s="1" t="s">
        <v>318</v>
      </c>
    </row>
    <row r="3" customFormat="false" ht="15" hidden="false" customHeight="false" outlineLevel="0" collapsed="false">
      <c r="A3" s="7" t="s">
        <v>319</v>
      </c>
      <c r="B3" s="7" t="s">
        <v>320</v>
      </c>
      <c r="C3" s="7" t="s">
        <v>321</v>
      </c>
      <c r="D3" s="7" t="s">
        <v>322</v>
      </c>
    </row>
    <row r="4" customFormat="false" ht="15" hidden="false" customHeight="false" outlineLevel="0" collapsed="false">
      <c r="A4" s="28" t="s">
        <v>323</v>
      </c>
      <c r="B4" s="20" t="n">
        <f aca="false">Rent_Roll!B43</f>
        <v>36</v>
      </c>
      <c r="C4" s="0" t="s">
        <v>324</v>
      </c>
      <c r="D4" s="2" t="s">
        <v>325</v>
      </c>
    </row>
    <row r="5" customFormat="false" ht="15" hidden="false" customHeight="false" outlineLevel="0" collapsed="false">
      <c r="A5" s="28" t="s">
        <v>185</v>
      </c>
      <c r="B5" s="20" t="n">
        <f aca="false">Rent_Roll!B44</f>
        <v>33</v>
      </c>
      <c r="C5" s="0" t="s">
        <v>324</v>
      </c>
      <c r="D5" s="2" t="s">
        <v>326</v>
      </c>
    </row>
    <row r="6" customFormat="false" ht="15" hidden="false" customHeight="false" outlineLevel="0" collapsed="false">
      <c r="A6" s="28" t="s">
        <v>186</v>
      </c>
      <c r="B6" s="20" t="n">
        <f aca="false">Rent_Roll!B45</f>
        <v>31800</v>
      </c>
      <c r="C6" s="0" t="s">
        <v>324</v>
      </c>
      <c r="D6" s="2" t="s">
        <v>327</v>
      </c>
    </row>
    <row r="7" customFormat="false" ht="15" hidden="false" customHeight="false" outlineLevel="0" collapsed="false">
      <c r="A7" s="28" t="s">
        <v>187</v>
      </c>
      <c r="B7" s="20" t="n">
        <f aca="false">Rent_Roll!B46</f>
        <v>28950</v>
      </c>
      <c r="C7" s="0" t="s">
        <v>324</v>
      </c>
      <c r="D7" s="2" t="s">
        <v>328</v>
      </c>
    </row>
    <row r="8" customFormat="false" ht="15" hidden="false" customHeight="false" outlineLevel="0" collapsed="false">
      <c r="A8" s="28" t="s">
        <v>188</v>
      </c>
      <c r="B8" s="29" t="n">
        <f aca="false">Rent_Roll!B47*100</f>
        <v>91.6666666666667</v>
      </c>
      <c r="C8" s="0" t="s">
        <v>329</v>
      </c>
      <c r="D8" s="2" t="e">
        <f aca="false">occupied_count / space_count x 100</f>
        <v>#VALUE!</v>
      </c>
    </row>
    <row r="9" customFormat="false" ht="15" hidden="false" customHeight="false" outlineLevel="0" collapsed="false">
      <c r="A9" s="28" t="s">
        <v>189</v>
      </c>
      <c r="B9" s="29" t="n">
        <f aca="false">Rent_Roll!B48*100</f>
        <v>91.0377358490566</v>
      </c>
      <c r="C9" s="0" t="s">
        <v>329</v>
      </c>
      <c r="D9" s="2" t="e">
        <f aca="false">occupied_area_sf / total_area_sf x 100</f>
        <v>#VALUE!</v>
      </c>
    </row>
    <row r="10" customFormat="false" ht="15" hidden="false" customHeight="false" outlineLevel="0" collapsed="false">
      <c r="A10" s="28" t="s">
        <v>190</v>
      </c>
      <c r="B10" s="11" t="n">
        <f aca="false">Rent_Roll!B49</f>
        <v>62275</v>
      </c>
      <c r="C10" s="0" t="s">
        <v>330</v>
      </c>
      <c r="D10" s="2" t="s">
        <v>331</v>
      </c>
    </row>
    <row r="11" customFormat="false" ht="15" hidden="false" customHeight="false" outlineLevel="0" collapsed="false">
      <c r="A11" s="28" t="s">
        <v>332</v>
      </c>
      <c r="B11" s="11" t="n">
        <f aca="false">Rent_Roll!B51</f>
        <v>62275</v>
      </c>
      <c r="C11" s="0" t="s">
        <v>330</v>
      </c>
      <c r="D11" s="2" t="s">
        <v>333</v>
      </c>
    </row>
    <row r="12" customFormat="false" ht="15" hidden="false" customHeight="false" outlineLevel="0" collapsed="false">
      <c r="A12" s="28" t="s">
        <v>334</v>
      </c>
      <c r="B12" s="11" t="n">
        <f aca="false">T12_Historical!N22</f>
        <v>821100</v>
      </c>
      <c r="C12" s="0" t="s">
        <v>330</v>
      </c>
      <c r="D12" s="2" t="s">
        <v>335</v>
      </c>
    </row>
    <row r="13" customFormat="false" ht="15" hidden="false" customHeight="false" outlineLevel="0" collapsed="false">
      <c r="A13" s="28" t="s">
        <v>336</v>
      </c>
      <c r="B13" s="11" t="n">
        <f aca="false">T12_Historical!N23</f>
        <v>307800</v>
      </c>
      <c r="C13" s="0" t="s">
        <v>330</v>
      </c>
      <c r="D13" s="2" t="s">
        <v>337</v>
      </c>
    </row>
    <row r="14" customFormat="false" ht="15" hidden="false" customHeight="false" outlineLevel="0" collapsed="false">
      <c r="A14" s="28" t="s">
        <v>338</v>
      </c>
      <c r="B14" s="11" t="n">
        <f aca="false">T12_Historical!N24</f>
        <v>513300</v>
      </c>
      <c r="C14" s="0" t="s">
        <v>330</v>
      </c>
      <c r="D14" s="2" t="s">
        <v>339</v>
      </c>
    </row>
    <row r="15" customFormat="false" ht="15" hidden="false" customHeight="false" outlineLevel="0" collapsed="false">
      <c r="A15" s="28" t="s">
        <v>340</v>
      </c>
      <c r="B15" s="11" t="n">
        <f aca="false">T12_Historical!N25</f>
        <v>10800</v>
      </c>
      <c r="C15" s="0" t="s">
        <v>330</v>
      </c>
      <c r="D15" s="2" t="s">
        <v>341</v>
      </c>
    </row>
    <row r="16" customFormat="false" ht="15" hidden="false" customHeight="false" outlineLevel="0" collapsed="false">
      <c r="A16" s="28" t="s">
        <v>342</v>
      </c>
      <c r="B16" s="11" t="n">
        <f aca="false">T12_Historical!N26</f>
        <v>502500</v>
      </c>
      <c r="C16" s="0" t="s">
        <v>330</v>
      </c>
      <c r="D16" s="2" t="s">
        <v>343</v>
      </c>
    </row>
    <row r="17" customFormat="false" ht="15" hidden="false" customHeight="false" outlineLevel="0" collapsed="false">
      <c r="A17" s="28" t="s">
        <v>344</v>
      </c>
      <c r="B17" s="11" t="n">
        <f aca="false">Underwriting!B8</f>
        <v>854160</v>
      </c>
      <c r="C17" s="0" t="s">
        <v>330</v>
      </c>
      <c r="D17" s="2" t="s">
        <v>244</v>
      </c>
    </row>
    <row r="18" customFormat="false" ht="15" hidden="false" customHeight="false" outlineLevel="0" collapsed="false">
      <c r="A18" s="28" t="s">
        <v>345</v>
      </c>
      <c r="B18" s="11" t="n">
        <f aca="false">Underwriting!B17</f>
        <v>30000</v>
      </c>
      <c r="C18" s="0" t="s">
        <v>330</v>
      </c>
      <c r="D18" s="2" t="s">
        <v>346</v>
      </c>
    </row>
    <row r="19" customFormat="false" ht="15" hidden="false" customHeight="false" outlineLevel="0" collapsed="false">
      <c r="A19" s="28" t="s">
        <v>347</v>
      </c>
      <c r="B19" s="11" t="n">
        <f aca="false">Underwriting!B19</f>
        <v>308200</v>
      </c>
      <c r="C19" s="0" t="s">
        <v>330</v>
      </c>
      <c r="D19" s="2" t="s">
        <v>348</v>
      </c>
    </row>
    <row r="20" customFormat="false" ht="15" hidden="false" customHeight="false" outlineLevel="0" collapsed="false">
      <c r="A20" s="28" t="s">
        <v>349</v>
      </c>
      <c r="B20" s="11" t="n">
        <f aca="false">Underwriting!B22</f>
        <v>545960</v>
      </c>
      <c r="C20" s="0" t="s">
        <v>330</v>
      </c>
      <c r="D20" s="2" t="s">
        <v>350</v>
      </c>
    </row>
    <row r="21" customFormat="false" ht="15" hidden="false" customHeight="false" outlineLevel="0" collapsed="false">
      <c r="A21" s="28" t="s">
        <v>351</v>
      </c>
      <c r="B21" s="11" t="n">
        <f aca="false">Underwriting!B23</f>
        <v>10800</v>
      </c>
      <c r="C21" s="0" t="s">
        <v>330</v>
      </c>
      <c r="D21" s="2" t="s">
        <v>352</v>
      </c>
    </row>
    <row r="22" customFormat="false" ht="15" hidden="false" customHeight="false" outlineLevel="0" collapsed="false">
      <c r="A22" s="28" t="s">
        <v>353</v>
      </c>
      <c r="B22" s="11" t="n">
        <f aca="false">Underwriting!B24</f>
        <v>535160</v>
      </c>
      <c r="C22" s="0" t="s">
        <v>330</v>
      </c>
      <c r="D22" s="2" t="s">
        <v>354</v>
      </c>
    </row>
    <row r="23" customFormat="false" ht="15" hidden="false" customHeight="false" outlineLevel="0" collapsed="false">
      <c r="A23" s="28" t="s">
        <v>355</v>
      </c>
      <c r="B23" s="11" t="n">
        <f aca="false">Loan_Sizing!B7</f>
        <v>9494956.52173913</v>
      </c>
      <c r="C23" s="0" t="s">
        <v>330</v>
      </c>
      <c r="D23" s="2" t="s">
        <v>356</v>
      </c>
    </row>
    <row r="24" customFormat="false" ht="15" hidden="false" customHeight="false" outlineLevel="0" collapsed="false">
      <c r="A24" s="28" t="s">
        <v>357</v>
      </c>
      <c r="B24" s="21" t="n">
        <f aca="false">ContractRate</f>
        <v>0.059</v>
      </c>
      <c r="C24" s="0" t="s">
        <v>358</v>
      </c>
      <c r="D24" s="2" t="s">
        <v>359</v>
      </c>
    </row>
    <row r="25" customFormat="false" ht="15" hidden="false" customHeight="false" outlineLevel="0" collapsed="false">
      <c r="A25" s="28" t="s">
        <v>360</v>
      </c>
      <c r="B25" s="21" t="n">
        <f aca="false">SizingRate</f>
        <v>0.0625</v>
      </c>
      <c r="C25" s="0" t="s">
        <v>358</v>
      </c>
      <c r="D25" s="2" t="s">
        <v>361</v>
      </c>
    </row>
    <row r="26" customFormat="false" ht="15" hidden="false" customHeight="false" outlineLevel="0" collapsed="false">
      <c r="A26" s="28" t="s">
        <v>362</v>
      </c>
      <c r="B26" s="26" t="n">
        <f aca="false">Loan_Sizing!B15</f>
        <v>0.0738860640511673</v>
      </c>
      <c r="C26" s="0" t="s">
        <v>363</v>
      </c>
      <c r="D26" s="2" t="s">
        <v>364</v>
      </c>
    </row>
    <row r="27" customFormat="false" ht="15" hidden="false" customHeight="false" outlineLevel="0" collapsed="false">
      <c r="A27" s="28" t="s">
        <v>365</v>
      </c>
      <c r="B27" s="11" t="n">
        <f aca="false">Loan_Sizing!B18</f>
        <v>6171721.73913044</v>
      </c>
      <c r="C27" s="0" t="s">
        <v>330</v>
      </c>
      <c r="D27" s="2" t="s">
        <v>366</v>
      </c>
    </row>
    <row r="28" customFormat="false" ht="15" hidden="false" customHeight="false" outlineLevel="0" collapsed="false">
      <c r="A28" s="28" t="s">
        <v>367</v>
      </c>
      <c r="B28" s="11" t="n">
        <f aca="false">Loan_Sizing!B19</f>
        <v>5794435.06022346</v>
      </c>
      <c r="C28" s="0" t="s">
        <v>330</v>
      </c>
      <c r="D28" s="2" t="s">
        <v>368</v>
      </c>
    </row>
    <row r="29" customFormat="false" ht="15" hidden="false" customHeight="false" outlineLevel="0" collapsed="false">
      <c r="A29" s="28" t="s">
        <v>369</v>
      </c>
      <c r="B29" s="11" t="n">
        <f aca="false">Loan_Sizing!B20</f>
        <v>6296000</v>
      </c>
      <c r="C29" s="0" t="s">
        <v>330</v>
      </c>
      <c r="D29" s="2" t="s">
        <v>370</v>
      </c>
    </row>
    <row r="30" customFormat="false" ht="15" hidden="false" customHeight="false" outlineLevel="0" collapsed="false">
      <c r="A30" s="28" t="s">
        <v>371</v>
      </c>
      <c r="B30" s="11" t="n">
        <f aca="false">Loan_Sizing!B22</f>
        <v>5794435.06022346</v>
      </c>
      <c r="C30" s="0" t="s">
        <v>330</v>
      </c>
      <c r="D30" s="2" t="s">
        <v>372</v>
      </c>
    </row>
    <row r="31" customFormat="false" ht="15" hidden="false" customHeight="false" outlineLevel="0" collapsed="false">
      <c r="A31" s="28" t="s">
        <v>272</v>
      </c>
      <c r="B31" s="12" t="str">
        <f aca="false">Loan_Sizing!B23</f>
        <v>DSCR</v>
      </c>
      <c r="C31" s="0" t="s">
        <v>373</v>
      </c>
      <c r="D31" s="2" t="s">
        <v>374</v>
      </c>
    </row>
    <row r="32" customFormat="false" ht="15" hidden="false" customHeight="false" outlineLevel="0" collapsed="false">
      <c r="A32" s="28" t="s">
        <v>375</v>
      </c>
      <c r="B32" s="11" t="n">
        <f aca="false">Loan_Sizing!B25</f>
        <v>428128</v>
      </c>
      <c r="C32" s="0" t="s">
        <v>330</v>
      </c>
      <c r="D32" s="2" t="s">
        <v>376</v>
      </c>
    </row>
    <row r="33" customFormat="false" ht="15" hidden="false" customHeight="false" outlineLevel="0" collapsed="false">
      <c r="A33" s="28" t="s">
        <v>377</v>
      </c>
      <c r="B33" s="30" t="n">
        <f aca="false">Loan_Sizing!B26</f>
        <v>1.25</v>
      </c>
      <c r="C33" s="0" t="s">
        <v>378</v>
      </c>
      <c r="D33" s="2" t="s">
        <v>379</v>
      </c>
    </row>
    <row r="34" customFormat="false" ht="15" hidden="false" customHeight="false" outlineLevel="0" collapsed="false">
      <c r="A34" s="28" t="s">
        <v>380</v>
      </c>
      <c r="B34" s="21" t="n">
        <f aca="false">Loan_Sizing!B27</f>
        <v>0.0923575800639592</v>
      </c>
      <c r="C34" s="0" t="s">
        <v>358</v>
      </c>
      <c r="D34" s="2" t="s">
        <v>381</v>
      </c>
    </row>
    <row r="35" customFormat="false" ht="15" hidden="false" customHeight="false" outlineLevel="0" collapsed="false">
      <c r="A35" s="28" t="s">
        <v>382</v>
      </c>
      <c r="B35" s="11" t="n">
        <f aca="false">Loan_Sizing!B29</f>
        <v>341871.668553184</v>
      </c>
      <c r="C35" s="0" t="s">
        <v>330</v>
      </c>
      <c r="D35" s="2" t="s">
        <v>383</v>
      </c>
    </row>
    <row r="36" customFormat="false" ht="15" hidden="false" customHeight="false" outlineLevel="0" collapsed="false">
      <c r="A36" s="28" t="s">
        <v>384</v>
      </c>
      <c r="B36" s="11" t="n">
        <f aca="false">Loan_Sizing!B36</f>
        <v>2405976.79727178</v>
      </c>
      <c r="C36" s="0" t="s">
        <v>330</v>
      </c>
      <c r="D36" s="2" t="s">
        <v>385</v>
      </c>
    </row>
    <row r="37" customFormat="false" ht="15" hidden="false" customHeight="false" outlineLevel="0" collapsed="false">
      <c r="A37" s="28" t="s">
        <v>386</v>
      </c>
      <c r="B37" s="11" t="n">
        <f aca="false">Sensitivity!B19</f>
        <v>503252</v>
      </c>
      <c r="C37" s="0" t="s">
        <v>330</v>
      </c>
      <c r="D37" s="2" t="s">
        <v>387</v>
      </c>
    </row>
    <row r="38" customFormat="false" ht="15" hidden="false" customHeight="false" outlineLevel="0" collapsed="false">
      <c r="A38" s="28" t="s">
        <v>308</v>
      </c>
      <c r="B38" s="11" t="n">
        <f aca="false">Sensitivity!B31</f>
        <v>4812558.61470721</v>
      </c>
      <c r="C38" s="0" t="s">
        <v>330</v>
      </c>
      <c r="D38" s="2" t="s">
        <v>388</v>
      </c>
    </row>
    <row r="39" customFormat="false" ht="15" hidden="false" customHeight="false" outlineLevel="0" collapsed="false">
      <c r="A39" s="28" t="s">
        <v>389</v>
      </c>
      <c r="B39" s="11" t="n">
        <v>1675</v>
      </c>
      <c r="C39" s="0" t="s">
        <v>330</v>
      </c>
      <c r="D39" s="2" t="s">
        <v>390</v>
      </c>
    </row>
    <row r="40" customFormat="false" ht="15" hidden="false" customHeight="false" outlineLevel="0" collapsed="false">
      <c r="A40" s="28" t="s">
        <v>391</v>
      </c>
      <c r="B40" s="12" t="s">
        <v>103</v>
      </c>
      <c r="C40" s="0" t="s">
        <v>392</v>
      </c>
      <c r="D40" s="2" t="s">
        <v>393</v>
      </c>
    </row>
    <row r="41" customFormat="false" ht="15" hidden="false" customHeight="false" outlineLevel="0" collapsed="false">
      <c r="A41" s="28" t="s">
        <v>394</v>
      </c>
      <c r="B41" s="11" t="n">
        <v>1675</v>
      </c>
      <c r="C41" s="0" t="s">
        <v>330</v>
      </c>
      <c r="D41" s="2" t="s">
        <v>395</v>
      </c>
    </row>
    <row r="42" customFormat="false" ht="15" hidden="false" customHeight="false" outlineLevel="0" collapsed="false">
      <c r="A42" s="28" t="s">
        <v>396</v>
      </c>
      <c r="B42" s="11" t="n">
        <v>33600</v>
      </c>
      <c r="C42" s="0" t="s">
        <v>330</v>
      </c>
      <c r="D42" s="2" t="s">
        <v>397</v>
      </c>
    </row>
    <row r="43" customFormat="false" ht="15" hidden="false" customHeight="false" outlineLevel="0" collapsed="false">
      <c r="A43" s="28" t="s">
        <v>398</v>
      </c>
      <c r="B43" s="12" t="s">
        <v>399</v>
      </c>
      <c r="C43" s="0" t="s">
        <v>392</v>
      </c>
      <c r="D43" s="2" t="s">
        <v>400</v>
      </c>
    </row>
    <row r="44" customFormat="false" ht="15" hidden="false" customHeight="false" outlineLevel="0" collapsed="false">
      <c r="A44" s="28" t="s">
        <v>401</v>
      </c>
      <c r="B44" s="12" t="s">
        <v>402</v>
      </c>
      <c r="C44" s="0" t="s">
        <v>392</v>
      </c>
      <c r="D44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2026-09-06T21:43:52Z</dcterms:created>
  <dc:creator>openpyxl</dc:creator>
  <dc:description/>
  <dc:language>en-US</dc:language>
  <cp:lastModifiedBy/>
  <dcterms:modified xsi:type="dcterms:W3CDTF">2026-09-06T21:43:52Z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