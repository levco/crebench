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585dd40f046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e39ccc21f264801"/>
    <x:sheet xmlns:r="http://schemas.openxmlformats.org/officeDocument/2006/relationships" name="Inputs" sheetId="2" r:id="Re925e6c18f054fd5"/>
    <x:sheet xmlns:r="http://schemas.openxmlformats.org/officeDocument/2006/relationships" name="Rent_Roll" sheetId="3" r:id="R0cc235b5a26c4838"/>
    <x:sheet xmlns:r="http://schemas.openxmlformats.org/officeDocument/2006/relationships" name="T12_Historical" sheetId="4" r:id="Rf07239d362044abd"/>
    <x:sheet xmlns:r="http://schemas.openxmlformats.org/officeDocument/2006/relationships" name="Underwriting" sheetId="5" r:id="R157e2bcfa34b4dc7"/>
    <x:sheet xmlns:r="http://schemas.openxmlformats.org/officeDocument/2006/relationships" name="Loan_Sizing" sheetId="6" r:id="R821804ec8b4e45d2"/>
    <x:sheet xmlns:r="http://schemas.openxmlformats.org/officeDocument/2006/relationships" name="Sensitivity" sheetId="7" r:id="Rd1a095822655489b"/>
    <x:sheet xmlns:r="http://schemas.openxmlformats.org/officeDocument/2006/relationships" name="Reported_Fields" sheetId="8" r:id="Re0461a2ceef64176"/>
  </x:sheets>
  <x:definedNames>
    <x:definedName name="UW_GPR">Inputs!$B$10</x:definedName>
    <x:definedName name="UW_RevLoss">Inputs!$B$11</x:definedName>
    <x:definedName name="UW_OtherInc">Inputs!$B$12</x:definedName>
    <x:definedName name="MgmtFloor">Inputs!$B$14</x:definedName>
    <x:definedName name="MgmtPct">Inputs!$B$15</x:definedName>
    <x:definedName name="LTV_Max">Inputs!$B$19</x:definedName>
    <x:definedName name="DSCR_Min">Inputs!$B$20</x:definedName>
    <x:definedName name="CapRate">Inputs!$B$21</x:definedName>
    <x:definedName name="SizingRate">Inputs!$B$22</x:definedName>
    <x:definedName name="ContractRate">Inputs!$B$23</x:definedName>
    <x:definedName name="DY_Min">Inputs!$B$24</x:definedName>
    <x:definedName name="AmortYears">Inputs!$B$25</x:definedName>
    <x:definedName name="IOMonths">Inputs!$B$26</x:definedName>
    <x:definedName name="MaturityMo">Inputs!$B$27</x:definedName>
    <x:definedName name="OrigFeePct">Inputs!$B$28</x:definedName>
    <x:definedName name="Payoff">Inputs!$B$29</x:definedName>
    <x:definedName name="ClosingCosts">Inputs!$B$30</x:definedName>
    <x:definedName name="ReservesPerUnit">Inputs!$B$31</x:definedName>
    <x:definedName name="UnitCount">Inputs!$B$5</x:definedName>
    <x:definedName name="UW_EGI">Underwriting!$B$8</x:definedName>
    <x:definedName name="UW_NOI_BR">Underwriting!$B$22</x:definedName>
    <x:definedName name="UW_NCF">Underwriting!$B$24</x:definedName>
    <x:definedName name="MaxLoan">Loan_Sizing!$B$22</x:definedName>
    <x:definedName name="ADC_Sizing">Loan_Sizing!$B$15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&quot;$&quot;#,##0;[Red](&quot;$&quot;#,##0)"/>
    <x:numFmt numFmtId="165" formatCode="&quot;$&quot;#,##0.00;[Red](&quot;$&quot;#,##0.00)"/>
    <x:numFmt numFmtId="166" formatCode="0.0000&quot;x&quot;"/>
    <x:numFmt numFmtId="167" formatCode="0.00000000"/>
    <x:numFmt numFmtId="168" formatCode="0.0000"/>
  </x:numFmts>
  <x:fonts count="8">
    <x:font>
      <x:sz val="11"/>
      <x:color theme="1"/>
      <x:name val="Calibri"/>
    </x:font>
    <x:font>
      <x:b/>
      <x:sz val="16"/>
      <x:color rgb="FF1F4E78"/>
    </x:font>
    <x:font>
      <x:i/>
      <x:sz val="9"/>
      <x:color rgb="FF595959"/>
    </x:font>
    <x:font>
      <x:b/>
      <x:color rgb="FF1F4E78"/>
    </x:font>
    <x:font>
      <x:b/>
    </x:font>
    <x:font>
      <x:b/>
      <x:color rgb="FF1F5E1F"/>
    </x:font>
    <x:font>
      <x:b/>
      <x:color rgb="FF9C5700"/>
    </x:font>
    <x:font>
      <x:b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FFFFFF"/>
      </x:patternFill>
    </x:fill>
    <x:fill>
      <x:patternFill patternType="solid">
        <x:fgColor rgb="FFD9E1F2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0" fillId="2" borderId="0" xfId="0"/>
    <x:xf numFmtId="0" fontId="0" fillId="3" borderId="0" xfId="0"/>
    <x:xf numFmtId="0" fontId="0" fillId="4" borderId="0" xfId="0"/>
    <x:xf numFmtId="0" fontId="3" fillId="5" borderId="0" xfId="0"/>
    <x:xf numFmtId="0" fontId="4" fillId="0" borderId="0" xfId="0"/>
    <x:xf numFmtId="10" fontId="0" fillId="0" borderId="0" xfId="0"/>
    <x:xf numFmtId="164" fontId="0" fillId="0" borderId="0" xfId="0"/>
    <x:xf numFmtId="165" fontId="5" fillId="3" borderId="0" xfId="0"/>
    <x:xf numFmtId="0" fontId="5" fillId="3" borderId="0" xfId="0"/>
    <x:xf numFmtId="0" fontId="6" fillId="2" borderId="0" xfId="0"/>
    <x:xf numFmtId="164" fontId="6" fillId="2" borderId="0" xfId="0"/>
    <x:xf numFmtId="10" fontId="6" fillId="2" borderId="0" xfId="0"/>
    <x:xf numFmtId="166" fontId="6" fillId="2" borderId="0" xfId="0"/>
    <x:xf numFmtId="1" fontId="6" fillId="2" borderId="0" xfId="0"/>
    <x:xf numFmtId="3" fontId="5" fillId="3" borderId="0" xfId="0"/>
    <x:xf numFmtId="10" fontId="5" fillId="3" borderId="0" xfId="0"/>
    <x:xf numFmtId="164" fontId="4" fillId="0" borderId="0" xfId="0"/>
    <x:xf numFmtId="165" fontId="0" fillId="0" borderId="0" xfId="0"/>
    <x:xf numFmtId="167" fontId="0" fillId="0" borderId="0" xfId="0"/>
    <x:xf numFmtId="167" fontId="5" fillId="3" borderId="0" xfId="0"/>
    <x:xf numFmtId="166" fontId="0" fillId="0" borderId="0" xfId="0"/>
    <x:xf numFmtId="0" fontId="7" fillId="0" borderId="0" xfId="0"/>
    <x:xf numFmtId="168" fontId="5" fillId="3" borderId="0" xfId="0"/>
    <x:xf numFmtId="166" fontId="5" fillId="3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f4e08c9594635" /><Relationship Type="http://schemas.openxmlformats.org/officeDocument/2006/relationships/theme" Target="/xl/theme/theme1.xml" Id="Reee35c9ff64740c0" /><Relationship Type="http://schemas.openxmlformats.org/officeDocument/2006/relationships/sharedStrings" Target="/xl/sharedStrings.xml" Id="Rd9256fdea14d4f16" /><Relationship Type="http://schemas.openxmlformats.org/officeDocument/2006/relationships/worksheet" Target="/xl/worksheets/sheet1.xml" Id="R8e39ccc21f264801" /><Relationship Type="http://schemas.openxmlformats.org/officeDocument/2006/relationships/worksheet" Target="/xl/worksheets/sheet2.xml" Id="Re925e6c18f054fd5" /><Relationship Type="http://schemas.openxmlformats.org/officeDocument/2006/relationships/worksheet" Target="/xl/worksheets/sheet3.xml" Id="R0cc235b5a26c4838" /><Relationship Type="http://schemas.openxmlformats.org/officeDocument/2006/relationships/worksheet" Target="/xl/worksheets/sheet4.xml" Id="Rf07239d362044abd" /><Relationship Type="http://schemas.openxmlformats.org/officeDocument/2006/relationships/worksheet" Target="/xl/worksheets/sheet5.xml" Id="R157e2bcfa34b4dc7" /><Relationship Type="http://schemas.openxmlformats.org/officeDocument/2006/relationships/worksheet" Target="/xl/worksheets/sheet6.xml" Id="R821804ec8b4e45d2" /><Relationship Type="http://schemas.openxmlformats.org/officeDocument/2006/relationships/worksheet" Target="/xl/worksheets/sheet7.xml" Id="Rd1a095822655489b" /><Relationship Type="http://schemas.openxmlformats.org/officeDocument/2006/relationships/worksheet" Target="/xl/worksheets/sheet8.xml" Id="Re0461a2ceef641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2" max="2" width="28" customWidth="1"/>
    <x:col min="3" max="3" width="90" customWidth="1"/>
  </x:cols>
  <x:sheetData>
    <x:row r="2">
      <x:c r="B2" s="1" t="inlineStr">
        <x:is>
          <x:t xml:space="preserve">Juniper Flats — Underwriting Workbook</x:t>
        </x:is>
      </x:c>
    </x:row>
    <x:row r="3">
      <x:c r="B3" s="2" t="inlineStr">
        <x:is>
          <x:t xml:space="preserve">Fictional refinance scenario | As of 2026-08-31 | USD | Prepared 2026-09-06</x:t>
        </x:is>
      </x:c>
    </x:row>
    <x:row r="5">
      <x:c r="B5" s="3" t="inlineStr">
        <x:is>
          <x:t xml:space="preserve">Cell Color Legend</x:t>
        </x:is>
      </x:c>
    </x:row>
    <x:row r="6">
      <x:c r="B6" t="inlineStr">
        <x:is>
          <x:t xml:space="preserve">Yellow = Editable Input</x:t>
        </x:is>
      </x:c>
      <x:c r="C6" s="4" t="n"/>
    </x:row>
    <x:row r="7">
      <x:c r="B7" t="inlineStr">
        <x:is>
          <x:t xml:space="preserve">Green = Key Output</x:t>
        </x:is>
      </x:c>
      <x:c r="C7" s="5" t="n"/>
    </x:row>
    <x:row r="8">
      <x:c r="B8" t="inlineStr">
        <x:is>
          <x:t xml:space="preserve">White = Formula / calculated</x:t>
        </x:is>
      </x:c>
      <x:c r="C8" s="6" t="n"/>
    </x:row>
    <x:row r="10">
      <x:c r="B10" s="3" t="inlineStr">
        <x:is>
          <x:t xml:space="preserve">Sheet Map</x:t>
        </x:is>
      </x:c>
    </x:row>
    <x:row r="11">
      <x:c r="B11" s="7" t="inlineStr">
        <x:is>
          <x:t xml:space="preserve">Sheet</x:t>
        </x:is>
      </x:c>
      <x:c r="C11" s="7" t="inlineStr">
        <x:is>
          <x:t xml:space="preserve">Purpose</x:t>
        </x:is>
      </x:c>
    </x:row>
    <x:row r="12">
      <x:c r="B12" s="8" t="inlineStr">
        <x:is>
          <x:t xml:space="preserve">Inputs</x:t>
        </x:is>
      </x:c>
      <x:c r="C12" t="inlineStr">
        <x:is>
          <x:t xml:space="preserve">Central editable assumptions — Cap Rate (B21), Sizing Rate (B22), UW EGI drivers (B10:B12), Op-Ex line items, loan terms</x:t>
        </x:is>
      </x:c>
    </x:row>
    <x:row r="13">
      <x:c r="B13" s="8" t="inlineStr">
        <x:is>
          <x:t xml:space="preserve">Rent_Roll</x:t>
        </x:is>
      </x:c>
      <x:c r="C13" t="inlineStr">
        <x:is>
          <x:t xml:space="preserve">Unit-level rent roll and derived occupancy / contractual rent</x:t>
        </x:is>
      </x:c>
    </x:row>
    <x:row r="14">
      <x:c r="B14" s="8" t="inlineStr">
        <x:is>
          <x:t xml:space="preserve">T12_Historical</x:t>
        </x:is>
      </x:c>
      <x:c r="C14" t="inlineStr">
        <x:is>
          <x:t xml:space="preserve">T12 monthly income statement and annual totals; NOI before reserves; NCF</x:t>
        </x:is>
      </x:c>
    </x:row>
    <x:row r="15">
      <x:c r="B15" s="8" t="inlineStr">
        <x:is>
          <x:t xml:space="preserve">Underwriting</x:t>
        </x:is>
      </x:c>
      <x:c r="C15" t="inlineStr">
        <x:is>
          <x:t xml:space="preserve">Underwritten EGI, OpEx (incl. lender mgmt normalization), NOI, NCF — linked to Inputs</x:t>
        </x:is>
      </x:c>
    </x:row>
    <x:row r="16">
      <x:c r="B16" s="8" t="inlineStr">
        <x:is>
          <x:t xml:space="preserve">Loan_Sizing</x:t>
        </x:is>
      </x:c>
      <x:c r="C16" t="inlineStr">
        <x:is>
          <x:t xml:space="preserve">LTV, DSCR and Debt-Yield constraints; binding maximum; first-year DS; sources &amp; uses; cash to borrower</x:t>
        </x:is>
      </x:c>
    </x:row>
    <x:row r="17">
      <x:c r="B17" s="8" t="inlineStr">
        <x:is>
          <x:t xml:space="preserve">Sensitivity</x:t>
        </x:is>
      </x:c>
      <x:c r="C17" t="inlineStr">
        <x:is>
          <x:t xml:space="preserve">Combined downside (EGI -5%, sizing rate +100 bps) and cap-rate +50 bps sensitivity</x:t>
        </x:is>
      </x:c>
    </x:row>
    <x:row r="18">
      <x:c r="B18" s="8" t="inlineStr">
        <x:is>
          <x:t xml:space="preserve">Reported_Fields</x:t>
        </x:is>
      </x:c>
      <x:c r="C18" t="inlineStr">
        <x:is>
          <x:t xml:space="preserve">All requested field IDs with values, formulas and source citations</x:t>
        </x:is>
      </x:c>
    </x:row>
    <x:row r="21">
      <x:c r="B21" s="3" t="inlineStr">
        <x:is>
          <x:t xml:space="preserve">Key Editable Inputs (jump to Inputs sheet)</x:t>
        </x:is>
      </x:c>
    </x:row>
    <x:row r="22">
      <x:c r="B22" t="inlineStr">
        <x:is>
          <x:t xml:space="preserve">Cap Rate</x:t>
        </x:is>
      </x:c>
      <x:c r="C22" s="9" t="n">
        <x:f>Inputs!B21</x:f>
        <x:v>0.0575</x:v>
      </x:c>
    </x:row>
    <x:row r="23">
      <x:c r="B23" t="inlineStr">
        <x:is>
          <x:t xml:space="preserve">Sizing Rate (floor)</x:t>
        </x:is>
      </x:c>
      <x:c r="C23" s="9" t="n">
        <x:f>Inputs!B22</x:f>
        <x:v>0.0625</x:v>
      </x:c>
    </x:row>
    <x:row r="24">
      <x:c r="B24" t="inlineStr">
        <x:is>
          <x:t xml:space="preserve">Contract Rate</x:t>
        </x:is>
      </x:c>
      <x:c r="C24" s="9" t="n">
        <x:f>Inputs!B23</x:f>
        <x:v>0.059</x:v>
      </x:c>
    </x:row>
    <x:row r="25">
      <x:c r="B25" t="inlineStr">
        <x:is>
          <x:t xml:space="preserve">UW GPR (annual)</x:t>
        </x:is>
      </x:c>
      <x:c r="C25" s="10" t="n">
        <x:f>Inputs!B10</x:f>
        <x:v>820800</x:v>
      </x:c>
    </x:row>
    <x:row r="26">
      <x:c r="B26" t="inlineStr">
        <x:is>
          <x:t xml:space="preserve">UW Revenue Loss %</x:t>
        </x:is>
      </x:c>
      <x:c r="C26" s="9" t="n">
        <x:f>Inputs!B11</x:f>
        <x:v>0.06</x:v>
      </x:c>
    </x:row>
    <x:row r="27">
      <x:c r="B27" t="inlineStr">
        <x:is>
          <x:t xml:space="preserve">UW Other Income</x:t>
        </x:is>
      </x:c>
      <x:c r="C27" s="10" t="n">
        <x:f>Inputs!B12</x:f>
        <x:v>39900</x:v>
      </x:c>
    </x:row>
    <x:row r="32">
      <x:c r="B32" s="3" t="inlineStr">
        <x:is>
          <x:t xml:space="preserve">Key Outputs (live)</x:t>
        </x:is>
      </x:c>
    </x:row>
    <x:row r="33">
      <x:c r="B33" t="inlineStr">
        <x:is>
          <x:t xml:space="preserve">UW NOI (before reserves)</x:t>
        </x:is>
      </x:c>
      <x:c r="C33" s="11" t="n">
        <x:f>Underwriting!B22</x:f>
        <x:v>503252</x:v>
      </x:c>
    </x:row>
    <x:row r="34">
      <x:c r="B34" t="inlineStr">
        <x:is>
          <x:t xml:space="preserve">UW NCF (after reserves)</x:t>
        </x:is>
      </x:c>
      <x:c r="C34" s="11" t="n">
        <x:f>Underwriting!B24</x:f>
        <x:v>492452</x:v>
      </x:c>
    </x:row>
    <x:row r="35">
      <x:c r="B35" t="inlineStr">
        <x:is>
          <x:t xml:space="preserve">Capitalized Value</x:t>
        </x:is>
      </x:c>
      <x:c r="C35" s="11" t="n">
        <x:f>Loan_Sizing!B7</x:f>
        <x:v>8752208.695652174</x:v>
      </x:c>
    </x:row>
    <x:row r="36">
      <x:c r="B36" t="inlineStr">
        <x:is>
          <x:t xml:space="preserve">Maximum Loan</x:t>
        </x:is>
      </x:c>
      <x:c r="C36" s="11" t="n">
        <x:f>Loan_Sizing!B22</x:f>
        <x:v>5332014.975478664</x:v>
      </x:c>
    </x:row>
    <x:row r="37">
      <x:c r="B37" t="inlineStr">
        <x:is>
          <x:t xml:space="preserve">Binding Constraint</x:t>
        </x:is>
      </x:c>
      <x:c r="C37" s="12" t="str">
        <x:f>Loan_Sizing!B23</x:f>
        <x:v>DSCR</x:v>
      </x:c>
    </x:row>
    <x:row r="38">
      <x:c r="B38" t="inlineStr">
        <x:is>
          <x:t xml:space="preserve">Cash to Borrower</x:t>
        </x:is>
      </x:c>
      <x:c r="C38" s="11" t="n">
        <x:f>Loan_Sizing!B36</x:f>
        <x:v>1947024.8631625741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20" customWidth="1"/>
    <x:col min="3" max="3" width="68" customWidth="1"/>
  </x:cols>
  <x:sheetData>
    <x:row r="1">
      <x:c r="A1" s="1" t="inlineStr">
        <x:is>
          <x:t xml:space="preserve">Inputs — Editable Assumptions</x:t>
        </x:is>
      </x:c>
    </x:row>
    <x:row r="3">
      <x:c r="A3" s="7" t="inlineStr">
        <x:is>
          <x:t xml:space="preserve">Underwriting Revenue</x:t>
        </x:is>
      </x:c>
    </x:row>
    <x:row r="4">
      <x:c r="A4" s="7" t="inlineStr">
        <x:is>
          <x:t xml:space="preserve">Field</x:t>
        </x:is>
      </x:c>
      <x:c r="B4" s="7" t="inlineStr">
        <x:is>
          <x:t xml:space="preserve">Value</x:t>
        </x:is>
      </x:c>
      <x:c r="C4" s="7" t="inlineStr">
        <x:is>
          <x:t xml:space="preserve">Note</x:t>
        </x:is>
      </x:c>
    </x:row>
    <x:row r="5">
      <x:c r="A5" t="inlineStr">
        <x:is>
          <x:t xml:space="preserve">Unit count (space_count)</x:t>
        </x:is>
      </x:c>
      <x:c r="B5" s="13" t="n">
        <x:v>36</x:v>
      </x:c>
      <x:c r="C5" s="2" t="inlineStr">
        <x:is>
          <x:t xml:space="preserve">Rent roll count</x:t>
        </x:is>
      </x:c>
    </x:row>
    <x:row r="6">
      <x:c r="A6" t="inlineStr">
        <x:is>
          <x:t xml:space="preserve">Occupied count</x:t>
        </x:is>
      </x:c>
      <x:c r="B6" s="13" t="n">
        <x:v>33</x:v>
      </x:c>
      <x:c r="C6" s="2" t="inlineStr">
        <x:is>
          <x:t xml:space="preserve">Rent roll status</x:t>
        </x:is>
      </x:c>
    </x:row>
    <x:row r="7">
      <x:c r="A7" t="inlineStr">
        <x:is>
          <x:t xml:space="preserve">Total rentable SF</x:t>
        </x:is>
      </x:c>
      <x:c r="B7" s="13" t="n">
        <x:v>31800</x:v>
      </x:c>
      <x:c r="C7" s="2" t="inlineStr">
        <x:is>
          <x:t xml:space="preserve">20 x 750 + 16 x 1050</x:t>
        </x:is>
      </x:c>
    </x:row>
    <x:row r="8">
      <x:c r="A8" t="inlineStr">
        <x:is>
          <x:t xml:space="preserve">Occupied SF</x:t>
        </x:is>
      </x:c>
      <x:c r="B8" s="13" t="n">
        <x:v>28950</x:v>
      </x:c>
      <x:c r="C8" s="2" t="inlineStr">
        <x:is>
          <x:t xml:space="preserve">Rent roll</x:t>
        </x:is>
      </x:c>
    </x:row>
    <x:row r="9">
      <x:c r="A9" t="inlineStr">
        <x:is>
          <x:t xml:space="preserve"/>
        </x:is>
      </x:c>
      <x:c r="C9" s="2" t="inlineStr">
        <x:is>
          <x:t xml:space="preserve"/>
        </x:is>
      </x:c>
    </x:row>
    <x:row r="10">
      <x:c r="A10" t="inlineStr">
        <x:is>
          <x:t xml:space="preserve">UW Gross Potential Base Rent (annual)</x:t>
        </x:is>
      </x:c>
      <x:c r="B10" s="14" t="n">
        <x:v>820800</x:v>
      </x:c>
      <x:c r="C10" s="2" t="inlineStr">
        <x:is>
          <x:t xml:space="preserve">Property-and-Plan p.2 (supplied scenario)</x:t>
        </x:is>
      </x:c>
    </x:row>
    <x:row r="11">
      <x:c r="A11" t="inlineStr">
        <x:is>
          <x:t xml:space="preserve">UW Combined Revenue Loss %</x:t>
        </x:is>
      </x:c>
      <x:c r="B11" s="15" t="n">
        <x:v>0.06</x:v>
      </x:c>
      <x:c r="C11" s="2" t="inlineStr">
        <x:is>
          <x:t xml:space="preserve">6.00% of UW GPR — vacancy/concessions/bad debt</x:t>
        </x:is>
      </x:c>
    </x:row>
    <x:row r="12">
      <x:c r="A12" t="inlineStr">
        <x:is>
          <x:t xml:space="preserve">UW Other Income / Recoveries (annual)</x:t>
        </x:is>
      </x:c>
      <x:c r="B12" s="14" t="n">
        <x:v>39900</x:v>
      </x:c>
      <x:c r="C12" s="2" t="inlineStr">
        <x:is>
          <x:t xml:space="preserve">Property-and-Plan p.2 (added AFTER revenue loss)</x:t>
        </x:is>
      </x:c>
    </x:row>
    <x:row r="13">
      <x:c r="A13" t="inlineStr">
        <x:is>
          <x:t xml:space="preserve"/>
        </x:is>
      </x:c>
      <x:c r="C13" s="2" t="inlineStr">
        <x:is>
          <x:t xml:space="preserve"/>
        </x:is>
      </x:c>
    </x:row>
    <x:row r="14">
      <x:c r="A14" t="inlineStr">
        <x:is>
          <x:t xml:space="preserve">Management Fee — T12 actual (floor)</x:t>
        </x:is>
      </x:c>
      <x:c r="B14" s="14" t="n">
        <x:v>30000</x:v>
      </x:c>
      <x:c r="C14" s="2" t="inlineStr">
        <x:is>
          <x:t xml:space="preserve">T12-Statement annual col</x:t>
        </x:is>
      </x:c>
    </x:row>
    <x:row r="15">
      <x:c r="A15" t="inlineStr">
        <x:is>
          <x:t xml:space="preserve">Management Fee — % of UW EGI (rate)</x:t>
        </x:is>
      </x:c>
      <x:c r="B15" s="15" t="n">
        <x:v>0.03</x:v>
      </x:c>
      <x:c r="C15" s="2" t="inlineStr">
        <x:is>
          <x:t xml:space="preserve">3.00% per lender convention</x:t>
        </x:is>
      </x:c>
    </x:row>
    <x:row r="16">
      <x:c r="A16" t="inlineStr">
        <x:is>
          <x:t xml:space="preserve"/>
        </x:is>
      </x:c>
      <x:c r="C16" s="2" t="inlineStr">
        <x:is>
          <x:t xml:space="preserve"/>
        </x:is>
      </x:c>
    </x:row>
    <x:row r="17">
      <x:c r="A17" s="7" t="inlineStr">
        <x:is>
          <x:t xml:space="preserve">Loan Assumptions</x:t>
        </x:is>
      </x:c>
    </x:row>
    <x:row r="18">
      <x:c r="A18" s="7" t="inlineStr">
        <x:is>
          <x:t xml:space="preserve">Field</x:t>
        </x:is>
      </x:c>
      <x:c r="B18" s="7" t="inlineStr">
        <x:is>
          <x:t xml:space="preserve">Value</x:t>
        </x:is>
      </x:c>
      <x:c r="C18" s="7" t="inlineStr">
        <x:is>
          <x:t xml:space="preserve">Note</x:t>
        </x:is>
      </x:c>
    </x:row>
    <x:row r="19">
      <x:c r="A19" t="inlineStr">
        <x:is>
          <x:t xml:space="preserve">LTV maximum</x:t>
        </x:is>
      </x:c>
      <x:c r="B19" s="15" t="n">
        <x:v>0.65</x:v>
      </x:c>
      <x:c r="C19" s="2" t="inlineStr">
        <x:is>
          <x:t xml:space="preserve">Lender-Terms</x:t>
        </x:is>
      </x:c>
    </x:row>
    <x:row r="20">
      <x:c r="A20" t="inlineStr">
        <x:is>
          <x:t xml:space="preserve">Loan-sizing DSCR minimum</x:t>
        </x:is>
      </x:c>
      <x:c r="B20" s="16" t="n">
        <x:v>1.25</x:v>
      </x:c>
      <x:c r="C20" s="2" t="inlineStr">
        <x:is>
          <x:t xml:space="preserve">Lender-Terms</x:t>
        </x:is>
      </x:c>
    </x:row>
    <x:row r="21">
      <x:c r="A21" t="inlineStr">
        <x:is>
          <x:t xml:space="preserve">Cap Rate (valuation)</x:t>
        </x:is>
      </x:c>
      <x:c r="B21" s="15" t="n">
        <x:v>0.0575</x:v>
      </x:c>
      <x:c r="C21" s="2" t="inlineStr">
        <x:is>
          <x:t xml:space="preserve">Lender-Terms — applied to UW NOI BEFORE reserves</x:t>
        </x:is>
      </x:c>
    </x:row>
    <x:row r="22">
      <x:c r="A22" t="inlineStr">
        <x:is>
          <x:t xml:space="preserve">Sizing Rate (floor)</x:t>
        </x:is>
      </x:c>
      <x:c r="B22" s="15" t="n">
        <x:v>0.0625</x:v>
      </x:c>
      <x:c r="C22" s="2" t="inlineStr">
        <x:is>
          <x:t xml:space="preserve">Lender-Terms — greater of contract rate and 6.25%</x:t>
        </x:is>
      </x:c>
    </x:row>
    <x:row r="23">
      <x:c r="A23" t="inlineStr">
        <x:is>
          <x:t xml:space="preserve">Contract Rate (annual, fixed)</x:t>
        </x:is>
      </x:c>
      <x:c r="B23" s="15" t="n">
        <x:v>0.059</x:v>
      </x:c>
      <x:c r="C23" s="2" t="inlineStr">
        <x:is>
          <x:t xml:space="preserve">Lender-Terms</x:t>
        </x:is>
      </x:c>
    </x:row>
    <x:row r="24">
      <x:c r="A24" t="inlineStr">
        <x:is>
          <x:t xml:space="preserve">Debt-Yield minimum (on NCF)</x:t>
        </x:is>
      </x:c>
      <x:c r="B24" s="15" t="n">
        <x:v>0.08500000000000001</x:v>
      </x:c>
      <x:c r="C24" s="2" t="inlineStr">
        <x:is>
          <x:t xml:space="preserve">Lender-Terms</x:t>
        </x:is>
      </x:c>
    </x:row>
    <x:row r="25">
      <x:c r="A25" t="inlineStr">
        <x:is>
          <x:t xml:space="preserve">Amortization (years)</x:t>
        </x:is>
      </x:c>
      <x:c r="B25" s="17" t="n">
        <x:v>30</x:v>
      </x:c>
      <x:c r="C25" s="2" t="inlineStr">
        <x:is>
          <x:t xml:space="preserve">Lender-Terms</x:t>
        </x:is>
      </x:c>
    </x:row>
    <x:row r="26">
      <x:c r="A26" t="inlineStr">
        <x:is>
          <x:t xml:space="preserve">Interest-Only period (months)</x:t>
        </x:is>
      </x:c>
      <x:c r="B26" s="17" t="n">
        <x:v>24</x:v>
      </x:c>
      <x:c r="C26" s="2" t="inlineStr">
        <x:is>
          <x:t xml:space="preserve">Lender-Terms</x:t>
        </x:is>
      </x:c>
    </x:row>
    <x:row r="27">
      <x:c r="A27" t="inlineStr">
        <x:is>
          <x:t xml:space="preserve">Maturity (months)</x:t>
        </x:is>
      </x:c>
      <x:c r="B27" s="17" t="n">
        <x:v>84</x:v>
      </x:c>
      <x:c r="C27" s="2" t="inlineStr">
        <x:is>
          <x:t xml:space="preserve">Lender-Terms</x:t>
        </x:is>
      </x:c>
    </x:row>
    <x:row r="28">
      <x:c r="A28" t="inlineStr">
        <x:is>
          <x:t xml:space="preserve">Origination fee (% of initial principal)</x:t>
        </x:is>
      </x:c>
      <x:c r="B28" s="15" t="n">
        <x:v>0.0075</x:v>
      </x:c>
      <x:c r="C28" s="2" t="inlineStr">
        <x:is>
          <x:t xml:space="preserve">Lender-Terms</x:t>
        </x:is>
      </x:c>
    </x:row>
    <x:row r="29">
      <x:c r="A29" t="inlineStr">
        <x:is>
          <x:t xml:space="preserve">Existing debt payoff</x:t>
        </x:is>
      </x:c>
      <x:c r="B29" s="14" t="n">
        <x:v>3300000</x:v>
      </x:c>
      <x:c r="C29" s="2" t="inlineStr">
        <x:is>
          <x:t xml:space="preserve">Property-and-Plan</x:t>
        </x:is>
      </x:c>
    </x:row>
    <x:row r="30">
      <x:c r="A30" t="inlineStr">
        <x:is>
          <x:t xml:space="preserve">Fixed closing costs</x:t>
        </x:is>
      </x:c>
      <x:c r="B30" s="14" t="n">
        <x:v>45000</x:v>
      </x:c>
      <x:c r="C30" s="2" t="inlineStr">
        <x:is>
          <x:t xml:space="preserve">Property-and-Plan</x:t>
        </x:is>
      </x:c>
    </x:row>
    <x:row r="31">
      <x:c r="A31" t="inlineStr">
        <x:is>
          <x:t xml:space="preserve">Replacement Reserves ($/unit/yr)</x:t>
        </x:is>
      </x:c>
      <x:c r="B31" s="14" t="n">
        <x:v>300</x:v>
      </x:c>
      <x:c r="C31" s="2" t="inlineStr">
        <x:is>
          <x:t xml:space="preserve">Property-and-Plan</x:t>
        </x:is>
      </x:c>
    </x:row>
    <x:row r="34">
      <x:c r="A34" s="7" t="inlineStr">
        <x:is>
          <x:t xml:space="preserve">UW Operating Expenses (per Property-and-Plan)</x:t>
        </x:is>
      </x:c>
    </x:row>
    <x:row r="35">
      <x:c r="A35" s="7" t="inlineStr">
        <x:is>
          <x:t xml:space="preserve">Line item</x:t>
        </x:is>
      </x:c>
      <x:c r="B35" s="7" t="inlineStr">
        <x:is>
          <x:t xml:space="preserve">UW annual $</x:t>
        </x:is>
      </x:c>
      <x:c r="C35" s="7" t="inlineStr">
        <x:is>
          <x:t xml:space="preserve">Basis</x:t>
        </x:is>
      </x:c>
    </x:row>
    <x:row r="36">
      <x:c r="A36" t="inlineStr">
        <x:is>
          <x:t xml:space="preserve">Real estate taxes</x:t>
        </x:is>
      </x:c>
      <x:c r="B36" s="14" t="n">
        <x:v>112000</x:v>
      </x:c>
      <x:c r="C36" s="2" t="inlineStr">
        <x:is>
          <x:t xml:space="preserve">Property-and-Plan table</x:t>
        </x:is>
      </x:c>
    </x:row>
    <x:row r="37">
      <x:c r="A37" t="inlineStr">
        <x:is>
          <x:t xml:space="preserve">Property insurance</x:t>
        </x:is>
      </x:c>
      <x:c r="B37" s="14" t="n">
        <x:v>33600</x:v>
      </x:c>
      <x:c r="C37" s="2" t="inlineStr">
        <x:is>
          <x:t xml:space="preserve">Renewal quote in packet ($33,600)</x:t>
        </x:is>
      </x:c>
    </x:row>
    <x:row r="38">
      <x:c r="A38" t="inlineStr">
        <x:is>
          <x:t xml:space="preserve">Utilities</x:t>
        </x:is>
      </x:c>
      <x:c r="B38" s="14" t="n">
        <x:v>28800</x:v>
      </x:c>
      <x:c r="C38" s="2" t="inlineStr">
        <x:is>
          <x:t xml:space="preserve">T12 actual</x:t>
        </x:is>
      </x:c>
    </x:row>
    <x:row r="39">
      <x:c r="A39" t="inlineStr">
        <x:is>
          <x:t xml:space="preserve">Repairs &amp; maintenance</x:t>
        </x:is>
      </x:c>
      <x:c r="B39" s="14" t="n">
        <x:v>40200</x:v>
      </x:c>
      <x:c r="C39" s="2" t="inlineStr">
        <x:is>
          <x:t xml:space="preserve">T12 46,200 less 6,000 one-time casualty</x:t>
        </x:is>
      </x:c>
    </x:row>
    <x:row r="40">
      <x:c r="A40" t="inlineStr">
        <x:is>
          <x:t xml:space="preserve">Payroll / contract labor</x:t>
        </x:is>
      </x:c>
      <x:c r="B40" s="14" t="n">
        <x:v>42000</x:v>
      </x:c>
      <x:c r="C40" s="2" t="inlineStr">
        <x:is>
          <x:t xml:space="preserve">T12 actual</x:t>
        </x:is>
      </x:c>
    </x:row>
    <x:row r="41">
      <x:c r="A41" t="inlineStr">
        <x:is>
          <x:t xml:space="preserve">Administrative / legal</x:t>
        </x:is>
      </x:c>
      <x:c r="B41" s="14" t="n">
        <x:v>21600</x:v>
      </x:c>
      <x:c r="C41" s="2" t="inlineStr">
        <x:is>
          <x:t xml:space="preserve">T12 actual</x:t>
        </x:is>
      </x:c>
    </x:row>
  </x:sheetData>
  <x:mergeCells>
    <x:mergeCell ref="A1:C1"/>
    <x:mergeCell ref="A3:C3"/>
    <x:mergeCell ref="A17:C17"/>
    <x:mergeCell ref="A34:C3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5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</x:cols>
  <x:sheetData>
    <x:row r="1">
      <x:c r="A1" s="1" t="inlineStr">
        <x:is>
          <x:t xml:space="preserve">Rent Roll — as of 2026-08-31</x:t>
        </x:is>
      </x:c>
    </x:row>
    <x:row r="2">
      <x:c r="A2" s="2" t="inlineStr">
        <x:is>
          <x:t xml:space="preserve">Source: Rent-Roll.xlsx</x:t>
        </x:is>
      </x:c>
    </x:row>
    <x:row r="4">
      <x:c r="A4" s="7" t="inlineStr">
        <x:is>
          <x:t xml:space="preserve">Unit</x:t>
        </x:is>
      </x:c>
      <x:c r="B4" s="7" t="inlineStr">
        <x:is>
          <x:t xml:space="preserve">Tenant</x:t>
        </x:is>
      </x:c>
      <x:c r="C4" s="7" t="inlineStr">
        <x:is>
          <x:t xml:space="preserve">Area SF</x:t>
        </x:is>
      </x:c>
      <x:c r="D4" s="7" t="inlineStr">
        <x:is>
          <x:t xml:space="preserve">Status</x:t>
        </x:is>
      </x:c>
      <x:c r="E4" s="7" t="inlineStr">
        <x:is>
          <x:t xml:space="preserve">Monthly Base Rent</x:t>
        </x:is>
      </x:c>
      <x:c r="F4" s="7" t="inlineStr">
        <x:is>
          <x:t xml:space="preserve">Market Monthly Rent</x:t>
        </x:is>
      </x:c>
      <x:c r="G4" s="7" t="inlineStr">
        <x:is>
          <x:t xml:space="preserve">Lease Expiry</x:t>
        </x:is>
      </x:c>
    </x:row>
    <x:row r="5">
      <x:c r="A5" t="inlineStr">
        <x:is>
          <x:t xml:space="preserve">101</x:t>
        </x:is>
      </x:c>
      <x:c r="B5" t="inlineStr">
        <x:is>
          <x:t xml:space="preserve">Household 101</x:t>
        </x:is>
      </x:c>
      <x:c r="C5" t="n">
        <x:v>750</x:v>
      </x:c>
      <x:c r="D5" t="inlineStr">
        <x:is>
          <x:t xml:space="preserve">Occupied</x:t>
        </x:is>
      </x:c>
      <x:c r="E5" s="10" t="n">
        <x:v>1675</x:v>
      </x:c>
      <x:c r="F5" s="10" t="n">
        <x:v>1675</x:v>
      </x:c>
      <x:c r="G5" t="inlineStr">
        <x:is>
          <x:t xml:space="preserve">2027-07-31</x:t>
        </x:is>
      </x:c>
    </x:row>
    <x:row r="6">
      <x:c r="A6" t="inlineStr">
        <x:is>
          <x:t xml:space="preserve">102</x:t>
        </x:is>
      </x:c>
      <x:c r="B6" t="inlineStr">
        <x:is>
          <x:t xml:space="preserve">Household 102</x:t>
        </x:is>
      </x:c>
      <x:c r="C6" t="n">
        <x:v>750</x:v>
      </x:c>
      <x:c r="D6" t="inlineStr">
        <x:is>
          <x:t xml:space="preserve">Occupied</x:t>
        </x:is>
      </x:c>
      <x:c r="E6" s="10" t="n">
        <x:v>1675</x:v>
      </x:c>
      <x:c r="F6" s="10" t="n">
        <x:v>1675</x:v>
      </x:c>
      <x:c r="G6" t="inlineStr">
        <x:is>
          <x:t xml:space="preserve">2026-10-31</x:t>
        </x:is>
      </x:c>
    </x:row>
    <x:row r="7">
      <x:c r="A7" t="inlineStr">
        <x:is>
          <x:t xml:space="preserve">103</x:t>
        </x:is>
      </x:c>
      <x:c r="B7" t="inlineStr">
        <x:is>
          <x:t xml:space="preserve">Household 103</x:t>
        </x:is>
      </x:c>
      <x:c r="C7" t="n">
        <x:v>750</x:v>
      </x:c>
      <x:c r="D7" t="inlineStr">
        <x:is>
          <x:t xml:space="preserve">Occupied</x:t>
        </x:is>
      </x:c>
      <x:c r="E7" s="10" t="n">
        <x:v>1675</x:v>
      </x:c>
      <x:c r="F7" s="10" t="n">
        <x:v>1675</x:v>
      </x:c>
      <x:c r="G7" t="inlineStr">
        <x:is>
          <x:t xml:space="preserve">2026-11-30</x:t>
        </x:is>
      </x:c>
    </x:row>
    <x:row r="8">
      <x:c r="A8" t="inlineStr">
        <x:is>
          <x:t xml:space="preserve">104</x:t>
        </x:is>
      </x:c>
      <x:c r="B8" t="inlineStr">
        <x:is>
          <x:t xml:space="preserve">Household 104</x:t>
        </x:is>
      </x:c>
      <x:c r="C8" t="n">
        <x:v>750</x:v>
      </x:c>
      <x:c r="D8" t="inlineStr">
        <x:is>
          <x:t xml:space="preserve">Occupied</x:t>
        </x:is>
      </x:c>
      <x:c r="E8" s="10" t="n">
        <x:v>1675</x:v>
      </x:c>
      <x:c r="F8" s="10" t="n">
        <x:v>1675</x:v>
      </x:c>
      <x:c r="G8" t="inlineStr">
        <x:is>
          <x:t xml:space="preserve">2026-12-31</x:t>
        </x:is>
      </x:c>
    </x:row>
    <x:row r="9">
      <x:c r="A9" t="inlineStr">
        <x:is>
          <x:t xml:space="preserve">105</x:t>
        </x:is>
      </x:c>
      <x:c r="B9" t="inlineStr">
        <x:is>
          <x:t xml:space="preserve">Household 105</x:t>
        </x:is>
      </x:c>
      <x:c r="C9" t="n">
        <x:v>750</x:v>
      </x:c>
      <x:c r="D9" t="inlineStr">
        <x:is>
          <x:t xml:space="preserve">Occupied</x:t>
        </x:is>
      </x:c>
      <x:c r="E9" s="10" t="n">
        <x:v>1675</x:v>
      </x:c>
      <x:c r="F9" s="10" t="n">
        <x:v>1675</x:v>
      </x:c>
      <x:c r="G9" t="inlineStr">
        <x:is>
          <x:t xml:space="preserve">2027-01-31</x:t>
        </x:is>
      </x:c>
    </x:row>
    <x:row r="10">
      <x:c r="A10" t="inlineStr">
        <x:is>
          <x:t xml:space="preserve">106</x:t>
        </x:is>
      </x:c>
      <x:c r="B10" t="inlineStr">
        <x:is>
          <x:t xml:space="preserve">Household 106</x:t>
        </x:is>
      </x:c>
      <x:c r="C10" t="n">
        <x:v>750</x:v>
      </x:c>
      <x:c r="D10" t="inlineStr">
        <x:is>
          <x:t xml:space="preserve">Occupied</x:t>
        </x:is>
      </x:c>
      <x:c r="E10" s="10" t="n">
        <x:v>1675</x:v>
      </x:c>
      <x:c r="F10" s="10" t="n">
        <x:v>1675</x:v>
      </x:c>
      <x:c r="G10" t="inlineStr">
        <x:is>
          <x:t xml:space="preserve">2027-02-28</x:t>
        </x:is>
      </x:c>
    </x:row>
    <x:row r="11">
      <x:c r="A11" t="inlineStr">
        <x:is>
          <x:t xml:space="preserve">107</x:t>
        </x:is>
      </x:c>
      <x:c r="B11" t="inlineStr">
        <x:is>
          <x:t xml:space="preserve">Household 107</x:t>
        </x:is>
      </x:c>
      <x:c r="C11" t="n">
        <x:v>750</x:v>
      </x:c>
      <x:c r="D11" t="inlineStr">
        <x:is>
          <x:t xml:space="preserve">Occupied</x:t>
        </x:is>
      </x:c>
      <x:c r="E11" s="10" t="n">
        <x:v>1675</x:v>
      </x:c>
      <x:c r="F11" s="10" t="n">
        <x:v>1675</x:v>
      </x:c>
      <x:c r="G11" t="inlineStr">
        <x:is>
          <x:t xml:space="preserve">2027-03-31</x:t>
        </x:is>
      </x:c>
    </x:row>
    <x:row r="12">
      <x:c r="A12" t="inlineStr">
        <x:is>
          <x:t xml:space="preserve">108</x:t>
        </x:is>
      </x:c>
      <x:c r="B12" t="inlineStr">
        <x:is>
          <x:t xml:space="preserve">Household 108</x:t>
        </x:is>
      </x:c>
      <x:c r="C12" t="n">
        <x:v>750</x:v>
      </x:c>
      <x:c r="D12" t="inlineStr">
        <x:is>
          <x:t xml:space="preserve">Occupied</x:t>
        </x:is>
      </x:c>
      <x:c r="E12" s="10" t="n">
        <x:v>1675</x:v>
      </x:c>
      <x:c r="F12" s="10" t="n">
        <x:v>1675</x:v>
      </x:c>
      <x:c r="G12" t="inlineStr">
        <x:is>
          <x:t xml:space="preserve">2027-04-30</x:t>
        </x:is>
      </x:c>
    </x:row>
    <x:row r="13">
      <x:c r="A13" t="inlineStr">
        <x:is>
          <x:t xml:space="preserve">109</x:t>
        </x:is>
      </x:c>
      <x:c r="B13" t="inlineStr">
        <x:is>
          <x:t xml:space="preserve">Vacant</x:t>
        </x:is>
      </x:c>
      <x:c r="C13" t="n">
        <x:v>750</x:v>
      </x:c>
      <x:c r="D13" t="inlineStr">
        <x:is>
          <x:t xml:space="preserve">Vacant</x:t>
        </x:is>
      </x:c>
      <x:c r="E13" s="10" t="n"/>
      <x:c r="F13" s="10" t="n">
        <x:v>1675</x:v>
      </x:c>
    </x:row>
    <x:row r="14">
      <x:c r="A14" t="inlineStr">
        <x:is>
          <x:t xml:space="preserve">110</x:t>
        </x:is>
      </x:c>
      <x:c r="B14" t="inlineStr">
        <x:is>
          <x:t xml:space="preserve">Household 110</x:t>
        </x:is>
      </x:c>
      <x:c r="C14" t="n">
        <x:v>750</x:v>
      </x:c>
      <x:c r="D14" t="inlineStr">
        <x:is>
          <x:t xml:space="preserve">Occupied</x:t>
        </x:is>
      </x:c>
      <x:c r="E14" s="10" t="n">
        <x:v>1675</x:v>
      </x:c>
      <x:c r="F14" s="10" t="n">
        <x:v>1675</x:v>
      </x:c>
      <x:c r="G14" t="inlineStr">
        <x:is>
          <x:t xml:space="preserve">2027-06-30</x:t>
        </x:is>
      </x:c>
    </x:row>
    <x:row r="15">
      <x:c r="A15" t="inlineStr">
        <x:is>
          <x:t xml:space="preserve">111</x:t>
        </x:is>
      </x:c>
      <x:c r="B15" t="inlineStr">
        <x:is>
          <x:t xml:space="preserve">Household 111</x:t>
        </x:is>
      </x:c>
      <x:c r="C15" t="n">
        <x:v>750</x:v>
      </x:c>
      <x:c r="D15" t="inlineStr">
        <x:is>
          <x:t xml:space="preserve">Occupied</x:t>
        </x:is>
      </x:c>
      <x:c r="E15" s="10" t="n">
        <x:v>1675</x:v>
      </x:c>
      <x:c r="F15" s="10" t="n">
        <x:v>1675</x:v>
      </x:c>
      <x:c r="G15" t="inlineStr">
        <x:is>
          <x:t xml:space="preserve">2027-07-31</x:t>
        </x:is>
      </x:c>
    </x:row>
    <x:row r="16">
      <x:c r="A16" t="inlineStr">
        <x:is>
          <x:t xml:space="preserve">112</x:t>
        </x:is>
      </x:c>
      <x:c r="B16" t="inlineStr">
        <x:is>
          <x:t xml:space="preserve">Household 112</x:t>
        </x:is>
      </x:c>
      <x:c r="C16" t="n">
        <x:v>750</x:v>
      </x:c>
      <x:c r="D16" t="inlineStr">
        <x:is>
          <x:t xml:space="preserve">Occupied</x:t>
        </x:is>
      </x:c>
      <x:c r="E16" s="10" t="n">
        <x:v>1675</x:v>
      </x:c>
      <x:c r="F16" s="10" t="n">
        <x:v>1675</x:v>
      </x:c>
      <x:c r="G16" t="inlineStr">
        <x:is>
          <x:t xml:space="preserve">2027-08-31</x:t>
        </x:is>
      </x:c>
    </x:row>
    <x:row r="17">
      <x:c r="A17" t="inlineStr">
        <x:is>
          <x:t xml:space="preserve">113</x:t>
        </x:is>
      </x:c>
      <x:c r="B17" t="inlineStr">
        <x:is>
          <x:t xml:space="preserve">Household 113</x:t>
        </x:is>
      </x:c>
      <x:c r="C17" t="n">
        <x:v>750</x:v>
      </x:c>
      <x:c r="D17" t="inlineStr">
        <x:is>
          <x:t xml:space="preserve">Occupied</x:t>
        </x:is>
      </x:c>
      <x:c r="E17" s="10" t="n">
        <x:v>1675</x:v>
      </x:c>
      <x:c r="F17" s="10" t="n">
        <x:v>1675</x:v>
      </x:c>
      <x:c r="G17" t="inlineStr">
        <x:is>
          <x:t xml:space="preserve">2026-09-30</x:t>
        </x:is>
      </x:c>
    </x:row>
    <x:row r="18">
      <x:c r="A18" t="inlineStr">
        <x:is>
          <x:t xml:space="preserve">114</x:t>
        </x:is>
      </x:c>
      <x:c r="B18" t="inlineStr">
        <x:is>
          <x:t xml:space="preserve">Household 114</x:t>
        </x:is>
      </x:c>
      <x:c r="C18" t="n">
        <x:v>750</x:v>
      </x:c>
      <x:c r="D18" t="inlineStr">
        <x:is>
          <x:t xml:space="preserve">Occupied</x:t>
        </x:is>
      </x:c>
      <x:c r="E18" s="10" t="n">
        <x:v>1675</x:v>
      </x:c>
      <x:c r="F18" s="10" t="n">
        <x:v>1675</x:v>
      </x:c>
      <x:c r="G18" t="inlineStr">
        <x:is>
          <x:t xml:space="preserve">2026-10-31</x:t>
        </x:is>
      </x:c>
    </x:row>
    <x:row r="19">
      <x:c r="A19" t="inlineStr">
        <x:is>
          <x:t xml:space="preserve">115</x:t>
        </x:is>
      </x:c>
      <x:c r="B19" t="inlineStr">
        <x:is>
          <x:t xml:space="preserve">Household 115</x:t>
        </x:is>
      </x:c>
      <x:c r="C19" t="n">
        <x:v>750</x:v>
      </x:c>
      <x:c r="D19" t="inlineStr">
        <x:is>
          <x:t xml:space="preserve">Occupied</x:t>
        </x:is>
      </x:c>
      <x:c r="E19" s="10" t="n">
        <x:v>1675</x:v>
      </x:c>
      <x:c r="F19" s="10" t="n">
        <x:v>1675</x:v>
      </x:c>
      <x:c r="G19" t="inlineStr">
        <x:is>
          <x:t xml:space="preserve">2026-11-30</x:t>
        </x:is>
      </x:c>
    </x:row>
    <x:row r="20">
      <x:c r="A20" t="inlineStr">
        <x:is>
          <x:t xml:space="preserve">116</x:t>
        </x:is>
      </x:c>
      <x:c r="B20" t="inlineStr">
        <x:is>
          <x:t xml:space="preserve">Household 116</x:t>
        </x:is>
      </x:c>
      <x:c r="C20" t="n">
        <x:v>750</x:v>
      </x:c>
      <x:c r="D20" t="inlineStr">
        <x:is>
          <x:t xml:space="preserve">Occupied</x:t>
        </x:is>
      </x:c>
      <x:c r="E20" s="10" t="n">
        <x:v>1675</x:v>
      </x:c>
      <x:c r="F20" s="10" t="n">
        <x:v>1675</x:v>
      </x:c>
      <x:c r="G20" t="inlineStr">
        <x:is>
          <x:t xml:space="preserve">2026-12-31</x:t>
        </x:is>
      </x:c>
    </x:row>
    <x:row r="21">
      <x:c r="A21" t="inlineStr">
        <x:is>
          <x:t xml:space="preserve">117</x:t>
        </x:is>
      </x:c>
      <x:c r="B21" t="inlineStr">
        <x:is>
          <x:t xml:space="preserve">Household 117</x:t>
        </x:is>
      </x:c>
      <x:c r="C21" t="n">
        <x:v>750</x:v>
      </x:c>
      <x:c r="D21" t="inlineStr">
        <x:is>
          <x:t xml:space="preserve">Occupied</x:t>
        </x:is>
      </x:c>
      <x:c r="E21" s="10" t="n">
        <x:v>1675</x:v>
      </x:c>
      <x:c r="F21" s="10" t="n">
        <x:v>1675</x:v>
      </x:c>
      <x:c r="G21" t="inlineStr">
        <x:is>
          <x:t xml:space="preserve">2027-01-31</x:t>
        </x:is>
      </x:c>
    </x:row>
    <x:row r="22">
      <x:c r="A22" t="inlineStr">
        <x:is>
          <x:t xml:space="preserve">118</x:t>
        </x:is>
      </x:c>
      <x:c r="B22" t="inlineStr">
        <x:is>
          <x:t xml:space="preserve">Household 118</x:t>
        </x:is>
      </x:c>
      <x:c r="C22" t="n">
        <x:v>750</x:v>
      </x:c>
      <x:c r="D22" t="inlineStr">
        <x:is>
          <x:t xml:space="preserve">Occupied</x:t>
        </x:is>
      </x:c>
      <x:c r="E22" s="10" t="n">
        <x:v>1675</x:v>
      </x:c>
      <x:c r="F22" s="10" t="n">
        <x:v>1675</x:v>
      </x:c>
      <x:c r="G22" t="inlineStr">
        <x:is>
          <x:t xml:space="preserve">2027-02-28</x:t>
        </x:is>
      </x:c>
    </x:row>
    <x:row r="23">
      <x:c r="A23" t="inlineStr">
        <x:is>
          <x:t xml:space="preserve">119</x:t>
        </x:is>
      </x:c>
      <x:c r="B23" t="inlineStr">
        <x:is>
          <x:t xml:space="preserve">Household 119</x:t>
        </x:is>
      </x:c>
      <x:c r="C23" t="n">
        <x:v>750</x:v>
      </x:c>
      <x:c r="D23" t="inlineStr">
        <x:is>
          <x:t xml:space="preserve">Occupied</x:t>
        </x:is>
      </x:c>
      <x:c r="E23" s="10" t="n">
        <x:v>1675</x:v>
      </x:c>
      <x:c r="F23" s="10" t="n">
        <x:v>1675</x:v>
      </x:c>
      <x:c r="G23" t="inlineStr">
        <x:is>
          <x:t xml:space="preserve">2027-03-31</x:t>
        </x:is>
      </x:c>
    </x:row>
    <x:row r="24">
      <x:c r="A24" t="inlineStr">
        <x:is>
          <x:t xml:space="preserve">120</x:t>
        </x:is>
      </x:c>
      <x:c r="B24" t="inlineStr">
        <x:is>
          <x:t xml:space="preserve">Household 120</x:t>
        </x:is>
      </x:c>
      <x:c r="C24" t="n">
        <x:v>750</x:v>
      </x:c>
      <x:c r="D24" t="inlineStr">
        <x:is>
          <x:t xml:space="preserve">Occupied</x:t>
        </x:is>
      </x:c>
      <x:c r="E24" s="10" t="n">
        <x:v>1675</x:v>
      </x:c>
      <x:c r="F24" s="10" t="n">
        <x:v>1675</x:v>
      </x:c>
      <x:c r="G24" t="inlineStr">
        <x:is>
          <x:t xml:space="preserve">2027-04-30</x:t>
        </x:is>
      </x:c>
    </x:row>
    <x:row r="25">
      <x:c r="A25" t="inlineStr">
        <x:is>
          <x:t xml:space="preserve">121</x:t>
        </x:is>
      </x:c>
      <x:c r="B25" t="inlineStr">
        <x:is>
          <x:t xml:space="preserve">Household 121</x:t>
        </x:is>
      </x:c>
      <x:c r="C25" t="n">
        <x:v>1050</x:v>
      </x:c>
      <x:c r="D25" t="inlineStr">
        <x:is>
          <x:t xml:space="preserve">Occupied</x:t>
        </x:is>
      </x:c>
      <x:c r="E25" s="10" t="n">
        <x:v>2175</x:v>
      </x:c>
      <x:c r="F25" s="10" t="n">
        <x:v>2175</x:v>
      </x:c>
      <x:c r="G25" t="inlineStr">
        <x:is>
          <x:t xml:space="preserve">2027-05-31</x:t>
        </x:is>
      </x:c>
    </x:row>
    <x:row r="26">
      <x:c r="A26" t="inlineStr">
        <x:is>
          <x:t xml:space="preserve">122</x:t>
        </x:is>
      </x:c>
      <x:c r="B26" t="inlineStr">
        <x:is>
          <x:t xml:space="preserve">Household 122</x:t>
        </x:is>
      </x:c>
      <x:c r="C26" t="n">
        <x:v>1050</x:v>
      </x:c>
      <x:c r="D26" t="inlineStr">
        <x:is>
          <x:t xml:space="preserve">Occupied</x:t>
        </x:is>
      </x:c>
      <x:c r="E26" s="10" t="n">
        <x:v>2175</x:v>
      </x:c>
      <x:c r="F26" s="10" t="n">
        <x:v>2175</x:v>
      </x:c>
      <x:c r="G26" t="inlineStr">
        <x:is>
          <x:t xml:space="preserve">2027-06-30</x:t>
        </x:is>
      </x:c>
    </x:row>
    <x:row r="27">
      <x:c r="A27" t="inlineStr">
        <x:is>
          <x:t xml:space="preserve">123</x:t>
        </x:is>
      </x:c>
      <x:c r="B27" t="inlineStr">
        <x:is>
          <x:t xml:space="preserve">Household 123</x:t>
        </x:is>
      </x:c>
      <x:c r="C27" t="n">
        <x:v>1050</x:v>
      </x:c>
      <x:c r="D27" t="inlineStr">
        <x:is>
          <x:t xml:space="preserve">Occupied</x:t>
        </x:is>
      </x:c>
      <x:c r="E27" s="10" t="n">
        <x:v>2175</x:v>
      </x:c>
      <x:c r="F27" s="10" t="n">
        <x:v>2175</x:v>
      </x:c>
      <x:c r="G27" t="inlineStr">
        <x:is>
          <x:t xml:space="preserve">2027-07-31</x:t>
        </x:is>
      </x:c>
    </x:row>
    <x:row r="28">
      <x:c r="A28" t="inlineStr">
        <x:is>
          <x:t xml:space="preserve">124</x:t>
        </x:is>
      </x:c>
      <x:c r="B28" t="inlineStr">
        <x:is>
          <x:t xml:space="preserve">Household 124</x:t>
        </x:is>
      </x:c>
      <x:c r="C28" t="n">
        <x:v>1050</x:v>
      </x:c>
      <x:c r="D28" t="inlineStr">
        <x:is>
          <x:t xml:space="preserve">Occupied</x:t>
        </x:is>
      </x:c>
      <x:c r="E28" s="10" t="n">
        <x:v>2175</x:v>
      </x:c>
      <x:c r="F28" s="10" t="n">
        <x:v>2175</x:v>
      </x:c>
      <x:c r="G28" t="inlineStr">
        <x:is>
          <x:t xml:space="preserve">2027-08-31</x:t>
        </x:is>
      </x:c>
    </x:row>
    <x:row r="29">
      <x:c r="A29" t="inlineStr">
        <x:is>
          <x:t xml:space="preserve">125</x:t>
        </x:is>
      </x:c>
      <x:c r="B29" t="inlineStr">
        <x:is>
          <x:t xml:space="preserve">Vacant</x:t>
        </x:is>
      </x:c>
      <x:c r="C29" t="n">
        <x:v>1050</x:v>
      </x:c>
      <x:c r="D29" t="inlineStr">
        <x:is>
          <x:t xml:space="preserve">Vacant</x:t>
        </x:is>
      </x:c>
      <x:c r="E29" s="10" t="n"/>
      <x:c r="F29" s="10" t="n">
        <x:v>2175</x:v>
      </x:c>
    </x:row>
    <x:row r="30">
      <x:c r="A30" t="inlineStr">
        <x:is>
          <x:t xml:space="preserve">126</x:t>
        </x:is>
      </x:c>
      <x:c r="B30" t="inlineStr">
        <x:is>
          <x:t xml:space="preserve">Household 126</x:t>
        </x:is>
      </x:c>
      <x:c r="C30" t="n">
        <x:v>1050</x:v>
      </x:c>
      <x:c r="D30" t="inlineStr">
        <x:is>
          <x:t xml:space="preserve">Occupied</x:t>
        </x:is>
      </x:c>
      <x:c r="E30" s="10" t="n">
        <x:v>2175</x:v>
      </x:c>
      <x:c r="F30" s="10" t="n">
        <x:v>2175</x:v>
      </x:c>
      <x:c r="G30" t="inlineStr">
        <x:is>
          <x:t xml:space="preserve">2026-10-31</x:t>
        </x:is>
      </x:c>
    </x:row>
    <x:row r="31">
      <x:c r="A31" t="inlineStr">
        <x:is>
          <x:t xml:space="preserve">127</x:t>
        </x:is>
      </x:c>
      <x:c r="B31" t="inlineStr">
        <x:is>
          <x:t xml:space="preserve">Household 127</x:t>
        </x:is>
      </x:c>
      <x:c r="C31" t="n">
        <x:v>1050</x:v>
      </x:c>
      <x:c r="D31" t="inlineStr">
        <x:is>
          <x:t xml:space="preserve">Occupied</x:t>
        </x:is>
      </x:c>
      <x:c r="E31" s="10" t="n">
        <x:v>2175</x:v>
      </x:c>
      <x:c r="F31" s="10" t="n">
        <x:v>2175</x:v>
      </x:c>
      <x:c r="G31" t="inlineStr">
        <x:is>
          <x:t xml:space="preserve">2026-11-30</x:t>
        </x:is>
      </x:c>
    </x:row>
    <x:row r="32">
      <x:c r="A32" t="inlineStr">
        <x:is>
          <x:t xml:space="preserve">128</x:t>
        </x:is>
      </x:c>
      <x:c r="B32" t="inlineStr">
        <x:is>
          <x:t xml:space="preserve">Household 128</x:t>
        </x:is>
      </x:c>
      <x:c r="C32" t="n">
        <x:v>1050</x:v>
      </x:c>
      <x:c r="D32" t="inlineStr">
        <x:is>
          <x:t xml:space="preserve">Occupied</x:t>
        </x:is>
      </x:c>
      <x:c r="E32" s="10" t="n">
        <x:v>2175</x:v>
      </x:c>
      <x:c r="F32" s="10" t="n">
        <x:v>2175</x:v>
      </x:c>
      <x:c r="G32" t="inlineStr">
        <x:is>
          <x:t xml:space="preserve">2026-12-31</x:t>
        </x:is>
      </x:c>
    </x:row>
    <x:row r="33">
      <x:c r="A33" t="inlineStr">
        <x:is>
          <x:t xml:space="preserve">129</x:t>
        </x:is>
      </x:c>
      <x:c r="B33" t="inlineStr">
        <x:is>
          <x:t xml:space="preserve">Household 129</x:t>
        </x:is>
      </x:c>
      <x:c r="C33" t="n">
        <x:v>1050</x:v>
      </x:c>
      <x:c r="D33" t="inlineStr">
        <x:is>
          <x:t xml:space="preserve">Occupied</x:t>
        </x:is>
      </x:c>
      <x:c r="E33" s="10" t="n">
        <x:v>2175</x:v>
      </x:c>
      <x:c r="F33" s="10" t="n">
        <x:v>2175</x:v>
      </x:c>
      <x:c r="G33" t="inlineStr">
        <x:is>
          <x:t xml:space="preserve">2027-01-31</x:t>
        </x:is>
      </x:c>
    </x:row>
    <x:row r="34">
      <x:c r="A34" t="inlineStr">
        <x:is>
          <x:t xml:space="preserve">130</x:t>
        </x:is>
      </x:c>
      <x:c r="B34" t="inlineStr">
        <x:is>
          <x:t xml:space="preserve">Household 130</x:t>
        </x:is>
      </x:c>
      <x:c r="C34" t="n">
        <x:v>1050</x:v>
      </x:c>
      <x:c r="D34" t="inlineStr">
        <x:is>
          <x:t xml:space="preserve">Occupied</x:t>
        </x:is>
      </x:c>
      <x:c r="E34" s="10" t="n">
        <x:v>2175</x:v>
      </x:c>
      <x:c r="F34" s="10" t="n">
        <x:v>2175</x:v>
      </x:c>
      <x:c r="G34" t="inlineStr">
        <x:is>
          <x:t xml:space="preserve">2027-02-28</x:t>
        </x:is>
      </x:c>
    </x:row>
    <x:row r="35">
      <x:c r="A35" t="inlineStr">
        <x:is>
          <x:t xml:space="preserve">131</x:t>
        </x:is>
      </x:c>
      <x:c r="B35" t="inlineStr">
        <x:is>
          <x:t xml:space="preserve">Household 131</x:t>
        </x:is>
      </x:c>
      <x:c r="C35" t="n">
        <x:v>1050</x:v>
      </x:c>
      <x:c r="D35" t="inlineStr">
        <x:is>
          <x:t xml:space="preserve">Occupied</x:t>
        </x:is>
      </x:c>
      <x:c r="E35" s="10" t="n">
        <x:v>2175</x:v>
      </x:c>
      <x:c r="F35" s="10" t="n">
        <x:v>2175</x:v>
      </x:c>
      <x:c r="G35" t="inlineStr">
        <x:is>
          <x:t xml:space="preserve">2027-03-31</x:t>
        </x:is>
      </x:c>
    </x:row>
    <x:row r="36">
      <x:c r="A36" t="inlineStr">
        <x:is>
          <x:t xml:space="preserve">132</x:t>
        </x:is>
      </x:c>
      <x:c r="B36" t="inlineStr">
        <x:is>
          <x:t xml:space="preserve">Household 132</x:t>
        </x:is>
      </x:c>
      <x:c r="C36" t="n">
        <x:v>1050</x:v>
      </x:c>
      <x:c r="D36" t="inlineStr">
        <x:is>
          <x:t xml:space="preserve">Occupied</x:t>
        </x:is>
      </x:c>
      <x:c r="E36" s="10" t="n">
        <x:v>2175</x:v>
      </x:c>
      <x:c r="F36" s="10" t="n">
        <x:v>2175</x:v>
      </x:c>
      <x:c r="G36" t="inlineStr">
        <x:is>
          <x:t xml:space="preserve">2027-04-30</x:t>
        </x:is>
      </x:c>
    </x:row>
    <x:row r="37">
      <x:c r="A37" t="inlineStr">
        <x:is>
          <x:t xml:space="preserve">133</x:t>
        </x:is>
      </x:c>
      <x:c r="B37" t="inlineStr">
        <x:is>
          <x:t xml:space="preserve">Household 133</x:t>
        </x:is>
      </x:c>
      <x:c r="C37" t="n">
        <x:v>1050</x:v>
      </x:c>
      <x:c r="D37" t="inlineStr">
        <x:is>
          <x:t xml:space="preserve">Occupied</x:t>
        </x:is>
      </x:c>
      <x:c r="E37" s="10" t="n">
        <x:v>2175</x:v>
      </x:c>
      <x:c r="F37" s="10" t="n">
        <x:v>2175</x:v>
      </x:c>
      <x:c r="G37" t="inlineStr">
        <x:is>
          <x:t xml:space="preserve">2027-05-31</x:t>
        </x:is>
      </x:c>
    </x:row>
    <x:row r="38">
      <x:c r="A38" t="inlineStr">
        <x:is>
          <x:t xml:space="preserve">134</x:t>
        </x:is>
      </x:c>
      <x:c r="B38" t="inlineStr">
        <x:is>
          <x:t xml:space="preserve">Household 134</x:t>
        </x:is>
      </x:c>
      <x:c r="C38" t="n">
        <x:v>1050</x:v>
      </x:c>
      <x:c r="D38" t="inlineStr">
        <x:is>
          <x:t xml:space="preserve">Occupied</x:t>
        </x:is>
      </x:c>
      <x:c r="E38" s="10" t="n">
        <x:v>2175</x:v>
      </x:c>
      <x:c r="F38" s="10" t="n">
        <x:v>2175</x:v>
      </x:c>
      <x:c r="G38" t="inlineStr">
        <x:is>
          <x:t xml:space="preserve">2027-06-30</x:t>
        </x:is>
      </x:c>
    </x:row>
    <x:row r="39">
      <x:c r="A39" t="inlineStr">
        <x:is>
          <x:t xml:space="preserve">135</x:t>
        </x:is>
      </x:c>
      <x:c r="B39" t="inlineStr">
        <x:is>
          <x:t xml:space="preserve">Household 135</x:t>
        </x:is>
      </x:c>
      <x:c r="C39" t="n">
        <x:v>1050</x:v>
      </x:c>
      <x:c r="D39" t="inlineStr">
        <x:is>
          <x:t xml:space="preserve">Occupied</x:t>
        </x:is>
      </x:c>
      <x:c r="E39" s="10" t="n">
        <x:v>2175</x:v>
      </x:c>
      <x:c r="F39" s="10" t="n">
        <x:v>2175</x:v>
      </x:c>
      <x:c r="G39" t="inlineStr">
        <x:is>
          <x:t xml:space="preserve">2027-07-31</x:t>
        </x:is>
      </x:c>
    </x:row>
    <x:row r="40">
      <x:c r="A40" t="inlineStr">
        <x:is>
          <x:t xml:space="preserve">136</x:t>
        </x:is>
      </x:c>
      <x:c r="B40" t="inlineStr">
        <x:is>
          <x:t xml:space="preserve">Vacant</x:t>
        </x:is>
      </x:c>
      <x:c r="C40" t="n">
        <x:v>1050</x:v>
      </x:c>
      <x:c r="D40" t="inlineStr">
        <x:is>
          <x:t xml:space="preserve">Vacant</x:t>
        </x:is>
      </x:c>
      <x:c r="E40" s="10" t="n"/>
      <x:c r="F40" s="10" t="n">
        <x:v>2175</x:v>
      </x:c>
    </x:row>
    <x:row r="42">
      <x:c r="A42" s="3" t="inlineStr">
        <x:is>
          <x:t xml:space="preserve">TOTALS / Derived</x:t>
        </x:is>
      </x:c>
    </x:row>
    <x:row r="43">
      <x:c r="A43" s="8" t="inlineStr">
        <x:is>
          <x:t xml:space="preserve">space_count (units)</x:t>
        </x:is>
      </x:c>
      <x:c r="B43" s="12" t="n">
        <x:f>COUNTA(A5:A40)</x:f>
        <x:v>36</x:v>
      </x:c>
    </x:row>
    <x:row r="44">
      <x:c r="A44" s="8" t="inlineStr">
        <x:is>
          <x:t xml:space="preserve">occupied_count</x:t>
        </x:is>
      </x:c>
      <x:c r="B44" s="12" t="n">
        <x:f>COUNTIF(D5:D40,"Occupied")</x:f>
        <x:v>33</x:v>
      </x:c>
    </x:row>
    <x:row r="45">
      <x:c r="A45" s="8" t="inlineStr">
        <x:is>
          <x:t xml:space="preserve">total_area_sf</x:t>
        </x:is>
      </x:c>
      <x:c r="B45" s="18" t="n">
        <x:f>SUM(C5:C40)</x:f>
        <x:v>31800</x:v>
      </x:c>
    </x:row>
    <x:row r="46">
      <x:c r="A46" s="8" t="inlineStr">
        <x:is>
          <x:t xml:space="preserve">occupied_area_sf</x:t>
        </x:is>
      </x:c>
      <x:c r="B46" s="18" t="n">
        <x:f>SUMIF(D5:D40,"Occupied",C5:C40)</x:f>
        <x:v>28950</x:v>
      </x:c>
    </x:row>
    <x:row r="47">
      <x:c r="A47" s="8" t="inlineStr">
        <x:is>
          <x:t xml:space="preserve">occupancy_count_pct</x:t>
        </x:is>
      </x:c>
      <x:c r="B47" s="19" t="n">
        <x:f>B44/B43</x:f>
        <x:v>0.9166666666666666</x:v>
      </x:c>
    </x:row>
    <x:row r="48">
      <x:c r="A48" s="8" t="inlineStr">
        <x:is>
          <x:t xml:space="preserve">occupancy_area_pct</x:t>
        </x:is>
      </x:c>
      <x:c r="B48" s="19" t="n">
        <x:f>B46/B45</x:f>
        <x:v>0.910377358490566</x:v>
      </x:c>
    </x:row>
    <x:row r="49">
      <x:c r="A49" s="8" t="inlineStr">
        <x:is>
          <x:t xml:space="preserve">rent_roll_monthly_base</x:t>
        </x:is>
      </x:c>
      <x:c r="B49" s="11" t="n">
        <x:f>SUM(E5:E40)</x:f>
        <x:v>62275</x:v>
      </x:c>
    </x:row>
    <x:row r="50">
      <x:c r="A50" s="8" t="inlineStr">
        <x:is>
          <x:t xml:space="preserve">in-place annualized (contractual only)</x:t>
        </x:is>
      </x:c>
      <x:c r="B50" s="11" t="n">
        <x:f>B49*12</x:f>
        <x:v>747300</x:v>
      </x:c>
    </x:row>
    <x:row r="51">
      <x:c r="A51" s="8" t="inlineStr">
        <x:is>
          <x:t xml:space="preserve">effective_monthly_base (per Lease-File 101 = rent roll; no amendments)</x:t>
        </x:is>
      </x:c>
      <x:c r="B51" s="11" t="n">
        <x:f>B49</x:f>
        <x:v>62275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11" customWidth="1"/>
    <x:col min="3" max="3" width="11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5" customWidth="1"/>
    <x:col min="15" max="15" width="40" customWidth="1"/>
  </x:cols>
  <x:sheetData>
    <x:row r="1">
      <x:c r="A1" s="1" t="inlineStr">
        <x:is>
          <x:t xml:space="preserve">T12 Historical Income Statement (Sep-2025 through Aug-2026)</x:t>
        </x:is>
      </x:c>
    </x:row>
    <x:row r="2">
      <x:c r="A2" s="2" t="inlineStr">
        <x:is>
          <x:t xml:space="preserve">Source: T12-Statement.pdf p.1-2</x:t>
        </x:is>
      </x:c>
    </x:row>
    <x:row r="4">
      <x:c r="A4" s="7" t="inlineStr">
        <x:is>
          <x:t xml:space="preserve">Account</x:t>
        </x:is>
      </x:c>
      <x:c r="B4" s="7" t="inlineStr">
        <x:is>
          <x:t xml:space="preserve">Sep-25</x:t>
        </x:is>
      </x:c>
      <x:c r="C4" s="7" t="inlineStr">
        <x:is>
          <x:t xml:space="preserve">Oct-25</x:t>
        </x:is>
      </x:c>
      <x:c r="D4" s="7" t="inlineStr">
        <x:is>
          <x:t xml:space="preserve">Nov-25</x:t>
        </x:is>
      </x:c>
      <x:c r="E4" s="7" t="inlineStr">
        <x:is>
          <x:t xml:space="preserve">Dec-25</x:t>
        </x:is>
      </x:c>
      <x:c r="F4" s="7" t="inlineStr">
        <x:is>
          <x:t xml:space="preserve">Jan-26</x:t>
        </x:is>
      </x:c>
      <x:c r="G4" s="7" t="inlineStr">
        <x:is>
          <x:t xml:space="preserve">Feb-26</x:t>
        </x:is>
      </x:c>
      <x:c r="H4" s="7" t="inlineStr">
        <x:is>
          <x:t xml:space="preserve">Mar-26</x:t>
        </x:is>
      </x:c>
      <x:c r="I4" s="7" t="inlineStr">
        <x:is>
          <x:t xml:space="preserve">Apr-26</x:t>
        </x:is>
      </x:c>
      <x:c r="J4" s="7" t="inlineStr">
        <x:is>
          <x:t xml:space="preserve">May-26</x:t>
        </x:is>
      </x:c>
      <x:c r="K4" s="7" t="inlineStr">
        <x:is>
          <x:t xml:space="preserve">Jun-26</x:t>
        </x:is>
      </x:c>
      <x:c r="L4" s="7" t="inlineStr">
        <x:is>
          <x:t xml:space="preserve">Jul-26</x:t>
        </x:is>
      </x:c>
      <x:c r="M4" s="7" t="inlineStr">
        <x:is>
          <x:t xml:space="preserve">Aug-26</x:t>
        </x:is>
      </x:c>
      <x:c r="N4" s="7" t="inlineStr">
        <x:is>
          <x:t xml:space="preserve">Annual</x:t>
        </x:is>
      </x:c>
      <x:c r="O4" s="7" t="inlineStr">
        <x:is>
          <x:t xml:space="preserve">Source note</x:t>
        </x:is>
      </x:c>
    </x:row>
    <x:row r="5">
      <x:c r="A5" t="inlineStr">
        <x:is>
          <x:t xml:space="preserve">Gross potential base rent</x:t>
        </x:is>
      </x:c>
      <x:c r="B5" s="10" t="n">
        <x:v>65800</x:v>
      </x:c>
      <x:c r="C5" s="10" t="n">
        <x:v>67200</x:v>
      </x:c>
      <x:c r="D5" s="10" t="n">
        <x:v>68600</x:v>
      </x:c>
      <x:c r="E5" s="10" t="n">
        <x:v>69300</x:v>
      </x:c>
      <x:c r="F5" s="10" t="n">
        <x:v>70700</x:v>
      </x:c>
      <x:c r="G5" s="10" t="n">
        <x:v>72100</x:v>
      </x:c>
      <x:c r="H5" s="10" t="n">
        <x:v>72800</x:v>
      </x:c>
      <x:c r="I5" s="10" t="n">
        <x:v>74200</x:v>
      </x:c>
      <x:c r="J5" s="10" t="n">
        <x:v>72100</x:v>
      </x:c>
      <x:c r="K5" s="10" t="n">
        <x:v>70700</x:v>
      </x:c>
      <x:c r="L5" s="10" t="n">
        <x:v>68600</x:v>
      </x:c>
      <x:c r="M5" s="10" t="n">
        <x:v>67900</x:v>
      </x:c>
      <x:c r="N5" s="20" t="n">
        <x:f>SUM(B5:M5)</x:f>
        <x:v>840000</x:v>
      </x:c>
      <x:c r="O5" s="2" t="inlineStr">
        <x:is>
          <x:t xml:space="preserve">T12 p.1-2, Annual col = 840,000</x:t>
        </x:is>
      </x:c>
    </x:row>
    <x:row r="6">
      <x:c r="A6" t="inlineStr">
        <x:is>
          <x:t xml:space="preserve">Vacancy loss</x:t>
        </x:is>
      </x:c>
      <x:c r="B6" s="10" t="n">
        <x:v>-3360</x:v>
      </x:c>
      <x:c r="C6" s="10" t="n">
        <x:v>-3430</x:v>
      </x:c>
      <x:c r="D6" s="10" t="n">
        <x:v>-3465</x:v>
      </x:c>
      <x:c r="E6" s="10" t="n">
        <x:v>-3535</x:v>
      </x:c>
      <x:c r="F6" s="10" t="n">
        <x:v>-3605</x:v>
      </x:c>
      <x:c r="G6" s="10" t="n">
        <x:v>-3640</x:v>
      </x:c>
      <x:c r="H6" s="10" t="n">
        <x:v>-3710</x:v>
      </x:c>
      <x:c r="I6" s="10" t="n">
        <x:v>-3605</x:v>
      </x:c>
      <x:c r="J6" s="10" t="n">
        <x:v>-3535</x:v>
      </x:c>
      <x:c r="K6" s="10" t="n">
        <x:v>-3430</x:v>
      </x:c>
      <x:c r="L6" s="10" t="n">
        <x:v>-3395</x:v>
      </x:c>
      <x:c r="M6" s="10" t="n">
        <x:v>-3290</x:v>
      </x:c>
      <x:c r="N6" s="20" t="n">
        <x:f>SUM(B6:M6)</x:f>
        <x:v>-42000</x:v>
      </x:c>
      <x:c r="O6" s="2" t="inlineStr">
        <x:is>
          <x:t xml:space="preserve">Negative revenue</x:t>
        </x:is>
      </x:c>
    </x:row>
    <x:row r="7">
      <x:c r="A7" t="inlineStr">
        <x:is>
          <x:t xml:space="preserve">Concessions</x:t>
        </x:is>
      </x:c>
      <x:c r="B7" s="10" t="n">
        <x:v>-980</x:v>
      </x:c>
      <x:c r="C7" s="10" t="n">
        <x:v>-990</x:v>
      </x:c>
      <x:c r="D7" s="10" t="n">
        <x:v>-1010</x:v>
      </x:c>
      <x:c r="E7" s="10" t="n">
        <x:v>-1030</x:v>
      </x:c>
      <x:c r="F7" s="10" t="n">
        <x:v>-1040</x:v>
      </x:c>
      <x:c r="G7" s="10" t="n">
        <x:v>-1060</x:v>
      </x:c>
      <x:c r="H7" s="10" t="n">
        <x:v>-1030</x:v>
      </x:c>
      <x:c r="I7" s="10" t="n">
        <x:v>-1010</x:v>
      </x:c>
      <x:c r="J7" s="10" t="n">
        <x:v>-980</x:v>
      </x:c>
      <x:c r="K7" s="10" t="n">
        <x:v>-970</x:v>
      </x:c>
      <x:c r="L7" s="10" t="n">
        <x:v>-940</x:v>
      </x:c>
      <x:c r="M7" s="10" t="n">
        <x:v>-960</x:v>
      </x:c>
      <x:c r="N7" s="20" t="n">
        <x:f>SUM(B7:M7)</x:f>
        <x:v>-12000</x:v>
      </x:c>
      <x:c r="O7" s="2" t="inlineStr">
        <x:is>
          <x:t xml:space="preserve"/>
        </x:is>
      </x:c>
    </x:row>
    <x:row r="8">
      <x:c r="A8" t="inlineStr">
        <x:is>
          <x:t xml:space="preserve">Bad debt</x:t>
        </x:is>
      </x:c>
      <x:c r="B8" s="10" t="n">
        <x:v>-371</x:v>
      </x:c>
      <x:c r="C8" s="10" t="n">
        <x:v>-379</x:v>
      </x:c>
      <x:c r="D8" s="10" t="n">
        <x:v>-386</x:v>
      </x:c>
      <x:c r="E8" s="10" t="n">
        <x:v>-390</x:v>
      </x:c>
      <x:c r="F8" s="10" t="n">
        <x:v>-398</x:v>
      </x:c>
      <x:c r="G8" s="10" t="n">
        <x:v>-386</x:v>
      </x:c>
      <x:c r="H8" s="10" t="n">
        <x:v>-379</x:v>
      </x:c>
      <x:c r="I8" s="10" t="n">
        <x:v>-368</x:v>
      </x:c>
      <x:c r="J8" s="10" t="n">
        <x:v>-364</x:v>
      </x:c>
      <x:c r="K8" s="10" t="n">
        <x:v>-352</x:v>
      </x:c>
      <x:c r="L8" s="10" t="n">
        <x:v>-360</x:v>
      </x:c>
      <x:c r="M8" s="10" t="n">
        <x:v>-367</x:v>
      </x:c>
      <x:c r="N8" s="20" t="n">
        <x:f>SUM(B8:M8)</x:f>
        <x:v>-4500</x:v>
      </x:c>
      <x:c r="O8" s="2" t="inlineStr">
        <x:is>
          <x:t xml:space="preserve"/>
        </x:is>
      </x:c>
    </x:row>
    <x:row r="9">
      <x:c r="A9" t="inlineStr">
        <x:is>
          <x:t xml:space="preserve">Other income / recoveries</x:t>
        </x:is>
      </x:c>
      <x:c r="B9" s="10" t="n">
        <x:v>3333</x:v>
      </x:c>
      <x:c r="C9" s="10" t="n">
        <x:v>3399</x:v>
      </x:c>
      <x:c r="D9" s="10" t="n">
        <x:v>3432</x:v>
      </x:c>
      <x:c r="E9" s="10" t="n">
        <x:v>3498</x:v>
      </x:c>
      <x:c r="F9" s="10" t="n">
        <x:v>3399</x:v>
      </x:c>
      <x:c r="G9" s="10" t="n">
        <x:v>3333</x:v>
      </x:c>
      <x:c r="H9" s="10" t="n">
        <x:v>3234</x:v>
      </x:c>
      <x:c r="I9" s="10" t="n">
        <x:v>3201</x:v>
      </x:c>
      <x:c r="J9" s="10" t="n">
        <x:v>3102</x:v>
      </x:c>
      <x:c r="K9" s="10" t="n">
        <x:v>3168</x:v>
      </x:c>
      <x:c r="L9" s="10" t="n">
        <x:v>3234</x:v>
      </x:c>
      <x:c r="M9" s="10" t="n">
        <x:v>3267</x:v>
      </x:c>
      <x:c r="N9" s="20" t="n">
        <x:f>SUM(B9:M9)</x:f>
        <x:v>39600</x:v>
      </x:c>
      <x:c r="O9" s="2" t="inlineStr">
        <x:is>
          <x:t xml:space="preserve">Reimbursements/other</x:t>
        </x:is>
      </x:c>
    </x:row>
    <x:row r="10">
      <x:c r="A10" t="inlineStr">
        <x:is>
          <x:t xml:space="preserve">Real estate taxes</x:t>
        </x:is>
      </x:c>
      <x:c r="B10" s="10" t="n">
        <x:v>9270</x:v>
      </x:c>
      <x:c r="C10" s="10" t="n">
        <x:v>9360</x:v>
      </x:c>
      <x:c r="D10" s="10" t="n">
        <x:v>9540</x:v>
      </x:c>
      <x:c r="E10" s="10" t="n">
        <x:v>9270</x:v>
      </x:c>
      <x:c r="F10" s="10" t="n">
        <x:v>9090</x:v>
      </x:c>
      <x:c r="G10" s="10" t="n">
        <x:v>8820</x:v>
      </x:c>
      <x:c r="H10" s="10" t="n">
        <x:v>8730</x:v>
      </x:c>
      <x:c r="I10" s="10" t="n">
        <x:v>8460</x:v>
      </x:c>
      <x:c r="J10" s="10" t="n">
        <x:v>8640</x:v>
      </x:c>
      <x:c r="K10" s="10" t="n">
        <x:v>8820</x:v>
      </x:c>
      <x:c r="L10" s="10" t="n">
        <x:v>8910</x:v>
      </x:c>
      <x:c r="M10" s="10" t="n">
        <x:v>9090</x:v>
      </x:c>
      <x:c r="N10" s="20" t="n">
        <x:f>SUM(B10:M10)</x:f>
        <x:v>108000</x:v>
      </x:c>
      <x:c r="O10" s="2" t="inlineStr">
        <x:is>
          <x:t xml:space="preserve"/>
        </x:is>
      </x:c>
    </x:row>
    <x:row r="11">
      <x:c r="A11" t="inlineStr">
        <x:is>
          <x:t xml:space="preserve">Property insurance</x:t>
        </x:is>
      </x:c>
      <x:c r="B11" s="10" t="n">
        <x:v>2704</x:v>
      </x:c>
      <x:c r="C11" s="10" t="n">
        <x:v>2756</x:v>
      </x:c>
      <x:c r="D11" s="10" t="n">
        <x:v>2678</x:v>
      </x:c>
      <x:c r="E11" s="10" t="n">
        <x:v>2626</x:v>
      </x:c>
      <x:c r="F11" s="10" t="n">
        <x:v>2548</x:v>
      </x:c>
      <x:c r="G11" s="10" t="n">
        <x:v>2522</x:v>
      </x:c>
      <x:c r="H11" s="10" t="n">
        <x:v>2444</x:v>
      </x:c>
      <x:c r="I11" s="10" t="n">
        <x:v>2496</x:v>
      </x:c>
      <x:c r="J11" s="10" t="n">
        <x:v>2548</x:v>
      </x:c>
      <x:c r="K11" s="10" t="n">
        <x:v>2574</x:v>
      </x:c>
      <x:c r="L11" s="10" t="n">
        <x:v>2626</x:v>
      </x:c>
      <x:c r="M11" s="10" t="n">
        <x:v>2678</x:v>
      </x:c>
      <x:c r="N11" s="20" t="n">
        <x:f>SUM(B11:M11)</x:f>
        <x:v>31200</x:v>
      </x:c>
      <x:c r="O11" s="2" t="inlineStr">
        <x:is>
          <x:t xml:space="preserve"/>
        </x:is>
      </x:c>
    </x:row>
    <x:row r="12">
      <x:c r="A12" t="inlineStr">
        <x:is>
          <x:t xml:space="preserve">Utilities</x:t>
        </x:is>
      </x:c>
      <x:c r="B12" s="10" t="n">
        <x:v>2544</x:v>
      </x:c>
      <x:c r="C12" s="10" t="n">
        <x:v>2472</x:v>
      </x:c>
      <x:c r="D12" s="10" t="n">
        <x:v>2424</x:v>
      </x:c>
      <x:c r="E12" s="10" t="n">
        <x:v>2352</x:v>
      </x:c>
      <x:c r="F12" s="10" t="n">
        <x:v>2328</x:v>
      </x:c>
      <x:c r="G12" s="10" t="n">
        <x:v>2256</x:v>
      </x:c>
      <x:c r="H12" s="10" t="n">
        <x:v>2304</x:v>
      </x:c>
      <x:c r="I12" s="10" t="n">
        <x:v>2352</x:v>
      </x:c>
      <x:c r="J12" s="10" t="n">
        <x:v>2376</x:v>
      </x:c>
      <x:c r="K12" s="10" t="n">
        <x:v>2424</x:v>
      </x:c>
      <x:c r="L12" s="10" t="n">
        <x:v>2472</x:v>
      </x:c>
      <x:c r="M12" s="10" t="n">
        <x:v>2496</x:v>
      </x:c>
      <x:c r="N12" s="20" t="n">
        <x:f>SUM(B12:M12)</x:f>
        <x:v>28800</x:v>
      </x:c>
      <x:c r="O12" s="2" t="inlineStr">
        <x:is>
          <x:t xml:space="preserve"/>
        </x:is>
      </x:c>
    </x:row>
    <x:row r="13">
      <x:c r="A13" t="inlineStr">
        <x:is>
          <x:t xml:space="preserve">Repairs and maintenance</x:t>
        </x:is>
      </x:c>
      <x:c r="B13" s="10" t="n">
        <x:v>3966</x:v>
      </x:c>
      <x:c r="C13" s="10" t="n">
        <x:v>3888</x:v>
      </x:c>
      <x:c r="D13" s="10" t="n">
        <x:v>3773</x:v>
      </x:c>
      <x:c r="E13" s="10" t="n">
        <x:v>3734</x:v>
      </x:c>
      <x:c r="F13" s="10" t="n">
        <x:v>3619</x:v>
      </x:c>
      <x:c r="G13" s="10" t="n">
        <x:v>3696</x:v>
      </x:c>
      <x:c r="H13" s="10" t="n">
        <x:v>3773</x:v>
      </x:c>
      <x:c r="I13" s="10" t="n">
        <x:v>3812</x:v>
      </x:c>
      <x:c r="J13" s="10" t="n">
        <x:v>3888</x:v>
      </x:c>
      <x:c r="K13" s="10" t="n">
        <x:v>3966</x:v>
      </x:c>
      <x:c r="L13" s="10" t="n">
        <x:v>4004</x:v>
      </x:c>
      <x:c r="M13" s="10" t="n">
        <x:v>4081</x:v>
      </x:c>
      <x:c r="N13" s="20" t="n">
        <x:f>SUM(B13:M13)</x:f>
        <x:v>46200</x:v>
      </x:c>
      <x:c r="O13" s="2" t="inlineStr">
        <x:is>
          <x:t xml:space="preserve">Includes $6k one-time casualty</x:t>
        </x:is>
      </x:c>
    </x:row>
    <x:row r="14">
      <x:c r="A14" t="inlineStr">
        <x:is>
          <x:t xml:space="preserve">Payroll / contract labor</x:t>
        </x:is>
      </x:c>
      <x:c r="B14" s="10" t="n">
        <x:v>3535</x:v>
      </x:c>
      <x:c r="C14" s="10" t="n">
        <x:v>3430</x:v>
      </x:c>
      <x:c r="D14" s="10" t="n">
        <x:v>3395</x:v>
      </x:c>
      <x:c r="E14" s="10" t="n">
        <x:v>3290</x:v>
      </x:c>
      <x:c r="F14" s="10" t="n">
        <x:v>3360</x:v>
      </x:c>
      <x:c r="G14" s="10" t="n">
        <x:v>3430</x:v>
      </x:c>
      <x:c r="H14" s="10" t="n">
        <x:v>3465</x:v>
      </x:c>
      <x:c r="I14" s="10" t="n">
        <x:v>3535</x:v>
      </x:c>
      <x:c r="J14" s="10" t="n">
        <x:v>3605</x:v>
      </x:c>
      <x:c r="K14" s="10" t="n">
        <x:v>3640</x:v>
      </x:c>
      <x:c r="L14" s="10" t="n">
        <x:v>3710</x:v>
      </x:c>
      <x:c r="M14" s="10" t="n">
        <x:v>3605</x:v>
      </x:c>
      <x:c r="N14" s="20" t="n">
        <x:f>SUM(B14:M14)</x:f>
        <x:v>42000</x:v>
      </x:c>
      <x:c r="O14" s="2" t="inlineStr">
        <x:is>
          <x:t xml:space="preserve"/>
        </x:is>
      </x:c>
    </x:row>
    <x:row r="15">
      <x:c r="A15" t="inlineStr">
        <x:is>
          <x:t xml:space="preserve">Administrative / legal</x:t>
        </x:is>
      </x:c>
      <x:c r="B15" s="10" t="n">
        <x:v>1764</x:v>
      </x:c>
      <x:c r="C15" s="10" t="n">
        <x:v>1746</x:v>
      </x:c>
      <x:c r="D15" s="10" t="n">
        <x:v>1692</x:v>
      </x:c>
      <x:c r="E15" s="10" t="n">
        <x:v>1728</x:v>
      </x:c>
      <x:c r="F15" s="10" t="n">
        <x:v>1764</x:v>
      </x:c>
      <x:c r="G15" s="10" t="n">
        <x:v>1782</x:v>
      </x:c>
      <x:c r="H15" s="10" t="n">
        <x:v>1818</x:v>
      </x:c>
      <x:c r="I15" s="10" t="n">
        <x:v>1854</x:v>
      </x:c>
      <x:c r="J15" s="10" t="n">
        <x:v>1872</x:v>
      </x:c>
      <x:c r="K15" s="10" t="n">
        <x:v>1908</x:v>
      </x:c>
      <x:c r="L15" s="10" t="n">
        <x:v>1854</x:v>
      </x:c>
      <x:c r="M15" s="10" t="n">
        <x:v>1818</x:v>
      </x:c>
      <x:c r="N15" s="20" t="n">
        <x:f>SUM(B15:M15)</x:f>
        <x:v>21600</x:v>
      </x:c>
      <x:c r="O15" s="2" t="inlineStr">
        <x:is>
          <x:t xml:space="preserve"/>
        </x:is>
      </x:c>
    </x:row>
    <x:row r="16">
      <x:c r="A16" t="inlineStr">
        <x:is>
          <x:t xml:space="preserve">Management fee</x:t>
        </x:is>
      </x:c>
      <x:c r="B16" s="10" t="n">
        <x:v>2425</x:v>
      </x:c>
      <x:c r="C16" s="10" t="n">
        <x:v>2350</x:v>
      </x:c>
      <x:c r="D16" s="10" t="n">
        <x:v>2400</x:v>
      </x:c>
      <x:c r="E16" s="10" t="n">
        <x:v>2450</x:v>
      </x:c>
      <x:c r="F16" s="10" t="n">
        <x:v>2475</x:v>
      </x:c>
      <x:c r="G16" s="10" t="n">
        <x:v>2525</x:v>
      </x:c>
      <x:c r="H16" s="10" t="n">
        <x:v>2575</x:v>
      </x:c>
      <x:c r="I16" s="10" t="n">
        <x:v>2600</x:v>
      </x:c>
      <x:c r="J16" s="10" t="n">
        <x:v>2650</x:v>
      </x:c>
      <x:c r="K16" s="10" t="n">
        <x:v>2575</x:v>
      </x:c>
      <x:c r="L16" s="10" t="n">
        <x:v>2525</x:v>
      </x:c>
      <x:c r="M16" s="10" t="n">
        <x:v>2450</x:v>
      </x:c>
      <x:c r="N16" s="20" t="n">
        <x:f>SUM(B16:M16)</x:f>
        <x:v>30000</x:v>
      </x:c>
      <x:c r="O16" s="2" t="inlineStr">
        <x:is>
          <x:t xml:space="preserve"/>
        </x:is>
      </x:c>
    </x:row>
    <x:row r="17">
      <x:c r="A17" t="inlineStr">
        <x:is>
          <x:t xml:space="preserve">Replacement reserves (below NOI)</x:t>
        </x:is>
      </x:c>
      <x:c r="B17" s="10" t="n">
        <x:v>846</x:v>
      </x:c>
      <x:c r="C17" s="10" t="n">
        <x:v>864</x:v>
      </x:c>
      <x:c r="D17" s="10" t="n">
        <x:v>882</x:v>
      </x:c>
      <x:c r="E17" s="10" t="n">
        <x:v>891</x:v>
      </x:c>
      <x:c r="F17" s="10" t="n">
        <x:v>909</x:v>
      </x:c>
      <x:c r="G17" s="10" t="n">
        <x:v>927</x:v>
      </x:c>
      <x:c r="H17" s="10" t="n">
        <x:v>936</x:v>
      </x:c>
      <x:c r="I17" s="10" t="n">
        <x:v>954</x:v>
      </x:c>
      <x:c r="J17" s="10" t="n">
        <x:v>927</x:v>
      </x:c>
      <x:c r="K17" s="10" t="n">
        <x:v>909</x:v>
      </x:c>
      <x:c r="L17" s="10" t="n">
        <x:v>882</x:v>
      </x:c>
      <x:c r="M17" s="10" t="n">
        <x:v>873</x:v>
      </x:c>
      <x:c r="N17" s="20" t="n">
        <x:f>SUM(B17:M17)</x:f>
        <x:v>10800</x:v>
      </x:c>
      <x:c r="O17" s="2" t="inlineStr">
        <x:is>
          <x:t xml:space="preserve">Below NOI</x:t>
        </x:is>
      </x:c>
    </x:row>
    <x:row r="18">
      <x:c r="A18" t="inlineStr">
        <x:is>
          <x:t xml:space="preserve">Capital improvements (below cash flow)</x:t>
        </x:is>
      </x:c>
      <x:c r="B18" s="10" t="n">
        <x:v>4960</x:v>
      </x:c>
      <x:c r="C18" s="10" t="n">
        <x:v>5063</x:v>
      </x:c>
      <x:c r="D18" s="10" t="n">
        <x:v>5115</x:v>
      </x:c>
      <x:c r="E18" s="10" t="n">
        <x:v>5218</x:v>
      </x:c>
      <x:c r="F18" s="10" t="n">
        <x:v>5322</x:v>
      </x:c>
      <x:c r="G18" s="10" t="n">
        <x:v>5373</x:v>
      </x:c>
      <x:c r="H18" s="10" t="n">
        <x:v>5477</x:v>
      </x:c>
      <x:c r="I18" s="10" t="n">
        <x:v>5322</x:v>
      </x:c>
      <x:c r="J18" s="10" t="n">
        <x:v>5218</x:v>
      </x:c>
      <x:c r="K18" s="10" t="n">
        <x:v>5063</x:v>
      </x:c>
      <x:c r="L18" s="10" t="n">
        <x:v>5012</x:v>
      </x:c>
      <x:c r="M18" s="10" t="n">
        <x:v>4857</x:v>
      </x:c>
      <x:c r="N18" s="20" t="n">
        <x:f>SUM(B18:M18)</x:f>
        <x:v>62000</x:v>
      </x:c>
      <x:c r="O18" s="2" t="inlineStr">
        <x:is>
          <x:t xml:space="preserve">Below cash flow</x:t>
        </x:is>
      </x:c>
    </x:row>
    <x:row r="19">
      <x:c r="A19" t="inlineStr">
        <x:is>
          <x:t xml:space="preserve">Loan principal and interest (below CF)</x:t>
        </x:is>
      </x:c>
      <x:c r="B19" s="10" t="n">
        <x:v>24010</x:v>
      </x:c>
      <x:c r="C19" s="10" t="n">
        <x:v>24255</x:v>
      </x:c>
      <x:c r="D19" s="10" t="n">
        <x:v>24745</x:v>
      </x:c>
      <x:c r="E19" s="10" t="n">
        <x:v>25235</x:v>
      </x:c>
      <x:c r="F19" s="10" t="n">
        <x:v>25480</x:v>
      </x:c>
      <x:c r="G19" s="10" t="n">
        <x:v>25970</x:v>
      </x:c>
      <x:c r="H19" s="10" t="n">
        <x:v>25235</x:v>
      </x:c>
      <x:c r="I19" s="10" t="n">
        <x:v>24745</x:v>
      </x:c>
      <x:c r="J19" s="10" t="n">
        <x:v>24010</x:v>
      </x:c>
      <x:c r="K19" s="10" t="n">
        <x:v>23765</x:v>
      </x:c>
      <x:c r="L19" s="10" t="n">
        <x:v>23030</x:v>
      </x:c>
      <x:c r="M19" s="10" t="n">
        <x:v>23520</x:v>
      </x:c>
      <x:c r="N19" s="20" t="n">
        <x:f>SUM(B19:M19)</x:f>
        <x:v>294000</x:v>
      </x:c>
      <x:c r="O19" s="2" t="inlineStr">
        <x:is>
          <x:t xml:space="preserve">Below cash flow</x:t>
        </x:is>
      </x:c>
    </x:row>
    <x:row r="20">
      <x:c r="A20" t="inlineStr">
        <x:is>
          <x:t xml:space="preserve">Depreciation (noncash)</x:t>
        </x:is>
      </x:c>
      <x:c r="B20" s="10" t="n">
        <x:v>14850</x:v>
      </x:c>
      <x:c r="C20" s="10" t="n">
        <x:v>15150</x:v>
      </x:c>
      <x:c r="D20" s="10" t="n">
        <x:v>15450</x:v>
      </x:c>
      <x:c r="E20" s="10" t="n">
        <x:v>15600</x:v>
      </x:c>
      <x:c r="F20" s="10" t="n">
        <x:v>15900</x:v>
      </x:c>
      <x:c r="G20" s="10" t="n">
        <x:v>15450</x:v>
      </x:c>
      <x:c r="H20" s="10" t="n">
        <x:v>15150</x:v>
      </x:c>
      <x:c r="I20" s="10" t="n">
        <x:v>14700</x:v>
      </x:c>
      <x:c r="J20" s="10" t="n">
        <x:v>14550</x:v>
      </x:c>
      <x:c r="K20" s="10" t="n">
        <x:v>14100</x:v>
      </x:c>
      <x:c r="L20" s="10" t="n">
        <x:v>14400</x:v>
      </x:c>
      <x:c r="M20" s="10" t="n">
        <x:v>14700</x:v>
      </x:c>
      <x:c r="N20" s="20" t="n">
        <x:f>SUM(B20:M20)</x:f>
        <x:v>180000</x:v>
      </x:c>
      <x:c r="O20" s="2" t="inlineStr">
        <x:is>
          <x:t xml:space="preserve">Noncash — not operating</x:t>
        </x:is>
      </x:c>
    </x:row>
    <x:row r="22">
      <x:c r="A22" s="8" t="inlineStr">
        <x:is>
          <x:t xml:space="preserve">T12 EGI</x:t>
        </x:is>
      </x:c>
      <x:c r="N22" s="11" t="n">
        <x:f>N5+N6+N7+N8+N9</x:f>
        <x:v>821100</x:v>
      </x:c>
    </x:row>
    <x:row r="23">
      <x:c r="A23" s="8" t="inlineStr">
        <x:is>
          <x:t xml:space="preserve">T12 Operating Expenses</x:t>
        </x:is>
      </x:c>
      <x:c r="N23" s="11" t="n">
        <x:f>SUM(N10:N16)</x:f>
        <x:v>307800</x:v>
      </x:c>
    </x:row>
    <x:row r="24">
      <x:c r="A24" s="8" t="inlineStr">
        <x:is>
          <x:t xml:space="preserve">T12 NOI (before reserves)</x:t>
        </x:is>
      </x:c>
      <x:c r="N24" s="11" t="n">
        <x:f>N22-N23</x:f>
        <x:v>513300</x:v>
      </x:c>
    </x:row>
    <x:row r="25">
      <x:c r="A25" t="inlineStr">
        <x:is>
          <x:t xml:space="preserve">T12 Replacement reserves</x:t>
        </x:is>
      </x:c>
      <x:c r="N25" s="21" t="n">
        <x:f>N17</x:f>
        <x:v>10800</x:v>
      </x:c>
    </x:row>
    <x:row r="26">
      <x:c r="A26" s="8" t="inlineStr">
        <x:is>
          <x:t xml:space="preserve">T12 NCF (after reserves)</x:t>
        </x:is>
      </x:c>
      <x:c r="N26" s="11" t="n">
        <x:f>N24-N25</x:f>
        <x:v>502500</x:v>
      </x:c>
    </x:row>
  </x:sheetData>
  <x:mergeCells>
    <x:mergeCell ref="A1:O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55" customWidth="1"/>
    <x:col min="2" max="2" width="18" customWidth="1"/>
    <x:col min="3" max="3" width="45" customWidth="1"/>
  </x:cols>
  <x:sheetData>
    <x:row r="1">
      <x:c r="A1" s="1" t="inlineStr">
        <x:is>
          <x:t xml:space="preserve">Underwritten Cash Flow (linked to Inputs)</x:t>
        </x:is>
      </x:c>
    </x:row>
    <x:row r="2">
      <x:c r="A2" s="2" t="inlineStr">
        <x:is>
          <x:t xml:space="preserve">All rates and assumptions per Property-and-Plan</x:t>
        </x:is>
      </x:c>
    </x:row>
    <x:row r="4">
      <x:c r="A4" s="7" t="inlineStr">
        <x:is>
          <x:t xml:space="preserve">Line</x:t>
        </x:is>
      </x:c>
      <x:c r="B4" s="7" t="inlineStr">
        <x:is>
          <x:t xml:space="preserve">Amount</x:t>
        </x:is>
      </x:c>
      <x:c r="C4" s="7" t="inlineStr">
        <x:is>
          <x:t xml:space="preserve">Formula / Basis</x:t>
        </x:is>
      </x:c>
    </x:row>
    <x:row r="5">
      <x:c r="A5" t="inlineStr">
        <x:is>
          <x:t xml:space="preserve">UW Gross Potential Base Rent</x:t>
        </x:is>
      </x:c>
      <x:c r="B5" s="21" t="n">
        <x:f>UW_GPR</x:f>
        <x:v>820800</x:v>
      </x:c>
      <x:c r="C5" t="inlineStr">
        <x:is>
          <x:t xml:space="preserve">Inputs B10</x:t>
        </x:is>
      </x:c>
    </x:row>
    <x:row r="6">
      <x:c r="A6" t="inlineStr">
        <x:is>
          <x:t xml:space="preserve">Less: combined revenue loss (vacancy/concessions/bad debt)</x:t>
        </x:is>
      </x:c>
      <x:c r="B6" s="21" t="n">
        <x:f>-UW_RevLoss*UW_GPR</x:f>
        <x:v>-49248</x:v>
      </x:c>
      <x:c r="C6" t="e">
        <x:f>-6.00% x UW GPR</x:f>
        <x:v>#NAME?</x:v>
      </x:c>
    </x:row>
    <x:row r="7">
      <x:c r="A7" t="inlineStr">
        <x:is>
          <x:t xml:space="preserve">Plus: other income / recoveries</x:t>
        </x:is>
      </x:c>
      <x:c r="B7" s="21" t="n">
        <x:f>UW_OtherInc</x:f>
        <x:v>39900</x:v>
      </x:c>
      <x:c r="C7" t="inlineStr">
        <x:is>
          <x:t xml:space="preserve">Inputs B12</x:t>
        </x:is>
      </x:c>
    </x:row>
    <x:row r="8">
      <x:c r="A8" t="inlineStr">
        <x:is>
          <x:t xml:space="preserve">Underwritten EGI (uw_egi)</x:t>
        </x:is>
      </x:c>
      <x:c r="B8" s="11" t="n">
        <x:f>B5+B6+B7</x:f>
        <x:v>811452</x:v>
      </x:c>
      <x:c r="C8" t="inlineStr">
        <x:is>
          <x:t xml:space="preserve">GPR - loss + other</x:t>
        </x:is>
      </x:c>
    </x:row>
    <x:row r="10">
      <x:c r="A10" s="7" t="inlineStr">
        <x:is>
          <x:t xml:space="preserve">UW Operating Expenses</x:t>
        </x:is>
      </x:c>
    </x:row>
    <x:row r="11">
      <x:c r="A11" t="inlineStr">
        <x:is>
          <x:t xml:space="preserve">Real estate taxes</x:t>
        </x:is>
      </x:c>
      <x:c r="B11" s="21" t="n">
        <x:f>Inputs!B36</x:f>
        <x:v>112000</x:v>
      </x:c>
      <x:c r="C11" t="inlineStr">
        <x:is>
          <x:t xml:space="preserve">Inputs B36</x:t>
        </x:is>
      </x:c>
    </x:row>
    <x:row r="12">
      <x:c r="A12" t="inlineStr">
        <x:is>
          <x:t xml:space="preserve">Property insurance</x:t>
        </x:is>
      </x:c>
      <x:c r="B12" s="21" t="n">
        <x:f>Inputs!B37</x:f>
        <x:v>33600</x:v>
      </x:c>
      <x:c r="C12" t="inlineStr">
        <x:is>
          <x:t xml:space="preserve">Renewal quote</x:t>
        </x:is>
      </x:c>
    </x:row>
    <x:row r="13">
      <x:c r="A13" t="inlineStr">
        <x:is>
          <x:t xml:space="preserve">Utilities</x:t>
        </x:is>
      </x:c>
      <x:c r="B13" s="21" t="n">
        <x:f>Inputs!B38</x:f>
        <x:v>28800</x:v>
      </x:c>
      <x:c r="C13" t="inlineStr">
        <x:is>
          <x:t xml:space="preserve">T12 actual</x:t>
        </x:is>
      </x:c>
    </x:row>
    <x:row r="14">
      <x:c r="A14" t="inlineStr">
        <x:is>
          <x:t xml:space="preserve">Repairs &amp; maintenance (T12 less $6k one-time)</x:t>
        </x:is>
      </x:c>
      <x:c r="B14" s="21" t="n">
        <x:f>Inputs!B39</x:f>
        <x:v>40200</x:v>
      </x:c>
      <x:c r="C14" t="inlineStr">
        <x:is>
          <x:t xml:space="preserve">Inputs B39</x:t>
        </x:is>
      </x:c>
    </x:row>
    <x:row r="15">
      <x:c r="A15" t="inlineStr">
        <x:is>
          <x:t xml:space="preserve">Payroll / contract labor</x:t>
        </x:is>
      </x:c>
      <x:c r="B15" s="21" t="n">
        <x:f>Inputs!B40</x:f>
        <x:v>42000</x:v>
      </x:c>
      <x:c r="C15" t="inlineStr">
        <x:is>
          <x:t xml:space="preserve">T12 actual</x:t>
        </x:is>
      </x:c>
    </x:row>
    <x:row r="16">
      <x:c r="A16" t="inlineStr">
        <x:is>
          <x:t xml:space="preserve">Administrative / legal</x:t>
        </x:is>
      </x:c>
      <x:c r="B16" s="21" t="n">
        <x:f>Inputs!B41</x:f>
        <x:v>21600</x:v>
      </x:c>
      <x:c r="C16" t="inlineStr">
        <x:is>
          <x:t xml:space="preserve">T12 actual</x:t>
        </x:is>
      </x:c>
    </x:row>
    <x:row r="17">
      <x:c r="A17" t="inlineStr">
        <x:is>
          <x:t xml:space="preserve">Management fee (uw_management_fee)</x:t>
        </x:is>
      </x:c>
      <x:c r="B17" s="11" t="n">
        <x:f>MAX(MgmtFloor,MgmtPct*B8)</x:f>
        <x:v>30000</x:v>
      </x:c>
      <x:c r="C17" t="inlineStr">
        <x:is>
          <x:t xml:space="preserve">MAX(T12 $30,000; 3% x EGI)</x:t>
        </x:is>
      </x:c>
    </x:row>
    <x:row r="19">
      <x:c r="A19" t="inlineStr">
        <x:is>
          <x:t xml:space="preserve">Total UW OpEx (uw_operating_expenses)</x:t>
        </x:is>
      </x:c>
      <x:c r="B19" s="11" t="n">
        <x:f>SUM(B11:B17)</x:f>
        <x:v>308200</x:v>
      </x:c>
      <x:c r="C19" t="inlineStr">
        <x:is>
          <x:t xml:space="preserve">Excludes reserves/capex/debt/depr.</x:t>
        </x:is>
      </x:c>
    </x:row>
    <x:row r="22">
      <x:c r="A22" t="inlineStr">
        <x:is>
          <x:t xml:space="preserve">UW NOI before reserves (uw_noi_before_reserves)</x:t>
        </x:is>
      </x:c>
      <x:c r="B22" s="11" t="n">
        <x:f>B8-B19</x:f>
        <x:v>503252</x:v>
      </x:c>
    </x:row>
    <x:row r="23">
      <x:c r="A23" t="inlineStr">
        <x:is>
          <x:t xml:space="preserve">Less: Replacement reserves ($300/unit)</x:t>
        </x:is>
      </x:c>
      <x:c r="B23" s="21" t="n">
        <x:f>ReservesPerUnit*UnitCount</x:f>
        <x:v>10800</x:v>
      </x:c>
    </x:row>
    <x:row r="24">
      <x:c r="A24" t="inlineStr">
        <x:is>
          <x:t xml:space="preserve">UW NCF after reserves (uw_ncf)</x:t>
        </x:is>
      </x:c>
      <x:c r="B24" s="11" t="n">
        <x:f>B22-B23</x:f>
        <x:v>492452</x:v>
      </x:c>
    </x:row>
  </x:sheetData>
  <x:mergeCells>
    <x:mergeCell ref="A10:C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55" customWidth="1"/>
    <x:col min="2" max="2" width="20" customWidth="1"/>
    <x:col min="3" max="3" width="40" customWidth="1"/>
  </x:cols>
  <x:sheetData>
    <x:row r="1">
      <x:c r="A1" s="1" t="inlineStr">
        <x:is>
          <x:t xml:space="preserve">Loan Sizing — LTV / DSCR / Debt Yield</x:t>
        </x:is>
      </x:c>
    </x:row>
    <x:row r="3">
      <x:c r="A3" s="7" t="inlineStr">
        <x:is>
          <x:t xml:space="preserve">Field</x:t>
        </x:is>
      </x:c>
      <x:c r="B3" s="7" t="inlineStr">
        <x:is>
          <x:t xml:space="preserve">Value</x:t>
        </x:is>
      </x:c>
      <x:c r="C3" s="7" t="inlineStr">
        <x:is>
          <x:t xml:space="preserve">Formula / Basis</x:t>
        </x:is>
      </x:c>
    </x:row>
    <x:row r="5">
      <x:c r="A5" t="inlineStr">
        <x:is>
          <x:t xml:space="preserve">UW NOI (before reserves)</x:t>
        </x:is>
      </x:c>
      <x:c r="B5" s="21" t="n">
        <x:f>UW_NOI_BR</x:f>
        <x:v>503252</x:v>
      </x:c>
      <x:c r="C5" t="inlineStr">
        <x:is>
          <x:t xml:space="preserve">From Underwriting</x:t>
        </x:is>
      </x:c>
    </x:row>
    <x:row r="6">
      <x:c r="A6" t="inlineStr">
        <x:is>
          <x:t xml:space="preserve">Cap Rate</x:t>
        </x:is>
      </x:c>
      <x:c r="B6" s="9" t="n">
        <x:f>CapRate</x:f>
        <x:v>0.0575</x:v>
      </x:c>
      <x:c r="C6" t="inlineStr">
        <x:is>
          <x:t xml:space="preserve">Inputs</x:t>
        </x:is>
      </x:c>
    </x:row>
    <x:row r="7">
      <x:c r="A7" t="inlineStr">
        <x:is>
          <x:t xml:space="preserve">Indicative Value (capitalization_value)</x:t>
        </x:is>
      </x:c>
      <x:c r="B7" s="11" t="n">
        <x:f>B5/B6</x:f>
        <x:v>8752208.695652174</x:v>
      </x:c>
      <x:c r="C7" t="inlineStr">
        <x:is>
          <x:t xml:space="preserve">NOI / Cap</x:t>
        </x:is>
      </x:c>
    </x:row>
    <x:row r="9">
      <x:c r="A9" t="inlineStr">
        <x:is>
          <x:t xml:space="preserve">Sizing Rate</x:t>
        </x:is>
      </x:c>
      <x:c r="B9" s="9" t="n">
        <x:f>SizingRate</x:f>
        <x:v>0.0625</x:v>
      </x:c>
      <x:c r="C9" t="inlineStr">
        <x:is>
          <x:t xml:space="preserve">Greater of Contract &amp; 6.25%</x:t>
        </x:is>
      </x:c>
    </x:row>
    <x:row r="10">
      <x:c r="A10" t="inlineStr">
        <x:is>
          <x:t xml:space="preserve">Contract Rate</x:t>
        </x:is>
      </x:c>
      <x:c r="B10" s="9" t="n">
        <x:f>ContractRate</x:f>
        <x:v>0.059</x:v>
      </x:c>
      <x:c r="C10" t="inlineStr">
        <x:is>
          <x:t xml:space="preserve">Inputs</x:t>
        </x:is>
      </x:c>
    </x:row>
    <x:row r="11">
      <x:c r="A11" t="inlineStr">
        <x:is>
          <x:t xml:space="preserve">Amortization (years)</x:t>
        </x:is>
      </x:c>
      <x:c r="B11" t="n">
        <x:f>AmortYears</x:f>
        <x:v>30</x:v>
      </x:c>
    </x:row>
    <x:row r="12">
      <x:c r="A12" t="inlineStr">
        <x:is>
          <x:t xml:space="preserve">Monthly rate (sizing)</x:t>
        </x:is>
      </x:c>
      <x:c r="B12" s="22" t="n">
        <x:f>B9/12</x:f>
        <x:v>0.005208333333333333</x:v>
      </x:c>
    </x:row>
    <x:row r="13">
      <x:c r="A13" t="inlineStr">
        <x:is>
          <x:t xml:space="preserve">Number of payments</x:t>
        </x:is>
      </x:c>
      <x:c r="B13" t="n">
        <x:f>B11*12</x:f>
        <x:v>360</x:v>
      </x:c>
    </x:row>
    <x:row r="14">
      <x:c r="A14" t="inlineStr">
        <x:is>
          <x:t xml:space="preserve">Monthly payment factor</x:t>
        </x:is>
      </x:c>
      <x:c r="B14" s="22" t="n">
        <x:f>B12/(1-(1+B12)^-B13)</x:f>
        <x:v>0.006157172004263945</x:v>
      </x:c>
    </x:row>
    <x:row r="15">
      <x:c r="A15" t="inlineStr">
        <x:is>
          <x:t xml:space="preserve">Annual debt constant (sizing) — annual_debt_constant</x:t>
        </x:is>
      </x:c>
      <x:c r="B15" s="23" t="n">
        <x:f>B14*12</x:f>
        <x:v>0.07388606405116734</x:v>
      </x:c>
    </x:row>
    <x:row r="17">
      <x:c r="A17" s="7" t="inlineStr">
        <x:is>
          <x:t xml:space="preserve">Constraints</x:t>
        </x:is>
      </x:c>
    </x:row>
    <x:row r="18">
      <x:c r="A18" t="inlineStr">
        <x:is>
          <x:t xml:space="preserve">ltv_limit  (LTV_Max * Value)</x:t>
        </x:is>
      </x:c>
      <x:c r="B18" s="21" t="n">
        <x:f>LTV_Max*B7</x:f>
        <x:v>5688935.652173913</x:v>
      </x:c>
    </x:row>
    <x:row r="19">
      <x:c r="A19" t="inlineStr">
        <x:is>
          <x:t xml:space="preserve">dscr_limit  (NCF / DSCR_Min / ADC)</x:t>
        </x:is>
      </x:c>
      <x:c r="B19" s="21" t="n">
        <x:f>UW_NCF/DSCR_Min/B15</x:f>
        <x:v>5332014.975478664</x:v>
      </x:c>
    </x:row>
    <x:row r="20">
      <x:c r="A20" t="inlineStr">
        <x:is>
          <x:t xml:space="preserve">debt_yield_limit  (NCF / DY_Min)</x:t>
        </x:is>
      </x:c>
      <x:c r="B20" s="21" t="n">
        <x:f>UW_NCF/DY_Min</x:f>
        <x:v>5793552.94117647</x:v>
      </x:c>
    </x:row>
    <x:row r="22">
      <x:c r="A22" t="inlineStr">
        <x:is>
          <x:t xml:space="preserve">maximum_loan (min of the three)</x:t>
        </x:is>
      </x:c>
      <x:c r="B22" s="11" t="n">
        <x:f>MIN(B18:B20)</x:f>
        <x:v>5332014.975478664</x:v>
      </x:c>
    </x:row>
    <x:row r="23">
      <x:c r="A23" t="inlineStr">
        <x:is>
          <x:t xml:space="preserve">binding_constraint</x:t>
        </x:is>
      </x:c>
      <x:c r="B23" s="12" t="str">
        <x:f>IF(B22=B18,"LTV",IF(B22=B19,"DSCR","Debt yield"))</x:f>
        <x:v>DSCR</x:v>
      </x:c>
    </x:row>
    <x:row r="25">
      <x:c r="A25" t="inlineStr">
        <x:is>
          <x:t xml:space="preserve">sizing_annual_debt_service (loan x ADC)</x:t>
        </x:is>
      </x:c>
      <x:c r="B25" s="21" t="n">
        <x:f>B22*B15</x:f>
        <x:v>393961.6</x:v>
      </x:c>
    </x:row>
    <x:row r="26">
      <x:c r="A26" t="inlineStr">
        <x:is>
          <x:t xml:space="preserve">sizing_dscr (NCF / Sizing ADS)</x:t>
        </x:is>
      </x:c>
      <x:c r="B26" s="24" t="n">
        <x:f>UW_NCF/B25</x:f>
        <x:v>1.25</x:v>
      </x:c>
    </x:row>
    <x:row r="27">
      <x:c r="A27" t="inlineStr">
        <x:is>
          <x:t xml:space="preserve">sizing_debt_yield (NCF / Loan)</x:t>
        </x:is>
      </x:c>
      <x:c r="B27" s="9" t="n">
        <x:f>UW_NCF/B22</x:f>
        <x:v>0.09235758006395917</x:v>
      </x:c>
    </x:row>
    <x:row r="29">
      <x:c r="A29" t="inlineStr">
        <x:is>
          <x:t xml:space="preserve">first_year_debt_service (IO — Loan x Contract rate)</x:t>
        </x:is>
      </x:c>
      <x:c r="B29" s="21" t="n">
        <x:f>B22*B10</x:f>
        <x:v>314588.88355324115</x:v>
      </x:c>
      <x:c r="C29" t="inlineStr">
        <x:is>
          <x:t xml:space="preserve">First 24 mo. IO; year-1 DS = interest only</x:t>
        </x:is>
      </x:c>
    </x:row>
    <x:row r="31">
      <x:c r="A31" s="7" t="inlineStr">
        <x:is>
          <x:t xml:space="preserve">Sources &amp; Uses</x:t>
        </x:is>
      </x:c>
    </x:row>
    <x:row r="32">
      <x:c r="A32" t="inlineStr">
        <x:is>
          <x:t xml:space="preserve">Loan proceeds</x:t>
        </x:is>
      </x:c>
      <x:c r="B32" s="21" t="n">
        <x:f>B22</x:f>
        <x:v>5332014.975478664</x:v>
      </x:c>
    </x:row>
    <x:row r="33">
      <x:c r="A33" t="inlineStr">
        <x:is>
          <x:t xml:space="preserve">Less: Existing debt payoff</x:t>
        </x:is>
      </x:c>
      <x:c r="B33" s="21" t="n">
        <x:f>-Payoff</x:f>
        <x:v>-3300000</x:v>
      </x:c>
    </x:row>
    <x:row r="34">
      <x:c r="A34" t="inlineStr">
        <x:is>
          <x:t xml:space="preserve">Less: Origination fee (0.75% of loan)</x:t>
        </x:is>
      </x:c>
      <x:c r="B34" s="21" t="n">
        <x:f>-OrigFeePct*B22</x:f>
        <x:v>-39990.11231608998</x:v>
      </x:c>
    </x:row>
    <x:row r="35">
      <x:c r="A35" t="inlineStr">
        <x:is>
          <x:t xml:space="preserve">Less: Fixed closing costs</x:t>
        </x:is>
      </x:c>
      <x:c r="B35" s="21" t="n">
        <x:f>-ClosingCosts</x:f>
        <x:v>-45000</x:v>
      </x:c>
    </x:row>
    <x:row r="36">
      <x:c r="A36" t="inlineStr">
        <x:is>
          <x:t xml:space="preserve">cash_to_borrower (net; negative = cash-in)</x:t>
        </x:is>
      </x:c>
      <x:c r="B36" s="11" t="n">
        <x:f>SUM(B32:B35)</x:f>
        <x:v>1947024.8631625741</x:v>
      </x:c>
    </x:row>
  </x:sheetData>
  <x:mergeCells>
    <x:mergeCell ref="A17:C17"/>
    <x:mergeCell ref="A31:C3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55" customWidth="1"/>
    <x:col min="2" max="2" width="20" customWidth="1"/>
  </x:cols>
  <x:sheetData>
    <x:row r="1">
      <x:c r="A1" s="1" t="inlineStr">
        <x:is>
          <x:t xml:space="preserve">Sensitivity — Downside cases</x:t>
        </x:is>
      </x:c>
    </x:row>
    <x:row r="2">
      <x:c r="A2" s="2" t="inlineStr">
        <x:is>
          <x:t xml:space="preserve">Per Property-and-Plan: EGI -5% &amp; +100 bps sizing (cap unchanged); separately +50 bps cap</x:t>
        </x:is>
      </x:c>
    </x:row>
    <x:row r="4">
      <x:c r="A4" s="7" t="inlineStr">
        <x:is>
          <x:t xml:space="preserve">Base Case</x:t>
        </x:is>
      </x:c>
    </x:row>
    <x:row r="5">
      <x:c r="A5" t="inlineStr">
        <x:is>
          <x:t xml:space="preserve">UW EGI</x:t>
        </x:is>
      </x:c>
      <x:c r="B5" s="21" t="n">
        <x:f>UW_EGI</x:f>
        <x:v>811452</x:v>
      </x:c>
    </x:row>
    <x:row r="6">
      <x:c r="A6" t="inlineStr">
        <x:is>
          <x:t xml:space="preserve">UW NOI (before reserves)</x:t>
        </x:is>
      </x:c>
      <x:c r="B6" s="21" t="n">
        <x:f>UW_NOI_BR</x:f>
        <x:v>503252</x:v>
      </x:c>
    </x:row>
    <x:row r="7">
      <x:c r="A7" t="inlineStr">
        <x:is>
          <x:t xml:space="preserve">UW NCF</x:t>
        </x:is>
      </x:c>
      <x:c r="B7" s="21" t="n">
        <x:f>UW_NCF</x:f>
        <x:v>492452</x:v>
      </x:c>
    </x:row>
    <x:row r="8">
      <x:c r="A8" t="inlineStr">
        <x:is>
          <x:t xml:space="preserve">Sizing rate</x:t>
        </x:is>
      </x:c>
      <x:c r="B8" s="9" t="n">
        <x:f>SizingRate</x:f>
        <x:v>0.0625</x:v>
      </x:c>
    </x:row>
    <x:row r="9">
      <x:c r="A9" t="inlineStr">
        <x:is>
          <x:t xml:space="preserve">Cap rate</x:t>
        </x:is>
      </x:c>
      <x:c r="B9" s="9" t="n">
        <x:f>CapRate</x:f>
        <x:v>0.0575</x:v>
      </x:c>
    </x:row>
    <x:row r="10">
      <x:c r="A10" t="inlineStr">
        <x:is>
          <x:t xml:space="preserve">Max loan</x:t>
        </x:is>
      </x:c>
      <x:c r="B10" s="21" t="n">
        <x:f>MaxLoan</x:f>
        <x:v>5332014.975478664</x:v>
      </x:c>
    </x:row>
    <x:row r="11">
      <x:c r="A11" t="inlineStr">
        <x:is>
          <x:t xml:space="preserve">Binding</x:t>
        </x:is>
      </x:c>
      <x:c r="B11" t="str">
        <x:f>Loan_Sizing!B23</x:f>
        <x:v>DSCR</x:v>
      </x:c>
    </x:row>
    <x:row r="14">
      <x:c r="A14" s="7" t="inlineStr">
        <x:is>
          <x:t xml:space="preserve">Combined downside (EGI -5%, +100 bps sizing, cap unchanged)</x:t>
        </x:is>
      </x:c>
    </x:row>
    <x:row r="15">
      <x:c r="A15" t="inlineStr">
        <x:is>
          <x:t xml:space="preserve">Stress EGI (95% of UW)</x:t>
        </x:is>
      </x:c>
      <x:c r="B15" s="21" t="n">
        <x:f>UW_EGI*0.95</x:f>
        <x:v>770879.3999999999</x:v>
      </x:c>
    </x:row>
    <x:row r="16">
      <x:c r="A16" t="inlineStr">
        <x:is>
          <x:t xml:space="preserve">Stress management fee (MAX floor, 3% stress EGI)</x:t>
        </x:is>
      </x:c>
      <x:c r="B16" s="21" t="n">
        <x:f>MAX(MgmtFloor,MgmtPct*B15)</x:f>
        <x:v>30000</x:v>
      </x:c>
    </x:row>
    <x:row r="17">
      <x:c r="A17" t="inlineStr">
        <x:is>
          <x:t xml:space="preserve">Other OpEx (unchanged)</x:t>
        </x:is>
      </x:c>
      <x:c r="B17" s="21" t="n">
        <x:f>Underwriting!B19-Underwriting!B17</x:f>
        <x:v>278200</x:v>
      </x:c>
    </x:row>
    <x:row r="18">
      <x:c r="A18" t="inlineStr">
        <x:is>
          <x:t xml:space="preserve">Stress OpEx (total)</x:t>
        </x:is>
      </x:c>
      <x:c r="B18" s="21" t="n">
        <x:f>B16+B17</x:f>
        <x:v>308200</x:v>
      </x:c>
    </x:row>
    <x:row r="19">
      <x:c r="A19" t="inlineStr">
        <x:is>
          <x:t xml:space="preserve">stress_uw_noi (before reserves)</x:t>
        </x:is>
      </x:c>
      <x:c r="B19" s="11" t="n">
        <x:f>B15-B18</x:f>
        <x:v>462679.3999999999</x:v>
      </x:c>
    </x:row>
    <x:row r="20">
      <x:c r="A20" t="inlineStr">
        <x:is>
          <x:t xml:space="preserve">Stress replacement reserves (unchanged)</x:t>
        </x:is>
      </x:c>
      <x:c r="B20" s="21" t="n">
        <x:f>ReservesPerUnit*UnitCount</x:f>
        <x:v>10800</x:v>
      </x:c>
    </x:row>
    <x:row r="21">
      <x:c r="A21" t="inlineStr">
        <x:is>
          <x:t xml:space="preserve">Stress NCF</x:t>
        </x:is>
      </x:c>
      <x:c r="B21" s="21" t="n">
        <x:f>B19-B20</x:f>
        <x:v>451879.3999999999</x:v>
      </x:c>
    </x:row>
    <x:row r="23">
      <x:c r="A23" t="inlineStr">
        <x:is>
          <x:t xml:space="preserve">Stress sizing rate (+100 bps)</x:t>
        </x:is>
      </x:c>
      <x:c r="B23" s="9" t="n">
        <x:f>SizingRate+0.01</x:f>
        <x:v>0.0725</x:v>
      </x:c>
    </x:row>
    <x:row r="24">
      <x:c r="A24" t="inlineStr">
        <x:is>
          <x:t xml:space="preserve">Stress monthly rate</x:t>
        </x:is>
      </x:c>
      <x:c r="B24" s="22" t="n">
        <x:f>B23/12</x:f>
        <x:v>0.0060416666666666665</x:v>
      </x:c>
    </x:row>
    <x:row r="25">
      <x:c r="A25" t="inlineStr">
        <x:is>
          <x:t xml:space="preserve">Stress ADC (sizing)</x:t>
        </x:is>
      </x:c>
      <x:c r="B25" s="22" t="n">
        <x:f>(B24/(1-(1+B24)^-(AmortYears*12)))*12</x:f>
        <x:v>0.08186115360674281</x:v>
      </x:c>
    </x:row>
    <x:row r="27">
      <x:c r="A27" t="inlineStr">
        <x:is>
          <x:t xml:space="preserve">Stress value (Stress NOI / Cap; cap unchanged)</x:t>
        </x:is>
      </x:c>
      <x:c r="B27" s="21" t="n">
        <x:f>B19/CapRate</x:f>
        <x:v>8046598.260869564</x:v>
      </x:c>
    </x:row>
    <x:row r="28">
      <x:c r="A28" t="inlineStr">
        <x:is>
          <x:t xml:space="preserve">Stress LTV limit</x:t>
        </x:is>
      </x:c>
      <x:c r="B28" s="21" t="n">
        <x:f>LTV_Max*B27</x:f>
        <x:v>5230288.869565217</x:v>
      </x:c>
    </x:row>
    <x:row r="29">
      <x:c r="A29" t="inlineStr">
        <x:is>
          <x:t xml:space="preserve">Stress DSCR limit (Stress NCF / DSCR_Min / Stress ADC)</x:t>
        </x:is>
      </x:c>
      <x:c r="B29" s="21" t="n">
        <x:f>B21/DSCR_Min/B25</x:f>
        <x:v>4416056.99495326</x:v>
      </x:c>
    </x:row>
    <x:row r="30">
      <x:c r="A30" t="inlineStr">
        <x:is>
          <x:t xml:space="preserve">Stress DY limit (Stress NCF / DY_Min)</x:t>
        </x:is>
      </x:c>
      <x:c r="B30" s="21" t="n">
        <x:f>B21/DY_Min</x:f>
        <x:v>5316228.235294116</x:v>
      </x:c>
    </x:row>
    <x:row r="31">
      <x:c r="A31" t="inlineStr">
        <x:is>
          <x:t xml:space="preserve">stress_maximum_loan</x:t>
        </x:is>
      </x:c>
      <x:c r="B31" s="11" t="n">
        <x:f>MIN(B28:B30)</x:f>
        <x:v>4416056.99495326</x:v>
      </x:c>
    </x:row>
    <x:row r="32">
      <x:c r="A32" t="inlineStr">
        <x:is>
          <x:t xml:space="preserve">Stress binding</x:t>
        </x:is>
      </x:c>
      <x:c r="B32" t="str">
        <x:f>IF(B31=B28,"LTV",IF(B31=B29,"DSCR","Debt yield"))</x:f>
        <x:v>DSCR</x:v>
      </x:c>
    </x:row>
    <x:row r="35">
      <x:c r="A35" s="7" t="inlineStr">
        <x:is>
          <x:t xml:space="preserve">Cap rate +50 bps (base income, unchanged sizing)</x:t>
        </x:is>
      </x:c>
    </x:row>
    <x:row r="36">
      <x:c r="A36" t="inlineStr">
        <x:is>
          <x:t xml:space="preserve">Cap rate +50 bps</x:t>
        </x:is>
      </x:c>
      <x:c r="B36" s="9" t="n">
        <x:f>CapRate+0.005</x:f>
        <x:v>0.0625</x:v>
      </x:c>
    </x:row>
    <x:row r="37">
      <x:c r="A37" t="inlineStr">
        <x:is>
          <x:t xml:space="preserve">Alt value</x:t>
        </x:is>
      </x:c>
      <x:c r="B37" s="21" t="n">
        <x:f>UW_NOI_BR/B36</x:f>
        <x:v>8052032</x:v>
      </x:c>
    </x:row>
    <x:row r="38">
      <x:c r="A38" t="inlineStr">
        <x:is>
          <x:t xml:space="preserve">Alt LTV limit</x:t>
        </x:is>
      </x:c>
      <x:c r="B38" s="21" t="n">
        <x:f>LTV_Max*B37</x:f>
        <x:v>5233820.8</x:v>
      </x:c>
    </x:row>
    <x:row r="39">
      <x:c r="A39" t="inlineStr">
        <x:is>
          <x:t xml:space="preserve">DSCR limit (unchanged rates/NCF)</x:t>
        </x:is>
      </x:c>
      <x:c r="B39" s="21" t="n">
        <x:f>UW_NCF/DSCR_Min/ADC_Sizing</x:f>
        <x:v>5332014.975478664</x:v>
      </x:c>
    </x:row>
    <x:row r="40">
      <x:c r="A40" t="inlineStr">
        <x:is>
          <x:t xml:space="preserve">DY limit (unchanged NCF)</x:t>
        </x:is>
      </x:c>
      <x:c r="B40" s="21" t="n">
        <x:f>UW_NCF/DY_Min</x:f>
        <x:v>5793552.94117647</x:v>
      </x:c>
    </x:row>
    <x:row r="41">
      <x:c r="A41" t="inlineStr">
        <x:is>
          <x:t xml:space="preserve">Alt max loan</x:t>
        </x:is>
      </x:c>
      <x:c r="B41" s="11" t="n">
        <x:f>MIN(B38:B40)</x:f>
        <x:v>5233820.8</x:v>
      </x:c>
    </x:row>
    <x:row r="42">
      <x:c r="A42" t="inlineStr">
        <x:is>
          <x:t xml:space="preserve">Alt binding</x:t>
        </x:is>
      </x:c>
      <x:c r="B42" t="str">
        <x:f>IF(B41=B38,"LTV",IF(B41=B39,"DSCR","Debt yield"))</x:f>
        <x:v>LTV</x:v>
      </x:c>
    </x:row>
  </x:sheetData>
  <x:mergeCells>
    <x:mergeCell ref="A35:C35"/>
    <x:mergeCell ref="A4:C4"/>
    <x:mergeCell ref="A14:C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26" customWidth="1"/>
    <x:col min="3" max="3" width="14" customWidth="1"/>
    <x:col min="4" max="4" width="80" customWidth="1"/>
  </x:cols>
  <x:sheetData>
    <x:row r="1">
      <x:c r="A1" s="1" t="inlineStr">
        <x:is>
          <x:t xml:space="preserve">Reported Analysis Fields</x:t>
        </x:is>
      </x:c>
    </x:row>
    <x:row r="3">
      <x:c r="A3" s="7" t="inlineStr">
        <x:is>
          <x:t xml:space="preserve">Field ID</x:t>
        </x:is>
      </x:c>
      <x:c r="B3" s="7" t="inlineStr">
        <x:is>
          <x:t xml:space="preserve">Value / Formula</x:t>
        </x:is>
      </x:c>
      <x:c r="C3" s="7" t="inlineStr">
        <x:is>
          <x:t xml:space="preserve">Format</x:t>
        </x:is>
      </x:c>
      <x:c r="D3" s="7" t="inlineStr">
        <x:is>
          <x:t xml:space="preserve">Source / Basis</x:t>
        </x:is>
      </x:c>
    </x:row>
    <x:row r="4">
      <x:c r="A4" s="25" t="inlineStr">
        <x:is>
          <x:t xml:space="preserve">space_count</x:t>
        </x:is>
      </x:c>
      <x:c r="B4" s="18" t="n">
        <x:f>Rent_Roll!B43</x:f>
        <x:v>36</x:v>
      </x:c>
      <x:c r="C4" t="inlineStr">
        <x:is>
          <x:t xml:space="preserve">#,##0</x:t>
        </x:is>
      </x:c>
      <x:c r="D4" s="2" t="inlineStr">
        <x:is>
          <x:t xml:space="preserve">Rent-Roll.xlsx units 101-136</x:t>
        </x:is>
      </x:c>
    </x:row>
    <x:row r="5">
      <x:c r="A5" s="25" t="inlineStr">
        <x:is>
          <x:t xml:space="preserve">occupied_count</x:t>
        </x:is>
      </x:c>
      <x:c r="B5" s="18" t="n">
        <x:f>Rent_Roll!B44</x:f>
        <x:v>33</x:v>
      </x:c>
      <x:c r="C5" t="inlineStr">
        <x:is>
          <x:t xml:space="preserve">#,##0</x:t>
        </x:is>
      </x:c>
      <x:c r="D5" s="2" t="inlineStr">
        <x:is>
          <x:t xml:space="preserve">COUNTIF status Occupied</x:t>
        </x:is>
      </x:c>
    </x:row>
    <x:row r="6">
      <x:c r="A6" s="25" t="inlineStr">
        <x:is>
          <x:t xml:space="preserve">total_area_sf</x:t>
        </x:is>
      </x:c>
      <x:c r="B6" s="18" t="n">
        <x:f>Rent_Roll!B45</x:f>
        <x:v>31800</x:v>
      </x:c>
      <x:c r="C6" t="inlineStr">
        <x:is>
          <x:t xml:space="preserve">#,##0</x:t>
        </x:is>
      </x:c>
      <x:c r="D6" s="2" t="inlineStr">
        <x:is>
          <x:t xml:space="preserve">SUM(area)</x:t>
        </x:is>
      </x:c>
    </x:row>
    <x:row r="7">
      <x:c r="A7" s="25" t="inlineStr">
        <x:is>
          <x:t xml:space="preserve">occupied_area_sf</x:t>
        </x:is>
      </x:c>
      <x:c r="B7" s="18" t="n">
        <x:f>Rent_Roll!B46</x:f>
        <x:v>28950</x:v>
      </x:c>
      <x:c r="C7" t="inlineStr">
        <x:is>
          <x:t xml:space="preserve">#,##0</x:t>
        </x:is>
      </x:c>
      <x:c r="D7" s="2" t="inlineStr">
        <x:is>
          <x:t xml:space="preserve">SUMIF occupied</x:t>
        </x:is>
      </x:c>
    </x:row>
    <x:row r="8">
      <x:c r="A8" s="25" t="inlineStr">
        <x:is>
          <x:t xml:space="preserve">occupancy_count_pct</x:t>
        </x:is>
      </x:c>
      <x:c r="B8" s="26" t="n">
        <x:f>Rent_Roll!B47*100</x:f>
        <x:v>91.66666666666666</x:v>
      </x:c>
      <x:c r="C8" t="inlineStr">
        <x:is>
          <x:t xml:space="preserve">0.0000</x:t>
        </x:is>
      </x:c>
      <x:c r="D8" s="2" t="e">
        <x:f> occupied_count / space_count x 100</x:f>
        <x:v>#NAME?</x:v>
      </x:c>
    </x:row>
    <x:row r="9">
      <x:c r="A9" s="25" t="inlineStr">
        <x:is>
          <x:t xml:space="preserve">occupancy_area_pct</x:t>
        </x:is>
      </x:c>
      <x:c r="B9" s="26" t="n">
        <x:f>Rent_Roll!B48*100</x:f>
        <x:v>91.0377358490566</x:v>
      </x:c>
      <x:c r="C9" t="inlineStr">
        <x:is>
          <x:t xml:space="preserve">0.0000</x:t>
        </x:is>
      </x:c>
      <x:c r="D9" s="2" t="e">
        <x:f> occupied_area_sf / total_area_sf x 100</x:f>
        <x:v>#NAME?</x:v>
      </x:c>
    </x:row>
    <x:row r="10">
      <x:c r="A10" s="25" t="inlineStr">
        <x:is>
          <x:t xml:space="preserve">rent_roll_monthly_base</x:t>
        </x:is>
      </x:c>
      <x:c r="B10" s="11" t="n">
        <x:f>Rent_Roll!B49</x:f>
        <x:v>62275</x:v>
      </x:c>
      <x:c r="C10" t="inlineStr">
        <x:is>
          <x:t xml:space="preserve">"$"#,##0.00;[Red]("$"#,##0.00)</x:t>
        </x:is>
      </x:c>
      <x:c r="D10" s="2" t="inlineStr">
        <x:is>
          <x:t xml:space="preserve">SUM rent roll monthly base (occupied only)</x:t>
        </x:is>
      </x:c>
    </x:row>
    <x:row r="11">
      <x:c r="A11" s="25" t="inlineStr">
        <x:is>
          <x:t xml:space="preserve">effective_monthly_base</x:t>
        </x:is>
      </x:c>
      <x:c r="B11" s="11" t="n">
        <x:f>Rent_Roll!B51</x:f>
        <x:v>62275</x:v>
      </x:c>
      <x:c r="C11" t="inlineStr">
        <x:is>
          <x:t xml:space="preserve">"$"#,##0.00;[Red]("$"#,##0.00)</x:t>
        </x:is>
      </x:c>
      <x:c r="D11" s="2" t="inlineStr">
        <x:is>
          <x:t xml:space="preserve">Lease-101 rent $1,675 matches rent roll; no amendments</x:t>
        </x:is>
      </x:c>
    </x:row>
    <x:row r="12">
      <x:c r="A12" s="25" t="inlineStr">
        <x:is>
          <x:t xml:space="preserve">t12_egi</x:t>
        </x:is>
      </x:c>
      <x:c r="B12" s="11" t="n">
        <x:f>T12_Historical!N22</x:f>
        <x:v>821100</x:v>
      </x:c>
      <x:c r="C12" t="inlineStr">
        <x:is>
          <x:t xml:space="preserve">"$"#,##0.00;[Red]("$"#,##0.00)</x:t>
        </x:is>
      </x:c>
      <x:c r="D12" s="2" t="inlineStr">
        <x:is>
          <x:t xml:space="preserve">Sum revenue lines</x:t>
        </x:is>
      </x:c>
    </x:row>
    <x:row r="13">
      <x:c r="A13" s="25" t="inlineStr">
        <x:is>
          <x:t xml:space="preserve">t12_operating_expenses</x:t>
        </x:is>
      </x:c>
      <x:c r="B13" s="11" t="n">
        <x:f>T12_Historical!N23</x:f>
        <x:v>307800</x:v>
      </x:c>
      <x:c r="C13" t="inlineStr">
        <x:is>
          <x:t xml:space="preserve">"$"#,##0.00;[Red]("$"#,##0.00)</x:t>
        </x:is>
      </x:c>
      <x:c r="D13" s="2" t="inlineStr">
        <x:is>
          <x:t xml:space="preserve">Sum OpEx (excl. reserves/capex/debt/depr.)</x:t>
        </x:is>
      </x:c>
    </x:row>
    <x:row r="14">
      <x:c r="A14" s="25" t="inlineStr">
        <x:is>
          <x:t xml:space="preserve">t12_noi_before_reserves</x:t>
        </x:is>
      </x:c>
      <x:c r="B14" s="11" t="n">
        <x:f>T12_Historical!N24</x:f>
        <x:v>513300</x:v>
      </x:c>
      <x:c r="C14" t="inlineStr">
        <x:is>
          <x:t xml:space="preserve">"$"#,##0.00;[Red]("$"#,##0.00)</x:t>
        </x:is>
      </x:c>
      <x:c r="D14" s="2" t="inlineStr">
        <x:is>
          <x:t xml:space="preserve">EGI - OpEx</x:t>
        </x:is>
      </x:c>
    </x:row>
    <x:row r="15">
      <x:c r="A15" s="25" t="inlineStr">
        <x:is>
          <x:t xml:space="preserve">t12_reserves</x:t>
        </x:is>
      </x:c>
      <x:c r="B15" s="11" t="n">
        <x:f>T12_Historical!N25</x:f>
        <x:v>10800</x:v>
      </x:c>
      <x:c r="C15" t="inlineStr">
        <x:is>
          <x:t xml:space="preserve">"$"#,##0.00;[Red]("$"#,##0.00)</x:t>
        </x:is>
      </x:c>
      <x:c r="D15" s="2" t="inlineStr">
        <x:is>
          <x:t xml:space="preserve">T12 reserves line</x:t>
        </x:is>
      </x:c>
    </x:row>
    <x:row r="16">
      <x:c r="A16" s="25" t="inlineStr">
        <x:is>
          <x:t xml:space="preserve">t12_ncf</x:t>
        </x:is>
      </x:c>
      <x:c r="B16" s="11" t="n">
        <x:f>T12_Historical!N26</x:f>
        <x:v>502500</x:v>
      </x:c>
      <x:c r="C16" t="inlineStr">
        <x:is>
          <x:t xml:space="preserve">"$"#,##0.00;[Red]("$"#,##0.00)</x:t>
        </x:is>
      </x:c>
      <x:c r="D16" s="2" t="inlineStr">
        <x:is>
          <x:t xml:space="preserve">NOI - reserves</x:t>
        </x:is>
      </x:c>
    </x:row>
    <x:row r="17">
      <x:c r="A17" s="25" t="inlineStr">
        <x:is>
          <x:t xml:space="preserve">uw_egi</x:t>
        </x:is>
      </x:c>
      <x:c r="B17" s="11" t="n">
        <x:f>Underwriting!B8</x:f>
        <x:v>811452</x:v>
      </x:c>
      <x:c r="C17" t="inlineStr">
        <x:is>
          <x:t xml:space="preserve">"$"#,##0.00;[Red]("$"#,##0.00)</x:t>
        </x:is>
      </x:c>
      <x:c r="D17" s="2" t="inlineStr">
        <x:is>
          <x:t xml:space="preserve">GPR - loss + other</x:t>
        </x:is>
      </x:c>
    </x:row>
    <x:row r="18">
      <x:c r="A18" s="25" t="inlineStr">
        <x:is>
          <x:t xml:space="preserve">uw_management_fee</x:t>
        </x:is>
      </x:c>
      <x:c r="B18" s="11" t="n">
        <x:f>Underwriting!B17</x:f>
        <x:v>30000</x:v>
      </x:c>
      <x:c r="C18" t="inlineStr">
        <x:is>
          <x:t xml:space="preserve">"$"#,##0.00;[Red]("$"#,##0.00)</x:t>
        </x:is>
      </x:c>
      <x:c r="D18" s="2" t="inlineStr">
        <x:is>
          <x:t xml:space="preserve">MAX(T12 $30k, 3% x UW EGI)</x:t>
        </x:is>
      </x:c>
    </x:row>
    <x:row r="19">
      <x:c r="A19" s="25" t="inlineStr">
        <x:is>
          <x:t xml:space="preserve">uw_operating_expenses</x:t>
        </x:is>
      </x:c>
      <x:c r="B19" s="11" t="n">
        <x:f>Underwriting!B19</x:f>
        <x:v>308200</x:v>
      </x:c>
      <x:c r="C19" t="inlineStr">
        <x:is>
          <x:t xml:space="preserve">"$"#,##0.00;[Red]("$"#,##0.00)</x:t>
        </x:is>
      </x:c>
      <x:c r="D19" s="2" t="inlineStr">
        <x:is>
          <x:t xml:space="preserve">Sum of OpEx incl. lender mgmt</x:t>
        </x:is>
      </x:c>
    </x:row>
    <x:row r="20">
      <x:c r="A20" s="25" t="inlineStr">
        <x:is>
          <x:t xml:space="preserve">uw_noi_before_reserves</x:t>
        </x:is>
      </x:c>
      <x:c r="B20" s="11" t="n">
        <x:f>Underwriting!B22</x:f>
        <x:v>503252</x:v>
      </x:c>
      <x:c r="C20" t="inlineStr">
        <x:is>
          <x:t xml:space="preserve">"$"#,##0.00;[Red]("$"#,##0.00)</x:t>
        </x:is>
      </x:c>
      <x:c r="D20" s="2" t="inlineStr">
        <x:is>
          <x:t xml:space="preserve">UW EGI - UW OpEx</x:t>
        </x:is>
      </x:c>
    </x:row>
    <x:row r="21">
      <x:c r="A21" s="25" t="inlineStr">
        <x:is>
          <x:t xml:space="preserve">uw_reserves</x:t>
        </x:is>
      </x:c>
      <x:c r="B21" s="11" t="n">
        <x:f>Underwriting!B23</x:f>
        <x:v>10800</x:v>
      </x:c>
      <x:c r="C21" t="inlineStr">
        <x:is>
          <x:t xml:space="preserve">"$"#,##0.00;[Red]("$"#,##0.00)</x:t>
        </x:is>
      </x:c>
      <x:c r="D21" s="2" t="inlineStr">
        <x:is>
          <x:t xml:space="preserve">$300/unit x 36 units</x:t>
        </x:is>
      </x:c>
    </x:row>
    <x:row r="22">
      <x:c r="A22" s="25" t="inlineStr">
        <x:is>
          <x:t xml:space="preserve">uw_ncf</x:t>
        </x:is>
      </x:c>
      <x:c r="B22" s="11" t="n">
        <x:f>Underwriting!B24</x:f>
        <x:v>492452</x:v>
      </x:c>
      <x:c r="C22" t="inlineStr">
        <x:is>
          <x:t xml:space="preserve">"$"#,##0.00;[Red]("$"#,##0.00)</x:t>
        </x:is>
      </x:c>
      <x:c r="D22" s="2" t="inlineStr">
        <x:is>
          <x:t xml:space="preserve">UW NOI - reserves</x:t>
        </x:is>
      </x:c>
    </x:row>
    <x:row r="23">
      <x:c r="A23" s="25" t="inlineStr">
        <x:is>
          <x:t xml:space="preserve">capitalization_value</x:t>
        </x:is>
      </x:c>
      <x:c r="B23" s="11" t="n">
        <x:f>Loan_Sizing!B7</x:f>
        <x:v>8752208.695652174</x:v>
      </x:c>
      <x:c r="C23" t="inlineStr">
        <x:is>
          <x:t xml:space="preserve">"$"#,##0.00;[Red]("$"#,##0.00)</x:t>
        </x:is>
      </x:c>
      <x:c r="D23" s="2" t="inlineStr">
        <x:is>
          <x:t xml:space="preserve">UW NOI / 5.75%</x:t>
        </x:is>
      </x:c>
    </x:row>
    <x:row r="24">
      <x:c r="A24" s="25" t="inlineStr">
        <x:is>
          <x:t xml:space="preserve">contract_rate</x:t>
        </x:is>
      </x:c>
      <x:c r="B24" s="19" t="n">
        <x:f>ContractRate</x:f>
        <x:v>0.059</x:v>
      </x:c>
      <x:c r="C24" t="inlineStr">
        <x:is>
          <x:t xml:space="preserve">0.00%</x:t>
        </x:is>
      </x:c>
      <x:c r="D24" s="2" t="inlineStr">
        <x:is>
          <x:t xml:space="preserve">5.90% (Lender-Terms)</x:t>
        </x:is>
      </x:c>
    </x:row>
    <x:row r="25">
      <x:c r="A25" s="25" t="inlineStr">
        <x:is>
          <x:t xml:space="preserve">sizing_rate</x:t>
        </x:is>
      </x:c>
      <x:c r="B25" s="19" t="n">
        <x:f>SizingRate</x:f>
        <x:v>0.0625</x:v>
      </x:c>
      <x:c r="C25" t="inlineStr">
        <x:is>
          <x:t xml:space="preserve">0.00%</x:t>
        </x:is>
      </x:c>
      <x:c r="D25" s="2" t="inlineStr">
        <x:is>
          <x:t xml:space="preserve">Greater of contract &amp; 6.25%</x:t>
        </x:is>
      </x:c>
    </x:row>
    <x:row r="26">
      <x:c r="A26" s="25" t="inlineStr">
        <x:is>
          <x:t xml:space="preserve">annual_debt_constant</x:t>
        </x:is>
      </x:c>
      <x:c r="B26" s="23" t="n">
        <x:f>Loan_Sizing!B15</x:f>
        <x:v>0.07388606405116734</x:v>
      </x:c>
      <x:c r="C26" t="inlineStr">
        <x:is>
          <x:t xml:space="preserve">0.00000000</x:t>
        </x:is>
      </x:c>
      <x:c r="D26" s="2" t="inlineStr">
        <x:is>
          <x:t xml:space="preserve">30-yr, monthly amort at sizing rate</x:t>
        </x:is>
      </x:c>
    </x:row>
    <x:row r="27">
      <x:c r="A27" s="25" t="inlineStr">
        <x:is>
          <x:t xml:space="preserve">ltv_limit</x:t>
        </x:is>
      </x:c>
      <x:c r="B27" s="11" t="n">
        <x:f>Loan_Sizing!B18</x:f>
        <x:v>5688935.652173913</x:v>
      </x:c>
      <x:c r="C27" t="inlineStr">
        <x:is>
          <x:t xml:space="preserve">"$"#,##0.00;[Red]("$"#,##0.00)</x:t>
        </x:is>
      </x:c>
      <x:c r="D27" s="2" t="inlineStr">
        <x:is>
          <x:t xml:space="preserve">65% x value</x:t>
        </x:is>
      </x:c>
    </x:row>
    <x:row r="28">
      <x:c r="A28" s="25" t="inlineStr">
        <x:is>
          <x:t xml:space="preserve">dscr_limit</x:t>
        </x:is>
      </x:c>
      <x:c r="B28" s="11" t="n">
        <x:f>Loan_Sizing!B19</x:f>
        <x:v>5332014.975478664</x:v>
      </x:c>
      <x:c r="C28" t="inlineStr">
        <x:is>
          <x:t xml:space="preserve">"$"#,##0.00;[Red]("$"#,##0.00)</x:t>
        </x:is>
      </x:c>
      <x:c r="D28" s="2" t="inlineStr">
        <x:is>
          <x:t xml:space="preserve">NCF / 1.25 / ADC</x:t>
        </x:is>
      </x:c>
    </x:row>
    <x:row r="29">
      <x:c r="A29" s="25" t="inlineStr">
        <x:is>
          <x:t xml:space="preserve">debt_yield_limit</x:t>
        </x:is>
      </x:c>
      <x:c r="B29" s="11" t="n">
        <x:f>Loan_Sizing!B20</x:f>
        <x:v>5793552.94117647</x:v>
      </x:c>
      <x:c r="C29" t="inlineStr">
        <x:is>
          <x:t xml:space="preserve">"$"#,##0.00;[Red]("$"#,##0.00)</x:t>
        </x:is>
      </x:c>
      <x:c r="D29" s="2" t="inlineStr">
        <x:is>
          <x:t xml:space="preserve">NCF / 8.50%</x:t>
        </x:is>
      </x:c>
    </x:row>
    <x:row r="30">
      <x:c r="A30" s="25" t="inlineStr">
        <x:is>
          <x:t xml:space="preserve">maximum_loan</x:t>
        </x:is>
      </x:c>
      <x:c r="B30" s="11" t="n">
        <x:f>Loan_Sizing!B22</x:f>
        <x:v>5332014.975478664</x:v>
      </x:c>
      <x:c r="C30" t="inlineStr">
        <x:is>
          <x:t xml:space="preserve">"$"#,##0.00;[Red]("$"#,##0.00)</x:t>
        </x:is>
      </x:c>
      <x:c r="D30" s="2" t="inlineStr">
        <x:is>
          <x:t xml:space="preserve">MIN of three constraints</x:t>
        </x:is>
      </x:c>
    </x:row>
    <x:row r="31">
      <x:c r="A31" s="25" t="inlineStr">
        <x:is>
          <x:t xml:space="preserve">binding_constraint</x:t>
        </x:is>
      </x:c>
      <x:c r="B31" s="12" t="str">
        <x:f>Loan_Sizing!B23</x:f>
        <x:v>DSCR</x:v>
      </x:c>
      <x:c r="C31" t="inlineStr">
        <x:is>
          <x:t xml:space="preserve">General</x:t>
        </x:is>
      </x:c>
      <x:c r="D31" s="2" t="inlineStr">
        <x:is>
          <x:t xml:space="preserve">LTV/DSCR/Debt yield</x:t>
        </x:is>
      </x:c>
    </x:row>
    <x:row r="32">
      <x:c r="A32" s="25" t="inlineStr">
        <x:is>
          <x:t xml:space="preserve">sizing_annual_debt_service</x:t>
        </x:is>
      </x:c>
      <x:c r="B32" s="11" t="n">
        <x:f>Loan_Sizing!B25</x:f>
        <x:v>393961.6</x:v>
      </x:c>
      <x:c r="C32" t="inlineStr">
        <x:is>
          <x:t xml:space="preserve">"$"#,##0.00;[Red]("$"#,##0.00)</x:t>
        </x:is>
      </x:c>
      <x:c r="D32" s="2" t="inlineStr">
        <x:is>
          <x:t xml:space="preserve">Max loan x ADC</x:t>
        </x:is>
      </x:c>
    </x:row>
    <x:row r="33">
      <x:c r="A33" s="25" t="inlineStr">
        <x:is>
          <x:t xml:space="preserve">sizing_dscr</x:t>
        </x:is>
      </x:c>
      <x:c r="B33" s="27" t="n">
        <x:f>Loan_Sizing!B26</x:f>
        <x:v>1.25</x:v>
      </x:c>
      <x:c r="C33" t="inlineStr">
        <x:is>
          <x:t xml:space="preserve">0.0000"x"</x:t>
        </x:is>
      </x:c>
      <x:c r="D33" s="2" t="inlineStr">
        <x:is>
          <x:t xml:space="preserve">NCF / Sizing ADS</x:t>
        </x:is>
      </x:c>
    </x:row>
    <x:row r="34">
      <x:c r="A34" s="25" t="inlineStr">
        <x:is>
          <x:t xml:space="preserve">sizing_debt_yield</x:t>
        </x:is>
      </x:c>
      <x:c r="B34" s="19" t="n">
        <x:f>Loan_Sizing!B27</x:f>
        <x:v>0.09235758006395917</x:v>
      </x:c>
      <x:c r="C34" t="inlineStr">
        <x:is>
          <x:t xml:space="preserve">0.00%</x:t>
        </x:is>
      </x:c>
      <x:c r="D34" s="2" t="inlineStr">
        <x:is>
          <x:t xml:space="preserve">NCF / Max loan</x:t>
        </x:is>
      </x:c>
    </x:row>
    <x:row r="35">
      <x:c r="A35" s="25" t="inlineStr">
        <x:is>
          <x:t xml:space="preserve">first_year_debt_service</x:t>
        </x:is>
      </x:c>
      <x:c r="B35" s="11" t="n">
        <x:f>Loan_Sizing!B29</x:f>
        <x:v>314588.88355324115</x:v>
      </x:c>
      <x:c r="C35" t="inlineStr">
        <x:is>
          <x:t xml:space="preserve">"$"#,##0.00;[Red]("$"#,##0.00)</x:t>
        </x:is>
      </x:c>
      <x:c r="D35" s="2" t="inlineStr">
        <x:is>
          <x:t xml:space="preserve">IO year — Loan x contract rate</x:t>
        </x:is>
      </x:c>
    </x:row>
    <x:row r="36">
      <x:c r="A36" s="25" t="inlineStr">
        <x:is>
          <x:t xml:space="preserve">cash_to_borrower</x:t>
        </x:is>
      </x:c>
      <x:c r="B36" s="11" t="n">
        <x:f>Loan_Sizing!B36</x:f>
        <x:v>1947024.8631625741</x:v>
      </x:c>
      <x:c r="C36" t="inlineStr">
        <x:is>
          <x:t xml:space="preserve">"$"#,##0.00;[Red]("$"#,##0.00)</x:t>
        </x:is>
      </x:c>
      <x:c r="D36" s="2" t="inlineStr">
        <x:is>
          <x:t xml:space="preserve">Loan - payoff - orig fee - closing</x:t>
        </x:is>
      </x:c>
    </x:row>
    <x:row r="37">
      <x:c r="A37" s="25" t="inlineStr">
        <x:is>
          <x:t xml:space="preserve">stress_uw_noi</x:t>
        </x:is>
      </x:c>
      <x:c r="B37" s="11" t="n">
        <x:f>Sensitivity!B19</x:f>
        <x:v>462679.3999999999</x:v>
      </x:c>
      <x:c r="C37" t="inlineStr">
        <x:is>
          <x:t xml:space="preserve">"$"#,##0.00;[Red]("$"#,##0.00)</x:t>
        </x:is>
      </x:c>
      <x:c r="D37" s="2" t="inlineStr">
        <x:is>
          <x:t xml:space="preserve">EGI -5%, mgmt recalc, other OpEx unchanged</x:t>
        </x:is>
      </x:c>
    </x:row>
    <x:row r="38">
      <x:c r="A38" s="25" t="inlineStr">
        <x:is>
          <x:t xml:space="preserve">stress_maximum_loan</x:t>
        </x:is>
      </x:c>
      <x:c r="B38" s="11" t="n">
        <x:f>Sensitivity!B31</x:f>
        <x:v>4416056.99495326</x:v>
      </x:c>
      <x:c r="C38" t="inlineStr">
        <x:is>
          <x:t xml:space="preserve">"$"#,##0.00;[Red]("$"#,##0.00)</x:t>
        </x:is>
      </x:c>
      <x:c r="D38" s="2" t="inlineStr">
        <x:is>
          <x:t xml:space="preserve">EGI -5% AND sizing +100 bps; cap unchanged</x:t>
        </x:is>
      </x:c>
    </x:row>
    <x:row r="39">
      <x:c r="A39" s="25" t="inlineStr">
        <x:is>
          <x:t xml:space="preserve">subject_lease_monthly_rent</x:t>
        </x:is>
      </x:c>
      <x:c r="B39" s="11" t="n">
        <x:v>1675</x:v>
      </x:c>
      <x:c r="C39" t="inlineStr">
        <x:is>
          <x:t xml:space="preserve">"$"#,##0.00;[Red]("$"#,##0.00)</x:t>
        </x:is>
      </x:c>
      <x:c r="D39" s="2" t="inlineStr">
        <x:is>
          <x:t xml:space="preserve">Lease-File §3 (unit 101)</x:t>
        </x:is>
      </x:c>
    </x:row>
    <x:row r="40">
      <x:c r="A40" s="25" t="inlineStr">
        <x:is>
          <x:t xml:space="preserve">subject_lease_expiry</x:t>
        </x:is>
      </x:c>
      <x:c r="B40" s="12" t="inlineStr">
        <x:is>
          <x:t xml:space="preserve">2027-07-31</x:t>
        </x:is>
      </x:c>
      <x:c r="C40" t="inlineStr">
        <x:is>
          <x:t xml:space="preserve">@</x:t>
        </x:is>
      </x:c>
      <x:c r="D40" s="2" t="inlineStr">
        <x:is>
          <x:t xml:space="preserve">Lease-File §2 (unit 101)</x:t>
        </x:is>
      </x:c>
    </x:row>
    <x:row r="41">
      <x:c r="A41" s="25" t="inlineStr">
        <x:is>
          <x:t xml:space="preserve">subject_lease_deposit</x:t>
        </x:is>
      </x:c>
      <x:c r="B41" s="11" t="n">
        <x:v>1675</x:v>
      </x:c>
      <x:c r="C41" t="inlineStr">
        <x:is>
          <x:t xml:space="preserve">"$"#,##0.00;[Red]("$"#,##0.00)</x:t>
        </x:is>
      </x:c>
      <x:c r="D41" s="2" t="inlineStr">
        <x:is>
          <x:t xml:space="preserve">Lease-File §4 (unit 101)</x:t>
        </x:is>
      </x:c>
    </x:row>
    <x:row r="42">
      <x:c r="A42" s="25" t="inlineStr">
        <x:is>
          <x:t xml:space="preserve">verified_renewal_insurance</x:t>
        </x:is>
      </x:c>
      <x:c r="B42" s="11" t="n">
        <x:v>33600</x:v>
      </x:c>
      <x:c r="C42" t="inlineStr">
        <x:is>
          <x:t xml:space="preserve">"$"#,##0.00;[Red]("$"#,##0.00)</x:t>
        </x:is>
      </x:c>
      <x:c r="D42" s="2" t="inlineStr">
        <x:is>
          <x:t xml:space="preserve">Property-and-Plan p.2 renewal quote</x:t>
        </x:is>
      </x:c>
    </x:row>
    <x:row r="43">
      <x:c r="A43" s="25" t="inlineStr">
        <x:is>
          <x:t xml:space="preserve">renewal_option_exercised</x:t>
        </x:is>
      </x:c>
      <x:c r="B43" s="12" t="inlineStr">
        <x:is>
          <x:t xml:space="preserve">No — option exists per §5 but no signed exercise notice in packet</x:t>
        </x:is>
      </x:c>
      <x:c r="C43" t="inlineStr">
        <x:is>
          <x:t xml:space="preserve">@</x:t>
        </x:is>
      </x:c>
      <x:c r="D43" s="2" t="inlineStr">
        <x:is>
          <x:t xml:space="preserve">Lease-File §5; Rent-Roll note</x:t>
        </x:is>
      </x:c>
    </x:row>
    <x:row r="44">
      <x:c r="A44" s="25" t="inlineStr">
        <x:is>
          <x:t xml:space="preserve">prepayment_friction</x:t>
        </x:is>
      </x:c>
      <x:c r="B44" s="12" t="inlineStr">
        <x:is>
          <x:t xml:space="preserve">1% of outstanding principal in years 1-2; none thereafter; no swap assumed</x:t>
        </x:is>
      </x:c>
      <x:c r="C44" t="inlineStr">
        <x:is>
          <x:t xml:space="preserve">@</x:t>
        </x:is>
      </x:c>
      <x:c r="D44" s="2" t="inlineStr">
        <x:is>
          <x:t xml:space="preserve">Lender-Terms</x:t>
        </x:is>
      </x:c>
    </x:row>
  </x:sheetData>
  <x:pageMargins left="0.7" right="0.7" top="0.75" bottom="0.75" header="0.3" footer="0.3"/>
</x:worksheet>
</file>