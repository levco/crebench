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_Roll" sheetId="3" state="visible" r:id="rId3"/>
    <sheet xmlns:r="http://schemas.openxmlformats.org/officeDocument/2006/relationships" name="T12_Historical" sheetId="4" state="visible" r:id="rId4"/>
    <sheet xmlns:r="http://schemas.openxmlformats.org/officeDocument/2006/relationships" name="Underwriting" sheetId="5" state="visible" r:id="rId5"/>
    <sheet xmlns:r="http://schemas.openxmlformats.org/officeDocument/2006/relationships" name="Loan_Sizing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Reported_Fields" sheetId="8" state="visible" r:id="rId8"/>
  </sheets>
  <definedNames>
    <definedName name="UW_GPR">Inputs!$B$10</definedName>
    <definedName name="UW_RevLoss">Inputs!$B$11</definedName>
    <definedName name="UW_OtherInc">Inputs!$B$12</definedName>
    <definedName name="MgmtFloor">Inputs!$B$14</definedName>
    <definedName name="MgmtPct">Inputs!$B$15</definedName>
    <definedName name="LTV_Max">Inputs!$B$19</definedName>
    <definedName name="DSCR_Min">Inputs!$B$20</definedName>
    <definedName name="CapRate">Inputs!$B$21</definedName>
    <definedName name="SizingRate">Inputs!$B$22</definedName>
    <definedName name="ContractRate">Inputs!$B$23</definedName>
    <definedName name="DY_Min">Inputs!$B$24</definedName>
    <definedName name="AmortYears">Inputs!$B$25</definedName>
    <definedName name="IOMonths">Inputs!$B$26</definedName>
    <definedName name="MaturityMo">Inputs!$B$27</definedName>
    <definedName name="OrigFeePct">Inputs!$B$28</definedName>
    <definedName name="Payoff">Inputs!$B$29</definedName>
    <definedName name="ClosingCosts">Inputs!$B$30</definedName>
    <definedName name="ReservesPerUnit">Inputs!$B$31</definedName>
    <definedName name="UnitCount">Inputs!$B$5</definedName>
    <definedName name="UW_EGI">Underwriting!$B$8</definedName>
    <definedName name="UW_NOI_BR">Underwriting!$B$22</definedName>
    <definedName name="UW_NCF">Underwriting!$B$24</definedName>
    <definedName name="MaxLoan">Loan_Sizing!$B$22</definedName>
    <definedName name="ADC_Sizing">Loan_Sizing!$B$15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;[Red](&quot;$&quot;#,##0)"/>
    <numFmt numFmtId="165" formatCode="&quot;$&quot;#,##0.00;[Red](&quot;$&quot;#,##0.00)"/>
    <numFmt numFmtId="166" formatCode="0.0000&quot;x&quot;"/>
    <numFmt numFmtId="167" formatCode="0.00000000"/>
    <numFmt numFmtId="168" formatCode="0.0000"/>
  </numFmts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9"/>
    </font>
    <font>
      <b val="1"/>
      <color rgb="001F4E78"/>
    </font>
    <font>
      <b val="1"/>
    </font>
    <font>
      <b val="1"/>
      <color rgb="001F5E1F"/>
    </font>
    <font>
      <b val="1"/>
      <color rgb="009C5700"/>
    </font>
    <font>
      <name val="Consolas"/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5" fillId="3" borderId="0" pivotButton="0" quotePrefix="0" xfId="0"/>
    <xf numFmtId="0" fontId="5" fillId="3" borderId="0" pivotButton="0" quotePrefix="0" xfId="0"/>
    <xf numFmtId="0" fontId="6" fillId="2" borderId="0" pivotButton="0" quotePrefix="0" xfId="0"/>
    <xf numFmtId="164" fontId="6" fillId="2" borderId="0" pivotButton="0" quotePrefix="0" xfId="0"/>
    <xf numFmtId="10" fontId="6" fillId="2" borderId="0" pivotButton="0" quotePrefix="0" xfId="0"/>
    <xf numFmtId="166" fontId="6" fillId="2" borderId="0" pivotButton="0" quotePrefix="0" xfId="0"/>
    <xf numFmtId="1" fontId="6" fillId="2" borderId="0" pivotButton="0" quotePrefix="0" xfId="0"/>
    <xf numFmtId="3" fontId="5" fillId="3" borderId="0" pivotButton="0" quotePrefix="0" xfId="0"/>
    <xf numFmtId="10" fontId="5" fillId="3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7" fontId="5" fillId="3" borderId="0" pivotButton="0" quotePrefix="0" xfId="0"/>
    <xf numFmtId="166" fontId="0" fillId="0" borderId="0" pivotButton="0" quotePrefix="0" xfId="0"/>
    <xf numFmtId="0" fontId="7" fillId="0" borderId="0" pivotButton="0" quotePrefix="0" xfId="0"/>
    <xf numFmtId="168" fontId="5" fillId="3" borderId="0" pivotButton="0" quotePrefix="0" xfId="0"/>
    <xf numFmtId="166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8"/>
  <sheetViews>
    <sheetView workbookViewId="0">
      <selection activeCell="A1" sqref="A1"/>
    </sheetView>
  </sheetViews>
  <sheetFormatPr baseColWidth="8" defaultRowHeight="15"/>
  <cols>
    <col width="28" customWidth="1" min="2" max="2"/>
    <col width="90" customWidth="1" min="3" max="3"/>
  </cols>
  <sheetData>
    <row r="2">
      <c r="B2" s="1" t="inlineStr">
        <is>
          <t>Juniper Flats — Underwriting Workbook</t>
        </is>
      </c>
    </row>
    <row r="3">
      <c r="B3" s="2" t="inlineStr">
        <is>
          <t>Fictional refinance scenario | As of 2026-08-31 | USD | Prepared 2026-09-06</t>
        </is>
      </c>
    </row>
    <row r="5">
      <c r="B5" s="3" t="inlineStr">
        <is>
          <t>Cell Color Legend</t>
        </is>
      </c>
    </row>
    <row r="6">
      <c r="B6" t="inlineStr">
        <is>
          <t>Yellow = Editable Input</t>
        </is>
      </c>
      <c r="C6" s="4" t="n"/>
    </row>
    <row r="7">
      <c r="B7" t="inlineStr">
        <is>
          <t>Green = Key Output</t>
        </is>
      </c>
      <c r="C7" s="5" t="n"/>
    </row>
    <row r="8">
      <c r="B8" t="inlineStr">
        <is>
          <t>White = Formula / calculated</t>
        </is>
      </c>
      <c r="C8" s="6" t="n"/>
    </row>
    <row r="10">
      <c r="B10" s="3" t="inlineStr">
        <is>
          <t>Sheet Map</t>
        </is>
      </c>
    </row>
    <row r="11">
      <c r="B11" s="7" t="inlineStr">
        <is>
          <t>Sheet</t>
        </is>
      </c>
      <c r="C11" s="7" t="inlineStr">
        <is>
          <t>Purpose</t>
        </is>
      </c>
    </row>
    <row r="12">
      <c r="B12" s="8" t="inlineStr">
        <is>
          <t>Inputs</t>
        </is>
      </c>
      <c r="C12" t="inlineStr">
        <is>
          <t>Central editable assumptions — Cap Rate (B21), Sizing Rate (B22), UW EGI drivers (B10:B12), Op-Ex line items, loan terms</t>
        </is>
      </c>
    </row>
    <row r="13">
      <c r="B13" s="8" t="inlineStr">
        <is>
          <t>Rent_Roll</t>
        </is>
      </c>
      <c r="C13" t="inlineStr">
        <is>
          <t>Unit-level rent roll and derived occupancy / contractual rent</t>
        </is>
      </c>
    </row>
    <row r="14">
      <c r="B14" s="8" t="inlineStr">
        <is>
          <t>T12_Historical</t>
        </is>
      </c>
      <c r="C14" t="inlineStr">
        <is>
          <t>T12 monthly income statement and annual totals; NOI before reserves; NCF</t>
        </is>
      </c>
    </row>
    <row r="15">
      <c r="B15" s="8" t="inlineStr">
        <is>
          <t>Underwriting</t>
        </is>
      </c>
      <c r="C15" t="inlineStr">
        <is>
          <t>Underwritten EGI, OpEx (incl. lender mgmt normalization), NOI, NCF — linked to Inputs</t>
        </is>
      </c>
    </row>
    <row r="16">
      <c r="B16" s="8" t="inlineStr">
        <is>
          <t>Loan_Sizing</t>
        </is>
      </c>
      <c r="C16" t="inlineStr">
        <is>
          <t>LTV, DSCR and Debt-Yield constraints; binding maximum; first-year DS; sources &amp; uses; cash to borrower</t>
        </is>
      </c>
    </row>
    <row r="17">
      <c r="B17" s="8" t="inlineStr">
        <is>
          <t>Sensitivity</t>
        </is>
      </c>
      <c r="C17" t="inlineStr">
        <is>
          <t>Combined downside (EGI -5%, sizing rate +100 bps) and cap-rate +50 bps sensitivity</t>
        </is>
      </c>
    </row>
    <row r="18">
      <c r="B18" s="8" t="inlineStr">
        <is>
          <t>Reported_Fields</t>
        </is>
      </c>
      <c r="C18" t="inlineStr">
        <is>
          <t>All requested field IDs with values, formulas and source citations</t>
        </is>
      </c>
    </row>
    <row r="21">
      <c r="B21" s="3" t="inlineStr">
        <is>
          <t>Key Editable Inputs (jump to Inputs sheet)</t>
        </is>
      </c>
    </row>
    <row r="22">
      <c r="B22" t="inlineStr">
        <is>
          <t>Cap Rate</t>
        </is>
      </c>
      <c r="C22" s="9">
        <f>Inputs!B21</f>
        <v/>
      </c>
    </row>
    <row r="23">
      <c r="B23" t="inlineStr">
        <is>
          <t>Sizing Rate (floor)</t>
        </is>
      </c>
      <c r="C23" s="9">
        <f>Inputs!B22</f>
        <v/>
      </c>
    </row>
    <row r="24">
      <c r="B24" t="inlineStr">
        <is>
          <t>Contract Rate</t>
        </is>
      </c>
      <c r="C24" s="9">
        <f>Inputs!B23</f>
        <v/>
      </c>
    </row>
    <row r="25">
      <c r="B25" t="inlineStr">
        <is>
          <t>UW GPR (annual)</t>
        </is>
      </c>
      <c r="C25" s="10">
        <f>Inputs!B10</f>
        <v/>
      </c>
    </row>
    <row r="26">
      <c r="B26" t="inlineStr">
        <is>
          <t>UW Revenue Loss %</t>
        </is>
      </c>
      <c r="C26" s="9">
        <f>Inputs!B11</f>
        <v/>
      </c>
    </row>
    <row r="27">
      <c r="B27" t="inlineStr">
        <is>
          <t>UW Other Income</t>
        </is>
      </c>
      <c r="C27" s="10">
        <f>Inputs!B12</f>
        <v/>
      </c>
    </row>
    <row r="32">
      <c r="B32" s="3" t="inlineStr">
        <is>
          <t>Key Outputs (live)</t>
        </is>
      </c>
    </row>
    <row r="33">
      <c r="B33" t="inlineStr">
        <is>
          <t>UW NOI (before reserves)</t>
        </is>
      </c>
      <c r="C33" s="11">
        <f>Underwriting!B22</f>
        <v/>
      </c>
    </row>
    <row r="34">
      <c r="B34" t="inlineStr">
        <is>
          <t>UW NCF (after reserves)</t>
        </is>
      </c>
      <c r="C34" s="11">
        <f>Underwriting!B24</f>
        <v/>
      </c>
    </row>
    <row r="35">
      <c r="B35" t="inlineStr">
        <is>
          <t>Capitalized Value</t>
        </is>
      </c>
      <c r="C35" s="11">
        <f>Loan_Sizing!B7</f>
        <v/>
      </c>
    </row>
    <row r="36">
      <c r="B36" t="inlineStr">
        <is>
          <t>Maximum Loan</t>
        </is>
      </c>
      <c r="C36" s="11">
        <f>Loan_Sizing!B22</f>
        <v/>
      </c>
    </row>
    <row r="37">
      <c r="B37" t="inlineStr">
        <is>
          <t>Binding Constraint</t>
        </is>
      </c>
      <c r="C37" s="12">
        <f>Loan_Sizing!B23</f>
        <v/>
      </c>
    </row>
    <row r="38">
      <c r="B38" t="inlineStr">
        <is>
          <t>Cash to Borrower</t>
        </is>
      </c>
      <c r="C38" s="11">
        <f>Loan_Sizing!B36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68" customWidth="1" min="3" max="3"/>
  </cols>
  <sheetData>
    <row r="1">
      <c r="A1" s="1" t="inlineStr">
        <is>
          <t>Inputs — Editable Assumptions</t>
        </is>
      </c>
    </row>
    <row r="3">
      <c r="A3" s="7" t="inlineStr">
        <is>
          <t>Underwriting Revenue</t>
        </is>
      </c>
    </row>
    <row r="4">
      <c r="A4" s="7" t="inlineStr">
        <is>
          <t>Field</t>
        </is>
      </c>
      <c r="B4" s="7" t="inlineStr">
        <is>
          <t>Value</t>
        </is>
      </c>
      <c r="C4" s="7" t="inlineStr">
        <is>
          <t>Note</t>
        </is>
      </c>
    </row>
    <row r="5">
      <c r="A5" t="inlineStr">
        <is>
          <t>Unit count (space_count)</t>
        </is>
      </c>
      <c r="B5" s="13" t="n">
        <v>36</v>
      </c>
      <c r="C5" s="2" t="inlineStr">
        <is>
          <t>Rent roll count</t>
        </is>
      </c>
    </row>
    <row r="6">
      <c r="A6" t="inlineStr">
        <is>
          <t>Occupied count</t>
        </is>
      </c>
      <c r="B6" s="13" t="n">
        <v>33</v>
      </c>
      <c r="C6" s="2" t="inlineStr">
        <is>
          <t>Rent roll status</t>
        </is>
      </c>
    </row>
    <row r="7">
      <c r="A7" t="inlineStr">
        <is>
          <t>Total rentable SF</t>
        </is>
      </c>
      <c r="B7" s="13" t="n">
        <v>31800</v>
      </c>
      <c r="C7" s="2" t="inlineStr">
        <is>
          <t>20 x 750 + 16 x 1050</t>
        </is>
      </c>
    </row>
    <row r="8">
      <c r="A8" t="inlineStr">
        <is>
          <t>Occupied SF</t>
        </is>
      </c>
      <c r="B8" s="13" t="n">
        <v>28950</v>
      </c>
      <c r="C8" s="2" t="inlineStr">
        <is>
          <t>Rent roll</t>
        </is>
      </c>
    </row>
    <row r="9">
      <c r="A9" t="inlineStr"/>
      <c r="C9" s="2" t="inlineStr"/>
    </row>
    <row r="10">
      <c r="A10" t="inlineStr">
        <is>
          <t>UW Gross Potential Base Rent (annual)</t>
        </is>
      </c>
      <c r="B10" s="14" t="n">
        <v>864000</v>
      </c>
      <c r="C10" s="2" t="inlineStr">
        <is>
          <t>Property-and-Plan p.2 (supplied scenario)</t>
        </is>
      </c>
    </row>
    <row r="11">
      <c r="A11" t="inlineStr">
        <is>
          <t>UW Combined Revenue Loss %</t>
        </is>
      </c>
      <c r="B11" s="15" t="n">
        <v>0.06</v>
      </c>
      <c r="C11" s="2" t="inlineStr">
        <is>
          <t>6.00% of UW GPR — vacancy/concessions/bad debt</t>
        </is>
      </c>
    </row>
    <row r="12">
      <c r="A12" t="inlineStr">
        <is>
          <t>UW Other Income / Recoveries (annual)</t>
        </is>
      </c>
      <c r="B12" s="14" t="n">
        <v>42000</v>
      </c>
      <c r="C12" s="2" t="inlineStr">
        <is>
          <t>Property-and-Plan p.2 (added AFTER revenue loss)</t>
        </is>
      </c>
    </row>
    <row r="13">
      <c r="A13" t="inlineStr"/>
      <c r="C13" s="2" t="inlineStr"/>
    </row>
    <row r="14">
      <c r="A14" t="inlineStr">
        <is>
          <t>Management Fee — T12 actual (floor)</t>
        </is>
      </c>
      <c r="B14" s="14" t="n">
        <v>30000</v>
      </c>
      <c r="C14" s="2" t="inlineStr">
        <is>
          <t>T12-Statement annual col</t>
        </is>
      </c>
    </row>
    <row r="15">
      <c r="A15" t="inlineStr">
        <is>
          <t>Management Fee — % of UW EGI (rate)</t>
        </is>
      </c>
      <c r="B15" s="15" t="n">
        <v>0.03</v>
      </c>
      <c r="C15" s="2" t="inlineStr">
        <is>
          <t>3.00% per lender convention</t>
        </is>
      </c>
    </row>
    <row r="16">
      <c r="A16" t="inlineStr"/>
      <c r="C16" s="2" t="inlineStr"/>
    </row>
    <row r="17">
      <c r="A17" s="7" t="inlineStr">
        <is>
          <t>Loan Assumptions</t>
        </is>
      </c>
    </row>
    <row r="18">
      <c r="A18" s="7" t="inlineStr">
        <is>
          <t>Field</t>
        </is>
      </c>
      <c r="B18" s="7" t="inlineStr">
        <is>
          <t>Value</t>
        </is>
      </c>
      <c r="C18" s="7" t="inlineStr">
        <is>
          <t>Note</t>
        </is>
      </c>
    </row>
    <row r="19">
      <c r="A19" t="inlineStr">
        <is>
          <t>LTV maximum</t>
        </is>
      </c>
      <c r="B19" s="15" t="n">
        <v>0.65</v>
      </c>
      <c r="C19" s="2" t="inlineStr">
        <is>
          <t>Lender-Terms</t>
        </is>
      </c>
    </row>
    <row r="20">
      <c r="A20" t="inlineStr">
        <is>
          <t>Loan-sizing DSCR minimum</t>
        </is>
      </c>
      <c r="B20" s="16" t="n">
        <v>1.25</v>
      </c>
      <c r="C20" s="2" t="inlineStr">
        <is>
          <t>Lender-Terms</t>
        </is>
      </c>
    </row>
    <row r="21">
      <c r="A21" t="inlineStr">
        <is>
          <t>Cap Rate (valuation)</t>
        </is>
      </c>
      <c r="B21" s="15" t="n">
        <v>0.0575</v>
      </c>
      <c r="C21" s="2" t="inlineStr">
        <is>
          <t>Lender-Terms — applied to UW NOI BEFORE reserves</t>
        </is>
      </c>
    </row>
    <row r="22">
      <c r="A22" t="inlineStr">
        <is>
          <t>Sizing Rate (floor)</t>
        </is>
      </c>
      <c r="B22" s="15" t="n">
        <v>0.0625</v>
      </c>
      <c r="C22" s="2" t="inlineStr">
        <is>
          <t>Lender-Terms — greater of contract rate and 6.25%</t>
        </is>
      </c>
    </row>
    <row r="23">
      <c r="A23" t="inlineStr">
        <is>
          <t>Contract Rate (annual, fixed)</t>
        </is>
      </c>
      <c r="B23" s="15" t="n">
        <v>0.059</v>
      </c>
      <c r="C23" s="2" t="inlineStr">
        <is>
          <t>Lender-Terms</t>
        </is>
      </c>
    </row>
    <row r="24">
      <c r="A24" t="inlineStr">
        <is>
          <t>Debt-Yield minimum (on NCF)</t>
        </is>
      </c>
      <c r="B24" s="15" t="n">
        <v>0.08500000000000001</v>
      </c>
      <c r="C24" s="2" t="inlineStr">
        <is>
          <t>Lender-Terms</t>
        </is>
      </c>
    </row>
    <row r="25">
      <c r="A25" t="inlineStr">
        <is>
          <t>Amortization (years)</t>
        </is>
      </c>
      <c r="B25" s="17" t="n">
        <v>30</v>
      </c>
      <c r="C25" s="2" t="inlineStr">
        <is>
          <t>Lender-Terms</t>
        </is>
      </c>
    </row>
    <row r="26">
      <c r="A26" t="inlineStr">
        <is>
          <t>Interest-Only period (months)</t>
        </is>
      </c>
      <c r="B26" s="17" t="n">
        <v>24</v>
      </c>
      <c r="C26" s="2" t="inlineStr">
        <is>
          <t>Lender-Terms</t>
        </is>
      </c>
    </row>
    <row r="27">
      <c r="A27" t="inlineStr">
        <is>
          <t>Maturity (months)</t>
        </is>
      </c>
      <c r="B27" s="17" t="n">
        <v>84</v>
      </c>
      <c r="C27" s="2" t="inlineStr">
        <is>
          <t>Lender-Terms</t>
        </is>
      </c>
    </row>
    <row r="28">
      <c r="A28" t="inlineStr">
        <is>
          <t>Origination fee (% of initial principal)</t>
        </is>
      </c>
      <c r="B28" s="15" t="n">
        <v>0.0075</v>
      </c>
      <c r="C28" s="2" t="inlineStr">
        <is>
          <t>Lender-Terms</t>
        </is>
      </c>
    </row>
    <row r="29">
      <c r="A29" t="inlineStr">
        <is>
          <t>Existing debt payoff</t>
        </is>
      </c>
      <c r="B29" s="14" t="n">
        <v>3300000</v>
      </c>
      <c r="C29" s="2" t="inlineStr">
        <is>
          <t>Property-and-Plan</t>
        </is>
      </c>
    </row>
    <row r="30">
      <c r="A30" t="inlineStr">
        <is>
          <t>Fixed closing costs</t>
        </is>
      </c>
      <c r="B30" s="14" t="n">
        <v>45000</v>
      </c>
      <c r="C30" s="2" t="inlineStr">
        <is>
          <t>Property-and-Plan</t>
        </is>
      </c>
    </row>
    <row r="31">
      <c r="A31" t="inlineStr">
        <is>
          <t>Replacement Reserves ($/unit/yr)</t>
        </is>
      </c>
      <c r="B31" s="14" t="n">
        <v>300</v>
      </c>
      <c r="C31" s="2" t="inlineStr">
        <is>
          <t>Property-and-Plan</t>
        </is>
      </c>
    </row>
    <row r="34">
      <c r="A34" s="7" t="inlineStr">
        <is>
          <t>UW Operating Expenses (per Property-and-Plan)</t>
        </is>
      </c>
    </row>
    <row r="35">
      <c r="A35" s="7" t="inlineStr">
        <is>
          <t>Line item</t>
        </is>
      </c>
      <c r="B35" s="7" t="inlineStr">
        <is>
          <t>UW annual $</t>
        </is>
      </c>
      <c r="C35" s="7" t="inlineStr">
        <is>
          <t>Basis</t>
        </is>
      </c>
    </row>
    <row r="36">
      <c r="A36" t="inlineStr">
        <is>
          <t>Real estate taxes</t>
        </is>
      </c>
      <c r="B36" s="14" t="n">
        <v>112000</v>
      </c>
      <c r="C36" s="2" t="inlineStr">
        <is>
          <t>Property-and-Plan table</t>
        </is>
      </c>
    </row>
    <row r="37">
      <c r="A37" t="inlineStr">
        <is>
          <t>Property insurance</t>
        </is>
      </c>
      <c r="B37" s="14" t="n">
        <v>33600</v>
      </c>
      <c r="C37" s="2" t="inlineStr">
        <is>
          <t>Renewal quote in packet ($33,600)</t>
        </is>
      </c>
    </row>
    <row r="38">
      <c r="A38" t="inlineStr">
        <is>
          <t>Utilities</t>
        </is>
      </c>
      <c r="B38" s="14" t="n">
        <v>28800</v>
      </c>
      <c r="C38" s="2" t="inlineStr">
        <is>
          <t>T12 actual</t>
        </is>
      </c>
    </row>
    <row r="39">
      <c r="A39" t="inlineStr">
        <is>
          <t>Repairs &amp; maintenance</t>
        </is>
      </c>
      <c r="B39" s="14" t="n">
        <v>40200</v>
      </c>
      <c r="C39" s="2" t="inlineStr">
        <is>
          <t>T12 46,200 less 6,000 one-time casualty</t>
        </is>
      </c>
    </row>
    <row r="40">
      <c r="A40" t="inlineStr">
        <is>
          <t>Payroll / contract labor</t>
        </is>
      </c>
      <c r="B40" s="14" t="n">
        <v>42000</v>
      </c>
      <c r="C40" s="2" t="inlineStr">
        <is>
          <t>T12 actual</t>
        </is>
      </c>
    </row>
    <row r="41">
      <c r="A41" t="inlineStr">
        <is>
          <t>Administrative / legal</t>
        </is>
      </c>
      <c r="B41" s="14" t="n">
        <v>21600</v>
      </c>
      <c r="C41" s="2" t="inlineStr">
        <is>
          <t>T12 actual</t>
        </is>
      </c>
    </row>
  </sheetData>
  <mergeCells count="4">
    <mergeCell ref="A1:C1"/>
    <mergeCell ref="A3:C3"/>
    <mergeCell ref="A17:C17"/>
    <mergeCell ref="A34:C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Rent Roll — as of 2026-08-31</t>
        </is>
      </c>
    </row>
    <row r="2">
      <c r="A2" s="2" t="inlineStr">
        <is>
          <t>Source: Rent-Roll.xlsx</t>
        </is>
      </c>
    </row>
    <row r="4">
      <c r="A4" s="7" t="inlineStr">
        <is>
          <t>Unit</t>
        </is>
      </c>
      <c r="B4" s="7" t="inlineStr">
        <is>
          <t>Tenant</t>
        </is>
      </c>
      <c r="C4" s="7" t="inlineStr">
        <is>
          <t>Area SF</t>
        </is>
      </c>
      <c r="D4" s="7" t="inlineStr">
        <is>
          <t>Status</t>
        </is>
      </c>
      <c r="E4" s="7" t="inlineStr">
        <is>
          <t>Monthly Base Rent</t>
        </is>
      </c>
      <c r="F4" s="7" t="inlineStr">
        <is>
          <t>Market Monthly Rent</t>
        </is>
      </c>
      <c r="G4" s="7" t="inlineStr">
        <is>
          <t>Lease Expiry</t>
        </is>
      </c>
    </row>
    <row r="5">
      <c r="A5" t="inlineStr">
        <is>
          <t>101</t>
        </is>
      </c>
      <c r="B5" t="inlineStr">
        <is>
          <t>Household 101</t>
        </is>
      </c>
      <c r="C5" t="n">
        <v>750</v>
      </c>
      <c r="D5" t="inlineStr">
        <is>
          <t>Occupied</t>
        </is>
      </c>
      <c r="E5" s="10" t="n">
        <v>1675</v>
      </c>
      <c r="F5" s="10" t="n">
        <v>1675</v>
      </c>
      <c r="G5" t="inlineStr">
        <is>
          <t>2027-07-31</t>
        </is>
      </c>
    </row>
    <row r="6">
      <c r="A6" t="inlineStr">
        <is>
          <t>102</t>
        </is>
      </c>
      <c r="B6" t="inlineStr">
        <is>
          <t>Household 102</t>
        </is>
      </c>
      <c r="C6" t="n">
        <v>750</v>
      </c>
      <c r="D6" t="inlineStr">
        <is>
          <t>Occupied</t>
        </is>
      </c>
      <c r="E6" s="10" t="n">
        <v>1675</v>
      </c>
      <c r="F6" s="10" t="n">
        <v>1675</v>
      </c>
      <c r="G6" t="inlineStr">
        <is>
          <t>2026-10-31</t>
        </is>
      </c>
    </row>
    <row r="7">
      <c r="A7" t="inlineStr">
        <is>
          <t>103</t>
        </is>
      </c>
      <c r="B7" t="inlineStr">
        <is>
          <t>Household 103</t>
        </is>
      </c>
      <c r="C7" t="n">
        <v>750</v>
      </c>
      <c r="D7" t="inlineStr">
        <is>
          <t>Occupied</t>
        </is>
      </c>
      <c r="E7" s="10" t="n">
        <v>1675</v>
      </c>
      <c r="F7" s="10" t="n">
        <v>1675</v>
      </c>
      <c r="G7" t="inlineStr">
        <is>
          <t>2026-11-30</t>
        </is>
      </c>
    </row>
    <row r="8">
      <c r="A8" t="inlineStr">
        <is>
          <t>104</t>
        </is>
      </c>
      <c r="B8" t="inlineStr">
        <is>
          <t>Household 104</t>
        </is>
      </c>
      <c r="C8" t="n">
        <v>750</v>
      </c>
      <c r="D8" t="inlineStr">
        <is>
          <t>Occupied</t>
        </is>
      </c>
      <c r="E8" s="10" t="n">
        <v>1675</v>
      </c>
      <c r="F8" s="10" t="n">
        <v>1675</v>
      </c>
      <c r="G8" t="inlineStr">
        <is>
          <t>2026-12-31</t>
        </is>
      </c>
    </row>
    <row r="9">
      <c r="A9" t="inlineStr">
        <is>
          <t>105</t>
        </is>
      </c>
      <c r="B9" t="inlineStr">
        <is>
          <t>Household 105</t>
        </is>
      </c>
      <c r="C9" t="n">
        <v>750</v>
      </c>
      <c r="D9" t="inlineStr">
        <is>
          <t>Occupied</t>
        </is>
      </c>
      <c r="E9" s="10" t="n">
        <v>1675</v>
      </c>
      <c r="F9" s="10" t="n">
        <v>1675</v>
      </c>
      <c r="G9" t="inlineStr">
        <is>
          <t>2027-01-31</t>
        </is>
      </c>
    </row>
    <row r="10">
      <c r="A10" t="inlineStr">
        <is>
          <t>106</t>
        </is>
      </c>
      <c r="B10" t="inlineStr">
        <is>
          <t>Household 106</t>
        </is>
      </c>
      <c r="C10" t="n">
        <v>750</v>
      </c>
      <c r="D10" t="inlineStr">
        <is>
          <t>Occupied</t>
        </is>
      </c>
      <c r="E10" s="10" t="n">
        <v>1675</v>
      </c>
      <c r="F10" s="10" t="n">
        <v>1675</v>
      </c>
      <c r="G10" t="inlineStr">
        <is>
          <t>2027-02-28</t>
        </is>
      </c>
    </row>
    <row r="11">
      <c r="A11" t="inlineStr">
        <is>
          <t>107</t>
        </is>
      </c>
      <c r="B11" t="inlineStr">
        <is>
          <t>Household 107</t>
        </is>
      </c>
      <c r="C11" t="n">
        <v>750</v>
      </c>
      <c r="D11" t="inlineStr">
        <is>
          <t>Occupied</t>
        </is>
      </c>
      <c r="E11" s="10" t="n">
        <v>1675</v>
      </c>
      <c r="F11" s="10" t="n">
        <v>1675</v>
      </c>
      <c r="G11" t="inlineStr">
        <is>
          <t>2027-03-31</t>
        </is>
      </c>
    </row>
    <row r="12">
      <c r="A12" t="inlineStr">
        <is>
          <t>108</t>
        </is>
      </c>
      <c r="B12" t="inlineStr">
        <is>
          <t>Household 108</t>
        </is>
      </c>
      <c r="C12" t="n">
        <v>750</v>
      </c>
      <c r="D12" t="inlineStr">
        <is>
          <t>Occupied</t>
        </is>
      </c>
      <c r="E12" s="10" t="n">
        <v>1675</v>
      </c>
      <c r="F12" s="10" t="n">
        <v>1675</v>
      </c>
      <c r="G12" t="inlineStr">
        <is>
          <t>2027-04-30</t>
        </is>
      </c>
    </row>
    <row r="13">
      <c r="A13" t="inlineStr">
        <is>
          <t>109</t>
        </is>
      </c>
      <c r="B13" t="inlineStr">
        <is>
          <t>Vacant</t>
        </is>
      </c>
      <c r="C13" t="n">
        <v>750</v>
      </c>
      <c r="D13" t="inlineStr">
        <is>
          <t>Vacant</t>
        </is>
      </c>
      <c r="E13" s="10" t="n"/>
      <c r="F13" s="10" t="n">
        <v>1675</v>
      </c>
    </row>
    <row r="14">
      <c r="A14" t="inlineStr">
        <is>
          <t>110</t>
        </is>
      </c>
      <c r="B14" t="inlineStr">
        <is>
          <t>Household 110</t>
        </is>
      </c>
      <c r="C14" t="n">
        <v>750</v>
      </c>
      <c r="D14" t="inlineStr">
        <is>
          <t>Occupied</t>
        </is>
      </c>
      <c r="E14" s="10" t="n">
        <v>1675</v>
      </c>
      <c r="F14" s="10" t="n">
        <v>1675</v>
      </c>
      <c r="G14" t="inlineStr">
        <is>
          <t>2027-06-30</t>
        </is>
      </c>
    </row>
    <row r="15">
      <c r="A15" t="inlineStr">
        <is>
          <t>111</t>
        </is>
      </c>
      <c r="B15" t="inlineStr">
        <is>
          <t>Household 111</t>
        </is>
      </c>
      <c r="C15" t="n">
        <v>750</v>
      </c>
      <c r="D15" t="inlineStr">
        <is>
          <t>Occupied</t>
        </is>
      </c>
      <c r="E15" s="10" t="n">
        <v>1675</v>
      </c>
      <c r="F15" s="10" t="n">
        <v>1675</v>
      </c>
      <c r="G15" t="inlineStr">
        <is>
          <t>2027-07-31</t>
        </is>
      </c>
    </row>
    <row r="16">
      <c r="A16" t="inlineStr">
        <is>
          <t>112</t>
        </is>
      </c>
      <c r="B16" t="inlineStr">
        <is>
          <t>Household 112</t>
        </is>
      </c>
      <c r="C16" t="n">
        <v>750</v>
      </c>
      <c r="D16" t="inlineStr">
        <is>
          <t>Occupied</t>
        </is>
      </c>
      <c r="E16" s="10" t="n">
        <v>1675</v>
      </c>
      <c r="F16" s="10" t="n">
        <v>1675</v>
      </c>
      <c r="G16" t="inlineStr">
        <is>
          <t>2027-08-31</t>
        </is>
      </c>
    </row>
    <row r="17">
      <c r="A17" t="inlineStr">
        <is>
          <t>113</t>
        </is>
      </c>
      <c r="B17" t="inlineStr">
        <is>
          <t>Household 113</t>
        </is>
      </c>
      <c r="C17" t="n">
        <v>750</v>
      </c>
      <c r="D17" t="inlineStr">
        <is>
          <t>Occupied</t>
        </is>
      </c>
      <c r="E17" s="10" t="n">
        <v>1675</v>
      </c>
      <c r="F17" s="10" t="n">
        <v>1675</v>
      </c>
      <c r="G17" t="inlineStr">
        <is>
          <t>2026-09-30</t>
        </is>
      </c>
    </row>
    <row r="18">
      <c r="A18" t="inlineStr">
        <is>
          <t>114</t>
        </is>
      </c>
      <c r="B18" t="inlineStr">
        <is>
          <t>Household 114</t>
        </is>
      </c>
      <c r="C18" t="n">
        <v>750</v>
      </c>
      <c r="D18" t="inlineStr">
        <is>
          <t>Occupied</t>
        </is>
      </c>
      <c r="E18" s="10" t="n">
        <v>1675</v>
      </c>
      <c r="F18" s="10" t="n">
        <v>1675</v>
      </c>
      <c r="G18" t="inlineStr">
        <is>
          <t>2026-10-31</t>
        </is>
      </c>
    </row>
    <row r="19">
      <c r="A19" t="inlineStr">
        <is>
          <t>115</t>
        </is>
      </c>
      <c r="B19" t="inlineStr">
        <is>
          <t>Household 115</t>
        </is>
      </c>
      <c r="C19" t="n">
        <v>750</v>
      </c>
      <c r="D19" t="inlineStr">
        <is>
          <t>Occupied</t>
        </is>
      </c>
      <c r="E19" s="10" t="n">
        <v>1675</v>
      </c>
      <c r="F19" s="10" t="n">
        <v>1675</v>
      </c>
      <c r="G19" t="inlineStr">
        <is>
          <t>2026-11-30</t>
        </is>
      </c>
    </row>
    <row r="20">
      <c r="A20" t="inlineStr">
        <is>
          <t>116</t>
        </is>
      </c>
      <c r="B20" t="inlineStr">
        <is>
          <t>Household 116</t>
        </is>
      </c>
      <c r="C20" t="n">
        <v>750</v>
      </c>
      <c r="D20" t="inlineStr">
        <is>
          <t>Occupied</t>
        </is>
      </c>
      <c r="E20" s="10" t="n">
        <v>1675</v>
      </c>
      <c r="F20" s="10" t="n">
        <v>1675</v>
      </c>
      <c r="G20" t="inlineStr">
        <is>
          <t>2026-12-31</t>
        </is>
      </c>
    </row>
    <row r="21">
      <c r="A21" t="inlineStr">
        <is>
          <t>117</t>
        </is>
      </c>
      <c r="B21" t="inlineStr">
        <is>
          <t>Household 117</t>
        </is>
      </c>
      <c r="C21" t="n">
        <v>750</v>
      </c>
      <c r="D21" t="inlineStr">
        <is>
          <t>Occupied</t>
        </is>
      </c>
      <c r="E21" s="10" t="n">
        <v>1675</v>
      </c>
      <c r="F21" s="10" t="n">
        <v>1675</v>
      </c>
      <c r="G21" t="inlineStr">
        <is>
          <t>2027-01-31</t>
        </is>
      </c>
    </row>
    <row r="22">
      <c r="A22" t="inlineStr">
        <is>
          <t>118</t>
        </is>
      </c>
      <c r="B22" t="inlineStr">
        <is>
          <t>Household 118</t>
        </is>
      </c>
      <c r="C22" t="n">
        <v>750</v>
      </c>
      <c r="D22" t="inlineStr">
        <is>
          <t>Occupied</t>
        </is>
      </c>
      <c r="E22" s="10" t="n">
        <v>1675</v>
      </c>
      <c r="F22" s="10" t="n">
        <v>1675</v>
      </c>
      <c r="G22" t="inlineStr">
        <is>
          <t>2027-02-28</t>
        </is>
      </c>
    </row>
    <row r="23">
      <c r="A23" t="inlineStr">
        <is>
          <t>119</t>
        </is>
      </c>
      <c r="B23" t="inlineStr">
        <is>
          <t>Household 119</t>
        </is>
      </c>
      <c r="C23" t="n">
        <v>750</v>
      </c>
      <c r="D23" t="inlineStr">
        <is>
          <t>Occupied</t>
        </is>
      </c>
      <c r="E23" s="10" t="n">
        <v>1675</v>
      </c>
      <c r="F23" s="10" t="n">
        <v>1675</v>
      </c>
      <c r="G23" t="inlineStr">
        <is>
          <t>2027-03-31</t>
        </is>
      </c>
    </row>
    <row r="24">
      <c r="A24" t="inlineStr">
        <is>
          <t>120</t>
        </is>
      </c>
      <c r="B24" t="inlineStr">
        <is>
          <t>Household 120</t>
        </is>
      </c>
      <c r="C24" t="n">
        <v>750</v>
      </c>
      <c r="D24" t="inlineStr">
        <is>
          <t>Occupied</t>
        </is>
      </c>
      <c r="E24" s="10" t="n">
        <v>1675</v>
      </c>
      <c r="F24" s="10" t="n">
        <v>1675</v>
      </c>
      <c r="G24" t="inlineStr">
        <is>
          <t>2027-04-30</t>
        </is>
      </c>
    </row>
    <row r="25">
      <c r="A25" t="inlineStr">
        <is>
          <t>121</t>
        </is>
      </c>
      <c r="B25" t="inlineStr">
        <is>
          <t>Household 121</t>
        </is>
      </c>
      <c r="C25" t="n">
        <v>1050</v>
      </c>
      <c r="D25" t="inlineStr">
        <is>
          <t>Occupied</t>
        </is>
      </c>
      <c r="E25" s="10" t="n">
        <v>2175</v>
      </c>
      <c r="F25" s="10" t="n">
        <v>2175</v>
      </c>
      <c r="G25" t="inlineStr">
        <is>
          <t>2027-05-31</t>
        </is>
      </c>
    </row>
    <row r="26">
      <c r="A26" t="inlineStr">
        <is>
          <t>122</t>
        </is>
      </c>
      <c r="B26" t="inlineStr">
        <is>
          <t>Household 122</t>
        </is>
      </c>
      <c r="C26" t="n">
        <v>1050</v>
      </c>
      <c r="D26" t="inlineStr">
        <is>
          <t>Occupied</t>
        </is>
      </c>
      <c r="E26" s="10" t="n">
        <v>2175</v>
      </c>
      <c r="F26" s="10" t="n">
        <v>2175</v>
      </c>
      <c r="G26" t="inlineStr">
        <is>
          <t>2027-06-30</t>
        </is>
      </c>
    </row>
    <row r="27">
      <c r="A27" t="inlineStr">
        <is>
          <t>123</t>
        </is>
      </c>
      <c r="B27" t="inlineStr">
        <is>
          <t>Household 123</t>
        </is>
      </c>
      <c r="C27" t="n">
        <v>1050</v>
      </c>
      <c r="D27" t="inlineStr">
        <is>
          <t>Occupied</t>
        </is>
      </c>
      <c r="E27" s="10" t="n">
        <v>2175</v>
      </c>
      <c r="F27" s="10" t="n">
        <v>2175</v>
      </c>
      <c r="G27" t="inlineStr">
        <is>
          <t>2027-07-31</t>
        </is>
      </c>
    </row>
    <row r="28">
      <c r="A28" t="inlineStr">
        <is>
          <t>124</t>
        </is>
      </c>
      <c r="B28" t="inlineStr">
        <is>
          <t>Household 124</t>
        </is>
      </c>
      <c r="C28" t="n">
        <v>1050</v>
      </c>
      <c r="D28" t="inlineStr">
        <is>
          <t>Occupied</t>
        </is>
      </c>
      <c r="E28" s="10" t="n">
        <v>2175</v>
      </c>
      <c r="F28" s="10" t="n">
        <v>2175</v>
      </c>
      <c r="G28" t="inlineStr">
        <is>
          <t>2027-08-31</t>
        </is>
      </c>
    </row>
    <row r="29">
      <c r="A29" t="inlineStr">
        <is>
          <t>125</t>
        </is>
      </c>
      <c r="B29" t="inlineStr">
        <is>
          <t>Vacant</t>
        </is>
      </c>
      <c r="C29" t="n">
        <v>1050</v>
      </c>
      <c r="D29" t="inlineStr">
        <is>
          <t>Vacant</t>
        </is>
      </c>
      <c r="E29" s="10" t="n"/>
      <c r="F29" s="10" t="n">
        <v>2175</v>
      </c>
    </row>
    <row r="30">
      <c r="A30" t="inlineStr">
        <is>
          <t>126</t>
        </is>
      </c>
      <c r="B30" t="inlineStr">
        <is>
          <t>Household 126</t>
        </is>
      </c>
      <c r="C30" t="n">
        <v>1050</v>
      </c>
      <c r="D30" t="inlineStr">
        <is>
          <t>Occupied</t>
        </is>
      </c>
      <c r="E30" s="10" t="n">
        <v>2175</v>
      </c>
      <c r="F30" s="10" t="n">
        <v>2175</v>
      </c>
      <c r="G30" t="inlineStr">
        <is>
          <t>2026-10-31</t>
        </is>
      </c>
    </row>
    <row r="31">
      <c r="A31" t="inlineStr">
        <is>
          <t>127</t>
        </is>
      </c>
      <c r="B31" t="inlineStr">
        <is>
          <t>Household 127</t>
        </is>
      </c>
      <c r="C31" t="n">
        <v>1050</v>
      </c>
      <c r="D31" t="inlineStr">
        <is>
          <t>Occupied</t>
        </is>
      </c>
      <c r="E31" s="10" t="n">
        <v>2175</v>
      </c>
      <c r="F31" s="10" t="n">
        <v>2175</v>
      </c>
      <c r="G31" t="inlineStr">
        <is>
          <t>2026-11-30</t>
        </is>
      </c>
    </row>
    <row r="32">
      <c r="A32" t="inlineStr">
        <is>
          <t>128</t>
        </is>
      </c>
      <c r="B32" t="inlineStr">
        <is>
          <t>Household 128</t>
        </is>
      </c>
      <c r="C32" t="n">
        <v>1050</v>
      </c>
      <c r="D32" t="inlineStr">
        <is>
          <t>Occupied</t>
        </is>
      </c>
      <c r="E32" s="10" t="n">
        <v>2175</v>
      </c>
      <c r="F32" s="10" t="n">
        <v>2175</v>
      </c>
      <c r="G32" t="inlineStr">
        <is>
          <t>2026-12-31</t>
        </is>
      </c>
    </row>
    <row r="33">
      <c r="A33" t="inlineStr">
        <is>
          <t>129</t>
        </is>
      </c>
      <c r="B33" t="inlineStr">
        <is>
          <t>Household 129</t>
        </is>
      </c>
      <c r="C33" t="n">
        <v>1050</v>
      </c>
      <c r="D33" t="inlineStr">
        <is>
          <t>Occupied</t>
        </is>
      </c>
      <c r="E33" s="10" t="n">
        <v>2175</v>
      </c>
      <c r="F33" s="10" t="n">
        <v>2175</v>
      </c>
      <c r="G33" t="inlineStr">
        <is>
          <t>2027-01-31</t>
        </is>
      </c>
    </row>
    <row r="34">
      <c r="A34" t="inlineStr">
        <is>
          <t>130</t>
        </is>
      </c>
      <c r="B34" t="inlineStr">
        <is>
          <t>Household 130</t>
        </is>
      </c>
      <c r="C34" t="n">
        <v>1050</v>
      </c>
      <c r="D34" t="inlineStr">
        <is>
          <t>Occupied</t>
        </is>
      </c>
      <c r="E34" s="10" t="n">
        <v>2175</v>
      </c>
      <c r="F34" s="10" t="n">
        <v>2175</v>
      </c>
      <c r="G34" t="inlineStr">
        <is>
          <t>2027-02-28</t>
        </is>
      </c>
    </row>
    <row r="35">
      <c r="A35" t="inlineStr">
        <is>
          <t>131</t>
        </is>
      </c>
      <c r="B35" t="inlineStr">
        <is>
          <t>Household 131</t>
        </is>
      </c>
      <c r="C35" t="n">
        <v>1050</v>
      </c>
      <c r="D35" t="inlineStr">
        <is>
          <t>Occupied</t>
        </is>
      </c>
      <c r="E35" s="10" t="n">
        <v>2175</v>
      </c>
      <c r="F35" s="10" t="n">
        <v>2175</v>
      </c>
      <c r="G35" t="inlineStr">
        <is>
          <t>2027-03-31</t>
        </is>
      </c>
    </row>
    <row r="36">
      <c r="A36" t="inlineStr">
        <is>
          <t>132</t>
        </is>
      </c>
      <c r="B36" t="inlineStr">
        <is>
          <t>Household 132</t>
        </is>
      </c>
      <c r="C36" t="n">
        <v>1050</v>
      </c>
      <c r="D36" t="inlineStr">
        <is>
          <t>Occupied</t>
        </is>
      </c>
      <c r="E36" s="10" t="n">
        <v>2175</v>
      </c>
      <c r="F36" s="10" t="n">
        <v>2175</v>
      </c>
      <c r="G36" t="inlineStr">
        <is>
          <t>2027-04-30</t>
        </is>
      </c>
    </row>
    <row r="37">
      <c r="A37" t="inlineStr">
        <is>
          <t>133</t>
        </is>
      </c>
      <c r="B37" t="inlineStr">
        <is>
          <t>Household 133</t>
        </is>
      </c>
      <c r="C37" t="n">
        <v>1050</v>
      </c>
      <c r="D37" t="inlineStr">
        <is>
          <t>Occupied</t>
        </is>
      </c>
      <c r="E37" s="10" t="n">
        <v>2175</v>
      </c>
      <c r="F37" s="10" t="n">
        <v>2175</v>
      </c>
      <c r="G37" t="inlineStr">
        <is>
          <t>2027-05-31</t>
        </is>
      </c>
    </row>
    <row r="38">
      <c r="A38" t="inlineStr">
        <is>
          <t>134</t>
        </is>
      </c>
      <c r="B38" t="inlineStr">
        <is>
          <t>Household 134</t>
        </is>
      </c>
      <c r="C38" t="n">
        <v>1050</v>
      </c>
      <c r="D38" t="inlineStr">
        <is>
          <t>Occupied</t>
        </is>
      </c>
      <c r="E38" s="10" t="n">
        <v>2175</v>
      </c>
      <c r="F38" s="10" t="n">
        <v>2175</v>
      </c>
      <c r="G38" t="inlineStr">
        <is>
          <t>2027-06-30</t>
        </is>
      </c>
    </row>
    <row r="39">
      <c r="A39" t="inlineStr">
        <is>
          <t>135</t>
        </is>
      </c>
      <c r="B39" t="inlineStr">
        <is>
          <t>Household 135</t>
        </is>
      </c>
      <c r="C39" t="n">
        <v>1050</v>
      </c>
      <c r="D39" t="inlineStr">
        <is>
          <t>Occupied</t>
        </is>
      </c>
      <c r="E39" s="10" t="n">
        <v>2175</v>
      </c>
      <c r="F39" s="10" t="n">
        <v>2175</v>
      </c>
      <c r="G39" t="inlineStr">
        <is>
          <t>2027-07-31</t>
        </is>
      </c>
    </row>
    <row r="40">
      <c r="A40" t="inlineStr">
        <is>
          <t>136</t>
        </is>
      </c>
      <c r="B40" t="inlineStr">
        <is>
          <t>Vacant</t>
        </is>
      </c>
      <c r="C40" t="n">
        <v>1050</v>
      </c>
      <c r="D40" t="inlineStr">
        <is>
          <t>Vacant</t>
        </is>
      </c>
      <c r="E40" s="10" t="n"/>
      <c r="F40" s="10" t="n">
        <v>2175</v>
      </c>
    </row>
    <row r="42">
      <c r="A42" s="3" t="inlineStr">
        <is>
          <t>TOTALS / Derived</t>
        </is>
      </c>
    </row>
    <row r="43">
      <c r="A43" s="8" t="inlineStr">
        <is>
          <t>space_count (units)</t>
        </is>
      </c>
      <c r="B43" s="12">
        <f>COUNTA(A5:A40)</f>
        <v/>
      </c>
    </row>
    <row r="44">
      <c r="A44" s="8" t="inlineStr">
        <is>
          <t>occupied_count</t>
        </is>
      </c>
      <c r="B44" s="12">
        <f>COUNTIF(D5:D40,"Occupied")</f>
        <v/>
      </c>
    </row>
    <row r="45">
      <c r="A45" s="8" t="inlineStr">
        <is>
          <t>total_area_sf</t>
        </is>
      </c>
      <c r="B45" s="18">
        <f>SUM(C5:C40)</f>
        <v/>
      </c>
    </row>
    <row r="46">
      <c r="A46" s="8" t="inlineStr">
        <is>
          <t>occupied_area_sf</t>
        </is>
      </c>
      <c r="B46" s="18">
        <f>SUMIF(D5:D40,"Occupied",C5:C40)</f>
        <v/>
      </c>
    </row>
    <row r="47">
      <c r="A47" s="8" t="inlineStr">
        <is>
          <t>occupancy_count_pct</t>
        </is>
      </c>
      <c r="B47" s="19">
        <f>B44/B43</f>
        <v/>
      </c>
    </row>
    <row r="48">
      <c r="A48" s="8" t="inlineStr">
        <is>
          <t>occupancy_area_pct</t>
        </is>
      </c>
      <c r="B48" s="19">
        <f>B46/B45</f>
        <v/>
      </c>
    </row>
    <row r="49">
      <c r="A49" s="8" t="inlineStr">
        <is>
          <t>rent_roll_monthly_base</t>
        </is>
      </c>
      <c r="B49" s="11">
        <f>SUM(E5:E40)</f>
        <v/>
      </c>
    </row>
    <row r="50">
      <c r="A50" s="8" t="inlineStr">
        <is>
          <t>in-place annualized (contractual only)</t>
        </is>
      </c>
      <c r="B50" s="11">
        <f>B49*12</f>
        <v/>
      </c>
    </row>
    <row r="51">
      <c r="A51" s="8" t="inlineStr">
        <is>
          <t>effective_monthly_base (per Lease-File 101 = rent roll; no amendments)</t>
        </is>
      </c>
      <c r="B51" s="11">
        <f>B49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5" customWidth="1" min="14" max="14"/>
    <col width="40" customWidth="1" min="15" max="15"/>
  </cols>
  <sheetData>
    <row r="1">
      <c r="A1" s="1" t="inlineStr">
        <is>
          <t>T12 Historical Income Statement (Sep-2025 through Aug-2026)</t>
        </is>
      </c>
    </row>
    <row r="2">
      <c r="A2" s="2" t="inlineStr">
        <is>
          <t>Source: T12-Statement.pdf p.1-2</t>
        </is>
      </c>
    </row>
    <row r="4">
      <c r="A4" s="7" t="inlineStr">
        <is>
          <t>Account</t>
        </is>
      </c>
      <c r="B4" s="7" t="inlineStr">
        <is>
          <t>Sep-25</t>
        </is>
      </c>
      <c r="C4" s="7" t="inlineStr">
        <is>
          <t>Oct-25</t>
        </is>
      </c>
      <c r="D4" s="7" t="inlineStr">
        <is>
          <t>Nov-25</t>
        </is>
      </c>
      <c r="E4" s="7" t="inlineStr">
        <is>
          <t>Dec-25</t>
        </is>
      </c>
      <c r="F4" s="7" t="inlineStr">
        <is>
          <t>Jan-26</t>
        </is>
      </c>
      <c r="G4" s="7" t="inlineStr">
        <is>
          <t>Feb-26</t>
        </is>
      </c>
      <c r="H4" s="7" t="inlineStr">
        <is>
          <t>Mar-26</t>
        </is>
      </c>
      <c r="I4" s="7" t="inlineStr">
        <is>
          <t>Apr-26</t>
        </is>
      </c>
      <c r="J4" s="7" t="inlineStr">
        <is>
          <t>May-26</t>
        </is>
      </c>
      <c r="K4" s="7" t="inlineStr">
        <is>
          <t>Jun-26</t>
        </is>
      </c>
      <c r="L4" s="7" t="inlineStr">
        <is>
          <t>Jul-26</t>
        </is>
      </c>
      <c r="M4" s="7" t="inlineStr">
        <is>
          <t>Aug-26</t>
        </is>
      </c>
      <c r="N4" s="7" t="inlineStr">
        <is>
          <t>Annual</t>
        </is>
      </c>
      <c r="O4" s="7" t="inlineStr">
        <is>
          <t>Source note</t>
        </is>
      </c>
    </row>
    <row r="5">
      <c r="A5" t="inlineStr">
        <is>
          <t>Gross potential base rent</t>
        </is>
      </c>
      <c r="B5" s="10" t="n">
        <v>65800</v>
      </c>
      <c r="C5" s="10" t="n">
        <v>67200</v>
      </c>
      <c r="D5" s="10" t="n">
        <v>68600</v>
      </c>
      <c r="E5" s="10" t="n">
        <v>69300</v>
      </c>
      <c r="F5" s="10" t="n">
        <v>70700</v>
      </c>
      <c r="G5" s="10" t="n">
        <v>72100</v>
      </c>
      <c r="H5" s="10" t="n">
        <v>72800</v>
      </c>
      <c r="I5" s="10" t="n">
        <v>74200</v>
      </c>
      <c r="J5" s="10" t="n">
        <v>72100</v>
      </c>
      <c r="K5" s="10" t="n">
        <v>70700</v>
      </c>
      <c r="L5" s="10" t="n">
        <v>68600</v>
      </c>
      <c r="M5" s="10" t="n">
        <v>67900</v>
      </c>
      <c r="N5" s="20">
        <f>SUM(B5:M5)</f>
        <v/>
      </c>
      <c r="O5" s="2" t="inlineStr">
        <is>
          <t>T12 p.1-2, Annual col = 840,000</t>
        </is>
      </c>
    </row>
    <row r="6">
      <c r="A6" t="inlineStr">
        <is>
          <t>Vacancy loss</t>
        </is>
      </c>
      <c r="B6" s="10" t="n">
        <v>-3360</v>
      </c>
      <c r="C6" s="10" t="n">
        <v>-3430</v>
      </c>
      <c r="D6" s="10" t="n">
        <v>-3465</v>
      </c>
      <c r="E6" s="10" t="n">
        <v>-3535</v>
      </c>
      <c r="F6" s="10" t="n">
        <v>-3605</v>
      </c>
      <c r="G6" s="10" t="n">
        <v>-3640</v>
      </c>
      <c r="H6" s="10" t="n">
        <v>-3710</v>
      </c>
      <c r="I6" s="10" t="n">
        <v>-3605</v>
      </c>
      <c r="J6" s="10" t="n">
        <v>-3535</v>
      </c>
      <c r="K6" s="10" t="n">
        <v>-3430</v>
      </c>
      <c r="L6" s="10" t="n">
        <v>-3395</v>
      </c>
      <c r="M6" s="10" t="n">
        <v>-3290</v>
      </c>
      <c r="N6" s="20">
        <f>SUM(B6:M6)</f>
        <v/>
      </c>
      <c r="O6" s="2" t="inlineStr">
        <is>
          <t>Negative revenue</t>
        </is>
      </c>
    </row>
    <row r="7">
      <c r="A7" t="inlineStr">
        <is>
          <t>Concessions</t>
        </is>
      </c>
      <c r="B7" s="10" t="n">
        <v>-980</v>
      </c>
      <c r="C7" s="10" t="n">
        <v>-990</v>
      </c>
      <c r="D7" s="10" t="n">
        <v>-1010</v>
      </c>
      <c r="E7" s="10" t="n">
        <v>-1030</v>
      </c>
      <c r="F7" s="10" t="n">
        <v>-1040</v>
      </c>
      <c r="G7" s="10" t="n">
        <v>-1060</v>
      </c>
      <c r="H7" s="10" t="n">
        <v>-1030</v>
      </c>
      <c r="I7" s="10" t="n">
        <v>-1010</v>
      </c>
      <c r="J7" s="10" t="n">
        <v>-980</v>
      </c>
      <c r="K7" s="10" t="n">
        <v>-970</v>
      </c>
      <c r="L7" s="10" t="n">
        <v>-940</v>
      </c>
      <c r="M7" s="10" t="n">
        <v>-960</v>
      </c>
      <c r="N7" s="20">
        <f>SUM(B7:M7)</f>
        <v/>
      </c>
      <c r="O7" s="2" t="inlineStr"/>
    </row>
    <row r="8">
      <c r="A8" t="inlineStr">
        <is>
          <t>Bad debt</t>
        </is>
      </c>
      <c r="B8" s="10" t="n">
        <v>-371</v>
      </c>
      <c r="C8" s="10" t="n">
        <v>-379</v>
      </c>
      <c r="D8" s="10" t="n">
        <v>-386</v>
      </c>
      <c r="E8" s="10" t="n">
        <v>-390</v>
      </c>
      <c r="F8" s="10" t="n">
        <v>-398</v>
      </c>
      <c r="G8" s="10" t="n">
        <v>-386</v>
      </c>
      <c r="H8" s="10" t="n">
        <v>-379</v>
      </c>
      <c r="I8" s="10" t="n">
        <v>-368</v>
      </c>
      <c r="J8" s="10" t="n">
        <v>-364</v>
      </c>
      <c r="K8" s="10" t="n">
        <v>-352</v>
      </c>
      <c r="L8" s="10" t="n">
        <v>-360</v>
      </c>
      <c r="M8" s="10" t="n">
        <v>-367</v>
      </c>
      <c r="N8" s="20">
        <f>SUM(B8:M8)</f>
        <v/>
      </c>
      <c r="O8" s="2" t="inlineStr"/>
    </row>
    <row r="9">
      <c r="A9" t="inlineStr">
        <is>
          <t>Other income / recoveries</t>
        </is>
      </c>
      <c r="B9" s="10" t="n">
        <v>3333</v>
      </c>
      <c r="C9" s="10" t="n">
        <v>3399</v>
      </c>
      <c r="D9" s="10" t="n">
        <v>3432</v>
      </c>
      <c r="E9" s="10" t="n">
        <v>3498</v>
      </c>
      <c r="F9" s="10" t="n">
        <v>3399</v>
      </c>
      <c r="G9" s="10" t="n">
        <v>3333</v>
      </c>
      <c r="H9" s="10" t="n">
        <v>3234</v>
      </c>
      <c r="I9" s="10" t="n">
        <v>3201</v>
      </c>
      <c r="J9" s="10" t="n">
        <v>3102</v>
      </c>
      <c r="K9" s="10" t="n">
        <v>3168</v>
      </c>
      <c r="L9" s="10" t="n">
        <v>3234</v>
      </c>
      <c r="M9" s="10" t="n">
        <v>3267</v>
      </c>
      <c r="N9" s="20">
        <f>SUM(B9:M9)</f>
        <v/>
      </c>
      <c r="O9" s="2" t="inlineStr">
        <is>
          <t>Reimbursements/other</t>
        </is>
      </c>
    </row>
    <row r="10">
      <c r="A10" t="inlineStr">
        <is>
          <t>Real estate taxes</t>
        </is>
      </c>
      <c r="B10" s="10" t="n">
        <v>9270</v>
      </c>
      <c r="C10" s="10" t="n">
        <v>9360</v>
      </c>
      <c r="D10" s="10" t="n">
        <v>9540</v>
      </c>
      <c r="E10" s="10" t="n">
        <v>9270</v>
      </c>
      <c r="F10" s="10" t="n">
        <v>9090</v>
      </c>
      <c r="G10" s="10" t="n">
        <v>8820</v>
      </c>
      <c r="H10" s="10" t="n">
        <v>8730</v>
      </c>
      <c r="I10" s="10" t="n">
        <v>8460</v>
      </c>
      <c r="J10" s="10" t="n">
        <v>8640</v>
      </c>
      <c r="K10" s="10" t="n">
        <v>8820</v>
      </c>
      <c r="L10" s="10" t="n">
        <v>8910</v>
      </c>
      <c r="M10" s="10" t="n">
        <v>9090</v>
      </c>
      <c r="N10" s="20">
        <f>SUM(B10:M10)</f>
        <v/>
      </c>
      <c r="O10" s="2" t="inlineStr"/>
    </row>
    <row r="11">
      <c r="A11" t="inlineStr">
        <is>
          <t>Property insurance</t>
        </is>
      </c>
      <c r="B11" s="10" t="n">
        <v>2704</v>
      </c>
      <c r="C11" s="10" t="n">
        <v>2756</v>
      </c>
      <c r="D11" s="10" t="n">
        <v>2678</v>
      </c>
      <c r="E11" s="10" t="n">
        <v>2626</v>
      </c>
      <c r="F11" s="10" t="n">
        <v>2548</v>
      </c>
      <c r="G11" s="10" t="n">
        <v>2522</v>
      </c>
      <c r="H11" s="10" t="n">
        <v>2444</v>
      </c>
      <c r="I11" s="10" t="n">
        <v>2496</v>
      </c>
      <c r="J11" s="10" t="n">
        <v>2548</v>
      </c>
      <c r="K11" s="10" t="n">
        <v>2574</v>
      </c>
      <c r="L11" s="10" t="n">
        <v>2626</v>
      </c>
      <c r="M11" s="10" t="n">
        <v>2678</v>
      </c>
      <c r="N11" s="20">
        <f>SUM(B11:M11)</f>
        <v/>
      </c>
      <c r="O11" s="2" t="inlineStr"/>
    </row>
    <row r="12">
      <c r="A12" t="inlineStr">
        <is>
          <t>Utilities</t>
        </is>
      </c>
      <c r="B12" s="10" t="n">
        <v>2544</v>
      </c>
      <c r="C12" s="10" t="n">
        <v>2472</v>
      </c>
      <c r="D12" s="10" t="n">
        <v>2424</v>
      </c>
      <c r="E12" s="10" t="n">
        <v>2352</v>
      </c>
      <c r="F12" s="10" t="n">
        <v>2328</v>
      </c>
      <c r="G12" s="10" t="n">
        <v>2256</v>
      </c>
      <c r="H12" s="10" t="n">
        <v>2304</v>
      </c>
      <c r="I12" s="10" t="n">
        <v>2352</v>
      </c>
      <c r="J12" s="10" t="n">
        <v>2376</v>
      </c>
      <c r="K12" s="10" t="n">
        <v>2424</v>
      </c>
      <c r="L12" s="10" t="n">
        <v>2472</v>
      </c>
      <c r="M12" s="10" t="n">
        <v>2496</v>
      </c>
      <c r="N12" s="20">
        <f>SUM(B12:M12)</f>
        <v/>
      </c>
      <c r="O12" s="2" t="inlineStr"/>
    </row>
    <row r="13">
      <c r="A13" t="inlineStr">
        <is>
          <t>Repairs and maintenance</t>
        </is>
      </c>
      <c r="B13" s="10" t="n">
        <v>3966</v>
      </c>
      <c r="C13" s="10" t="n">
        <v>3888</v>
      </c>
      <c r="D13" s="10" t="n">
        <v>3773</v>
      </c>
      <c r="E13" s="10" t="n">
        <v>3734</v>
      </c>
      <c r="F13" s="10" t="n">
        <v>3619</v>
      </c>
      <c r="G13" s="10" t="n">
        <v>3696</v>
      </c>
      <c r="H13" s="10" t="n">
        <v>3773</v>
      </c>
      <c r="I13" s="10" t="n">
        <v>3812</v>
      </c>
      <c r="J13" s="10" t="n">
        <v>3888</v>
      </c>
      <c r="K13" s="10" t="n">
        <v>3966</v>
      </c>
      <c r="L13" s="10" t="n">
        <v>4004</v>
      </c>
      <c r="M13" s="10" t="n">
        <v>4081</v>
      </c>
      <c r="N13" s="20">
        <f>SUM(B13:M13)</f>
        <v/>
      </c>
      <c r="O13" s="2" t="inlineStr">
        <is>
          <t>Includes $6k one-time casualty</t>
        </is>
      </c>
    </row>
    <row r="14">
      <c r="A14" t="inlineStr">
        <is>
          <t>Payroll / contract labor</t>
        </is>
      </c>
      <c r="B14" s="10" t="n">
        <v>3535</v>
      </c>
      <c r="C14" s="10" t="n">
        <v>3430</v>
      </c>
      <c r="D14" s="10" t="n">
        <v>3395</v>
      </c>
      <c r="E14" s="10" t="n">
        <v>3290</v>
      </c>
      <c r="F14" s="10" t="n">
        <v>3360</v>
      </c>
      <c r="G14" s="10" t="n">
        <v>3430</v>
      </c>
      <c r="H14" s="10" t="n">
        <v>3465</v>
      </c>
      <c r="I14" s="10" t="n">
        <v>3535</v>
      </c>
      <c r="J14" s="10" t="n">
        <v>3605</v>
      </c>
      <c r="K14" s="10" t="n">
        <v>3640</v>
      </c>
      <c r="L14" s="10" t="n">
        <v>3710</v>
      </c>
      <c r="M14" s="10" t="n">
        <v>3605</v>
      </c>
      <c r="N14" s="20">
        <f>SUM(B14:M14)</f>
        <v/>
      </c>
      <c r="O14" s="2" t="inlineStr"/>
    </row>
    <row r="15">
      <c r="A15" t="inlineStr">
        <is>
          <t>Administrative / legal</t>
        </is>
      </c>
      <c r="B15" s="10" t="n">
        <v>1764</v>
      </c>
      <c r="C15" s="10" t="n">
        <v>1746</v>
      </c>
      <c r="D15" s="10" t="n">
        <v>1692</v>
      </c>
      <c r="E15" s="10" t="n">
        <v>1728</v>
      </c>
      <c r="F15" s="10" t="n">
        <v>1764</v>
      </c>
      <c r="G15" s="10" t="n">
        <v>1782</v>
      </c>
      <c r="H15" s="10" t="n">
        <v>1818</v>
      </c>
      <c r="I15" s="10" t="n">
        <v>1854</v>
      </c>
      <c r="J15" s="10" t="n">
        <v>1872</v>
      </c>
      <c r="K15" s="10" t="n">
        <v>1908</v>
      </c>
      <c r="L15" s="10" t="n">
        <v>1854</v>
      </c>
      <c r="M15" s="10" t="n">
        <v>1818</v>
      </c>
      <c r="N15" s="20">
        <f>SUM(B15:M15)</f>
        <v/>
      </c>
      <c r="O15" s="2" t="inlineStr"/>
    </row>
    <row r="16">
      <c r="A16" t="inlineStr">
        <is>
          <t>Management fee</t>
        </is>
      </c>
      <c r="B16" s="10" t="n">
        <v>2425</v>
      </c>
      <c r="C16" s="10" t="n">
        <v>2350</v>
      </c>
      <c r="D16" s="10" t="n">
        <v>2400</v>
      </c>
      <c r="E16" s="10" t="n">
        <v>2450</v>
      </c>
      <c r="F16" s="10" t="n">
        <v>2475</v>
      </c>
      <c r="G16" s="10" t="n">
        <v>2525</v>
      </c>
      <c r="H16" s="10" t="n">
        <v>2575</v>
      </c>
      <c r="I16" s="10" t="n">
        <v>2600</v>
      </c>
      <c r="J16" s="10" t="n">
        <v>2650</v>
      </c>
      <c r="K16" s="10" t="n">
        <v>2575</v>
      </c>
      <c r="L16" s="10" t="n">
        <v>2525</v>
      </c>
      <c r="M16" s="10" t="n">
        <v>2450</v>
      </c>
      <c r="N16" s="20">
        <f>SUM(B16:M16)</f>
        <v/>
      </c>
      <c r="O16" s="2" t="inlineStr"/>
    </row>
    <row r="17">
      <c r="A17" t="inlineStr">
        <is>
          <t>Replacement reserves (below NOI)</t>
        </is>
      </c>
      <c r="B17" s="10" t="n">
        <v>846</v>
      </c>
      <c r="C17" s="10" t="n">
        <v>864</v>
      </c>
      <c r="D17" s="10" t="n">
        <v>882</v>
      </c>
      <c r="E17" s="10" t="n">
        <v>891</v>
      </c>
      <c r="F17" s="10" t="n">
        <v>909</v>
      </c>
      <c r="G17" s="10" t="n">
        <v>927</v>
      </c>
      <c r="H17" s="10" t="n">
        <v>936</v>
      </c>
      <c r="I17" s="10" t="n">
        <v>954</v>
      </c>
      <c r="J17" s="10" t="n">
        <v>927</v>
      </c>
      <c r="K17" s="10" t="n">
        <v>909</v>
      </c>
      <c r="L17" s="10" t="n">
        <v>882</v>
      </c>
      <c r="M17" s="10" t="n">
        <v>873</v>
      </c>
      <c r="N17" s="20">
        <f>SUM(B17:M17)</f>
        <v/>
      </c>
      <c r="O17" s="2" t="inlineStr">
        <is>
          <t>Below NOI</t>
        </is>
      </c>
    </row>
    <row r="18">
      <c r="A18" t="inlineStr">
        <is>
          <t>Capital improvements (below cash flow)</t>
        </is>
      </c>
      <c r="B18" s="10" t="n">
        <v>4960</v>
      </c>
      <c r="C18" s="10" t="n">
        <v>5063</v>
      </c>
      <c r="D18" s="10" t="n">
        <v>5115</v>
      </c>
      <c r="E18" s="10" t="n">
        <v>5218</v>
      </c>
      <c r="F18" s="10" t="n">
        <v>5322</v>
      </c>
      <c r="G18" s="10" t="n">
        <v>5373</v>
      </c>
      <c r="H18" s="10" t="n">
        <v>5477</v>
      </c>
      <c r="I18" s="10" t="n">
        <v>5322</v>
      </c>
      <c r="J18" s="10" t="n">
        <v>5218</v>
      </c>
      <c r="K18" s="10" t="n">
        <v>5063</v>
      </c>
      <c r="L18" s="10" t="n">
        <v>5012</v>
      </c>
      <c r="M18" s="10" t="n">
        <v>4857</v>
      </c>
      <c r="N18" s="20">
        <f>SUM(B18:M18)</f>
        <v/>
      </c>
      <c r="O18" s="2" t="inlineStr">
        <is>
          <t>Below cash flow</t>
        </is>
      </c>
    </row>
    <row r="19">
      <c r="A19" t="inlineStr">
        <is>
          <t>Loan principal and interest (below CF)</t>
        </is>
      </c>
      <c r="B19" s="10" t="n">
        <v>24010</v>
      </c>
      <c r="C19" s="10" t="n">
        <v>24255</v>
      </c>
      <c r="D19" s="10" t="n">
        <v>24745</v>
      </c>
      <c r="E19" s="10" t="n">
        <v>25235</v>
      </c>
      <c r="F19" s="10" t="n">
        <v>25480</v>
      </c>
      <c r="G19" s="10" t="n">
        <v>25970</v>
      </c>
      <c r="H19" s="10" t="n">
        <v>25235</v>
      </c>
      <c r="I19" s="10" t="n">
        <v>24745</v>
      </c>
      <c r="J19" s="10" t="n">
        <v>24010</v>
      </c>
      <c r="K19" s="10" t="n">
        <v>23765</v>
      </c>
      <c r="L19" s="10" t="n">
        <v>23030</v>
      </c>
      <c r="M19" s="10" t="n">
        <v>23520</v>
      </c>
      <c r="N19" s="20">
        <f>SUM(B19:M19)</f>
        <v/>
      </c>
      <c r="O19" s="2" t="inlineStr">
        <is>
          <t>Below cash flow</t>
        </is>
      </c>
    </row>
    <row r="20">
      <c r="A20" t="inlineStr">
        <is>
          <t>Depreciation (noncash)</t>
        </is>
      </c>
      <c r="B20" s="10" t="n">
        <v>14850</v>
      </c>
      <c r="C20" s="10" t="n">
        <v>15150</v>
      </c>
      <c r="D20" s="10" t="n">
        <v>15450</v>
      </c>
      <c r="E20" s="10" t="n">
        <v>15600</v>
      </c>
      <c r="F20" s="10" t="n">
        <v>15900</v>
      </c>
      <c r="G20" s="10" t="n">
        <v>15450</v>
      </c>
      <c r="H20" s="10" t="n">
        <v>15150</v>
      </c>
      <c r="I20" s="10" t="n">
        <v>14700</v>
      </c>
      <c r="J20" s="10" t="n">
        <v>14550</v>
      </c>
      <c r="K20" s="10" t="n">
        <v>14100</v>
      </c>
      <c r="L20" s="10" t="n">
        <v>14400</v>
      </c>
      <c r="M20" s="10" t="n">
        <v>14700</v>
      </c>
      <c r="N20" s="20">
        <f>SUM(B20:M20)</f>
        <v/>
      </c>
      <c r="O20" s="2" t="inlineStr">
        <is>
          <t>Noncash — not operating</t>
        </is>
      </c>
    </row>
    <row r="22">
      <c r="A22" s="8" t="inlineStr">
        <is>
          <t>T12 EGI</t>
        </is>
      </c>
      <c r="N22" s="11">
        <f>N5+N6+N7+N8+N9</f>
        <v/>
      </c>
    </row>
    <row r="23">
      <c r="A23" s="8" t="inlineStr">
        <is>
          <t>T12 Operating Expenses</t>
        </is>
      </c>
      <c r="N23" s="11">
        <f>SUM(N10:N16)</f>
        <v/>
      </c>
    </row>
    <row r="24">
      <c r="A24" s="8" t="inlineStr">
        <is>
          <t>T12 NOI (before reserves)</t>
        </is>
      </c>
      <c r="N24" s="11">
        <f>N22-N23</f>
        <v/>
      </c>
    </row>
    <row r="25">
      <c r="A25" t="inlineStr">
        <is>
          <t>T12 Replacement reserves</t>
        </is>
      </c>
      <c r="N25" s="21">
        <f>N17</f>
        <v/>
      </c>
    </row>
    <row r="26">
      <c r="A26" s="8" t="inlineStr">
        <is>
          <t>T12 NCF (after reserves)</t>
        </is>
      </c>
      <c r="N26" s="11">
        <f>N24-N25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45" customWidth="1" min="3" max="3"/>
  </cols>
  <sheetData>
    <row r="1">
      <c r="A1" s="1" t="inlineStr">
        <is>
          <t>Underwritten Cash Flow (linked to Inputs)</t>
        </is>
      </c>
    </row>
    <row r="2">
      <c r="A2" s="2" t="inlineStr">
        <is>
          <t>All rates and assumptions per Property-and-Plan</t>
        </is>
      </c>
    </row>
    <row r="4">
      <c r="A4" s="7" t="inlineStr">
        <is>
          <t>Line</t>
        </is>
      </c>
      <c r="B4" s="7" t="inlineStr">
        <is>
          <t>Amount</t>
        </is>
      </c>
      <c r="C4" s="7" t="inlineStr">
        <is>
          <t>Formula / Basis</t>
        </is>
      </c>
    </row>
    <row r="5">
      <c r="A5" t="inlineStr">
        <is>
          <t>UW Gross Potential Base Rent</t>
        </is>
      </c>
      <c r="B5" s="21">
        <f>UW_GPR</f>
        <v/>
      </c>
      <c r="C5" t="inlineStr">
        <is>
          <t>Inputs B10</t>
        </is>
      </c>
    </row>
    <row r="6">
      <c r="A6" t="inlineStr">
        <is>
          <t>Less: combined revenue loss (vacancy/concessions/bad debt)</t>
        </is>
      </c>
      <c r="B6" s="21">
        <f>-UW_RevLoss*UW_GPR</f>
        <v/>
      </c>
      <c r="C6">
        <f>-6.00% x UW GPR</f>
        <v/>
      </c>
    </row>
    <row r="7">
      <c r="A7" t="inlineStr">
        <is>
          <t>Plus: other income / recoveries</t>
        </is>
      </c>
      <c r="B7" s="21">
        <f>UW_OtherInc</f>
        <v/>
      </c>
      <c r="C7" t="inlineStr">
        <is>
          <t>Inputs B12</t>
        </is>
      </c>
    </row>
    <row r="8">
      <c r="A8" t="inlineStr">
        <is>
          <t>Underwritten EGI (uw_egi)</t>
        </is>
      </c>
      <c r="B8" s="11">
        <f>B5+B6+B7</f>
        <v/>
      </c>
      <c r="C8" t="inlineStr">
        <is>
          <t>GPR - loss + other</t>
        </is>
      </c>
    </row>
    <row r="10">
      <c r="A10" s="7" t="inlineStr">
        <is>
          <t>UW Operating Expenses</t>
        </is>
      </c>
    </row>
    <row r="11">
      <c r="A11" t="inlineStr">
        <is>
          <t>Real estate taxes</t>
        </is>
      </c>
      <c r="B11" s="21">
        <f>Inputs!B36</f>
        <v/>
      </c>
      <c r="C11" t="inlineStr">
        <is>
          <t>Inputs B36</t>
        </is>
      </c>
    </row>
    <row r="12">
      <c r="A12" t="inlineStr">
        <is>
          <t>Property insurance</t>
        </is>
      </c>
      <c r="B12" s="21">
        <f>Inputs!B37</f>
        <v/>
      </c>
      <c r="C12" t="inlineStr">
        <is>
          <t>Renewal quote</t>
        </is>
      </c>
    </row>
    <row r="13">
      <c r="A13" t="inlineStr">
        <is>
          <t>Utilities</t>
        </is>
      </c>
      <c r="B13" s="21">
        <f>Inputs!B38</f>
        <v/>
      </c>
      <c r="C13" t="inlineStr">
        <is>
          <t>T12 actual</t>
        </is>
      </c>
    </row>
    <row r="14">
      <c r="A14" t="inlineStr">
        <is>
          <t>Repairs &amp; maintenance (T12 less $6k one-time)</t>
        </is>
      </c>
      <c r="B14" s="21">
        <f>Inputs!B39</f>
        <v/>
      </c>
      <c r="C14" t="inlineStr">
        <is>
          <t>Inputs B39</t>
        </is>
      </c>
    </row>
    <row r="15">
      <c r="A15" t="inlineStr">
        <is>
          <t>Payroll / contract labor</t>
        </is>
      </c>
      <c r="B15" s="21">
        <f>Inputs!B40</f>
        <v/>
      </c>
      <c r="C15" t="inlineStr">
        <is>
          <t>T12 actual</t>
        </is>
      </c>
    </row>
    <row r="16">
      <c r="A16" t="inlineStr">
        <is>
          <t>Administrative / legal</t>
        </is>
      </c>
      <c r="B16" s="21">
        <f>Inputs!B41</f>
        <v/>
      </c>
      <c r="C16" t="inlineStr">
        <is>
          <t>T12 actual</t>
        </is>
      </c>
    </row>
    <row r="17">
      <c r="A17" t="inlineStr">
        <is>
          <t>Management fee (uw_management_fee)</t>
        </is>
      </c>
      <c r="B17" s="11">
        <f>MAX(MgmtFloor,MgmtPct*B8)</f>
        <v/>
      </c>
      <c r="C17" t="inlineStr">
        <is>
          <t>MAX(T12 $30,000; 3% x EGI)</t>
        </is>
      </c>
    </row>
    <row r="19">
      <c r="A19" t="inlineStr">
        <is>
          <t>Total UW OpEx (uw_operating_expenses)</t>
        </is>
      </c>
      <c r="B19" s="11">
        <f>SUM(B11:B17)</f>
        <v/>
      </c>
      <c r="C19" t="inlineStr">
        <is>
          <t>Excludes reserves/capex/debt/depr.</t>
        </is>
      </c>
    </row>
    <row r="22">
      <c r="A22" t="inlineStr">
        <is>
          <t>UW NOI before reserves (uw_noi_before_reserves)</t>
        </is>
      </c>
      <c r="B22" s="11">
        <f>B8-B19</f>
        <v/>
      </c>
    </row>
    <row r="23">
      <c r="A23" t="inlineStr">
        <is>
          <t>Less: Replacement reserves ($300/unit)</t>
        </is>
      </c>
      <c r="B23" s="21">
        <f>ReservesPerUnit*UnitCount</f>
        <v/>
      </c>
    </row>
    <row r="24">
      <c r="A24" t="inlineStr">
        <is>
          <t>UW NCF after reserves (uw_ncf)</t>
        </is>
      </c>
      <c r="B24" s="11">
        <f>B22-B23</f>
        <v/>
      </c>
    </row>
  </sheetData>
  <mergeCells count="1">
    <mergeCell ref="A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40" customWidth="1" min="3" max="3"/>
  </cols>
  <sheetData>
    <row r="1">
      <c r="A1" s="1" t="inlineStr">
        <is>
          <t>Loan Sizing — LTV / DSCR / Debt Yield</t>
        </is>
      </c>
    </row>
    <row r="3">
      <c r="A3" s="7" t="inlineStr">
        <is>
          <t>Field</t>
        </is>
      </c>
      <c r="B3" s="7" t="inlineStr">
        <is>
          <t>Value</t>
        </is>
      </c>
      <c r="C3" s="7" t="inlineStr">
        <is>
          <t>Formula / Basis</t>
        </is>
      </c>
    </row>
    <row r="5">
      <c r="A5" t="inlineStr">
        <is>
          <t>UW NOI (before reserves)</t>
        </is>
      </c>
      <c r="B5" s="21">
        <f>UW_NOI_BR</f>
        <v/>
      </c>
      <c r="C5" t="inlineStr">
        <is>
          <t>From Underwriting</t>
        </is>
      </c>
    </row>
    <row r="6">
      <c r="A6" t="inlineStr">
        <is>
          <t>Cap Rate</t>
        </is>
      </c>
      <c r="B6" s="9">
        <f>CapRate</f>
        <v/>
      </c>
      <c r="C6" t="inlineStr">
        <is>
          <t>Inputs</t>
        </is>
      </c>
    </row>
    <row r="7">
      <c r="A7" t="inlineStr">
        <is>
          <t>Indicative Value (capitalization_value)</t>
        </is>
      </c>
      <c r="B7" s="11">
        <f>B5/B6</f>
        <v/>
      </c>
      <c r="C7" t="inlineStr">
        <is>
          <t>NOI / Cap</t>
        </is>
      </c>
    </row>
    <row r="9">
      <c r="A9" t="inlineStr">
        <is>
          <t>Sizing Rate</t>
        </is>
      </c>
      <c r="B9" s="9">
        <f>SizingRate</f>
        <v/>
      </c>
      <c r="C9" t="inlineStr">
        <is>
          <t>Greater of Contract &amp; 6.25%</t>
        </is>
      </c>
    </row>
    <row r="10">
      <c r="A10" t="inlineStr">
        <is>
          <t>Contract Rate</t>
        </is>
      </c>
      <c r="B10" s="9">
        <f>ContractRate</f>
        <v/>
      </c>
      <c r="C10" t="inlineStr">
        <is>
          <t>Inputs</t>
        </is>
      </c>
    </row>
    <row r="11">
      <c r="A11" t="inlineStr">
        <is>
          <t>Amortization (years)</t>
        </is>
      </c>
      <c r="B11">
        <f>AmortYears</f>
        <v/>
      </c>
    </row>
    <row r="12">
      <c r="A12" t="inlineStr">
        <is>
          <t>Monthly rate (sizing)</t>
        </is>
      </c>
      <c r="B12" s="22">
        <f>B9/12</f>
        <v/>
      </c>
    </row>
    <row r="13">
      <c r="A13" t="inlineStr">
        <is>
          <t>Number of payments</t>
        </is>
      </c>
      <c r="B13">
        <f>B11*12</f>
        <v/>
      </c>
    </row>
    <row r="14">
      <c r="A14" t="inlineStr">
        <is>
          <t>Monthly payment factor</t>
        </is>
      </c>
      <c r="B14" s="22">
        <f>B12/(1-(1+B12)^-B13)</f>
        <v/>
      </c>
    </row>
    <row r="15">
      <c r="A15" t="inlineStr">
        <is>
          <t>Annual debt constant (sizing) — annual_debt_constant</t>
        </is>
      </c>
      <c r="B15" s="23">
        <f>B14*12</f>
        <v/>
      </c>
    </row>
    <row r="17">
      <c r="A17" s="7" t="inlineStr">
        <is>
          <t>Constraints</t>
        </is>
      </c>
    </row>
    <row r="18">
      <c r="A18" t="inlineStr">
        <is>
          <t>ltv_limit  (LTV_Max * Value)</t>
        </is>
      </c>
      <c r="B18" s="21">
        <f>LTV_Max*B7</f>
        <v/>
      </c>
    </row>
    <row r="19">
      <c r="A19" t="inlineStr">
        <is>
          <t>dscr_limit  (NCF / DSCR_Min / ADC)</t>
        </is>
      </c>
      <c r="B19" s="21">
        <f>UW_NCF/DSCR_Min/B15</f>
        <v/>
      </c>
    </row>
    <row r="20">
      <c r="A20" t="inlineStr">
        <is>
          <t>debt_yield_limit  (NCF / DY_Min)</t>
        </is>
      </c>
      <c r="B20" s="21">
        <f>UW_NCF/DY_Min</f>
        <v/>
      </c>
    </row>
    <row r="22">
      <c r="A22" t="inlineStr">
        <is>
          <t>maximum_loan (min of the three)</t>
        </is>
      </c>
      <c r="B22" s="11">
        <f>MIN(B18:B20)</f>
        <v/>
      </c>
    </row>
    <row r="23">
      <c r="A23" t="inlineStr">
        <is>
          <t>binding_constraint</t>
        </is>
      </c>
      <c r="B23" s="12">
        <f>IF(B22=B18,"LTV",IF(B22=B19,"DSCR","Debt yield"))</f>
        <v/>
      </c>
    </row>
    <row r="25">
      <c r="A25" t="inlineStr">
        <is>
          <t>sizing_annual_debt_service (loan x ADC)</t>
        </is>
      </c>
      <c r="B25" s="21">
        <f>B22*B15</f>
        <v/>
      </c>
    </row>
    <row r="26">
      <c r="A26" t="inlineStr">
        <is>
          <t>sizing_dscr (NCF / Sizing ADS)</t>
        </is>
      </c>
      <c r="B26" s="24">
        <f>UW_NCF/B25</f>
        <v/>
      </c>
    </row>
    <row r="27">
      <c r="A27" t="inlineStr">
        <is>
          <t>sizing_debt_yield (NCF / Loan)</t>
        </is>
      </c>
      <c r="B27" s="9">
        <f>UW_NCF/B22</f>
        <v/>
      </c>
    </row>
    <row r="29">
      <c r="A29" t="inlineStr">
        <is>
          <t>first_year_debt_service (IO — Loan x Contract rate)</t>
        </is>
      </c>
      <c r="B29" s="21">
        <f>B22*B10</f>
        <v/>
      </c>
      <c r="C29" t="inlineStr">
        <is>
          <t>First 24 mo. IO; year-1 DS = interest only</t>
        </is>
      </c>
    </row>
    <row r="31">
      <c r="A31" s="7" t="inlineStr">
        <is>
          <t>Sources &amp; Uses</t>
        </is>
      </c>
    </row>
    <row r="32">
      <c r="A32" t="inlineStr">
        <is>
          <t>Loan proceeds</t>
        </is>
      </c>
      <c r="B32" s="21">
        <f>B22</f>
        <v/>
      </c>
    </row>
    <row r="33">
      <c r="A33" t="inlineStr">
        <is>
          <t>Less: Existing debt payoff</t>
        </is>
      </c>
      <c r="B33" s="21">
        <f>-Payoff</f>
        <v/>
      </c>
    </row>
    <row r="34">
      <c r="A34" t="inlineStr">
        <is>
          <t>Less: Origination fee (0.75% of loan)</t>
        </is>
      </c>
      <c r="B34" s="21">
        <f>-OrigFeePct*B22</f>
        <v/>
      </c>
    </row>
    <row r="35">
      <c r="A35" t="inlineStr">
        <is>
          <t>Less: Fixed closing costs</t>
        </is>
      </c>
      <c r="B35" s="21">
        <f>-ClosingCosts</f>
        <v/>
      </c>
    </row>
    <row r="36">
      <c r="A36" t="inlineStr">
        <is>
          <t>cash_to_borrower (net; negative = cash-in)</t>
        </is>
      </c>
      <c r="B36" s="11">
        <f>SUM(B32:B35)</f>
        <v/>
      </c>
    </row>
  </sheetData>
  <mergeCells count="2">
    <mergeCell ref="A17:C17"/>
    <mergeCell ref="A31:C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Sensitivity — Downside cases</t>
        </is>
      </c>
    </row>
    <row r="2">
      <c r="A2" s="2" t="inlineStr">
        <is>
          <t>Per Property-and-Plan: EGI -5% &amp; +100 bps sizing (cap unchanged); separately +50 bps cap</t>
        </is>
      </c>
    </row>
    <row r="4">
      <c r="A4" s="7" t="inlineStr">
        <is>
          <t>Base Case</t>
        </is>
      </c>
    </row>
    <row r="5">
      <c r="A5" t="inlineStr">
        <is>
          <t>UW EGI</t>
        </is>
      </c>
      <c r="B5" s="21">
        <f>UW_EGI</f>
        <v/>
      </c>
    </row>
    <row r="6">
      <c r="A6" t="inlineStr">
        <is>
          <t>UW NOI (before reserves)</t>
        </is>
      </c>
      <c r="B6" s="21">
        <f>UW_NOI_BR</f>
        <v/>
      </c>
    </row>
    <row r="7">
      <c r="A7" t="inlineStr">
        <is>
          <t>UW NCF</t>
        </is>
      </c>
      <c r="B7" s="21">
        <f>UW_NCF</f>
        <v/>
      </c>
    </row>
    <row r="8">
      <c r="A8" t="inlineStr">
        <is>
          <t>Sizing rate</t>
        </is>
      </c>
      <c r="B8" s="9">
        <f>SizingRate</f>
        <v/>
      </c>
    </row>
    <row r="9">
      <c r="A9" t="inlineStr">
        <is>
          <t>Cap rate</t>
        </is>
      </c>
      <c r="B9" s="9">
        <f>CapRate</f>
        <v/>
      </c>
    </row>
    <row r="10">
      <c r="A10" t="inlineStr">
        <is>
          <t>Max loan</t>
        </is>
      </c>
      <c r="B10" s="21">
        <f>MaxLoan</f>
        <v/>
      </c>
    </row>
    <row r="11">
      <c r="A11" t="inlineStr">
        <is>
          <t>Binding</t>
        </is>
      </c>
      <c r="B11">
        <f>Loan_Sizing!B23</f>
        <v/>
      </c>
    </row>
    <row r="14">
      <c r="A14" s="7" t="inlineStr">
        <is>
          <t>Combined downside (EGI -5%, +100 bps sizing, cap unchanged)</t>
        </is>
      </c>
    </row>
    <row r="15">
      <c r="A15" t="inlineStr">
        <is>
          <t>Stress EGI (95% of UW)</t>
        </is>
      </c>
      <c r="B15" s="21">
        <f>UW_EGI*0.95</f>
        <v/>
      </c>
    </row>
    <row r="16">
      <c r="A16" t="inlineStr">
        <is>
          <t>Stress management fee (MAX floor, 3% stress EGI)</t>
        </is>
      </c>
      <c r="B16" s="21">
        <f>MAX(MgmtFloor,MgmtPct*B15)</f>
        <v/>
      </c>
    </row>
    <row r="17">
      <c r="A17" t="inlineStr">
        <is>
          <t>Other OpEx (unchanged)</t>
        </is>
      </c>
      <c r="B17" s="21">
        <f>Underwriting!B19-Underwriting!B17</f>
        <v/>
      </c>
    </row>
    <row r="18">
      <c r="A18" t="inlineStr">
        <is>
          <t>Stress OpEx (total)</t>
        </is>
      </c>
      <c r="B18" s="21">
        <f>B16+B17</f>
        <v/>
      </c>
    </row>
    <row r="19">
      <c r="A19" t="inlineStr">
        <is>
          <t>stress_uw_noi (before reserves)</t>
        </is>
      </c>
      <c r="B19" s="11">
        <f>B15-B18</f>
        <v/>
      </c>
    </row>
    <row r="20">
      <c r="A20" t="inlineStr">
        <is>
          <t>Stress replacement reserves (unchanged)</t>
        </is>
      </c>
      <c r="B20" s="21">
        <f>ReservesPerUnit*UnitCount</f>
        <v/>
      </c>
    </row>
    <row r="21">
      <c r="A21" t="inlineStr">
        <is>
          <t>Stress NCF</t>
        </is>
      </c>
      <c r="B21" s="21">
        <f>B19-B20</f>
        <v/>
      </c>
    </row>
    <row r="23">
      <c r="A23" t="inlineStr">
        <is>
          <t>Stress sizing rate (+100 bps)</t>
        </is>
      </c>
      <c r="B23" s="9">
        <f>SizingRate+0.01</f>
        <v/>
      </c>
    </row>
    <row r="24">
      <c r="A24" t="inlineStr">
        <is>
          <t>Stress monthly rate</t>
        </is>
      </c>
      <c r="B24" s="22">
        <f>B23/12</f>
        <v/>
      </c>
    </row>
    <row r="25">
      <c r="A25" t="inlineStr">
        <is>
          <t>Stress ADC (sizing)</t>
        </is>
      </c>
      <c r="B25" s="22">
        <f>(B24/(1-(1+B24)^-(AmortYears*12)))*12</f>
        <v/>
      </c>
    </row>
    <row r="27">
      <c r="A27" t="inlineStr">
        <is>
          <t>Stress value (Stress NOI / Cap; cap unchanged)</t>
        </is>
      </c>
      <c r="B27" s="21">
        <f>B19/CapRate</f>
        <v/>
      </c>
    </row>
    <row r="28">
      <c r="A28" t="inlineStr">
        <is>
          <t>Stress LTV limit</t>
        </is>
      </c>
      <c r="B28" s="21">
        <f>LTV_Max*B27</f>
        <v/>
      </c>
    </row>
    <row r="29">
      <c r="A29" t="inlineStr">
        <is>
          <t>Stress DSCR limit (Stress NCF / DSCR_Min / Stress ADC)</t>
        </is>
      </c>
      <c r="B29" s="21">
        <f>B21/DSCR_Min/B25</f>
        <v/>
      </c>
    </row>
    <row r="30">
      <c r="A30" t="inlineStr">
        <is>
          <t>Stress DY limit (Stress NCF / DY_Min)</t>
        </is>
      </c>
      <c r="B30" s="21">
        <f>B21/DY_Min</f>
        <v/>
      </c>
    </row>
    <row r="31">
      <c r="A31" t="inlineStr">
        <is>
          <t>stress_maximum_loan</t>
        </is>
      </c>
      <c r="B31" s="11">
        <f>MIN(B28:B30)</f>
        <v/>
      </c>
    </row>
    <row r="32">
      <c r="A32" t="inlineStr">
        <is>
          <t>Stress binding</t>
        </is>
      </c>
      <c r="B32">
        <f>IF(B31=B28,"LTV",IF(B31=B29,"DSCR","Debt yield"))</f>
        <v/>
      </c>
    </row>
    <row r="35">
      <c r="A35" s="7" t="inlineStr">
        <is>
          <t>Cap rate +50 bps (base income, unchanged sizing)</t>
        </is>
      </c>
    </row>
    <row r="36">
      <c r="A36" t="inlineStr">
        <is>
          <t>Cap rate +50 bps</t>
        </is>
      </c>
      <c r="B36" s="9">
        <f>CapRate+0.005</f>
        <v/>
      </c>
    </row>
    <row r="37">
      <c r="A37" t="inlineStr">
        <is>
          <t>Alt value</t>
        </is>
      </c>
      <c r="B37" s="21">
        <f>UW_NOI_BR/B36</f>
        <v/>
      </c>
    </row>
    <row r="38">
      <c r="A38" t="inlineStr">
        <is>
          <t>Alt LTV limit</t>
        </is>
      </c>
      <c r="B38" s="21">
        <f>LTV_Max*B37</f>
        <v/>
      </c>
    </row>
    <row r="39">
      <c r="A39" t="inlineStr">
        <is>
          <t>DSCR limit (unchanged rates/NCF)</t>
        </is>
      </c>
      <c r="B39" s="21">
        <f>UW_NCF/DSCR_Min/ADC_Sizing</f>
        <v/>
      </c>
    </row>
    <row r="40">
      <c r="A40" t="inlineStr">
        <is>
          <t>DY limit (unchanged NCF)</t>
        </is>
      </c>
      <c r="B40" s="21">
        <f>UW_NCF/DY_Min</f>
        <v/>
      </c>
    </row>
    <row r="41">
      <c r="A41" t="inlineStr">
        <is>
          <t>Alt max loan</t>
        </is>
      </c>
      <c r="B41" s="11">
        <f>MIN(B38:B40)</f>
        <v/>
      </c>
    </row>
    <row r="42">
      <c r="A42" t="inlineStr">
        <is>
          <t>Alt binding</t>
        </is>
      </c>
      <c r="B42">
        <f>IF(B41=B38,"LTV",IF(B41=B39,"DSCR","Debt yield"))</f>
        <v/>
      </c>
    </row>
  </sheetData>
  <mergeCells count="3">
    <mergeCell ref="A35:C35"/>
    <mergeCell ref="A4:C4"/>
    <mergeCell ref="A14:C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80" customWidth="1" min="4" max="4"/>
  </cols>
  <sheetData>
    <row r="1">
      <c r="A1" s="1" t="inlineStr">
        <is>
          <t>Reported Analysis Fields</t>
        </is>
      </c>
    </row>
    <row r="3">
      <c r="A3" s="7" t="inlineStr">
        <is>
          <t>Field ID</t>
        </is>
      </c>
      <c r="B3" s="7" t="inlineStr">
        <is>
          <t>Value / Formula</t>
        </is>
      </c>
      <c r="C3" s="7" t="inlineStr">
        <is>
          <t>Format</t>
        </is>
      </c>
      <c r="D3" s="7" t="inlineStr">
        <is>
          <t>Source / Basis</t>
        </is>
      </c>
    </row>
    <row r="4">
      <c r="A4" s="25" t="inlineStr">
        <is>
          <t>space_count</t>
        </is>
      </c>
      <c r="B4" s="18">
        <f>Rent_Roll!B43</f>
        <v/>
      </c>
      <c r="C4" t="inlineStr">
        <is>
          <t>#,##0</t>
        </is>
      </c>
      <c r="D4" s="2" t="inlineStr">
        <is>
          <t>Rent-Roll.xlsx units 101-136</t>
        </is>
      </c>
    </row>
    <row r="5">
      <c r="A5" s="25" t="inlineStr">
        <is>
          <t>occupied_count</t>
        </is>
      </c>
      <c r="B5" s="18">
        <f>Rent_Roll!B44</f>
        <v/>
      </c>
      <c r="C5" t="inlineStr">
        <is>
          <t>#,##0</t>
        </is>
      </c>
      <c r="D5" s="2" t="inlineStr">
        <is>
          <t>COUNTIF status Occupied</t>
        </is>
      </c>
    </row>
    <row r="6">
      <c r="A6" s="25" t="inlineStr">
        <is>
          <t>total_area_sf</t>
        </is>
      </c>
      <c r="B6" s="18">
        <f>Rent_Roll!B45</f>
        <v/>
      </c>
      <c r="C6" t="inlineStr">
        <is>
          <t>#,##0</t>
        </is>
      </c>
      <c r="D6" s="2" t="inlineStr">
        <is>
          <t>SUM(area)</t>
        </is>
      </c>
    </row>
    <row r="7">
      <c r="A7" s="25" t="inlineStr">
        <is>
          <t>occupied_area_sf</t>
        </is>
      </c>
      <c r="B7" s="18">
        <f>Rent_Roll!B46</f>
        <v/>
      </c>
      <c r="C7" t="inlineStr">
        <is>
          <t>#,##0</t>
        </is>
      </c>
      <c r="D7" s="2" t="inlineStr">
        <is>
          <t>SUMIF occupied</t>
        </is>
      </c>
    </row>
    <row r="8">
      <c r="A8" s="25" t="inlineStr">
        <is>
          <t>occupancy_count_pct</t>
        </is>
      </c>
      <c r="B8" s="26">
        <f>Rent_Roll!B47*100</f>
        <v/>
      </c>
      <c r="C8" t="inlineStr">
        <is>
          <t>0.0000</t>
        </is>
      </c>
      <c r="D8" s="2">
        <f> occupied_count / space_count x 100</f>
        <v/>
      </c>
    </row>
    <row r="9">
      <c r="A9" s="25" t="inlineStr">
        <is>
          <t>occupancy_area_pct</t>
        </is>
      </c>
      <c r="B9" s="26">
        <f>Rent_Roll!B48*100</f>
        <v/>
      </c>
      <c r="C9" t="inlineStr">
        <is>
          <t>0.0000</t>
        </is>
      </c>
      <c r="D9" s="2">
        <f> occupied_area_sf / total_area_sf x 100</f>
        <v/>
      </c>
    </row>
    <row r="10">
      <c r="A10" s="25" t="inlineStr">
        <is>
          <t>rent_roll_monthly_base</t>
        </is>
      </c>
      <c r="B10" s="11">
        <f>Rent_Roll!B49</f>
        <v/>
      </c>
      <c r="C10" t="inlineStr">
        <is>
          <t>"$"#,##0.00;[Red]("$"#,##0.00)</t>
        </is>
      </c>
      <c r="D10" s="2" t="inlineStr">
        <is>
          <t>SUM rent roll monthly base (occupied only)</t>
        </is>
      </c>
    </row>
    <row r="11">
      <c r="A11" s="25" t="inlineStr">
        <is>
          <t>effective_monthly_base</t>
        </is>
      </c>
      <c r="B11" s="11">
        <f>Rent_Roll!B51</f>
        <v/>
      </c>
      <c r="C11" t="inlineStr">
        <is>
          <t>"$"#,##0.00;[Red]("$"#,##0.00)</t>
        </is>
      </c>
      <c r="D11" s="2" t="inlineStr">
        <is>
          <t>Lease-101 rent $1,675 matches rent roll; no amendments</t>
        </is>
      </c>
    </row>
    <row r="12">
      <c r="A12" s="25" t="inlineStr">
        <is>
          <t>t12_egi</t>
        </is>
      </c>
      <c r="B12" s="11">
        <f>T12_Historical!N22</f>
        <v/>
      </c>
      <c r="C12" t="inlineStr">
        <is>
          <t>"$"#,##0.00;[Red]("$"#,##0.00)</t>
        </is>
      </c>
      <c r="D12" s="2" t="inlineStr">
        <is>
          <t>Sum revenue lines</t>
        </is>
      </c>
    </row>
    <row r="13">
      <c r="A13" s="25" t="inlineStr">
        <is>
          <t>t12_operating_expenses</t>
        </is>
      </c>
      <c r="B13" s="11">
        <f>T12_Historical!N23</f>
        <v/>
      </c>
      <c r="C13" t="inlineStr">
        <is>
          <t>"$"#,##0.00;[Red]("$"#,##0.00)</t>
        </is>
      </c>
      <c r="D13" s="2" t="inlineStr">
        <is>
          <t>Sum OpEx (excl. reserves/capex/debt/depr.)</t>
        </is>
      </c>
    </row>
    <row r="14">
      <c r="A14" s="25" t="inlineStr">
        <is>
          <t>t12_noi_before_reserves</t>
        </is>
      </c>
      <c r="B14" s="11">
        <f>T12_Historical!N24</f>
        <v/>
      </c>
      <c r="C14" t="inlineStr">
        <is>
          <t>"$"#,##0.00;[Red]("$"#,##0.00)</t>
        </is>
      </c>
      <c r="D14" s="2" t="inlineStr">
        <is>
          <t>EGI - OpEx</t>
        </is>
      </c>
    </row>
    <row r="15">
      <c r="A15" s="25" t="inlineStr">
        <is>
          <t>t12_reserves</t>
        </is>
      </c>
      <c r="B15" s="11">
        <f>T12_Historical!N25</f>
        <v/>
      </c>
      <c r="C15" t="inlineStr">
        <is>
          <t>"$"#,##0.00;[Red]("$"#,##0.00)</t>
        </is>
      </c>
      <c r="D15" s="2" t="inlineStr">
        <is>
          <t>T12 reserves line</t>
        </is>
      </c>
    </row>
    <row r="16">
      <c r="A16" s="25" t="inlineStr">
        <is>
          <t>t12_ncf</t>
        </is>
      </c>
      <c r="B16" s="11">
        <f>T12_Historical!N26</f>
        <v/>
      </c>
      <c r="C16" t="inlineStr">
        <is>
          <t>"$"#,##0.00;[Red]("$"#,##0.00)</t>
        </is>
      </c>
      <c r="D16" s="2" t="inlineStr">
        <is>
          <t>NOI - reserves</t>
        </is>
      </c>
    </row>
    <row r="17">
      <c r="A17" s="25" t="inlineStr">
        <is>
          <t>uw_egi</t>
        </is>
      </c>
      <c r="B17" s="11">
        <f>Underwriting!B8</f>
        <v/>
      </c>
      <c r="C17" t="inlineStr">
        <is>
          <t>"$"#,##0.00;[Red]("$"#,##0.00)</t>
        </is>
      </c>
      <c r="D17" s="2" t="inlineStr">
        <is>
          <t>GPR - loss + other</t>
        </is>
      </c>
    </row>
    <row r="18">
      <c r="A18" s="25" t="inlineStr">
        <is>
          <t>uw_management_fee</t>
        </is>
      </c>
      <c r="B18" s="11">
        <f>Underwriting!B17</f>
        <v/>
      </c>
      <c r="C18" t="inlineStr">
        <is>
          <t>"$"#,##0.00;[Red]("$"#,##0.00)</t>
        </is>
      </c>
      <c r="D18" s="2" t="inlineStr">
        <is>
          <t>MAX(T12 $30k, 3% x UW EGI)</t>
        </is>
      </c>
    </row>
    <row r="19">
      <c r="A19" s="25" t="inlineStr">
        <is>
          <t>uw_operating_expenses</t>
        </is>
      </c>
      <c r="B19" s="11">
        <f>Underwriting!B19</f>
        <v/>
      </c>
      <c r="C19" t="inlineStr">
        <is>
          <t>"$"#,##0.00;[Red]("$"#,##0.00)</t>
        </is>
      </c>
      <c r="D19" s="2" t="inlineStr">
        <is>
          <t>Sum of OpEx incl. lender mgmt</t>
        </is>
      </c>
    </row>
    <row r="20">
      <c r="A20" s="25" t="inlineStr">
        <is>
          <t>uw_noi_before_reserves</t>
        </is>
      </c>
      <c r="B20" s="11">
        <f>Underwriting!B22</f>
        <v/>
      </c>
      <c r="C20" t="inlineStr">
        <is>
          <t>"$"#,##0.00;[Red]("$"#,##0.00)</t>
        </is>
      </c>
      <c r="D20" s="2" t="inlineStr">
        <is>
          <t>UW EGI - UW OpEx</t>
        </is>
      </c>
    </row>
    <row r="21">
      <c r="A21" s="25" t="inlineStr">
        <is>
          <t>uw_reserves</t>
        </is>
      </c>
      <c r="B21" s="11">
        <f>Underwriting!B23</f>
        <v/>
      </c>
      <c r="C21" t="inlineStr">
        <is>
          <t>"$"#,##0.00;[Red]("$"#,##0.00)</t>
        </is>
      </c>
      <c r="D21" s="2" t="inlineStr">
        <is>
          <t>$300/unit x 36 units</t>
        </is>
      </c>
    </row>
    <row r="22">
      <c r="A22" s="25" t="inlineStr">
        <is>
          <t>uw_ncf</t>
        </is>
      </c>
      <c r="B22" s="11">
        <f>Underwriting!B24</f>
        <v/>
      </c>
      <c r="C22" t="inlineStr">
        <is>
          <t>"$"#,##0.00;[Red]("$"#,##0.00)</t>
        </is>
      </c>
      <c r="D22" s="2" t="inlineStr">
        <is>
          <t>UW NOI - reserves</t>
        </is>
      </c>
    </row>
    <row r="23">
      <c r="A23" s="25" t="inlineStr">
        <is>
          <t>capitalization_value</t>
        </is>
      </c>
      <c r="B23" s="11">
        <f>Loan_Sizing!B7</f>
        <v/>
      </c>
      <c r="C23" t="inlineStr">
        <is>
          <t>"$"#,##0.00;[Red]("$"#,##0.00)</t>
        </is>
      </c>
      <c r="D23" s="2" t="inlineStr">
        <is>
          <t>UW NOI / 5.75%</t>
        </is>
      </c>
    </row>
    <row r="24">
      <c r="A24" s="25" t="inlineStr">
        <is>
          <t>contract_rate</t>
        </is>
      </c>
      <c r="B24" s="19">
        <f>ContractRate</f>
        <v/>
      </c>
      <c r="C24" t="inlineStr">
        <is>
          <t>0.00%</t>
        </is>
      </c>
      <c r="D24" s="2" t="inlineStr">
        <is>
          <t>5.90% (Lender-Terms)</t>
        </is>
      </c>
    </row>
    <row r="25">
      <c r="A25" s="25" t="inlineStr">
        <is>
          <t>sizing_rate</t>
        </is>
      </c>
      <c r="B25" s="19">
        <f>SizingRate</f>
        <v/>
      </c>
      <c r="C25" t="inlineStr">
        <is>
          <t>0.00%</t>
        </is>
      </c>
      <c r="D25" s="2" t="inlineStr">
        <is>
          <t>Greater of contract &amp; 6.25%</t>
        </is>
      </c>
    </row>
    <row r="26">
      <c r="A26" s="25" t="inlineStr">
        <is>
          <t>annual_debt_constant</t>
        </is>
      </c>
      <c r="B26" s="23">
        <f>Loan_Sizing!B15</f>
        <v/>
      </c>
      <c r="C26" t="inlineStr">
        <is>
          <t>0.00000000</t>
        </is>
      </c>
      <c r="D26" s="2" t="inlineStr">
        <is>
          <t>30-yr, monthly amort at sizing rate</t>
        </is>
      </c>
    </row>
    <row r="27">
      <c r="A27" s="25" t="inlineStr">
        <is>
          <t>ltv_limit</t>
        </is>
      </c>
      <c r="B27" s="11">
        <f>Loan_Sizing!B18</f>
        <v/>
      </c>
      <c r="C27" t="inlineStr">
        <is>
          <t>"$"#,##0.00;[Red]("$"#,##0.00)</t>
        </is>
      </c>
      <c r="D27" s="2" t="inlineStr">
        <is>
          <t>65% x value</t>
        </is>
      </c>
    </row>
    <row r="28">
      <c r="A28" s="25" t="inlineStr">
        <is>
          <t>dscr_limit</t>
        </is>
      </c>
      <c r="B28" s="11">
        <f>Loan_Sizing!B19</f>
        <v/>
      </c>
      <c r="C28" t="inlineStr">
        <is>
          <t>"$"#,##0.00;[Red]("$"#,##0.00)</t>
        </is>
      </c>
      <c r="D28" s="2" t="inlineStr">
        <is>
          <t>NCF / 1.25 / ADC</t>
        </is>
      </c>
    </row>
    <row r="29">
      <c r="A29" s="25" t="inlineStr">
        <is>
          <t>debt_yield_limit</t>
        </is>
      </c>
      <c r="B29" s="11">
        <f>Loan_Sizing!B20</f>
        <v/>
      </c>
      <c r="C29" t="inlineStr">
        <is>
          <t>"$"#,##0.00;[Red]("$"#,##0.00)</t>
        </is>
      </c>
      <c r="D29" s="2" t="inlineStr">
        <is>
          <t>NCF / 8.50%</t>
        </is>
      </c>
    </row>
    <row r="30">
      <c r="A30" s="25" t="inlineStr">
        <is>
          <t>maximum_loan</t>
        </is>
      </c>
      <c r="B30" s="11">
        <f>Loan_Sizing!B22</f>
        <v/>
      </c>
      <c r="C30" t="inlineStr">
        <is>
          <t>"$"#,##0.00;[Red]("$"#,##0.00)</t>
        </is>
      </c>
      <c r="D30" s="2" t="inlineStr">
        <is>
          <t>MIN of three constraints</t>
        </is>
      </c>
    </row>
    <row r="31">
      <c r="A31" s="25" t="inlineStr">
        <is>
          <t>binding_constraint</t>
        </is>
      </c>
      <c r="B31" s="12">
        <f>Loan_Sizing!B23</f>
        <v/>
      </c>
      <c r="C31" t="inlineStr">
        <is>
          <t>General</t>
        </is>
      </c>
      <c r="D31" s="2" t="inlineStr">
        <is>
          <t>LTV/DSCR/Debt yield</t>
        </is>
      </c>
    </row>
    <row r="32">
      <c r="A32" s="25" t="inlineStr">
        <is>
          <t>sizing_annual_debt_service</t>
        </is>
      </c>
      <c r="B32" s="11">
        <f>Loan_Sizing!B25</f>
        <v/>
      </c>
      <c r="C32" t="inlineStr">
        <is>
          <t>"$"#,##0.00;[Red]("$"#,##0.00)</t>
        </is>
      </c>
      <c r="D32" s="2" t="inlineStr">
        <is>
          <t>Max loan x ADC</t>
        </is>
      </c>
    </row>
    <row r="33">
      <c r="A33" s="25" t="inlineStr">
        <is>
          <t>sizing_dscr</t>
        </is>
      </c>
      <c r="B33" s="27">
        <f>Loan_Sizing!B26</f>
        <v/>
      </c>
      <c r="C33" t="inlineStr">
        <is>
          <t>0.0000"x"</t>
        </is>
      </c>
      <c r="D33" s="2" t="inlineStr">
        <is>
          <t>NCF / Sizing ADS</t>
        </is>
      </c>
    </row>
    <row r="34">
      <c r="A34" s="25" t="inlineStr">
        <is>
          <t>sizing_debt_yield</t>
        </is>
      </c>
      <c r="B34" s="19">
        <f>Loan_Sizing!B27</f>
        <v/>
      </c>
      <c r="C34" t="inlineStr">
        <is>
          <t>0.00%</t>
        </is>
      </c>
      <c r="D34" s="2" t="inlineStr">
        <is>
          <t>NCF / Max loan</t>
        </is>
      </c>
    </row>
    <row r="35">
      <c r="A35" s="25" t="inlineStr">
        <is>
          <t>first_year_debt_service</t>
        </is>
      </c>
      <c r="B35" s="11">
        <f>Loan_Sizing!B29</f>
        <v/>
      </c>
      <c r="C35" t="inlineStr">
        <is>
          <t>"$"#,##0.00;[Red]("$"#,##0.00)</t>
        </is>
      </c>
      <c r="D35" s="2" t="inlineStr">
        <is>
          <t>IO year — Loan x contract rate</t>
        </is>
      </c>
    </row>
    <row r="36">
      <c r="A36" s="25" t="inlineStr">
        <is>
          <t>cash_to_borrower</t>
        </is>
      </c>
      <c r="B36" s="11">
        <f>Loan_Sizing!B36</f>
        <v/>
      </c>
      <c r="C36" t="inlineStr">
        <is>
          <t>"$"#,##0.00;[Red]("$"#,##0.00)</t>
        </is>
      </c>
      <c r="D36" s="2" t="inlineStr">
        <is>
          <t>Loan - payoff - orig fee - closing</t>
        </is>
      </c>
    </row>
    <row r="37">
      <c r="A37" s="25" t="inlineStr">
        <is>
          <t>stress_uw_noi</t>
        </is>
      </c>
      <c r="B37" s="11">
        <f>Sensitivity!B19</f>
        <v/>
      </c>
      <c r="C37" t="inlineStr">
        <is>
          <t>"$"#,##0.00;[Red]("$"#,##0.00)</t>
        </is>
      </c>
      <c r="D37" s="2" t="inlineStr">
        <is>
          <t>EGI -5%, mgmt recalc, other OpEx unchanged</t>
        </is>
      </c>
    </row>
    <row r="38">
      <c r="A38" s="25" t="inlineStr">
        <is>
          <t>stress_maximum_loan</t>
        </is>
      </c>
      <c r="B38" s="11">
        <f>Sensitivity!B31</f>
        <v/>
      </c>
      <c r="C38" t="inlineStr">
        <is>
          <t>"$"#,##0.00;[Red]("$"#,##0.00)</t>
        </is>
      </c>
      <c r="D38" s="2" t="inlineStr">
        <is>
          <t>EGI -5% AND sizing +100 bps; cap unchanged</t>
        </is>
      </c>
    </row>
    <row r="39">
      <c r="A39" s="25" t="inlineStr">
        <is>
          <t>subject_lease_monthly_rent</t>
        </is>
      </c>
      <c r="B39" s="11" t="n">
        <v>1675</v>
      </c>
      <c r="C39" t="inlineStr">
        <is>
          <t>"$"#,##0.00;[Red]("$"#,##0.00)</t>
        </is>
      </c>
      <c r="D39" s="2" t="inlineStr">
        <is>
          <t>Lease-File §3 (unit 101)</t>
        </is>
      </c>
    </row>
    <row r="40">
      <c r="A40" s="25" t="inlineStr">
        <is>
          <t>subject_lease_expiry</t>
        </is>
      </c>
      <c r="B40" s="12" t="inlineStr">
        <is>
          <t>2027-07-31</t>
        </is>
      </c>
      <c r="C40" t="inlineStr">
        <is>
          <t>@</t>
        </is>
      </c>
      <c r="D40" s="2" t="inlineStr">
        <is>
          <t>Lease-File §2 (unit 101)</t>
        </is>
      </c>
    </row>
    <row r="41">
      <c r="A41" s="25" t="inlineStr">
        <is>
          <t>subject_lease_deposit</t>
        </is>
      </c>
      <c r="B41" s="11" t="n">
        <v>1675</v>
      </c>
      <c r="C41" t="inlineStr">
        <is>
          <t>"$"#,##0.00;[Red]("$"#,##0.00)</t>
        </is>
      </c>
      <c r="D41" s="2" t="inlineStr">
        <is>
          <t>Lease-File §4 (unit 101)</t>
        </is>
      </c>
    </row>
    <row r="42">
      <c r="A42" s="25" t="inlineStr">
        <is>
          <t>verified_renewal_insurance</t>
        </is>
      </c>
      <c r="B42" s="11" t="n">
        <v>33600</v>
      </c>
      <c r="C42" t="inlineStr">
        <is>
          <t>"$"#,##0.00;[Red]("$"#,##0.00)</t>
        </is>
      </c>
      <c r="D42" s="2" t="inlineStr">
        <is>
          <t>Property-and-Plan p.2 renewal quote</t>
        </is>
      </c>
    </row>
    <row r="43">
      <c r="A43" s="25" t="inlineStr">
        <is>
          <t>renewal_option_exercised</t>
        </is>
      </c>
      <c r="B43" s="12" t="inlineStr">
        <is>
          <t>No — option exists per §5 but no signed exercise notice in packet</t>
        </is>
      </c>
      <c r="C43" t="inlineStr">
        <is>
          <t>@</t>
        </is>
      </c>
      <c r="D43" s="2" t="inlineStr">
        <is>
          <t>Lease-File §5; Rent-Roll note</t>
        </is>
      </c>
    </row>
    <row r="44">
      <c r="A44" s="25" t="inlineStr">
        <is>
          <t>prepayment_friction</t>
        </is>
      </c>
      <c r="B44" s="12" t="inlineStr">
        <is>
          <t>1% of outstanding principal in years 1-2; none thereafter; no swap assumed</t>
        </is>
      </c>
      <c r="C44" t="inlineStr">
        <is>
          <t>@</t>
        </is>
      </c>
      <c r="D44" s="2" t="inlineStr">
        <is>
          <t>Lender-Terms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2026-09-06T21:43:52Z</dcterms:created>
  <dcterms:modified xmlns:dcterms="http://purl.org/dc/terms/" xmlns:xsi="http://www.w3.org/2001/XMLSchema-instance" xsi:type="dcterms:W3CDTF">2026-09-06T21:43:52Z</dcterms:modified>
</cp:coreProperties>
</file>