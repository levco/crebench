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e86d9e37a4c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2bf0b4dd8c44cc6"/>
    <x:sheet xmlns:r="http://schemas.openxmlformats.org/officeDocument/2006/relationships" name="Assumptions" sheetId="2" r:id="Rf8cea64c01c04462"/>
    <x:sheet xmlns:r="http://schemas.openxmlformats.org/officeDocument/2006/relationships" name="Rent Roll" sheetId="3" r:id="R62d5cb04eaa94eee"/>
    <x:sheet xmlns:r="http://schemas.openxmlformats.org/officeDocument/2006/relationships" name="T12" sheetId="4" r:id="R97e04694fead48a3"/>
    <x:sheet xmlns:r="http://schemas.openxmlformats.org/officeDocument/2006/relationships" name="Underwriting" sheetId="5" r:id="R2aa0544b38094b1a"/>
    <x:sheet xmlns:r="http://schemas.openxmlformats.org/officeDocument/2006/relationships" name="Loan Sizing" sheetId="6" r:id="Rbef1f67f83d645b9"/>
    <x:sheet xmlns:r="http://schemas.openxmlformats.org/officeDocument/2006/relationships" name="Sensitivity" sheetId="7" r:id="R4d1747e5026b45f0"/>
    <x:sheet xmlns:r="http://schemas.openxmlformats.org/officeDocument/2006/relationships" name="Fields" sheetId="8" r:id="Red347056111344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&quot;$&quot;#,##0;[Red](&quot;$&quot;#,##0)"/>
    <x:numFmt numFmtId="165" formatCode="&quot;$&quot;#,##0.00"/>
    <x:numFmt numFmtId="166" formatCode="0.000&quot;x&quot;"/>
    <x:numFmt numFmtId="167" formatCode="0.00000000"/>
    <x:numFmt numFmtId="168" formatCode="0.00000"/>
  </x:numFmts>
  <x:fonts count="6">
    <x:font>
      <x:sz val="11"/>
      <x:color theme="1"/>
      <x:name val="Calibri"/>
    </x:font>
    <x:font>
      <x:b/>
      <x:sz val="12"/>
      <x:color rgb="FFFFFFFF"/>
    </x:font>
    <x:font>
      <x:i/>
      <x:color rgb="FF595959"/>
    </x:font>
    <x:font>
      <x:b/>
      <x:sz val="11"/>
    </x:font>
    <x:font>
      <x:b/>
    </x:font>
    <x:font>
      <x:b/>
      <x:i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2" borderId="0" xfId="0" applyAlignment="1">
      <x:alignment horizontal="center" vertical="center"/>
    </x:xf>
    <x:xf numFmtId="0" fontId="2" fillId="0" borderId="0" xfId="0"/>
    <x:xf numFmtId="0" fontId="3" fillId="3" borderId="0" xfId="0"/>
    <x:xf numFmtId="0" fontId="0" fillId="4" borderId="1" xfId="0"/>
    <x:xf numFmtId="0" fontId="0" fillId="5" borderId="1" xfId="0"/>
    <x:xf numFmtId="0" fontId="0" fillId="6" borderId="1" xfId="0"/>
    <x:xf numFmtId="0" fontId="4" fillId="0" borderId="0" xfId="0"/>
    <x:xf numFmtId="10" fontId="0" fillId="5" borderId="1" xfId="0"/>
    <x:xf numFmtId="164" fontId="0" fillId="5" borderId="1" xfId="0"/>
    <x:xf numFmtId="3" fontId="0" fillId="4" borderId="1" xfId="0"/>
    <x:xf numFmtId="164" fontId="0" fillId="4" borderId="1" xfId="0"/>
    <x:xf numFmtId="10" fontId="0" fillId="4" borderId="1" xfId="0"/>
    <x:xf numFmtId="165" fontId="0" fillId="4" borderId="1" xfId="0"/>
    <x:xf numFmtId="10" fontId="4" fillId="5" borderId="1" xfId="0"/>
    <x:xf numFmtId="166" fontId="0" fillId="4" borderId="1" xfId="0"/>
    <x:xf numFmtId="0" fontId="3" fillId="3" borderId="1" xfId="0" applyAlignment="1">
      <x:alignment horizontal="center" vertical="center"/>
    </x:xf>
    <x:xf numFmtId="0" fontId="0" fillId="0" borderId="1" xfId="0"/>
    <x:xf numFmtId="3" fontId="0" fillId="0" borderId="1" xfId="0"/>
    <x:xf numFmtId="164" fontId="0" fillId="0" borderId="1" xfId="0"/>
    <x:xf numFmtId="3" fontId="0" fillId="0" borderId="0" xfId="0"/>
    <x:xf numFmtId="164" fontId="4" fillId="5" borderId="1" xfId="0"/>
    <x:xf numFmtId="3" fontId="0" fillId="5" borderId="1" xfId="0"/>
    <x:xf numFmtId="164" fontId="0" fillId="0" borderId="0" xfId="0"/>
    <x:xf numFmtId="164" fontId="4" fillId="6" borderId="1" xfId="0"/>
    <x:xf numFmtId="0" fontId="5" fillId="0" borderId="0" xfId="0"/>
    <x:xf numFmtId="167" fontId="4" fillId="5" borderId="1" xfId="0"/>
    <x:xf numFmtId="0" fontId="3" fillId="3" borderId="1" xfId="0"/>
    <x:xf numFmtId="0" fontId="4" fillId="6" borderId="1" xfId="0"/>
    <x:xf numFmtId="166" fontId="0" fillId="5" borderId="1" xfId="0"/>
    <x:xf numFmtId="167" fontId="0" fillId="5" borderId="1" xfId="0"/>
    <x:xf numFmtId="0" fontId="4" fillId="5" borderId="1" xfId="0"/>
    <x:xf numFmtId="3" fontId="0" fillId="5" borderId="1" xfId="0" applyAlignment="1">
      <x:alignment horizontal="right"/>
    </x:xf>
    <x:xf numFmtId="2" fontId="0" fillId="5" borderId="1" xfId="0" applyAlignment="1">
      <x:alignment horizontal="right"/>
    </x:xf>
    <x:xf numFmtId="164" fontId="0" fillId="5" borderId="1" xfId="0" applyAlignment="1">
      <x:alignment horizontal="right"/>
    </x:xf>
    <x:xf numFmtId="168" fontId="0" fillId="5" borderId="1" xfId="0" applyAlignment="1">
      <x:alignment horizontal="right"/>
    </x:xf>
    <x:xf numFmtId="167" fontId="0" fillId="5" borderId="1" xfId="0" applyAlignment="1">
      <x:alignment horizontal="right"/>
    </x:xf>
    <x:xf numFmtId="0" fontId="0" fillId="5" borderId="1" xfId="0" applyAlignment="1">
      <x:alignment horizontal="right"/>
    </x:xf>
    <x:xf numFmtId="166" fontId="0" fillId="5" borderId="1" xfId="0" applyAlignment="1">
      <x:alignment horizontal="right"/>
    </x:xf>
    <x:xf numFmtId="10" fontId="0" fillId="5" borderId="1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4c46d72f044d61" /><Relationship Type="http://schemas.openxmlformats.org/officeDocument/2006/relationships/theme" Target="/xl/theme/theme1.xml" Id="R07a0c0681e254e82" /><Relationship Type="http://schemas.openxmlformats.org/officeDocument/2006/relationships/sharedStrings" Target="/xl/sharedStrings.xml" Id="Rda476b48f8fa4b86" /><Relationship Type="http://schemas.openxmlformats.org/officeDocument/2006/relationships/worksheet" Target="/xl/worksheets/sheet1.xml" Id="R52bf0b4dd8c44cc6" /><Relationship Type="http://schemas.openxmlformats.org/officeDocument/2006/relationships/worksheet" Target="/xl/worksheets/sheet2.xml" Id="Rf8cea64c01c04462" /><Relationship Type="http://schemas.openxmlformats.org/officeDocument/2006/relationships/worksheet" Target="/xl/worksheets/sheet3.xml" Id="R62d5cb04eaa94eee" /><Relationship Type="http://schemas.openxmlformats.org/officeDocument/2006/relationships/worksheet" Target="/xl/worksheets/sheet4.xml" Id="R97e04694fead48a3" /><Relationship Type="http://schemas.openxmlformats.org/officeDocument/2006/relationships/worksheet" Target="/xl/worksheets/sheet5.xml" Id="R2aa0544b38094b1a" /><Relationship Type="http://schemas.openxmlformats.org/officeDocument/2006/relationships/worksheet" Target="/xl/worksheets/sheet6.xml" Id="Rbef1f67f83d645b9" /><Relationship Type="http://schemas.openxmlformats.org/officeDocument/2006/relationships/worksheet" Target="/xl/worksheets/sheet7.xml" Id="R4d1747e5026b45f0" /><Relationship Type="http://schemas.openxmlformats.org/officeDocument/2006/relationships/worksheet" Target="/xl/worksheets/sheet8.xml" Id="Red347056111344b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2" customWidth="1"/>
    <x:col min="3" max="3" width="60" customWidth="1"/>
  </x:cols>
  <x:sheetData>
    <x:row r="2">
      <x:c r="B2" s="1" t="inlineStr">
        <x:is>
          <x:t xml:space="preserve">Stonebridge Logistics — Refinance Underwriting Workbook</x:t>
        </x:is>
      </x:c>
    </x:row>
    <x:row r="3">
      <x:c r="B3" s="2" t="inlineStr">
        <x:is>
          <x:t xml:space="preserve">As of August 31, 2026 · USD · Fictional evaluation material · No real transaction</x:t>
        </x:is>
      </x:c>
    </x:row>
    <x:row r="5">
      <x:c r="B5" s="3" t="inlineStr">
        <x:is>
          <x:t xml:space="preserve">Legend</x:t>
        </x:is>
      </x:c>
    </x:row>
    <x:row r="6">
      <x:c r="B6" s="4" t="inlineStr">
        <x:is>
          <x:t xml:space="preserve">Yellow cells</x:t>
        </x:is>
      </x:c>
      <x:c r="C6" t="inlineStr">
        <x:is>
          <x:t xml:space="preserve">Editable input assumptions — reviewer can change these</x:t>
        </x:is>
      </x:c>
    </x:row>
    <x:row r="7">
      <x:c r="B7" s="5" t="inlineStr">
        <x:is>
          <x:t xml:space="preserve">Green cells</x:t>
        </x:is>
      </x:c>
      <x:c r="C7" t="inlineStr">
        <x:is>
          <x:t xml:space="preserve">Calculated with live formulas</x:t>
        </x:is>
      </x:c>
    </x:row>
    <x:row r="8">
      <x:c r="B8" s="6" t="inlineStr">
        <x:is>
          <x:t xml:space="preserve">Orange cells</x:t>
        </x:is>
      </x:c>
      <x:c r="C8" t="inlineStr">
        <x:is>
          <x:t xml:space="preserve">Key results (maximum loan, binding constraint, etc.)</x:t>
        </x:is>
      </x:c>
    </x:row>
    <x:row r="10">
      <x:c r="B10" s="3" t="inlineStr">
        <x:is>
          <x:t xml:space="preserve">Sheet Map</x:t>
        </x:is>
      </x:c>
    </x:row>
    <x:row r="11">
      <x:c r="B11" s="7" t="inlineStr">
        <x:is>
          <x:t xml:space="preserve">Assumptions</x:t>
        </x:is>
      </x:c>
      <x:c r="C11" t="inlineStr">
        <x:is>
          <x:t xml:space="preserve">All editable inputs (cap rate, sizing rate, EGI drivers, expenses, loan terms)</x:t>
        </x:is>
      </x:c>
    </x:row>
    <x:row r="12">
      <x:c r="B12" s="7" t="inlineStr">
        <x:is>
          <x:t xml:space="preserve">Rent Roll</x:t>
        </x:is>
      </x:c>
      <x:c r="C12" t="inlineStr">
        <x:is>
          <x:t xml:space="preserve">Unit-level rent roll, occupancy calculations</x:t>
        </x:is>
      </x:c>
    </x:row>
    <x:row r="13">
      <x:c r="B13" s="7" t="inlineStr">
        <x:is>
          <x:t xml:space="preserve">T12</x:t>
        </x:is>
      </x:c>
      <x:c r="C13" t="inlineStr">
        <x:is>
          <x:t xml:space="preserve">Trailing-twelve historical statement, monthly detail + annual</x:t>
        </x:is>
      </x:c>
    </x:row>
    <x:row r="14">
      <x:c r="B14" s="7" t="inlineStr">
        <x:is>
          <x:t xml:space="preserve">Underwriting</x:t>
        </x:is>
      </x:c>
      <x:c r="C14" t="inlineStr">
        <x:is>
          <x:t xml:space="preserve">Underwritten EGI, expenses, NOI, NCF — driven by Assumptions</x:t>
        </x:is>
      </x:c>
    </x:row>
    <x:row r="15">
      <x:c r="B15" s="7" t="inlineStr">
        <x:is>
          <x:t xml:space="preserve">Loan Sizing</x:t>
        </x:is>
      </x:c>
      <x:c r="C15" t="inlineStr">
        <x:is>
          <x:t xml:space="preserve">LTV / DSCR / Debt Yield tests, binding constraint, sources &amp; uses</x:t>
        </x:is>
      </x:c>
    </x:row>
    <x:row r="16">
      <x:c r="B16" s="7" t="inlineStr">
        <x:is>
          <x:t xml:space="preserve">Sensitivity</x:t>
        </x:is>
      </x:c>
      <x:c r="C16" t="inlineStr">
        <x:is>
          <x:t xml:space="preserve">Stress: EGI -5%, Rate +100 bps combined downside; cap +50 bps separately</x:t>
        </x:is>
      </x:c>
    </x:row>
    <x:row r="17">
      <x:c r="B17" s="7" t="inlineStr">
        <x:is>
          <x:t xml:space="preserve">Fields</x:t>
        </x:is>
      </x:c>
      <x:c r="C17" t="inlineStr">
        <x:is>
          <x:t xml:space="preserve">All requested analysis field IDs with values / sources</x:t>
        </x:is>
      </x:c>
    </x:row>
    <x:row r="19">
      <x:c r="B19" s="3" t="inlineStr">
        <x:is>
          <x:t xml:space="preserve">Key Inputs Quick-Access</x:t>
        </x:is>
      </x:c>
    </x:row>
    <x:row r="20">
      <x:c r="B20" s="7" t="inlineStr">
        <x:is>
          <x:t xml:space="preserve">Cap rate</x:t>
        </x:is>
      </x:c>
      <x:c r="C20" s="8" t="n">
        <x:f>Assumptions!C24</x:f>
        <x:v>0.07250000000000001</x:v>
      </x:c>
    </x:row>
    <x:row r="21">
      <x:c r="B21" s="7" t="inlineStr">
        <x:is>
          <x:t xml:space="preserve">Sizing rate</x:t>
        </x:is>
      </x:c>
      <x:c r="C21" s="8" t="n">
        <x:f>Assumptions!C33</x:f>
        <x:v>0.0725</x:v>
      </x:c>
    </x:row>
    <x:row r="22">
      <x:c r="B22" s="7" t="inlineStr">
        <x:is>
          <x:t xml:space="preserve">Contract rate</x:t>
        </x:is>
      </x:c>
      <x:c r="C22" s="8" t="n">
        <x:f>Assumptions!C32</x:f>
        <x:v>0.0675</x:v>
      </x:c>
    </x:row>
    <x:row r="23">
      <x:c r="B23" s="7" t="inlineStr">
        <x:is>
          <x:t xml:space="preserve">Underwritten EGI</x:t>
        </x:is>
      </x:c>
      <x:c r="C23" s="9" t="n">
        <x:f>Underwriting!C10</x:f>
        <x:v>1023000</x:v>
      </x:c>
    </x:row>
    <x:row r="24">
      <x:c r="B24" s="7" t="inlineStr">
        <x:is>
          <x:t xml:space="preserve">Underwritten NOI (before reserves)</x:t>
        </x:is>
      </x:c>
      <x:c r="C24" s="9" t="n">
        <x:f>Underwriting!C22</x:f>
        <x:v>760710</x:v>
      </x:c>
    </x:row>
    <x:row r="25">
      <x:c r="B25" s="7" t="inlineStr">
        <x:is>
          <x:t xml:space="preserve">Indicative value</x:t>
        </x:is>
      </x:c>
      <x:c r="C25" s="9" t="n">
        <x:f>'Loan Sizing'!C6</x:f>
        <x:v>10492551.72413793</x:v>
      </x:c>
    </x:row>
    <x:row r="26">
      <x:c r="B26" s="7" t="inlineStr">
        <x:is>
          <x:t xml:space="preserve">Maximum loan</x:t>
        </x:is>
      </x:c>
      <x:c r="C26" s="9" t="n">
        <x:f>'Loan Sizing'!C18</x:f>
        <x:v>6295531.034482758</x:v>
      </x:c>
    </x:row>
    <x:row r="27">
      <x:c r="B27" s="7" t="inlineStr">
        <x:is>
          <x:t xml:space="preserve">Binding constraint</x:t>
        </x:is>
      </x:c>
      <x:c r="C27" s="5" t="str">
        <x:f>'Loan Sizing'!C19</x:f>
        <x:v>LTV</x:v>
      </x:c>
    </x:row>
  </x:sheetData>
  <x:mergeCells>
    <x:mergeCell ref="B3:C3"/>
    <x:mergeCell ref="B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8" customWidth="1"/>
    <x:col min="3" max="3" width="18" customWidth="1"/>
    <x:col min="4" max="4" width="60" customWidth="1"/>
  </x:cols>
  <x:sheetData>
    <x:row r="2">
      <x:c r="B2" s="1" t="inlineStr">
        <x:is>
          <x:t xml:space="preserve">Editable Assumptions</x:t>
        </x:is>
      </x:c>
    </x:row>
    <x:row r="4">
      <x:c r="B4" s="3" t="inlineStr">
        <x:is>
          <x:t xml:space="preserve">Property</x:t>
        </x:is>
      </x:c>
    </x:row>
    <x:row r="5">
      <x:c r="B5" t="inlineStr">
        <x:is>
          <x:t xml:space="preserve">Total rentable SF</x:t>
        </x:is>
      </x:c>
      <x:c r="C5" s="10" t="n">
        <x:v>85000</x:v>
      </x:c>
      <x:c r="D5" t="inlineStr">
        <x:is>
          <x:t xml:space="preserve">From rent roll (sum of unit SF)</x:t>
        </x:is>
      </x:c>
    </x:row>
    <x:row r="6">
      <x:c r="B6" t="inlineStr">
        <x:is>
          <x:t xml:space="preserve">As-of date</x:t>
        </x:is>
      </x:c>
      <x:c r="C6" s="4" t="inlineStr">
        <x:is>
          <x:t xml:space="preserve">2026-08-31</x:t>
        </x:is>
      </x:c>
      <x:c r="D6" t="inlineStr">
        <x:is>
          <x:t xml:space="preserve">Rent roll and T12 as-of</x:t>
        </x:is>
      </x:c>
    </x:row>
    <x:row r="8">
      <x:c r="B8" s="3" t="inlineStr">
        <x:is>
          <x:t xml:space="preserve">Underwriting — Revenue</x:t>
        </x:is>
      </x:c>
    </x:row>
    <x:row r="9">
      <x:c r="B9" t="inlineStr">
        <x:is>
          <x:t xml:space="preserve">Gross potential base rent (annual)</x:t>
        </x:is>
      </x:c>
      <x:c r="C9" s="11" t="n">
        <x:v>900000</x:v>
      </x:c>
      <x:c r="D9" t="inlineStr">
        <x:is>
          <x:t xml:space="preserve">Supplied scenario per Property-and-Plan p.2</x:t>
        </x:is>
      </x:c>
    </x:row>
    <x:row r="10">
      <x:c r="B10" t="inlineStr">
        <x:is>
          <x:t xml:space="preserve">Combined revenue loss %</x:t>
        </x:is>
      </x:c>
      <x:c r="C10" s="12" t="n">
        <x:v>0.08</x:v>
      </x:c>
      <x:c r="D10" t="inlineStr">
        <x:is>
          <x:t xml:space="preserve">Vacancy + concessions + bad debt per plan</x:t>
        </x:is>
      </x:c>
    </x:row>
    <x:row r="11">
      <x:c r="B11" t="inlineStr">
        <x:is>
          <x:t xml:space="preserve">Other income / recoveries (annual)</x:t>
        </x:is>
      </x:c>
      <x:c r="C11" s="11" t="n">
        <x:v>195000</x:v>
      </x:c>
      <x:c r="D11" t="inlineStr">
        <x:is>
          <x:t xml:space="preserve">Added after revenue loss</x:t>
        </x:is>
      </x:c>
    </x:row>
    <x:row r="13">
      <x:c r="B13" s="3" t="inlineStr">
        <x:is>
          <x:t xml:space="preserve">Underwriting — Operating Expenses (annual)</x:t>
        </x:is>
      </x:c>
    </x:row>
    <x:row r="14">
      <x:c r="B14" t="inlineStr">
        <x:is>
          <x:t xml:space="preserve">Real estate taxes</x:t>
        </x:is>
      </x:c>
      <x:c r="C14" s="11" t="n">
        <x:v>132000</x:v>
      </x:c>
      <x:c r="D14" t="inlineStr">
        <x:is>
          <x:t xml:space="preserve">Plan override; T12 was $126,000</x:t>
        </x:is>
      </x:c>
    </x:row>
    <x:row r="15">
      <x:c r="B15" t="inlineStr">
        <x:is>
          <x:t xml:space="preserve">Property insurance</x:t>
        </x:is>
      </x:c>
      <x:c r="C15" s="11" t="n">
        <x:v>33600</x:v>
      </x:c>
      <x:c r="D15" t="inlineStr">
        <x:is>
          <x:t xml:space="preserve">Renewal quote in plan (verified renewal confirmation Aug 25, 2026)</x:t>
        </x:is>
      </x:c>
    </x:row>
    <x:row r="16">
      <x:c r="B16" t="inlineStr">
        <x:is>
          <x:t xml:space="preserve">Utilities</x:t>
        </x:is>
      </x:c>
      <x:c r="C16" s="11" t="n">
        <x:v>12000</x:v>
      </x:c>
      <x:c r="D16" t="inlineStr">
        <x:is>
          <x:t xml:space="preserve">Use T12 actual</x:t>
        </x:is>
      </x:c>
    </x:row>
    <x:row r="17">
      <x:c r="B17" t="inlineStr">
        <x:is>
          <x:t xml:space="preserve">Repairs &amp; maintenance</x:t>
        </x:is>
      </x:c>
      <x:c r="C17" s="11" t="n">
        <x:v>18000</x:v>
      </x:c>
      <x:c r="D17" t="inlineStr">
        <x:is>
          <x:t xml:space="preserve">T12 $24,000 less $6,000 one-time casualty cleanup</x:t>
        </x:is>
      </x:c>
    </x:row>
    <x:row r="18">
      <x:c r="B18" t="inlineStr">
        <x:is>
          <x:t xml:space="preserve">Payroll / contract labor</x:t>
        </x:is>
      </x:c>
      <x:c r="C18" s="11" t="n">
        <x:v>18000</x:v>
      </x:c>
      <x:c r="D18" t="inlineStr">
        <x:is>
          <x:t xml:space="preserve">Use T12 actual</x:t>
        </x:is>
      </x:c>
    </x:row>
    <x:row r="19">
      <x:c r="B19" t="inlineStr">
        <x:is>
          <x:t xml:space="preserve">Administrative / legal</x:t>
        </x:is>
      </x:c>
      <x:c r="C19" s="11" t="n">
        <x:v>18000</x:v>
      </x:c>
      <x:c r="D19" t="inlineStr">
        <x:is>
          <x:t xml:space="preserve">Use T12 actual</x:t>
        </x:is>
      </x:c>
    </x:row>
    <x:row r="20">
      <x:c r="B20" t="inlineStr">
        <x:is>
          <x:t xml:space="preserve">Management — T12 actual</x:t>
        </x:is>
      </x:c>
      <x:c r="C20" s="11" t="n">
        <x:v>25200</x:v>
      </x:c>
      <x:c r="D20" t="inlineStr">
        <x:is>
          <x:t xml:space="preserve">Historical T12 mgmt fee</x:t>
        </x:is>
      </x:c>
    </x:row>
    <x:row r="21">
      <x:c r="B21" t="inlineStr">
        <x:is>
          <x:t xml:space="preserve">Management — % of underwritten EGI</x:t>
        </x:is>
      </x:c>
      <x:c r="C21" s="12" t="n">
        <x:v>0.03</x:v>
      </x:c>
      <x:c r="D21" t="inlineStr">
        <x:is>
          <x:t xml:space="preserve">Plan: greater of T12 actual OR 3% of underwritten EGI</x:t>
        </x:is>
      </x:c>
    </x:row>
    <x:row r="22">
      <x:c r="B22" t="inlineStr">
        <x:is>
          <x:t xml:space="preserve">Replacement reserves ($/SF/yr)</x:t>
        </x:is>
      </x:c>
      <x:c r="C22" s="13" t="n">
        <x:v>0.2</x:v>
      </x:c>
      <x:c r="D22" t="inlineStr">
        <x:is>
          <x:t xml:space="preserve">Deducted BELOW NOI</x:t>
        </x:is>
      </x:c>
    </x:row>
    <x:row r="24">
      <x:c r="B24" s="7" t="inlineStr">
        <x:is>
          <x:t xml:space="preserve">Cap rate (valuation)</x:t>
        </x:is>
      </x:c>
      <x:c r="C24" s="12" t="n">
        <x:v>0.07250000000000001</x:v>
      </x:c>
      <x:c r="D24" t="inlineStr">
        <x:is>
          <x:t xml:space="preserve">NOI BEFORE reserves ÷ cap rate; no appraisal implied</x:t>
        </x:is>
      </x:c>
    </x:row>
    <x:row r="26">
      <x:c r="B26" s="3" t="inlineStr">
        <x:is>
          <x:t xml:space="preserve">Loan Terms</x:t>
        </x:is>
      </x:c>
    </x:row>
    <x:row r="27">
      <x:c r="B27" t="inlineStr">
        <x:is>
          <x:t xml:space="preserve">Index rate</x:t>
        </x:is>
      </x:c>
      <x:c r="C27" s="12" t="n">
        <x:v>0.0325</x:v>
      </x:c>
      <x:c r="D27" t="inlineStr">
        <x:is>
          <x:t xml:space="preserve">Lender Terms</x:t>
        </x:is>
      </x:c>
    </x:row>
    <x:row r="28">
      <x:c r="B28" t="inlineStr">
        <x:is>
          <x:t xml:space="preserve">Index floor</x:t>
        </x:is>
      </x:c>
      <x:c r="C28" s="12" t="n">
        <x:v>0.04</x:v>
      </x:c>
      <x:c r="D28" t="inlineStr">
        <x:is>
          <x:t xml:space="preserve">Apply floor BEFORE spread</x:t>
        </x:is>
      </x:c>
    </x:row>
    <x:row r="29">
      <x:c r="B29" t="inlineStr">
        <x:is>
          <x:t xml:space="preserve">Spread</x:t>
        </x:is>
      </x:c>
      <x:c r="C29" s="12" t="n">
        <x:v>0.0275</x:v>
      </x:c>
      <x:c r="D29" t="inlineStr">
        <x:is>
          <x:t xml:space="preserve">Added AFTER floor</x:t>
        </x:is>
      </x:c>
    </x:row>
    <x:row r="30">
      <x:c r="B30" t="inlineStr">
        <x:is>
          <x:t xml:space="preserve">Sizing rate floor</x:t>
        </x:is>
      </x:c>
      <x:c r="C30" s="12" t="n">
        <x:v>0.0725</x:v>
      </x:c>
      <x:c r="D30" t="inlineStr">
        <x:is>
          <x:t xml:space="preserve">Underwriting floor</x:t>
        </x:is>
      </x:c>
    </x:row>
    <x:row r="31">
      <x:c r="B31" t="inlineStr">
        <x:is>
          <x:t xml:space="preserve">Effective index (after floor)</x:t>
        </x:is>
      </x:c>
      <x:c r="C31" s="8" t="n">
        <x:f>MAX(C27,C28)</x:f>
        <x:v>0.04</x:v>
      </x:c>
      <x:c r="D31" t="inlineStr">
        <x:is>
          <x:t xml:space="preserve">MAX(index, floor)</x:t>
        </x:is>
      </x:c>
    </x:row>
    <x:row r="32">
      <x:c r="B32" t="inlineStr">
        <x:is>
          <x:t xml:space="preserve">Contract rate</x:t>
        </x:is>
      </x:c>
      <x:c r="C32" s="14" t="n">
        <x:f>C31+C29</x:f>
        <x:v>0.0675</x:v>
      </x:c>
      <x:c r="D32" t="inlineStr">
        <x:is>
          <x:t xml:space="preserve">Effective index + spread</x:t>
        </x:is>
      </x:c>
    </x:row>
    <x:row r="33">
      <x:c r="B33" t="inlineStr">
        <x:is>
          <x:t xml:space="preserve">Sizing rate</x:t>
        </x:is>
      </x:c>
      <x:c r="C33" s="14" t="n">
        <x:f>MAX(C32,C30)</x:f>
        <x:v>0.0725</x:v>
      </x:c>
      <x:c r="D33" t="inlineStr">
        <x:is>
          <x:t xml:space="preserve">Greater of contract rate and 7.25%</x:t>
        </x:is>
      </x:c>
    </x:row>
    <x:row r="34">
      <x:c r="B34" t="inlineStr">
        <x:is>
          <x:t xml:space="preserve">Amortization (years)</x:t>
        </x:is>
      </x:c>
      <x:c r="C34" s="10" t="n">
        <x:v>25</x:v>
      </x:c>
      <x:c r="D34" t="inlineStr">
        <x:is>
          <x:t xml:space="preserve">Monthly payments</x:t>
        </x:is>
      </x:c>
    </x:row>
    <x:row r="35">
      <x:c r="B35" t="inlineStr">
        <x:is>
          <x:t xml:space="preserve">Interest-only period (months)</x:t>
        </x:is>
      </x:c>
      <x:c r="C35" s="10" t="n">
        <x:v>12</x:v>
      </x:c>
      <x:c r="D35" t="inlineStr">
        <x:is>
          <x:t xml:space="preserve">First 12 months IO</x:t>
        </x:is>
      </x:c>
    </x:row>
    <x:row r="36">
      <x:c r="B36" t="inlineStr">
        <x:is>
          <x:t xml:space="preserve">Maturity (months)</x:t>
        </x:is>
      </x:c>
      <x:c r="C36" s="10" t="n">
        <x:v>36</x:v>
      </x:c>
    </x:row>
    <x:row r="38">
      <x:c r="B38" s="3" t="inlineStr">
        <x:is>
          <x:t xml:space="preserve">Loan Sizing Constraints</x:t>
        </x:is>
      </x:c>
    </x:row>
    <x:row r="39">
      <x:c r="B39" t="inlineStr">
        <x:is>
          <x:t xml:space="preserve">Max LTV</x:t>
        </x:is>
      </x:c>
      <x:c r="C39" s="12" t="n">
        <x:v>0.6</x:v>
      </x:c>
      <x:c r="D39" t="inlineStr">
        <x:is>
          <x:t xml:space="preserve">Applied to indicative value</x:t>
        </x:is>
      </x:c>
    </x:row>
    <x:row r="40">
      <x:c r="B40" t="inlineStr">
        <x:is>
          <x:t xml:space="preserve">Min DSCR</x:t>
        </x:is>
      </x:c>
      <x:c r="C40" s="15" t="n">
        <x:v>1.3</x:v>
      </x:c>
      <x:c r="D40" t="inlineStr">
        <x:is>
          <x:t xml:space="preserve">NCF after reserves ÷ amortizing DS at sizing rate</x:t>
        </x:is>
      </x:c>
    </x:row>
    <x:row r="41">
      <x:c r="B41" t="inlineStr">
        <x:is>
          <x:t xml:space="preserve">Min debt yield</x:t>
        </x:is>
      </x:c>
      <x:c r="C41" s="12" t="n">
        <x:v>0.1</x:v>
      </x:c>
      <x:c r="D41" t="inlineStr">
        <x:is>
          <x:t xml:space="preserve">NCF after reserves ÷ loan</x:t>
        </x:is>
      </x:c>
    </x:row>
    <x:row r="43">
      <x:c r="B43" s="3" t="inlineStr">
        <x:is>
          <x:t xml:space="preserve">Fees &amp; Uses</x:t>
        </x:is>
      </x:c>
    </x:row>
    <x:row r="44">
      <x:c r="B44" t="inlineStr">
        <x:is>
          <x:t xml:space="preserve">Existing debt payoff</x:t>
        </x:is>
      </x:c>
      <x:c r="C44" s="11" t="n">
        <x:v>4200000</x:v>
      </x:c>
      <x:c r="D44" t="inlineStr">
        <x:is>
          <x:t xml:space="preserve">Property plan</x:t>
        </x:is>
      </x:c>
    </x:row>
    <x:row r="45">
      <x:c r="B45" t="inlineStr">
        <x:is>
          <x:t xml:space="preserve">Fixed closing costs</x:t>
        </x:is>
      </x:c>
      <x:c r="C45" s="11" t="n">
        <x:v>70000</x:v>
      </x:c>
      <x:c r="D45" t="inlineStr">
        <x:is>
          <x:t xml:space="preserve">Property plan</x:t>
        </x:is>
      </x:c>
    </x:row>
    <x:row r="46">
      <x:c r="B46" t="inlineStr">
        <x:is>
          <x:t xml:space="preserve">Origination fee % of loan</x:t>
        </x:is>
      </x:c>
      <x:c r="C46" s="12" t="n">
        <x:v>0.0125</x:v>
      </x:c>
      <x:c r="D46" t="inlineStr">
        <x:is>
          <x:t xml:space="preserve">1.25% of actual initial principal</x:t>
        </x:is>
      </x:c>
    </x:row>
    <x:row r="48">
      <x:c r="B48" s="3" t="inlineStr">
        <x:is>
          <x:t xml:space="preserve">Sensitivity Levers</x:t>
        </x:is>
      </x:c>
    </x:row>
    <x:row r="49">
      <x:c r="B49" t="inlineStr">
        <x:is>
          <x:t xml:space="preserve">EGI stress %</x:t>
        </x:is>
      </x:c>
      <x:c r="C49" s="12" t="n">
        <x:v>-0.05</x:v>
      </x:c>
      <x:c r="D49" t="inlineStr">
        <x:is>
          <x:t xml:space="preserve">Downside EGI adjustment</x:t>
        </x:is>
      </x:c>
    </x:row>
    <x:row r="50">
      <x:c r="B50" t="inlineStr">
        <x:is>
          <x:t xml:space="preserve">Sizing-rate stress (bps)</x:t>
        </x:is>
      </x:c>
      <x:c r="C50" s="10" t="n">
        <x:v>100</x:v>
      </x:c>
      <x:c r="D50" t="inlineStr">
        <x:is>
          <x:t xml:space="preserve">Added to sizing rate in combined downside</x:t>
        </x:is>
      </x:c>
    </x:row>
    <x:row r="51">
      <x:c r="B51" t="inlineStr">
        <x:is>
          <x:t xml:space="preserve">Cap-rate sensitivity (bps)</x:t>
        </x:is>
      </x:c>
      <x:c r="C51" s="10" t="n">
        <x:v>50</x:v>
      </x:c>
      <x:c r="D51" t="inlineStr">
        <x:is>
          <x:t xml:space="preserve">Separate cap-rate stress</x:t>
        </x:is>
      </x:c>
    </x:row>
  </x:sheetData>
  <x:mergeCells>
    <x:mergeCell ref="B48:D48"/>
    <x:mergeCell ref="B8:D8"/>
    <x:mergeCell ref="B4:D4"/>
    <x:mergeCell ref="B26:D26"/>
    <x:mergeCell ref="B13:D13"/>
    <x:mergeCell ref="B43:D43"/>
    <x:mergeCell ref="B38:D38"/>
    <x:mergeCell ref="B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10" customWidth="1"/>
    <x:col min="3" max="3" width="22" customWidth="1"/>
    <x:col min="4" max="4" width="12" customWidth="1"/>
    <x:col min="5" max="5" width="12" customWidth="1"/>
    <x:col min="6" max="6" width="16" customWidth="1"/>
    <x:col min="7" max="7" width="16" customWidth="1"/>
    <x:col min="8" max="8" width="14" customWidth="1"/>
  </x:cols>
  <x:sheetData>
    <x:row r="2">
      <x:c r="B2" s="1" t="inlineStr">
        <x:is>
          <x:t xml:space="preserve">Rent Roll — As of 2026-08-31</x:t>
        </x:is>
      </x:c>
    </x:row>
    <x:row r="4">
      <x:c r="B4" s="16" t="inlineStr">
        <x:is>
          <x:t xml:space="preserve">Unit</x:t>
        </x:is>
      </x:c>
      <x:c r="C4" s="16" t="inlineStr">
        <x:is>
          <x:t xml:space="preserve">Tenant</x:t>
        </x:is>
      </x:c>
      <x:c r="D4" s="16" t="inlineStr">
        <x:is>
          <x:t xml:space="preserve">Area SF</x:t>
        </x:is>
      </x:c>
      <x:c r="E4" s="16" t="inlineStr">
        <x:is>
          <x:t xml:space="preserve">Status</x:t>
        </x:is>
      </x:c>
      <x:c r="F4" s="16" t="inlineStr">
        <x:is>
          <x:t xml:space="preserve">Monthly Base Rent</x:t>
        </x:is>
      </x:c>
      <x:c r="G4" s="16" t="inlineStr">
        <x:is>
          <x:t xml:space="preserve">Market Monthly Rent</x:t>
        </x:is>
      </x:c>
      <x:c r="H4" s="16" t="inlineStr">
        <x:is>
          <x:t xml:space="preserve">Lease Expiry</x:t>
        </x:is>
      </x:c>
    </x:row>
    <x:row r="5">
      <x:c r="B5" s="17" t="inlineStr">
        <x:is>
          <x:t xml:space="preserve">101</x:t>
        </x:is>
      </x:c>
      <x:c r="C5" s="17" t="inlineStr">
        <x:is>
          <x:t xml:space="preserve">Tenant A LLC</x:t>
        </x:is>
      </x:c>
      <x:c r="D5" s="18" t="n">
        <x:v>18000</x:v>
      </x:c>
      <x:c r="E5" s="17" t="inlineStr">
        <x:is>
          <x:t xml:space="preserve">Occupied</x:t>
        </x:is>
      </x:c>
      <x:c r="F5" s="19" t="n">
        <x:v>15000</x:v>
      </x:c>
      <x:c r="G5" s="19" t="n">
        <x:v>15000</x:v>
      </x:c>
      <x:c r="H5" s="17" t="inlineStr">
        <x:is>
          <x:t xml:space="preserve">2030-08-31</x:t>
        </x:is>
      </x:c>
    </x:row>
    <x:row r="6">
      <x:c r="B6" s="17" t="inlineStr">
        <x:is>
          <x:t xml:space="preserve">102</x:t>
        </x:is>
      </x:c>
      <x:c r="C6" s="17" t="inlineStr">
        <x:is>
          <x:t xml:space="preserve">Tenant B LLC</x:t>
        </x:is>
      </x:c>
      <x:c r="D6" s="18" t="n">
        <x:v>22000</x:v>
      </x:c>
      <x:c r="E6" s="17" t="inlineStr">
        <x:is>
          <x:t xml:space="preserve">Occupied</x:t>
        </x:is>
      </x:c>
      <x:c r="F6" s="19" t="n">
        <x:v>18700</x:v>
      </x:c>
      <x:c r="G6" s="19" t="n">
        <x:v>18700</x:v>
      </x:c>
      <x:c r="H6" s="17" t="inlineStr">
        <x:is>
          <x:t xml:space="preserve">2028-08-31</x:t>
        </x:is>
      </x:c>
    </x:row>
    <x:row r="7">
      <x:c r="B7" s="17" t="inlineStr">
        <x:is>
          <x:t xml:space="preserve">103</x:t>
        </x:is>
      </x:c>
      <x:c r="C7" s="17" t="inlineStr">
        <x:is>
          <x:t xml:space="preserve">Tenant C LLC</x:t>
        </x:is>
      </x:c>
      <x:c r="D7" s="18" t="n">
        <x:v>30000</x:v>
      </x:c>
      <x:c r="E7" s="17" t="inlineStr">
        <x:is>
          <x:t xml:space="preserve">Occupied</x:t>
        </x:is>
      </x:c>
      <x:c r="F7" s="19" t="n">
        <x:v>27000</x:v>
      </x:c>
      <x:c r="G7" s="19" t="n">
        <x:v>27000</x:v>
      </x:c>
      <x:c r="H7" s="17" t="inlineStr">
        <x:is>
          <x:t xml:space="preserve">2029-08-31</x:t>
        </x:is>
      </x:c>
    </x:row>
    <x:row r="8">
      <x:c r="B8" s="17" t="inlineStr">
        <x:is>
          <x:t xml:space="preserve">104</x:t>
        </x:is>
      </x:c>
      <x:c r="C8" s="17" t="inlineStr">
        <x:is>
          <x:t xml:space="preserve">Vacant</x:t>
        </x:is>
      </x:c>
      <x:c r="D8" s="18" t="n">
        <x:v>15000</x:v>
      </x:c>
      <x:c r="E8" s="17" t="inlineStr">
        <x:is>
          <x:t xml:space="preserve">Vacant</x:t>
        </x:is>
      </x:c>
      <x:c r="F8" s="19" t="n"/>
      <x:c r="G8" s="19" t="n">
        <x:v>12500</x:v>
      </x:c>
      <x:c r="H8" s="17" t="n"/>
    </x:row>
    <x:row r="10">
      <x:c r="B10" s="7" t="inlineStr">
        <x:is>
          <x:t xml:space="preserve">Totals</x:t>
        </x:is>
      </x:c>
      <x:c r="D10" s="20" t="n">
        <x:f>SUM(D5:D8)</x:f>
        <x:v>85000</x:v>
      </x:c>
      <x:c r="F10" s="21" t="n">
        <x:f>SUM(F5:F8)</x:f>
        <x:v>60700</x:v>
      </x:c>
      <x:c r="G10" s="21" t="n">
        <x:f>SUM(G5:G8)</x:f>
        <x:v>73200</x:v>
      </x:c>
    </x:row>
    <x:row r="12">
      <x:c r="B12" s="3" t="inlineStr">
        <x:is>
          <x:t xml:space="preserve">Occupancy Summary</x:t>
        </x:is>
      </x:c>
    </x:row>
    <x:row r="13">
      <x:c r="B13" t="inlineStr">
        <x:is>
          <x:t xml:space="preserve">Total space count</x:t>
        </x:is>
      </x:c>
      <x:c r="C13" s="22" t="n">
        <x:f>COUNTA(B5:B8)</x:f>
        <x:v>4</x:v>
      </x:c>
    </x:row>
    <x:row r="14">
      <x:c r="B14" t="inlineStr">
        <x:is>
          <x:t xml:space="preserve">Occupied count</x:t>
        </x:is>
      </x:c>
      <x:c r="C14" s="22" t="n">
        <x:f>COUNTIF(E5:E8,"Occupied")</x:f>
        <x:v>3</x:v>
      </x:c>
    </x:row>
    <x:row r="15">
      <x:c r="B15" t="inlineStr">
        <x:is>
          <x:t xml:space="preserve">Total area SF</x:t>
        </x:is>
      </x:c>
      <x:c r="C15" s="22" t="n">
        <x:f>SUM(D5:D8)</x:f>
        <x:v>85000</x:v>
      </x:c>
    </x:row>
    <x:row r="16">
      <x:c r="B16" t="inlineStr">
        <x:is>
          <x:t xml:space="preserve">Occupied area SF</x:t>
        </x:is>
      </x:c>
      <x:c r="C16" s="22" t="n">
        <x:f>SUMIF(E5:E8,"Occupied",D5:D8)</x:f>
        <x:v>70000</x:v>
      </x:c>
    </x:row>
    <x:row r="17">
      <x:c r="B17" t="inlineStr">
        <x:is>
          <x:t xml:space="preserve">Occupancy by count %</x:t>
        </x:is>
      </x:c>
      <x:c r="C17" s="8" t="n">
        <x:f>C14/C13</x:f>
        <x:v>0.75</x:v>
      </x:c>
    </x:row>
    <x:row r="18">
      <x:c r="B18" t="inlineStr">
        <x:is>
          <x:t xml:space="preserve">Occupancy by area %</x:t>
        </x:is>
      </x:c>
      <x:c r="C18" s="8" t="n">
        <x:f>C16/C15</x:f>
        <x:v>0.8235294117647058</x:v>
      </x:c>
    </x:row>
    <x:row r="19">
      <x:c r="B19" t="inlineStr">
        <x:is>
          <x:t xml:space="preserve">Rent roll monthly base</x:t>
        </x:is>
      </x:c>
      <x:c r="C19" s="9" t="n">
        <x:f>SUM(F5:F8)</x:f>
        <x:v>60700</x:v>
      </x:c>
    </x:row>
    <x:row r="20">
      <x:c r="B20" t="inlineStr">
        <x:is>
          <x:t xml:space="preserve">Effective monthly base (after amendments)</x:t>
        </x:is>
      </x:c>
      <x:c r="C20" s="9" t="n">
        <x:f>C19</x:f>
        <x:v>60700</x:v>
      </x:c>
      <x:c r="D20" t="inlineStr">
        <x:is>
          <x:t xml:space="preserve">Lease file confirms Unit 101 $15,000/mo as of 2026-08-31; no amendments</x:t>
        </x:is>
      </x:c>
    </x:row>
  </x:sheetData>
  <x:mergeCells>
    <x:mergeCell ref="B2:H2"/>
    <x:mergeCell ref="B12:H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2" customWidth="1"/>
    <x:col min="3" max="3" width="18" customWidth="1"/>
    <x:col min="4" max="4" width="40" customWidth="1"/>
  </x:cols>
  <x:sheetData>
    <x:row r="2">
      <x:c r="B2" s="1" t="inlineStr">
        <x:is>
          <x:t xml:space="preserve">Trailing 12 Months (Sep-2025 to Aug-2026) — Annual</x:t>
        </x:is>
      </x:c>
    </x:row>
    <x:row r="4">
      <x:c r="B4" t="inlineStr">
        <x:is>
          <x:t xml:space="preserve">Gross potential base rent</x:t>
        </x:is>
      </x:c>
      <x:c r="C4" s="23" t="n">
        <x:v>852000</x:v>
      </x:c>
      <x:c r="D4" t="inlineStr">
        <x:is>
          <x:t xml:space="preserve">T12 p.2 Annual</x:t>
        </x:is>
      </x:c>
    </x:row>
    <x:row r="5">
      <x:c r="B5" t="inlineStr">
        <x:is>
          <x:t xml:space="preserve">Vacancy loss</x:t>
        </x:is>
      </x:c>
      <x:c r="C5" s="23" t="n">
        <x:v>-150000</x:v>
      </x:c>
      <x:c r="D5" t="inlineStr">
        <x:is>
          <x:t xml:space="preserve">T12</x:t>
        </x:is>
      </x:c>
    </x:row>
    <x:row r="6">
      <x:c r="B6" t="inlineStr">
        <x:is>
          <x:t xml:space="preserve">Concessions</x:t>
        </x:is>
      </x:c>
      <x:c r="C6" s="23" t="n">
        <x:v>-36000</x:v>
      </x:c>
      <x:c r="D6" t="inlineStr">
        <x:is>
          <x:t xml:space="preserve">T12</x:t>
        </x:is>
      </x:c>
    </x:row>
    <x:row r="7">
      <x:c r="B7" t="inlineStr">
        <x:is>
          <x:t xml:space="preserve">Bad debt</x:t>
        </x:is>
      </x:c>
      <x:c r="C7" s="23" t="n">
        <x:v>-6000</x:v>
      </x:c>
      <x:c r="D7" t="inlineStr">
        <x:is>
          <x:t xml:space="preserve">T12</x:t>
        </x:is>
      </x:c>
    </x:row>
    <x:row r="8">
      <x:c r="B8" t="inlineStr">
        <x:is>
          <x:t xml:space="preserve">Other income / recoveries</x:t>
        </x:is>
      </x:c>
      <x:c r="C8" s="23" t="n">
        <x:v>186000</x:v>
      </x:c>
      <x:c r="D8" t="inlineStr">
        <x:is>
          <x:t xml:space="preserve">T12</x:t>
        </x:is>
      </x:c>
    </x:row>
    <x:row r="9">
      <x:c r="B9" s="7" t="inlineStr">
        <x:is>
          <x:t xml:space="preserve">Effective Gross Income (EGI)</x:t>
        </x:is>
      </x:c>
      <x:c r="C9" s="21" t="n">
        <x:f>SUM(C4:C8)</x:f>
        <x:v>846000</x:v>
      </x:c>
    </x:row>
    <x:row r="11">
      <x:c r="B11" s="7" t="inlineStr">
        <x:is>
          <x:t xml:space="preserve">Operating expenses</x:t>
        </x:is>
      </x:c>
    </x:row>
    <x:row r="12">
      <x:c r="B12" t="inlineStr">
        <x:is>
          <x:t xml:space="preserve">Real estate taxes</x:t>
        </x:is>
      </x:c>
      <x:c r="C12" s="23" t="n">
        <x:v>126000</x:v>
      </x:c>
    </x:row>
    <x:row r="13">
      <x:c r="B13" t="inlineStr">
        <x:is>
          <x:t xml:space="preserve">Property insurance</x:t>
        </x:is>
      </x:c>
      <x:c r="C13" s="23" t="n">
        <x:v>30000</x:v>
      </x:c>
    </x:row>
    <x:row r="14">
      <x:c r="B14" t="inlineStr">
        <x:is>
          <x:t xml:space="preserve">Utilities</x:t>
        </x:is>
      </x:c>
      <x:c r="C14" s="23" t="n">
        <x:v>12000</x:v>
      </x:c>
    </x:row>
    <x:row r="15">
      <x:c r="B15" t="inlineStr">
        <x:is>
          <x:t xml:space="preserve">Repairs and maintenance</x:t>
        </x:is>
      </x:c>
      <x:c r="C15" s="23" t="n">
        <x:v>24000</x:v>
      </x:c>
    </x:row>
    <x:row r="16">
      <x:c r="B16" t="inlineStr">
        <x:is>
          <x:t xml:space="preserve">Payroll / contract labor</x:t>
        </x:is>
      </x:c>
      <x:c r="C16" s="23" t="n">
        <x:v>18000</x:v>
      </x:c>
    </x:row>
    <x:row r="17">
      <x:c r="B17" t="inlineStr">
        <x:is>
          <x:t xml:space="preserve">Administrative / legal</x:t>
        </x:is>
      </x:c>
      <x:c r="C17" s="23" t="n">
        <x:v>18000</x:v>
      </x:c>
    </x:row>
    <x:row r="18">
      <x:c r="B18" t="inlineStr">
        <x:is>
          <x:t xml:space="preserve">Management fee</x:t>
        </x:is>
      </x:c>
      <x:c r="C18" s="23" t="n">
        <x:v>25200</x:v>
      </x:c>
    </x:row>
    <x:row r="19">
      <x:c r="B19" s="7" t="inlineStr">
        <x:is>
          <x:t xml:space="preserve">Total operating expenses</x:t>
        </x:is>
      </x:c>
      <x:c r="C19" s="21" t="n">
        <x:f>SUM(C12:C18)</x:f>
        <x:v>253200</x:v>
      </x:c>
    </x:row>
    <x:row r="21">
      <x:c r="B21" s="7" t="inlineStr">
        <x:is>
          <x:t xml:space="preserve">NOI before replacement reserves</x:t>
        </x:is>
      </x:c>
      <x:c r="C21" s="24" t="n">
        <x:f>C9-C19</x:f>
        <x:v>592800</x:v>
      </x:c>
    </x:row>
    <x:row r="22">
      <x:c r="B22" t="inlineStr">
        <x:is>
          <x:t xml:space="preserve">Replacement reserves (below NOI)</x:t>
        </x:is>
      </x:c>
      <x:c r="C22" s="23" t="n">
        <x:v>17000</x:v>
      </x:c>
    </x:row>
    <x:row r="23">
      <x:c r="B23" s="7" t="inlineStr">
        <x:is>
          <x:t xml:space="preserve">Net cash flow after reserves</x:t>
        </x:is>
      </x:c>
      <x:c r="C23" s="24" t="n">
        <x:f>C21-C22</x:f>
        <x:v>575800</x:v>
      </x:c>
    </x:row>
    <x:row r="25">
      <x:c r="B25" s="25" t="inlineStr">
        <x:is>
          <x:t xml:space="preserve">Memo — below cash flow / non-operating</x:t>
        </x:is>
      </x:c>
    </x:row>
    <x:row r="26">
      <x:c r="B26" t="inlineStr">
        <x:is>
          <x:t xml:space="preserve">Capital improvements</x:t>
        </x:is>
      </x:c>
      <x:c r="C26" s="23" t="n">
        <x:v>220000</x:v>
      </x:c>
      <x:c r="D26" t="inlineStr">
        <x:is>
          <x:t xml:space="preserve">Not an operating expense</x:t>
        </x:is>
      </x:c>
    </x:row>
    <x:row r="27">
      <x:c r="B27" t="inlineStr">
        <x:is>
          <x:t xml:space="preserve">Loan principal &amp; interest</x:t>
        </x:is>
      </x:c>
      <x:c r="C27" s="23" t="n">
        <x:v>294000</x:v>
      </x:c>
      <x:c r="D27" t="inlineStr">
        <x:is>
          <x:t xml:space="preserve">Existing debt service</x:t>
        </x:is>
      </x:c>
    </x:row>
    <x:row r="28">
      <x:c r="B28" t="inlineStr">
        <x:is>
          <x:t xml:space="preserve">Depreciation (noncash)</x:t>
        </x:is>
      </x:c>
      <x:c r="C28" s="23" t="n">
        <x:v>180000</x:v>
      </x:c>
      <x:c r="D28" t="inlineStr">
        <x:is>
          <x:t xml:space="preserve">Excluded from NOI</x:t>
        </x:is>
      </x:c>
    </x:row>
  </x:sheetData>
  <x:mergeCells>
    <x:mergeCell ref="B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4" customWidth="1"/>
    <x:col min="3" max="3" width="18" customWidth="1"/>
    <x:col min="4" max="4" width="50" customWidth="1"/>
  </x:cols>
  <x:sheetData>
    <x:row r="2">
      <x:c r="B2" s="1" t="inlineStr">
        <x:is>
          <x:t xml:space="preserve">Underwritten Cash Flow — driven by Assumptions</x:t>
        </x:is>
      </x:c>
    </x:row>
    <x:row r="4">
      <x:c r="B4" t="inlineStr">
        <x:is>
          <x:t xml:space="preserve">Gross potential base rent</x:t>
        </x:is>
      </x:c>
      <x:c r="C4" s="9" t="n">
        <x:f>Assumptions!C9</x:f>
        <x:v>900000</x:v>
      </x:c>
      <x:c r="D4" t="inlineStr">
        <x:is>
          <x:t xml:space="preserve">Assumptions!C9</x:t>
        </x:is>
      </x:c>
    </x:row>
    <x:row r="5">
      <x:c r="B5" t="inlineStr">
        <x:is>
          <x:t xml:space="preserve">Combined revenue loss (vac + conc + bad debt)</x:t>
        </x:is>
      </x:c>
      <x:c r="C5" s="9" t="n">
        <x:f>-C4*Assumptions!C10</x:f>
        <x:v>-72000</x:v>
      </x:c>
      <x:c r="D5" t="inlineStr">
        <x:is>
          <x:t xml:space="preserve">-GPR × loss %</x:t>
        </x:is>
      </x:c>
    </x:row>
    <x:row r="6">
      <x:c r="B6" t="inlineStr">
        <x:is>
          <x:t xml:space="preserve">Other income / recoveries</x:t>
        </x:is>
      </x:c>
      <x:c r="C6" s="9" t="n">
        <x:f>Assumptions!C11</x:f>
        <x:v>195000</x:v>
      </x:c>
    </x:row>
    <x:row r="7"/>
    <x:row r="10">
      <x:c r="B10" t="inlineStr">
        <x:is>
          <x:t xml:space="preserve">Effective Gross Income (EGI)</x:t>
        </x:is>
      </x:c>
      <x:c r="C10" s="24" t="n">
        <x:f>C4+C5+C6</x:f>
        <x:v>1023000</x:v>
      </x:c>
    </x:row>
    <x:row r="12">
      <x:c r="B12" s="7" t="inlineStr">
        <x:is>
          <x:t xml:space="preserve">Operating expenses</x:t>
        </x:is>
      </x:c>
    </x:row>
    <x:row r="13">
      <x:c r="B13" t="inlineStr">
        <x:is>
          <x:t xml:space="preserve">Real estate taxes</x:t>
        </x:is>
      </x:c>
      <x:c r="C13" s="9" t="n">
        <x:f>Assumptions!C14</x:f>
        <x:v>132000</x:v>
      </x:c>
    </x:row>
    <x:row r="14">
      <x:c r="B14" t="inlineStr">
        <x:is>
          <x:t xml:space="preserve">Property insurance</x:t>
        </x:is>
      </x:c>
      <x:c r="C14" s="9" t="n">
        <x:f>Assumptions!C15</x:f>
        <x:v>33600</x:v>
      </x:c>
    </x:row>
    <x:row r="15">
      <x:c r="B15" t="inlineStr">
        <x:is>
          <x:t xml:space="preserve">Utilities</x:t>
        </x:is>
      </x:c>
      <x:c r="C15" s="9" t="n">
        <x:f>Assumptions!C16</x:f>
        <x:v>12000</x:v>
      </x:c>
    </x:row>
    <x:row r="16">
      <x:c r="B16" t="inlineStr">
        <x:is>
          <x:t xml:space="preserve">Repairs &amp; maintenance</x:t>
        </x:is>
      </x:c>
      <x:c r="C16" s="9" t="n">
        <x:f>Assumptions!C17</x:f>
        <x:v>18000</x:v>
      </x:c>
    </x:row>
    <x:row r="17">
      <x:c r="B17" t="inlineStr">
        <x:is>
          <x:t xml:space="preserve">Payroll / contract labor</x:t>
        </x:is>
      </x:c>
      <x:c r="C17" s="9" t="n">
        <x:f>Assumptions!C18</x:f>
        <x:v>18000</x:v>
      </x:c>
    </x:row>
    <x:row r="18">
      <x:c r="B18" t="inlineStr">
        <x:is>
          <x:t xml:space="preserve">Administrative / legal</x:t>
        </x:is>
      </x:c>
      <x:c r="C18" s="9" t="n">
        <x:f>Assumptions!C19</x:f>
        <x:v>18000</x:v>
      </x:c>
    </x:row>
    <x:row r="19">
      <x:c r="B19" t="inlineStr">
        <x:is>
          <x:t xml:space="preserve">Management fee (max of T12 or % of EGI)</x:t>
        </x:is>
      </x:c>
      <x:c r="C19" s="9" t="n">
        <x:f>MAX(Assumptions!C20,Assumptions!C21*C10)</x:f>
        <x:v>30690</x:v>
      </x:c>
      <x:c r="D19" t="e">
        <x:f>MAX(T12 actual, % × EGI)</x:f>
        <x:v>#NAME?</x:v>
      </x:c>
    </x:row>
    <x:row r="20">
      <x:c r="B20" t="inlineStr">
        <x:is>
          <x:t xml:space="preserve">Total operating expenses</x:t>
        </x:is>
      </x:c>
      <x:c r="C20" s="21" t="n">
        <x:f>SUM(C13:C19)</x:f>
        <x:v>262290</x:v>
      </x:c>
    </x:row>
    <x:row r="22">
      <x:c r="B22" t="inlineStr">
        <x:is>
          <x:t xml:space="preserve">NOI before replacement reserves</x:t>
        </x:is>
      </x:c>
      <x:c r="C22" s="24" t="n">
        <x:f>C10-C20</x:f>
        <x:v>760710</x:v>
      </x:c>
      <x:c r="D22" t="inlineStr">
        <x:is>
          <x:t xml:space="preserve">EGI − total operating expenses</x:t>
        </x:is>
      </x:c>
    </x:row>
    <x:row r="23">
      <x:c r="B23" t="inlineStr">
        <x:is>
          <x:t xml:space="preserve">Replacement reserves</x:t>
        </x:is>
      </x:c>
      <x:c r="C23" s="9" t="n">
        <x:f>Assumptions!C22*Assumptions!C5</x:f>
        <x:v>17000</x:v>
      </x:c>
      <x:c r="D23" t="inlineStr">
        <x:is>
          <x:t xml:space="preserve">$/SF × total SF</x:t>
        </x:is>
      </x:c>
    </x:row>
    <x:row r="24">
      <x:c r="B24" t="inlineStr">
        <x:is>
          <x:t xml:space="preserve">Net cash flow after reserves</x:t>
        </x:is>
      </x:c>
      <x:c r="C24" s="24" t="n">
        <x:f>C22-C23</x:f>
        <x:v>743710</x:v>
      </x:c>
    </x:row>
  </x:sheetData>
  <x:mergeCells>
    <x:mergeCell ref="B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4" customWidth="1"/>
    <x:col min="3" max="3" width="18" customWidth="1"/>
    <x:col min="4" max="4" width="55" customWidth="1"/>
  </x:cols>
  <x:sheetData>
    <x:row r="2">
      <x:c r="B2" s="1" t="inlineStr">
        <x:is>
          <x:t xml:space="preserve">Loan Sizing — LTV / DSCR / Debt Yield</x:t>
        </x:is>
      </x:c>
    </x:row>
    <x:row r="4">
      <x:c r="B4" s="7" t="inlineStr">
        <x:is>
          <x:t xml:space="preserve">Valuation basis</x:t>
        </x:is>
      </x:c>
    </x:row>
    <x:row r="5">
      <x:c r="B5" t="inlineStr">
        <x:is>
          <x:t xml:space="preserve">Underwritten NOI before reserves</x:t>
        </x:is>
      </x:c>
      <x:c r="C5" s="9" t="n">
        <x:f>Underwriting!C22</x:f>
        <x:v>760710</x:v>
      </x:c>
      <x:c r="D5" t="inlineStr">
        <x:is>
          <x:t xml:space="preserve">Underwriting sheet</x:t>
        </x:is>
      </x:c>
    </x:row>
    <x:row r="6">
      <x:c r="B6" t="inlineStr">
        <x:is>
          <x:t xml:space="preserve">Indicative value</x:t>
        </x:is>
      </x:c>
      <x:c r="C6" s="24" t="n">
        <x:f>C5/Assumptions!C24</x:f>
        <x:v>10492551.72413793</x:v>
      </x:c>
      <x:c r="D6" t="inlineStr">
        <x:is>
          <x:t xml:space="preserve">NOI before reserves ÷ cap rate</x:t>
        </x:is>
      </x:c>
    </x:row>
    <x:row r="8">
      <x:c r="B8" t="inlineStr">
        <x:is>
          <x:t xml:space="preserve">Underwritten NCF after reserves</x:t>
        </x:is>
      </x:c>
      <x:c r="C8" s="9" t="n">
        <x:f>Underwriting!C24</x:f>
        <x:v>743710</x:v>
      </x:c>
    </x:row>
    <x:row r="10">
      <x:c r="B10" t="inlineStr">
        <x:is>
          <x:t xml:space="preserve">Sizing rate</x:t>
        </x:is>
      </x:c>
      <x:c r="C10" s="8" t="n">
        <x:f>Assumptions!C33</x:f>
        <x:v>0.0725</x:v>
      </x:c>
    </x:row>
    <x:row r="11">
      <x:c r="B11" t="inlineStr">
        <x:is>
          <x:t xml:space="preserve">Annual debt constant</x:t>
        </x:is>
      </x:c>
      <x:c r="C11" s="26" t="n">
        <x:f>-12*PMT(C10/12,Assumptions!C34*12,1)</x:f>
        <x:v>0.08673682369165987</x:v>
      </x:c>
      <x:c r="D11" t="inlineStr">
        <x:is>
          <x:t xml:space="preserve">Amortizing DS per $1 principal, 25-yr monthly</x:t>
        </x:is>
      </x:c>
    </x:row>
    <x:row r="13">
      <x:c r="B13" s="27" t="inlineStr">
        <x:is>
          <x:t xml:space="preserve">Constraint</x:t>
        </x:is>
      </x:c>
      <x:c r="C13" s="27" t="inlineStr">
        <x:is>
          <x:t xml:space="preserve">Maximum Loan</x:t>
        </x:is>
      </x:c>
      <x:c r="D13" s="27" t="inlineStr">
        <x:is>
          <x:t xml:space="preserve">Formula</x:t>
        </x:is>
      </x:c>
    </x:row>
    <x:row r="14">
      <x:c r="B14" t="inlineStr">
        <x:is>
          <x:t xml:space="preserve">LTV (60% of value)</x:t>
        </x:is>
      </x:c>
      <x:c r="C14" s="9" t="n">
        <x:f>Assumptions!C39*C6</x:f>
        <x:v>6295531.034482758</x:v>
      </x:c>
      <x:c r="D14" t="e">
        <x:f>LTV × value</x:f>
        <x:v>#NAME?</x:v>
      </x:c>
    </x:row>
    <x:row r="15">
      <x:c r="B15" t="inlineStr">
        <x:is>
          <x:t xml:space="preserve">DSCR (min 1.30x)</x:t>
        </x:is>
      </x:c>
      <x:c r="C15" s="9" t="n">
        <x:f>C8/(Assumptions!C40*C11)</x:f>
        <x:v>6595637.1358295875</x:v>
      </x:c>
      <x:c r="D15" t="inlineStr">
        <x:is>
          <x:t xml:space="preserve">NCF ÷ (min DSCR × debt constant)</x:t>
        </x:is>
      </x:c>
    </x:row>
    <x:row r="16">
      <x:c r="B16" t="inlineStr">
        <x:is>
          <x:t xml:space="preserve">Debt yield (min 10%)</x:t>
        </x:is>
      </x:c>
      <x:c r="C16" s="9" t="n">
        <x:f>C8/Assumptions!C41</x:f>
        <x:v>7437100</x:v>
      </x:c>
      <x:c r="D16" t="inlineStr">
        <x:is>
          <x:t xml:space="preserve">NCF ÷ min DY</x:t>
        </x:is>
      </x:c>
    </x:row>
    <x:row r="18">
      <x:c r="B18" t="inlineStr">
        <x:is>
          <x:t xml:space="preserve">Maximum loan (binding minimum)</x:t>
        </x:is>
      </x:c>
      <x:c r="C18" s="24" t="n">
        <x:f>MIN(C14:C16)</x:f>
        <x:v>6295531.034482758</x:v>
      </x:c>
    </x:row>
    <x:row r="19">
      <x:c r="B19" t="inlineStr">
        <x:is>
          <x:t xml:space="preserve">Binding constraint</x:t>
        </x:is>
      </x:c>
      <x:c r="C19" s="28" t="str">
        <x:f>IF(C18=C14,"LTV",IF(C18=C15,"DSCR","Debt yield"))</x:f>
        <x:v>LTV</x:v>
      </x:c>
    </x:row>
    <x:row r="21">
      <x:c r="B21" t="inlineStr">
        <x:is>
          <x:t xml:space="preserve">Sizing annual debt service</x:t>
        </x:is>
      </x:c>
      <x:c r="C21" s="9" t="n">
        <x:f>C18*C11</x:f>
        <x:v>546054.3653833041</x:v>
      </x:c>
    </x:row>
    <x:row r="22">
      <x:c r="B22" t="inlineStr">
        <x:is>
          <x:t xml:space="preserve">Sizing DSCR</x:t>
        </x:is>
      </x:c>
      <x:c r="C22" s="29" t="n">
        <x:f>C8/C21</x:f>
        <x:v>1.361970615284709</x:v>
      </x:c>
    </x:row>
    <x:row r="23">
      <x:c r="B23" t="inlineStr">
        <x:is>
          <x:t xml:space="preserve">Sizing debt yield</x:t>
        </x:is>
      </x:c>
      <x:c r="C23" s="8" t="n">
        <x:f>C8/C18</x:f>
        <x:v>0.11813300513117134</x:v>
      </x:c>
    </x:row>
    <x:row r="25">
      <x:c r="B25" t="inlineStr">
        <x:is>
          <x:t xml:space="preserve">Contract rate</x:t>
        </x:is>
      </x:c>
      <x:c r="C25" s="8" t="n">
        <x:f>Assumptions!C32</x:f>
        <x:v>0.0675</x:v>
      </x:c>
    </x:row>
    <x:row r="26">
      <x:c r="B26" t="inlineStr">
        <x:is>
          <x:t xml:space="preserve">First-year debt service (12-mo IO at contract rate)</x:t>
        </x:is>
      </x:c>
      <x:c r="C26" s="21" t="n">
        <x:f>C18*C25</x:f>
        <x:v>424948.34482758614</x:v>
      </x:c>
      <x:c r="D26" t="inlineStr">
        <x:is>
          <x:t xml:space="preserve">IO year: principal × contract rate</x:t>
        </x:is>
      </x:c>
    </x:row>
    <x:row r="29">
      <x:c r="B29" s="3" t="inlineStr">
        <x:is>
          <x:t xml:space="preserve">Sources &amp; Uses</x:t>
        </x:is>
      </x:c>
    </x:row>
    <x:row r="30">
      <x:c r="B30" s="7" t="inlineStr">
        <x:is>
          <x:t xml:space="preserve">SOURCES</x:t>
        </x:is>
      </x:c>
    </x:row>
    <x:row r="31">
      <x:c r="B31" t="inlineStr">
        <x:is>
          <x:t xml:space="preserve">New first mortgage</x:t>
        </x:is>
      </x:c>
      <x:c r="C31" s="9" t="n">
        <x:f>C18</x:f>
        <x:v>6295531.034482758</x:v>
      </x:c>
    </x:row>
    <x:row r="32">
      <x:c r="B32" t="inlineStr">
        <x:is>
          <x:t xml:space="preserve">Borrower cash-in (if negative below)</x:t>
        </x:is>
      </x:c>
      <x:c r="C32" s="9" t="n">
        <x:f>MAX(0,-C39)</x:f>
        <x:v>0</x:v>
      </x:c>
    </x:row>
    <x:row r="33">
      <x:c r="B33" t="inlineStr">
        <x:is>
          <x:t xml:space="preserve">Total sources</x:t>
        </x:is>
      </x:c>
      <x:c r="C33" s="21" t="n">
        <x:f>C31+C32</x:f>
        <x:v>6295531.034482758</x:v>
      </x:c>
    </x:row>
    <x:row r="35">
      <x:c r="B35" s="7" t="inlineStr">
        <x:is>
          <x:t xml:space="preserve">USES</x:t>
        </x:is>
      </x:c>
    </x:row>
    <x:row r="36">
      <x:c r="B36" t="inlineStr">
        <x:is>
          <x:t xml:space="preserve">Existing debt payoff</x:t>
        </x:is>
      </x:c>
      <x:c r="C36" s="9" t="n">
        <x:f>Assumptions!C44</x:f>
        <x:v>4200000</x:v>
      </x:c>
    </x:row>
    <x:row r="37">
      <x:c r="B37" t="inlineStr">
        <x:is>
          <x:t xml:space="preserve">Origination fee (1.25% of loan)</x:t>
        </x:is>
      </x:c>
      <x:c r="C37" s="9" t="n">
        <x:f>Assumptions!C46*C18</x:f>
        <x:v>78694.13793103448</x:v>
      </x:c>
    </x:row>
    <x:row r="38">
      <x:c r="B38" t="inlineStr">
        <x:is>
          <x:t xml:space="preserve">Fixed closing costs</x:t>
        </x:is>
      </x:c>
      <x:c r="C38" s="9" t="n">
        <x:f>Assumptions!C45</x:f>
        <x:v>70000</x:v>
      </x:c>
    </x:row>
    <x:row r="39">
      <x:c r="B39" t="inlineStr">
        <x:is>
          <x:t xml:space="preserve">Cash to borrower (positive) / cash-in (negative)</x:t>
        </x:is>
      </x:c>
      <x:c r="C39" s="24" t="n">
        <x:f>C18-C36-C37-C38</x:f>
        <x:v>1946836.8965517231</x:v>
      </x:c>
    </x:row>
    <x:row r="40">
      <x:c r="B40" t="inlineStr">
        <x:is>
          <x:t xml:space="preserve">Total uses</x:t>
        </x:is>
      </x:c>
      <x:c r="C40" s="21" t="n">
        <x:f>C36+C37+C38+MAX(0,C39)+MAX(0,-C39)</x:f>
        <x:v>6295531.0344827585</x:v>
      </x:c>
    </x:row>
  </x:sheetData>
  <x:mergeCells>
    <x:mergeCell ref="B29:D29"/>
    <x:mergeCell ref="B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4" customWidth="1"/>
    <x:col min="3" max="3" width="18" customWidth="1"/>
    <x:col min="4" max="4" width="18" customWidth="1"/>
    <x:col min="5" max="5" width="45" customWidth="1"/>
  </x:cols>
  <x:sheetData>
    <x:row r="2">
      <x:c r="B2" s="1" t="inlineStr">
        <x:is>
          <x:t xml:space="preserve">Sensitivity Analysis</x:t>
        </x:is>
      </x:c>
    </x:row>
    <x:row r="4">
      <x:c r="C4" s="16" t="inlineStr">
        <x:is>
          <x:t xml:space="preserve">Base case</x:t>
        </x:is>
      </x:c>
      <x:c r="D4" s="16" t="inlineStr">
        <x:is>
          <x:t xml:space="preserve">Downside</x:t>
        </x:is>
      </x:c>
    </x:row>
    <x:row r="5">
      <x:c r="B5" t="inlineStr">
        <x:is>
          <x:t xml:space="preserve">EGI adjustment</x:t>
        </x:is>
      </x:c>
      <x:c r="C5" s="8" t="n">
        <x:f>0</x:f>
        <x:v>0</x:v>
      </x:c>
      <x:c r="D5" s="8" t="n">
        <x:f>Assumptions!C49</x:f>
        <x:v>-0.05</x:v>
      </x:c>
    </x:row>
    <x:row r="6">
      <x:c r="B6" t="inlineStr">
        <x:is>
          <x:t xml:space="preserve">Sizing-rate adjustment</x:t>
        </x:is>
      </x:c>
      <x:c r="C6" s="8" t="n">
        <x:f>0</x:f>
        <x:v>0</x:v>
      </x:c>
      <x:c r="D6" s="8" t="n">
        <x:f>Assumptions!C50/10000</x:f>
        <x:v>0.01</x:v>
      </x:c>
    </x:row>
    <x:row r="8">
      <x:c r="B8" t="inlineStr">
        <x:is>
          <x:t xml:space="preserve">EGI</x:t>
        </x:is>
      </x:c>
      <x:c r="C8" s="9" t="n">
        <x:f>Underwriting!C10*(1+C5)</x:f>
        <x:v>1023000</x:v>
      </x:c>
      <x:c r="D8" s="9" t="n">
        <x:f>Underwriting!C10*(1+D5)</x:f>
        <x:v>971850</x:v>
      </x:c>
    </x:row>
    <x:row r="9">
      <x:c r="B9" t="inlineStr">
        <x:is>
          <x:t xml:space="preserve">Management fee (recalculated)</x:t>
        </x:is>
      </x:c>
      <x:c r="C9" s="9" t="n">
        <x:f>MAX(Assumptions!C20,Assumptions!C21*C8)</x:f>
        <x:v>30690</x:v>
      </x:c>
      <x:c r="D9" s="9" t="n">
        <x:f>MAX(Assumptions!C20,Assumptions!C21*D8)</x:f>
        <x:v>29155.5</x:v>
      </x:c>
    </x:row>
    <x:row r="10">
      <x:c r="B10" t="inlineStr">
        <x:is>
          <x:t xml:space="preserve">Other operating expenses (unchanged)</x:t>
        </x:is>
      </x:c>
      <x:c r="C10" s="9" t="n">
        <x:f>Assumptions!C14+Assumptions!C15+Assumptions!C16+Assumptions!C17+Assumptions!C18+Assumptions!C19</x:f>
        <x:v>231600</x:v>
      </x:c>
      <x:c r="D10" s="9" t="n">
        <x:f>C10</x:f>
        <x:v>231600</x:v>
      </x:c>
    </x:row>
    <x:row r="11">
      <x:c r="B11" t="inlineStr">
        <x:is>
          <x:t xml:space="preserve">Total operating expenses</x:t>
        </x:is>
      </x:c>
      <x:c r="C11" s="9" t="n">
        <x:f>C9+C10</x:f>
        <x:v>262290</x:v>
      </x:c>
      <x:c r="D11" s="9" t="n">
        <x:f>D9+D10</x:f>
        <x:v>260755.5</x:v>
      </x:c>
    </x:row>
    <x:row r="12">
      <x:c r="B12" t="inlineStr">
        <x:is>
          <x:t xml:space="preserve">NOI before reserves</x:t>
        </x:is>
      </x:c>
      <x:c r="C12" s="24" t="n">
        <x:f>C8-C11</x:f>
        <x:v>760710</x:v>
      </x:c>
      <x:c r="D12" s="24" t="n">
        <x:f>D8-D11</x:f>
        <x:v>711094.5</x:v>
      </x:c>
    </x:row>
    <x:row r="13">
      <x:c r="B13" t="inlineStr">
        <x:is>
          <x:t xml:space="preserve">Reserves</x:t>
        </x:is>
      </x:c>
      <x:c r="C13" s="9" t="n">
        <x:f>Assumptions!C22*Assumptions!C5</x:f>
        <x:v>17000</x:v>
      </x:c>
      <x:c r="D13" s="9" t="n">
        <x:f>C13</x:f>
        <x:v>17000</x:v>
      </x:c>
    </x:row>
    <x:row r="14">
      <x:c r="B14" t="inlineStr">
        <x:is>
          <x:t xml:space="preserve">NCF after reserves</x:t>
        </x:is>
      </x:c>
      <x:c r="C14" s="21" t="n">
        <x:f>C12-C13</x:f>
        <x:v>743710</x:v>
      </x:c>
      <x:c r="D14" s="21" t="n">
        <x:f>D12-D13</x:f>
        <x:v>694094.5</x:v>
      </x:c>
    </x:row>
    <x:row r="16">
      <x:c r="B16" t="inlineStr">
        <x:is>
          <x:t xml:space="preserve">Cap rate</x:t>
        </x:is>
      </x:c>
      <x:c r="C16" s="8" t="n">
        <x:f>Assumptions!C24</x:f>
        <x:v>0.07250000000000001</x:v>
      </x:c>
      <x:c r="D16" s="8" t="n">
        <x:f>Assumptions!C24</x:f>
        <x:v>0.07250000000000001</x:v>
      </x:c>
    </x:row>
    <x:row r="17">
      <x:c r="B17" t="inlineStr">
        <x:is>
          <x:t xml:space="preserve">Sizing rate</x:t>
        </x:is>
      </x:c>
      <x:c r="C17" s="8" t="n">
        <x:f>Assumptions!C33+C6</x:f>
        <x:v>0.0725</x:v>
      </x:c>
      <x:c r="D17" s="8" t="n">
        <x:f>Assumptions!C33+D6</x:f>
        <x:v>0.08249999999999999</x:v>
      </x:c>
    </x:row>
    <x:row r="18">
      <x:c r="B18" t="inlineStr">
        <x:is>
          <x:t xml:space="preserve">Annual debt constant</x:t>
        </x:is>
      </x:c>
      <x:c r="C18" s="30" t="n">
        <x:f>-12*PMT(C17/12,Assumptions!C34*12,1)</x:f>
        <x:v>0.08673682369165987</x:v>
      </x:c>
      <x:c r="D18" s="30" t="n">
        <x:f>-12*PMT(D17/12,Assumptions!C34*12,1)</x:f>
        <x:v>0.09461401616234252</x:v>
      </x:c>
    </x:row>
    <x:row r="20">
      <x:c r="B20" t="inlineStr">
        <x:is>
          <x:t xml:space="preserve">Indicative value (NOI ÷ cap rate)</x:t>
        </x:is>
      </x:c>
      <x:c r="C20" s="9" t="n">
        <x:f>C12/C16</x:f>
        <x:v>10492551.72413793</x:v>
      </x:c>
      <x:c r="D20" s="9" t="n">
        <x:f>D12/D16</x:f>
        <x:v>9808199.999999998</x:v>
      </x:c>
    </x:row>
    <x:row r="21">
      <x:c r="B21" t="inlineStr">
        <x:is>
          <x:t xml:space="preserve">LTV limit</x:t>
        </x:is>
      </x:c>
      <x:c r="C21" s="9" t="n">
        <x:f>Assumptions!C39*C20</x:f>
        <x:v>6295531.034482758</x:v>
      </x:c>
      <x:c r="D21" s="9" t="n">
        <x:f>Assumptions!C39*D20</x:f>
        <x:v>5884919.999999999</x:v>
      </x:c>
    </x:row>
    <x:row r="22">
      <x:c r="B22" t="inlineStr">
        <x:is>
          <x:t xml:space="preserve">DSCR limit</x:t>
        </x:is>
      </x:c>
      <x:c r="C22" s="9" t="n">
        <x:f>C14/(Assumptions!C40*C18)</x:f>
        <x:v>6595637.1358295875</x:v>
      </x:c>
      <x:c r="D22" s="9" t="n">
        <x:f>D14/(Assumptions!C40*D18)</x:f>
        <x:v>5643126.333816406</x:v>
      </x:c>
    </x:row>
    <x:row r="23">
      <x:c r="B23" t="inlineStr">
        <x:is>
          <x:t xml:space="preserve">Debt yield limit</x:t>
        </x:is>
      </x:c>
      <x:c r="C23" s="9" t="n">
        <x:f>C14/Assumptions!C41</x:f>
        <x:v>7437100</x:v>
      </x:c>
      <x:c r="D23" s="9" t="n">
        <x:f>D14/Assumptions!C41</x:f>
        <x:v>6940945</x:v>
      </x:c>
    </x:row>
    <x:row r="24">
      <x:c r="B24" t="inlineStr">
        <x:is>
          <x:t xml:space="preserve">Maximum loan</x:t>
        </x:is>
      </x:c>
      <x:c r="C24" s="24" t="n">
        <x:f>MIN(C21:C23)</x:f>
        <x:v>6295531.034482758</x:v>
      </x:c>
      <x:c r="D24" s="24" t="n">
        <x:f>MIN(D21:D23)</x:f>
        <x:v>5643126.333816406</x:v>
      </x:c>
    </x:row>
    <x:row r="25">
      <x:c r="B25" t="inlineStr">
        <x:is>
          <x:t xml:space="preserve">Binding constraint</x:t>
        </x:is>
      </x:c>
      <x:c r="C25" s="31" t="str">
        <x:f>IF(C24=C21,"LTV",IF(C24=C22,"DSCR","Debt yield"))</x:f>
        <x:v>LTV</x:v>
      </x:c>
      <x:c r="D25" s="31" t="str">
        <x:f>IF(D24=D21,"LTV",IF(D24=D22,"DSCR","Debt yield"))</x:f>
        <x:v>DSCR</x:v>
      </x:c>
    </x:row>
    <x:row r="28">
      <x:c r="B28" s="3" t="inlineStr">
        <x:is>
          <x:t xml:space="preserve">Separate cap-rate sensitivity (+50 bps default)</x:t>
        </x:is>
      </x:c>
    </x:row>
    <x:row r="29">
      <x:c r="B29" t="inlineStr">
        <x:is>
          <x:t xml:space="preserve">Cap rate + adjustment</x:t>
        </x:is>
      </x:c>
      <x:c r="C29" s="8" t="n">
        <x:f>Assumptions!C24+Assumptions!C51/10000</x:f>
        <x:v>0.07750000000000001</x:v>
      </x:c>
    </x:row>
    <x:row r="30">
      <x:c r="B30" t="inlineStr">
        <x:is>
          <x:t xml:space="preserve">Stressed value</x:t>
        </x:is>
      </x:c>
      <x:c r="C30" s="9" t="n">
        <x:f>Underwriting!C22/C29</x:f>
        <x:v>9815612.903225806</x:v>
      </x:c>
    </x:row>
    <x:row r="31">
      <x:c r="B31" t="inlineStr">
        <x:is>
          <x:t xml:space="preserve">LTV limit under stressed cap</x:t>
        </x:is>
      </x:c>
      <x:c r="C31" s="9" t="n">
        <x:f>Assumptions!C39*C30</x:f>
        <x:v>5889367.741935483</x:v>
      </x:c>
    </x:row>
    <x:row r="32">
      <x:c r="B32" t="inlineStr">
        <x:is>
          <x:t xml:space="preserve">Maximum loan (LTV vs DSCR vs DY base)</x:t>
        </x:is>
      </x:c>
      <x:c r="C32" s="24" t="n">
        <x:f>MIN(C31, 'Loan Sizing'!C15, 'Loan Sizing'!C16)</x:f>
        <x:v>5889367.741935483</x:v>
      </x:c>
    </x:row>
  </x:sheetData>
  <x:mergeCells>
    <x:mergeCell ref="B28:E28"/>
    <x:mergeCell ref="B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32" customWidth="1"/>
    <x:col min="3" max="3" width="22" customWidth="1"/>
    <x:col min="4" max="4" width="60" customWidth="1"/>
  </x:cols>
  <x:sheetData>
    <x:row r="2">
      <x:c r="B2" s="1" t="inlineStr">
        <x:is>
          <x:t xml:space="preserve">Analysis Fields</x:t>
        </x:is>
      </x:c>
    </x:row>
    <x:row r="4">
      <x:c r="B4" s="16" t="inlineStr">
        <x:is>
          <x:t xml:space="preserve">Field ID</x:t>
        </x:is>
      </x:c>
      <x:c r="C4" s="16" t="inlineStr">
        <x:is>
          <x:t xml:space="preserve">Value</x:t>
        </x:is>
      </x:c>
      <x:c r="D4" s="16" t="inlineStr">
        <x:is>
          <x:t xml:space="preserve">Source / Calculation</x:t>
        </x:is>
      </x:c>
    </x:row>
    <x:row r="5">
      <x:c r="B5" s="7" t="inlineStr">
        <x:is>
          <x:t xml:space="preserve">space_count</x:t>
        </x:is>
      </x:c>
      <x:c r="C5" s="32" t="n">
        <x:f>'Rent Roll'!C13</x:f>
        <x:v>4</x:v>
      </x:c>
      <x:c r="D5" t="inlineStr">
        <x:is>
          <x:t xml:space="preserve">Rent-Roll.xlsx — count of unit rows</x:t>
        </x:is>
      </x:c>
    </x:row>
    <x:row r="6">
      <x:c r="B6" s="7" t="inlineStr">
        <x:is>
          <x:t xml:space="preserve">occupied_count</x:t>
        </x:is>
      </x:c>
      <x:c r="C6" s="32" t="n">
        <x:f>'Rent Roll'!C14</x:f>
        <x:v>3</x:v>
      </x:c>
      <x:c r="D6" t="inlineStr">
        <x:is>
          <x:t xml:space="preserve">Rent-Roll.xlsx — Status='Occupied'</x:t>
        </x:is>
      </x:c>
    </x:row>
    <x:row r="7">
      <x:c r="B7" s="7" t="inlineStr">
        <x:is>
          <x:t xml:space="preserve">total_area_sf</x:t>
        </x:is>
      </x:c>
      <x:c r="C7" s="32" t="n">
        <x:f>'Rent Roll'!C15</x:f>
        <x:v>85000</x:v>
      </x:c>
      <x:c r="D7" t="inlineStr">
        <x:is>
          <x:t xml:space="preserve">Rent-Roll.xlsx — SUM Area SF</x:t>
        </x:is>
      </x:c>
    </x:row>
    <x:row r="8">
      <x:c r="B8" s="7" t="inlineStr">
        <x:is>
          <x:t xml:space="preserve">occupied_area_sf</x:t>
        </x:is>
      </x:c>
      <x:c r="C8" s="32" t="n">
        <x:f>'Rent Roll'!C16</x:f>
        <x:v>70000</x:v>
      </x:c>
      <x:c r="D8" t="inlineStr">
        <x:is>
          <x:t xml:space="preserve">Rent-Roll.xlsx — SUMIF occupied</x:t>
        </x:is>
      </x:c>
    </x:row>
    <x:row r="9">
      <x:c r="B9" s="7" t="inlineStr">
        <x:is>
          <x:t xml:space="preserve">occupancy_count_pct</x:t>
        </x:is>
      </x:c>
      <x:c r="C9" s="33" t="n">
        <x:f>'Rent Roll'!C17*100</x:f>
        <x:v>75</x:v>
      </x:c>
      <x:c r="D9" t="inlineStr">
        <x:is>
          <x:t xml:space="preserve">Occupied count / total × 100</x:t>
        </x:is>
      </x:c>
    </x:row>
    <x:row r="10">
      <x:c r="B10" s="7" t="inlineStr">
        <x:is>
          <x:t xml:space="preserve">occupancy_area_pct</x:t>
        </x:is>
      </x:c>
      <x:c r="C10" s="33" t="n">
        <x:f>'Rent Roll'!C18*100</x:f>
        <x:v>82.35294117647058</x:v>
      </x:c>
      <x:c r="D10" t="inlineStr">
        <x:is>
          <x:t xml:space="preserve">Occupied SF / total SF × 100</x:t>
        </x:is>
      </x:c>
    </x:row>
    <x:row r="11">
      <x:c r="B11" s="7" t="inlineStr">
        <x:is>
          <x:t xml:space="preserve">rent_roll_monthly_base</x:t>
        </x:is>
      </x:c>
      <x:c r="C11" s="34" t="n">
        <x:f>'Rent Roll'!C19</x:f>
        <x:v>60700</x:v>
      </x:c>
      <x:c r="D11" t="inlineStr">
        <x:is>
          <x:t xml:space="preserve">Rent-Roll.xlsx — SUM Monthly Base Rent</x:t>
        </x:is>
      </x:c>
    </x:row>
    <x:row r="12">
      <x:c r="B12" s="7" t="inlineStr">
        <x:is>
          <x:t xml:space="preserve">effective_monthly_base</x:t>
        </x:is>
      </x:c>
      <x:c r="C12" s="34" t="n">
        <x:f>'Rent Roll'!C20</x:f>
        <x:v>60700</x:v>
      </x:c>
      <x:c r="D12" t="inlineStr">
        <x:is>
          <x:t xml:space="preserve">Lease-File.pdf confirms Unit 101 $15,000/mo; no amendments — equals rent roll</x:t>
        </x:is>
      </x:c>
    </x:row>
    <x:row r="13">
      <x:c r="B13" s="7" t="inlineStr">
        <x:is>
          <x:t xml:space="preserve">t12_egi</x:t>
        </x:is>
      </x:c>
      <x:c r="C13" s="34" t="n">
        <x:f>T12!C9</x:f>
        <x:v>846000</x:v>
      </x:c>
      <x:c r="D13" t="inlineStr">
        <x:is>
          <x:t xml:space="preserve">T12-Statement.pdf p.2 Annual column</x:t>
        </x:is>
      </x:c>
    </x:row>
    <x:row r="14">
      <x:c r="B14" s="7" t="inlineStr">
        <x:is>
          <x:t xml:space="preserve">t12_operating_expenses</x:t>
        </x:is>
      </x:c>
      <x:c r="C14" s="34" t="n">
        <x:f>T12!C19</x:f>
        <x:v>253200</x:v>
      </x:c>
      <x:c r="D14" t="inlineStr">
        <x:is>
          <x:t xml:space="preserve">T12 opex: taxes+ins+util+R&amp;M+payroll+admin+mgmt</x:t>
        </x:is>
      </x:c>
    </x:row>
    <x:row r="15">
      <x:c r="B15" s="7" t="inlineStr">
        <x:is>
          <x:t xml:space="preserve">t12_noi_before_reserves</x:t>
        </x:is>
      </x:c>
      <x:c r="C15" s="34" t="n">
        <x:f>T12!C21</x:f>
        <x:v>592800</x:v>
      </x:c>
      <x:c r="D15" t="inlineStr">
        <x:is>
          <x:t xml:space="preserve">T12 EGI − opex (before reserves)</x:t>
        </x:is>
      </x:c>
    </x:row>
    <x:row r="16">
      <x:c r="B16" s="7" t="inlineStr">
        <x:is>
          <x:t xml:space="preserve">t12_reserves</x:t>
        </x:is>
      </x:c>
      <x:c r="C16" s="34" t="n">
        <x:f>T12!C22</x:f>
        <x:v>17000</x:v>
      </x:c>
      <x:c r="D16" t="inlineStr">
        <x:is>
          <x:t xml:space="preserve">T12 replacement reserves</x:t>
        </x:is>
      </x:c>
    </x:row>
    <x:row r="17">
      <x:c r="B17" s="7" t="inlineStr">
        <x:is>
          <x:t xml:space="preserve">t12_ncf</x:t>
        </x:is>
      </x:c>
      <x:c r="C17" s="34" t="n">
        <x:f>T12!C23</x:f>
        <x:v>575800</x:v>
      </x:c>
      <x:c r="D17" t="inlineStr">
        <x:is>
          <x:t xml:space="preserve">T12 NOI before reserves − reserves</x:t>
        </x:is>
      </x:c>
    </x:row>
    <x:row r="18">
      <x:c r="B18" s="7" t="inlineStr">
        <x:is>
          <x:t xml:space="preserve">uw_egi</x:t>
        </x:is>
      </x:c>
      <x:c r="C18" s="34" t="n">
        <x:f>Underwriting!C10</x:f>
        <x:v>1023000</x:v>
      </x:c>
      <x:c r="D18" t="inlineStr">
        <x:is>
          <x:t xml:space="preserve">Property-and-Plan p.2 UW scenario</x:t>
        </x:is>
      </x:c>
    </x:row>
    <x:row r="19">
      <x:c r="B19" s="7" t="inlineStr">
        <x:is>
          <x:t xml:space="preserve">uw_management_fee</x:t>
        </x:is>
      </x:c>
      <x:c r="C19" s="34" t="n">
        <x:f>Underwriting!C19</x:f>
        <x:v>30690</x:v>
      </x:c>
      <x:c r="D19" t="inlineStr">
        <x:is>
          <x:t xml:space="preserve">MAX(T12 $25,200; 3% × UW EGI)</x:t>
        </x:is>
      </x:c>
    </x:row>
    <x:row r="20">
      <x:c r="B20" s="7" t="inlineStr">
        <x:is>
          <x:t xml:space="preserve">uw_operating_expenses</x:t>
        </x:is>
      </x:c>
      <x:c r="C20" s="34" t="n">
        <x:f>Underwriting!C20</x:f>
        <x:v>262290</x:v>
      </x:c>
      <x:c r="D20" t="inlineStr">
        <x:is>
          <x:t xml:space="preserve">UW opex before reserves</x:t>
        </x:is>
      </x:c>
    </x:row>
    <x:row r="21">
      <x:c r="B21" s="7" t="inlineStr">
        <x:is>
          <x:t xml:space="preserve">uw_noi_before_reserves</x:t>
        </x:is>
      </x:c>
      <x:c r="C21" s="34" t="n">
        <x:f>Underwriting!C22</x:f>
        <x:v>760710</x:v>
      </x:c>
      <x:c r="D21" t="inlineStr">
        <x:is>
          <x:t xml:space="preserve">UW EGI − UW opex</x:t>
        </x:is>
      </x:c>
    </x:row>
    <x:row r="22">
      <x:c r="B22" s="7" t="inlineStr">
        <x:is>
          <x:t xml:space="preserve">uw_reserves</x:t>
        </x:is>
      </x:c>
      <x:c r="C22" s="34" t="n">
        <x:f>Underwriting!C23</x:f>
        <x:v>17000</x:v>
      </x:c>
      <x:c r="D22" t="inlineStr">
        <x:is>
          <x:t xml:space="preserve">$0.20/SF × 85,000 SF</x:t>
        </x:is>
      </x:c>
    </x:row>
    <x:row r="23">
      <x:c r="B23" s="7" t="inlineStr">
        <x:is>
          <x:t xml:space="preserve">uw_ncf</x:t>
        </x:is>
      </x:c>
      <x:c r="C23" s="34" t="n">
        <x:f>Underwriting!C24</x:f>
        <x:v>743710</x:v>
      </x:c>
      <x:c r="D23" t="inlineStr">
        <x:is>
          <x:t xml:space="preserve">UW NOI − reserves</x:t>
        </x:is>
      </x:c>
    </x:row>
    <x:row r="24">
      <x:c r="B24" s="7" t="inlineStr">
        <x:is>
          <x:t xml:space="preserve">capitalization_value</x:t>
        </x:is>
      </x:c>
      <x:c r="C24" s="34" t="n">
        <x:f>'Loan Sizing'!C6</x:f>
        <x:v>10492551.72413793</x:v>
      </x:c>
      <x:c r="D24" t="inlineStr">
        <x:is>
          <x:t xml:space="preserve">UW NOI before reserves ÷ 6.75% cap rate</x:t>
        </x:is>
      </x:c>
    </x:row>
    <x:row r="25">
      <x:c r="B25" s="7" t="inlineStr">
        <x:is>
          <x:t xml:space="preserve">contract_rate</x:t>
        </x:is>
      </x:c>
      <x:c r="C25" s="35" t="n">
        <x:f>Assumptions!C32</x:f>
        <x:v>0.0675</x:v>
      </x:c>
      <x:c r="D25" t="inlineStr">
        <x:is>
          <x:t xml:space="preserve">MAX(3.25%,4.00% floor)+2.75% spread = 6.75%</x:t>
        </x:is>
      </x:c>
    </x:row>
    <x:row r="26">
      <x:c r="B26" s="7" t="inlineStr">
        <x:is>
          <x:t xml:space="preserve">sizing_rate</x:t>
        </x:is>
      </x:c>
      <x:c r="C26" s="35" t="n">
        <x:f>Assumptions!C33</x:f>
        <x:v>0.0725</x:v>
      </x:c>
      <x:c r="D26" t="inlineStr">
        <x:is>
          <x:t xml:space="preserve">MAX(contract 6.75%, 7.25% floor) = 7.25%</x:t>
        </x:is>
      </x:c>
    </x:row>
    <x:row r="27">
      <x:c r="B27" s="7" t="inlineStr">
        <x:is>
          <x:t xml:space="preserve">annual_debt_constant</x:t>
        </x:is>
      </x:c>
      <x:c r="C27" s="36" t="n">
        <x:f>'Loan Sizing'!C11</x:f>
        <x:v>0.08673682369165987</x:v>
      </x:c>
      <x:c r="D27" t="inlineStr">
        <x:is>
          <x:t xml:space="preserve">25-yr monthly amort, sizing rate</x:t>
        </x:is>
      </x:c>
    </x:row>
    <x:row r="28">
      <x:c r="B28" s="7" t="inlineStr">
        <x:is>
          <x:t xml:space="preserve">ltv_limit</x:t>
        </x:is>
      </x:c>
      <x:c r="C28" s="34" t="n">
        <x:f>'Loan Sizing'!C14</x:f>
        <x:v>6295531.034482758</x:v>
      </x:c>
      <x:c r="D28" t="inlineStr">
        <x:is>
          <x:t xml:space="preserve">60% × indicative value</x:t>
        </x:is>
      </x:c>
    </x:row>
    <x:row r="29">
      <x:c r="B29" s="7" t="inlineStr">
        <x:is>
          <x:t xml:space="preserve">dscr_limit</x:t>
        </x:is>
      </x:c>
      <x:c r="C29" s="34" t="n">
        <x:f>'Loan Sizing'!C15</x:f>
        <x:v>6595637.1358295875</x:v>
      </x:c>
      <x:c r="D29" t="inlineStr">
        <x:is>
          <x:t xml:space="preserve">NCF ÷ (1.30 × debt constant)</x:t>
        </x:is>
      </x:c>
    </x:row>
    <x:row r="30">
      <x:c r="B30" s="7" t="inlineStr">
        <x:is>
          <x:t xml:space="preserve">debt_yield_limit</x:t>
        </x:is>
      </x:c>
      <x:c r="C30" s="34" t="n">
        <x:f>'Loan Sizing'!C16</x:f>
        <x:v>7437100</x:v>
      </x:c>
      <x:c r="D30" t="inlineStr">
        <x:is>
          <x:t xml:space="preserve">NCF ÷ 10%</x:t>
        </x:is>
      </x:c>
    </x:row>
    <x:row r="31">
      <x:c r="B31" s="7" t="inlineStr">
        <x:is>
          <x:t xml:space="preserve">maximum_loan</x:t>
        </x:is>
      </x:c>
      <x:c r="C31" s="34" t="n">
        <x:f>'Loan Sizing'!C18</x:f>
        <x:v>6295531.034482758</x:v>
      </x:c>
      <x:c r="D31" t="inlineStr">
        <x:is>
          <x:t xml:space="preserve">MIN of three constraints</x:t>
        </x:is>
      </x:c>
    </x:row>
    <x:row r="32">
      <x:c r="B32" s="7" t="inlineStr">
        <x:is>
          <x:t xml:space="preserve">binding_constraint</x:t>
        </x:is>
      </x:c>
      <x:c r="C32" s="37" t="str">
        <x:f>'Loan Sizing'!C19</x:f>
        <x:v>LTV</x:v>
      </x:c>
      <x:c r="D32" t="inlineStr">
        <x:is>
          <x:t xml:space="preserve">Binding of LTV/DSCR/DY</x:t>
        </x:is>
      </x:c>
    </x:row>
    <x:row r="33">
      <x:c r="B33" s="7" t="inlineStr">
        <x:is>
          <x:t xml:space="preserve">sizing_annual_debt_service</x:t>
        </x:is>
      </x:c>
      <x:c r="C33" s="34" t="n">
        <x:f>'Loan Sizing'!C21</x:f>
        <x:v>546054.3653833041</x:v>
      </x:c>
      <x:c r="D33" t="inlineStr">
        <x:is>
          <x:t xml:space="preserve">Max loan × debt constant</x:t>
        </x:is>
      </x:c>
    </x:row>
    <x:row r="34">
      <x:c r="B34" s="7" t="inlineStr">
        <x:is>
          <x:t xml:space="preserve">sizing_dscr</x:t>
        </x:is>
      </x:c>
      <x:c r="C34" s="38" t="n">
        <x:f>'Loan Sizing'!C22</x:f>
        <x:v>1.361970615284709</x:v>
      </x:c>
      <x:c r="D34" t="inlineStr">
        <x:is>
          <x:t xml:space="preserve">NCF ÷ sizing DS</x:t>
        </x:is>
      </x:c>
    </x:row>
    <x:row r="35">
      <x:c r="B35" s="7" t="inlineStr">
        <x:is>
          <x:t xml:space="preserve">sizing_debt_yield</x:t>
        </x:is>
      </x:c>
      <x:c r="C35" s="39" t="n">
        <x:f>'Loan Sizing'!C23</x:f>
        <x:v>0.11813300513117134</x:v>
      </x:c>
      <x:c r="D35" t="inlineStr">
        <x:is>
          <x:t xml:space="preserve">NCF ÷ max loan</x:t>
        </x:is>
      </x:c>
    </x:row>
    <x:row r="36">
      <x:c r="B36" s="7" t="inlineStr">
        <x:is>
          <x:t xml:space="preserve">first_year_debt_service</x:t>
        </x:is>
      </x:c>
      <x:c r="C36" s="34" t="n">
        <x:f>'Loan Sizing'!C26</x:f>
        <x:v>424948.34482758614</x:v>
      </x:c>
      <x:c r="D36" t="inlineStr">
        <x:is>
          <x:t xml:space="preserve">IO year: principal × contract rate</x:t>
        </x:is>
      </x:c>
    </x:row>
    <x:row r="37">
      <x:c r="B37" s="7" t="inlineStr">
        <x:is>
          <x:t xml:space="preserve">cash_to_borrower</x:t>
        </x:is>
      </x:c>
      <x:c r="C37" s="34" t="n">
        <x:f>'Loan Sizing'!C39</x:f>
        <x:v>1946836.8965517231</x:v>
      </x:c>
      <x:c r="D37" t="inlineStr">
        <x:is>
          <x:t xml:space="preserve">Loan − payoff − orig fee − closing</x:t>
        </x:is>
      </x:c>
    </x:row>
    <x:row r="38">
      <x:c r="B38" s="7" t="inlineStr">
        <x:is>
          <x:t xml:space="preserve">stress_uw_noi</x:t>
        </x:is>
      </x:c>
      <x:c r="C38" s="34" t="n">
        <x:f>Sensitivity!D12</x:f>
        <x:v>711094.5</x:v>
      </x:c>
      <x:c r="D38" t="inlineStr">
        <x:is>
          <x:t xml:space="preserve">EGI -5%, mgmt recalc, other opex unchanged</x:t>
        </x:is>
      </x:c>
    </x:row>
    <x:row r="39">
      <x:c r="B39" s="7" t="inlineStr">
        <x:is>
          <x:t xml:space="preserve">stress_maximum_loan</x:t>
        </x:is>
      </x:c>
      <x:c r="C39" s="34" t="n">
        <x:f>Sensitivity!D24</x:f>
        <x:v>5643126.333816406</x:v>
      </x:c>
      <x:c r="D39" t="inlineStr">
        <x:is>
          <x:t xml:space="preserve">Combined downside: EGI -5%, sizing rate +100 bps, cap unchanged</x:t>
        </x:is>
      </x:c>
    </x:row>
    <x:row r="40">
      <x:c r="B40" s="7" t="inlineStr">
        <x:is>
          <x:t xml:space="preserve">subject_lease_monthly_rent</x:t>
        </x:is>
      </x:c>
      <x:c r="C40" s="34" t="n">
        <x:v>15000</x:v>
      </x:c>
      <x:c r="D40" t="inlineStr">
        <x:is>
          <x:t xml:space="preserve">Lease-File.pdf §3 — $15,000/mo as of 2026-08-31</x:t>
        </x:is>
      </x:c>
    </x:row>
    <x:row r="41">
      <x:c r="B41" s="7" t="inlineStr">
        <x:is>
          <x:t xml:space="preserve">subject_lease_expiry</x:t>
        </x:is>
      </x:c>
      <x:c r="C41" s="37" t="inlineStr">
        <x:is>
          <x:t xml:space="preserve">2030-08-31</x:t>
        </x:is>
      </x:c>
      <x:c r="D41" t="inlineStr">
        <x:is>
          <x:t xml:space="preserve">Lease-File.pdf §2 — Initial term expiry; option not exercised in packet</x:t>
        </x:is>
      </x:c>
    </x:row>
    <x:row r="42">
      <x:c r="B42" s="7" t="inlineStr">
        <x:is>
          <x:t xml:space="preserve">subject_lease_deposit</x:t>
        </x:is>
      </x:c>
      <x:c r="C42" s="34" t="n">
        <x:v>30000</x:v>
      </x:c>
      <x:c r="D42" t="inlineStr">
        <x:is>
          <x:t xml:space="preserve">Lease-File.pdf §4 — $30,000, not prepaid rent</x:t>
        </x:is>
      </x:c>
    </x:row>
    <x:row r="43">
      <x:c r="B43" s="7" t="inlineStr">
        <x:is>
          <x:t xml:space="preserve">verified_renewal_insurance</x:t>
        </x:is>
      </x:c>
      <x:c r="C43" s="34" t="n">
        <x:v>33600</x:v>
      </x:c>
      <x:c r="D43" t="inlineStr">
        <x:is>
          <x:t xml:space="preserve">Property-and-Plan p.2 — fictional insurer renewal confirmation Aug 25, 2026: $33,600 annual</x:t>
        </x:is>
      </x:c>
    </x:row>
    <x:row r="44">
      <x:c r="B44" s="7" t="inlineStr">
        <x:is>
          <x:t xml:space="preserve">renewal_option_exercised</x:t>
        </x:is>
      </x:c>
      <x:c r="C44" s="37" t="inlineStr">
        <x:is>
          <x:t xml:space="preserve">No</x:t>
        </x:is>
      </x:c>
      <x:c r="D44" t="inlineStr">
        <x:is>
          <x:t xml:space="preserve">Lease-File.pdf §5 — no exercise notice, acknowledgment or amendment in packet</x:t>
        </x:is>
      </x:c>
    </x:row>
    <x:row r="45">
      <x:c r="B45" s="7" t="inlineStr">
        <x:is>
          <x:t xml:space="preserve">prepayment_friction</x:t>
        </x:is>
      </x:c>
      <x:c r="C45" s="37" t="inlineStr">
        <x:is>
          <x:t xml:space="preserve">1% of outstanding principal in years 1-2; none thereafter. No swap.</x:t>
        </x:is>
      </x:c>
      <x:c r="D45" t="inlineStr">
        <x:is>
          <x:t xml:space="preserve">Lender-Terms.pdf</x:t>
        </x:is>
      </x:c>
    </x:row>
  </x:sheetData>
  <x:mergeCells>
    <x:mergeCell ref="B2:D2"/>
  </x:mergeCells>
  <x:pageMargins left="0.7" right="0.7" top="0.75" bottom="0.75" header="0.3" footer="0.3"/>
</x:worksheet>
</file>