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Assumptions" sheetId="2" state="visible" r:id="rId4"/>
    <sheet name="Rent Roll" sheetId="3" state="visible" r:id="rId5"/>
    <sheet name="T12" sheetId="4" state="visible" r:id="rId6"/>
    <sheet name="Underwriting" sheetId="5" state="visible" r:id="rId7"/>
    <sheet name="Loan Sizing" sheetId="6" state="visible" r:id="rId8"/>
    <sheet name="Sensitivity" sheetId="7" state="visible" r:id="rId9"/>
    <sheet name="Fields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<sst xmlns="http://schemas.openxmlformats.org/spreadsheetml/2006/main" count="347" uniqueCount="303">
  <si>
    <t xml:space="preserve">Stonebridge Logistics — Refinance Underwriting Workbook</t>
  </si>
  <si>
    <t xml:space="preserve">As of August 31, 2026 · USD · Fictional evaluation material · No real transaction</t>
  </si>
  <si>
    <t xml:space="preserve">Legend</t>
  </si>
  <si>
    <t xml:space="preserve">Yellow cells</t>
  </si>
  <si>
    <t xml:space="preserve">Editable input assumptions — reviewer can change these</t>
  </si>
  <si>
    <t xml:space="preserve">Green cells</t>
  </si>
  <si>
    <t xml:space="preserve">Calculated with live formulas</t>
  </si>
  <si>
    <t xml:space="preserve">Orange cells</t>
  </si>
  <si>
    <t xml:space="preserve">Key results (maximum loan, binding constraint, etc.)</t>
  </si>
  <si>
    <t xml:space="preserve">Sheet Map</t>
  </si>
  <si>
    <t xml:space="preserve">Assumptions</t>
  </si>
  <si>
    <t xml:space="preserve">All editable inputs (cap rate, sizing rate, EGI drivers, expenses, loan terms)</t>
  </si>
  <si>
    <t xml:space="preserve">Rent Roll</t>
  </si>
  <si>
    <t xml:space="preserve">Unit-level rent roll, occupancy calculations</t>
  </si>
  <si>
    <t xml:space="preserve">T12</t>
  </si>
  <si>
    <t xml:space="preserve">Trailing-twelve historical statement, monthly detail + annual</t>
  </si>
  <si>
    <t xml:space="preserve">Underwriting</t>
  </si>
  <si>
    <t xml:space="preserve">Underwritten EGI, expenses, NOI, NCF — driven by Assumptions</t>
  </si>
  <si>
    <t xml:space="preserve">Loan Sizing</t>
  </si>
  <si>
    <t xml:space="preserve">LTV / DSCR / Debt Yield tests, binding constraint, sources &amp; uses</t>
  </si>
  <si>
    <t xml:space="preserve">Sensitivity</t>
  </si>
  <si>
    <t xml:space="preserve">Stress: EGI -5%, Rate +100 bps combined downside; cap +50 bps separately</t>
  </si>
  <si>
    <t xml:space="preserve">Fields</t>
  </si>
  <si>
    <t xml:space="preserve">All requested analysis field IDs with values / sources</t>
  </si>
  <si>
    <t xml:space="preserve">Key Inputs Quick-Access</t>
  </si>
  <si>
    <t xml:space="preserve">Cap rate</t>
  </si>
  <si>
    <t xml:space="preserve">Sizing rate</t>
  </si>
  <si>
    <t xml:space="preserve">Contract rate</t>
  </si>
  <si>
    <t xml:space="preserve">Underwritten EGI</t>
  </si>
  <si>
    <t xml:space="preserve">Underwritten NOI (before reserves)</t>
  </si>
  <si>
    <t xml:space="preserve">Indicative value</t>
  </si>
  <si>
    <t xml:space="preserve">Maximum loan</t>
  </si>
  <si>
    <t xml:space="preserve">Binding constraint</t>
  </si>
  <si>
    <t xml:space="preserve">Editable Assumptions</t>
  </si>
  <si>
    <t xml:space="preserve">Property</t>
  </si>
  <si>
    <t xml:space="preserve">Total rentable SF</t>
  </si>
  <si>
    <t xml:space="preserve">From rent roll (sum of unit SF)</t>
  </si>
  <si>
    <t xml:space="preserve">As-of date</t>
  </si>
  <si>
    <t xml:space="preserve">2026-08-31</t>
  </si>
  <si>
    <t xml:space="preserve">Rent roll and T12 as-of</t>
  </si>
  <si>
    <t xml:space="preserve">Underwriting — Revenue</t>
  </si>
  <si>
    <t xml:space="preserve">Gross potential base rent (annual)</t>
  </si>
  <si>
    <t xml:space="preserve">Supplied scenario per Property-and-Plan p.2</t>
  </si>
  <si>
    <t xml:space="preserve">Combined revenue loss %</t>
  </si>
  <si>
    <t xml:space="preserve">Vacancy + concessions + bad debt per plan</t>
  </si>
  <si>
    <t xml:space="preserve">Other income / recoveries (annual)</t>
  </si>
  <si>
    <t xml:space="preserve">Added after revenue loss</t>
  </si>
  <si>
    <t xml:space="preserve">Underwriting — Operating Expenses (annual)</t>
  </si>
  <si>
    <t xml:space="preserve">Real estate taxes</t>
  </si>
  <si>
    <t xml:space="preserve">Plan override; T12 was $126,000</t>
  </si>
  <si>
    <t xml:space="preserve">Property insurance</t>
  </si>
  <si>
    <t xml:space="preserve">Renewal quote in plan (verified renewal confirmation Aug 25, 2026)</t>
  </si>
  <si>
    <t xml:space="preserve">Utilities</t>
  </si>
  <si>
    <t xml:space="preserve">Use T12 actual</t>
  </si>
  <si>
    <t xml:space="preserve">Repairs &amp; maintenance</t>
  </si>
  <si>
    <t xml:space="preserve">T12 $24,000 less $6,000 one-time casualty cleanup</t>
  </si>
  <si>
    <t xml:space="preserve">Payroll / contract labor</t>
  </si>
  <si>
    <t xml:space="preserve">Administrative / legal</t>
  </si>
  <si>
    <t xml:space="preserve">Management — T12 actual</t>
  </si>
  <si>
    <t xml:space="preserve">Historical T12 mgmt fee</t>
  </si>
  <si>
    <t xml:space="preserve">Management — % of underwritten EGI</t>
  </si>
  <si>
    <t xml:space="preserve">Plan: greater of T12 actual OR 3% of underwritten EGI</t>
  </si>
  <si>
    <t xml:space="preserve">Replacement reserves ($/SF/yr)</t>
  </si>
  <si>
    <t xml:space="preserve">Deducted BELOW NOI</t>
  </si>
  <si>
    <t xml:space="preserve">Cap rate (valuation)</t>
  </si>
  <si>
    <t xml:space="preserve">NOI BEFORE reserves ÷ cap rate; no appraisal implied</t>
  </si>
  <si>
    <t xml:space="preserve">Loan Terms</t>
  </si>
  <si>
    <t xml:space="preserve">Index rate</t>
  </si>
  <si>
    <t xml:space="preserve">Lender Terms</t>
  </si>
  <si>
    <t xml:space="preserve">Index floor</t>
  </si>
  <si>
    <t xml:space="preserve">Apply floor BEFORE spread</t>
  </si>
  <si>
    <t xml:space="preserve">Spread</t>
  </si>
  <si>
    <t xml:space="preserve">Added AFTER floor</t>
  </si>
  <si>
    <t xml:space="preserve">Sizing rate floor</t>
  </si>
  <si>
    <t xml:space="preserve">Underwriting floor</t>
  </si>
  <si>
    <t xml:space="preserve">Effective index (after floor)</t>
  </si>
  <si>
    <t xml:space="preserve">MAX(index, floor)</t>
  </si>
  <si>
    <t xml:space="preserve">Effective index + spread</t>
  </si>
  <si>
    <t xml:space="preserve">Greater of contract rate and 7.25%</t>
  </si>
  <si>
    <t xml:space="preserve">Amortization (years)</t>
  </si>
  <si>
    <t xml:space="preserve">Monthly payments</t>
  </si>
  <si>
    <t xml:space="preserve">Interest-only period (months)</t>
  </si>
  <si>
    <t xml:space="preserve">First 12 months IO</t>
  </si>
  <si>
    <t xml:space="preserve">Maturity (months)</t>
  </si>
  <si>
    <t xml:space="preserve">Loan Sizing Constraints</t>
  </si>
  <si>
    <t xml:space="preserve">Max LTV</t>
  </si>
  <si>
    <t xml:space="preserve">Applied to indicative value</t>
  </si>
  <si>
    <t xml:space="preserve">Min DSCR</t>
  </si>
  <si>
    <t xml:space="preserve">NCF after reserves ÷ amortizing DS at sizing rate</t>
  </si>
  <si>
    <t xml:space="preserve">Min debt yield</t>
  </si>
  <si>
    <t xml:space="preserve">NCF after reserves ÷ loan</t>
  </si>
  <si>
    <t xml:space="preserve">Fees &amp; Uses</t>
  </si>
  <si>
    <t xml:space="preserve">Existing debt payoff</t>
  </si>
  <si>
    <t xml:space="preserve">Property plan</t>
  </si>
  <si>
    <t xml:space="preserve">Fixed closing costs</t>
  </si>
  <si>
    <t xml:space="preserve">Origination fee % of loan</t>
  </si>
  <si>
    <t xml:space="preserve">1.25% of actual initial principal</t>
  </si>
  <si>
    <t xml:space="preserve">Sensitivity Levers</t>
  </si>
  <si>
    <t xml:space="preserve">EGI stress %</t>
  </si>
  <si>
    <t xml:space="preserve">Downside EGI adjustment</t>
  </si>
  <si>
    <t xml:space="preserve">Sizing-rate stress (bps)</t>
  </si>
  <si>
    <t xml:space="preserve">Added to sizing rate in combined downside</t>
  </si>
  <si>
    <t xml:space="preserve">Cap-rate sensitivity (bps)</t>
  </si>
  <si>
    <t xml:space="preserve">Separate cap-rate stress</t>
  </si>
  <si>
    <t xml:space="preserve">Rent Roll — As of 2026-08-31</t>
  </si>
  <si>
    <t xml:space="preserve">Unit</t>
  </si>
  <si>
    <t xml:space="preserve">Tenant</t>
  </si>
  <si>
    <t xml:space="preserve">Area SF</t>
  </si>
  <si>
    <t xml:space="preserve">Status</t>
  </si>
  <si>
    <t xml:space="preserve">Monthly Base Rent</t>
  </si>
  <si>
    <t xml:space="preserve">Market Monthly Rent</t>
  </si>
  <si>
    <t xml:space="preserve">Lease Expiry</t>
  </si>
  <si>
    <t xml:space="preserve">101</t>
  </si>
  <si>
    <t xml:space="preserve">Tenant A LLC</t>
  </si>
  <si>
    <t xml:space="preserve">Occupied</t>
  </si>
  <si>
    <t xml:space="preserve">2030-08-31</t>
  </si>
  <si>
    <t xml:space="preserve">102</t>
  </si>
  <si>
    <t xml:space="preserve">Tenant B LLC</t>
  </si>
  <si>
    <t xml:space="preserve">2028-08-31</t>
  </si>
  <si>
    <t xml:space="preserve">103</t>
  </si>
  <si>
    <t xml:space="preserve">Tenant C LLC</t>
  </si>
  <si>
    <t xml:space="preserve">2029-08-31</t>
  </si>
  <si>
    <t xml:space="preserve">104</t>
  </si>
  <si>
    <t xml:space="preserve">Vacant</t>
  </si>
  <si>
    <t xml:space="preserve">Totals</t>
  </si>
  <si>
    <t xml:space="preserve">Occupancy Summary</t>
  </si>
  <si>
    <t xml:space="preserve">Total space count</t>
  </si>
  <si>
    <t xml:space="preserve">Occupied count</t>
  </si>
  <si>
    <t xml:space="preserve">Total area SF</t>
  </si>
  <si>
    <t xml:space="preserve">Occupied area SF</t>
  </si>
  <si>
    <t xml:space="preserve">Occupancy by count %</t>
  </si>
  <si>
    <t xml:space="preserve">Occupancy by area %</t>
  </si>
  <si>
    <t xml:space="preserve">Rent roll monthly base</t>
  </si>
  <si>
    <t xml:space="preserve">Effective monthly base (after amendments)</t>
  </si>
  <si>
    <t xml:space="preserve">Lease file confirms Unit 101 $15,000/mo as of 2026-08-31; no amendments</t>
  </si>
  <si>
    <t xml:space="preserve">Trailing 12 Months (Sep-2025 to Aug-2026) — Annual</t>
  </si>
  <si>
    <t xml:space="preserve">Gross potential base rent</t>
  </si>
  <si>
    <t xml:space="preserve">T12 p.2 Annual</t>
  </si>
  <si>
    <t xml:space="preserve">Vacancy loss</t>
  </si>
  <si>
    <t xml:space="preserve">Concessions</t>
  </si>
  <si>
    <t xml:space="preserve">Bad debt</t>
  </si>
  <si>
    <t xml:space="preserve">Other income / recoveries</t>
  </si>
  <si>
    <t xml:space="preserve">Effective Gross Income (EGI)</t>
  </si>
  <si>
    <t xml:space="preserve">Operating expenses</t>
  </si>
  <si>
    <t xml:space="preserve">Repairs and maintenance</t>
  </si>
  <si>
    <t xml:space="preserve">Management fee</t>
  </si>
  <si>
    <t xml:space="preserve">Total operating expenses</t>
  </si>
  <si>
    <t xml:space="preserve">NOI before replacement reserves</t>
  </si>
  <si>
    <t xml:space="preserve">Replacement reserves (below NOI)</t>
  </si>
  <si>
    <t xml:space="preserve">Net cash flow after reserves</t>
  </si>
  <si>
    <t xml:space="preserve">Memo — below cash flow / non-operating</t>
  </si>
  <si>
    <t xml:space="preserve">Capital improvements</t>
  </si>
  <si>
    <t xml:space="preserve">Not an operating expense</t>
  </si>
  <si>
    <t xml:space="preserve">Loan principal &amp; interest</t>
  </si>
  <si>
    <t xml:space="preserve">Existing debt service</t>
  </si>
  <si>
    <t xml:space="preserve">Depreciation (noncash)</t>
  </si>
  <si>
    <t xml:space="preserve">Excluded from NOI</t>
  </si>
  <si>
    <t xml:space="preserve">Underwritten Cash Flow — driven by Assumptions</t>
  </si>
  <si>
    <t xml:space="preserve">Assumptions!C9</t>
  </si>
  <si>
    <t xml:space="preserve">Combined revenue loss (vac + conc + bad debt)</t>
  </si>
  <si>
    <t xml:space="preserve">-GPR × loss %</t>
  </si>
  <si>
    <t xml:space="preserve">Management fee (max of T12 or % of EGI)</t>
  </si>
  <si>
    <t xml:space="preserve">EGI − total operating expenses</t>
  </si>
  <si>
    <t xml:space="preserve">Replacement reserves</t>
  </si>
  <si>
    <t xml:space="preserve">$/SF × total SF</t>
  </si>
  <si>
    <t xml:space="preserve">Loan Sizing — LTV / DSCR / Debt Yield</t>
  </si>
  <si>
    <t xml:space="preserve">Valuation basis</t>
  </si>
  <si>
    <t xml:space="preserve">Underwritten NOI before reserves</t>
  </si>
  <si>
    <t xml:space="preserve">Underwriting sheet</t>
  </si>
  <si>
    <t xml:space="preserve">NOI before reserves ÷ cap rate</t>
  </si>
  <si>
    <t xml:space="preserve">Underwritten NCF after reserves</t>
  </si>
  <si>
    <t xml:space="preserve">Annual debt constant</t>
  </si>
  <si>
    <t xml:space="preserve">Amortizing DS per $1 principal, 25-yr monthly</t>
  </si>
  <si>
    <t xml:space="preserve">Constraint</t>
  </si>
  <si>
    <t xml:space="preserve">Maximum Loan</t>
  </si>
  <si>
    <t xml:space="preserve">Formula</t>
  </si>
  <si>
    <t xml:space="preserve">LTV (60% of value)</t>
  </si>
  <si>
    <t xml:space="preserve">DSCR (min 1.30x)</t>
  </si>
  <si>
    <t xml:space="preserve">NCF ÷ (min DSCR × debt constant)</t>
  </si>
  <si>
    <t xml:space="preserve">Debt yield (min 10%)</t>
  </si>
  <si>
    <t xml:space="preserve">NCF ÷ min DY</t>
  </si>
  <si>
    <t xml:space="preserve">Maximum loan (binding minimum)</t>
  </si>
  <si>
    <t xml:space="preserve">Sizing annual debt service</t>
  </si>
  <si>
    <t xml:space="preserve">Sizing DSCR</t>
  </si>
  <si>
    <t xml:space="preserve">Sizing debt yield</t>
  </si>
  <si>
    <t xml:space="preserve">First-year debt service (12-mo IO at contract rate)</t>
  </si>
  <si>
    <t xml:space="preserve">IO year: principal × contract rate</t>
  </si>
  <si>
    <t xml:space="preserve">Sources &amp; Uses</t>
  </si>
  <si>
    <t xml:space="preserve">SOURCES</t>
  </si>
  <si>
    <t xml:space="preserve">New first mortgage</t>
  </si>
  <si>
    <t xml:space="preserve">Borrower cash-in (if negative below)</t>
  </si>
  <si>
    <t xml:space="preserve">Total sources</t>
  </si>
  <si>
    <t xml:space="preserve">USES</t>
  </si>
  <si>
    <t xml:space="preserve">Origination fee (1.25% of loan)</t>
  </si>
  <si>
    <t xml:space="preserve">Cash to borrower (positive) / cash-in (negative)</t>
  </si>
  <si>
    <t xml:space="preserve">Total uses</t>
  </si>
  <si>
    <t xml:space="preserve">Sensitivity Analysis</t>
  </si>
  <si>
    <t xml:space="preserve">Base case</t>
  </si>
  <si>
    <t xml:space="preserve">Downside</t>
  </si>
  <si>
    <t xml:space="preserve">EGI adjustment</t>
  </si>
  <si>
    <t xml:space="preserve">Sizing-rate adjustment</t>
  </si>
  <si>
    <t xml:space="preserve">EGI</t>
  </si>
  <si>
    <t xml:space="preserve">Management fee (recalculated)</t>
  </si>
  <si>
    <t xml:space="preserve">Other operating expenses (unchanged)</t>
  </si>
  <si>
    <t xml:space="preserve">NOI before reserves</t>
  </si>
  <si>
    <t xml:space="preserve">Reserves</t>
  </si>
  <si>
    <t xml:space="preserve">NCF after reserves</t>
  </si>
  <si>
    <t xml:space="preserve">Indicative value (NOI ÷ cap rate)</t>
  </si>
  <si>
    <t xml:space="preserve">LTV limit</t>
  </si>
  <si>
    <t xml:space="preserve">DSCR limit</t>
  </si>
  <si>
    <t xml:space="preserve">Debt yield limit</t>
  </si>
  <si>
    <t xml:space="preserve">Separate cap-rate sensitivity (+50 bps default)</t>
  </si>
  <si>
    <t xml:space="preserve">Cap rate + adjustment</t>
  </si>
  <si>
    <t xml:space="preserve">Stressed value</t>
  </si>
  <si>
    <t xml:space="preserve">LTV limit under stressed cap</t>
  </si>
  <si>
    <t xml:space="preserve">Maximum loan (LTV vs DSCR vs DY base)</t>
  </si>
  <si>
    <t xml:space="preserve">Analysis Fields</t>
  </si>
  <si>
    <t xml:space="preserve">Field ID</t>
  </si>
  <si>
    <t xml:space="preserve">Value</t>
  </si>
  <si>
    <t xml:space="preserve">Source / Calculation</t>
  </si>
  <si>
    <t xml:space="preserve">space_count</t>
  </si>
  <si>
    <t xml:space="preserve">Rent-Roll.xlsx — count of unit rows</t>
  </si>
  <si>
    <t xml:space="preserve">occupied_count</t>
  </si>
  <si>
    <t xml:space="preserve">Rent-Roll.xlsx — Status='Occupied'</t>
  </si>
  <si>
    <t xml:space="preserve">total_area_sf</t>
  </si>
  <si>
    <t xml:space="preserve">Rent-Roll.xlsx — SUM Area SF</t>
  </si>
  <si>
    <t xml:space="preserve">occupied_area_sf</t>
  </si>
  <si>
    <t xml:space="preserve">Rent-Roll.xlsx — SUMIF occupied</t>
  </si>
  <si>
    <t xml:space="preserve">occupancy_count_pct</t>
  </si>
  <si>
    <t xml:space="preserve">Occupied count / total × 100</t>
  </si>
  <si>
    <t xml:space="preserve">occupancy_area_pct</t>
  </si>
  <si>
    <t xml:space="preserve">Occupied SF / total SF × 100</t>
  </si>
  <si>
    <t xml:space="preserve">rent_roll_monthly_base</t>
  </si>
  <si>
    <t xml:space="preserve">Rent-Roll.xlsx — SUM Monthly Base Rent</t>
  </si>
  <si>
    <t xml:space="preserve">effective_monthly_base</t>
  </si>
  <si>
    <t xml:space="preserve">Lease-File.pdf confirms Unit 101 $15,000/mo; no amendments — equals rent roll</t>
  </si>
  <si>
    <t xml:space="preserve">t12_egi</t>
  </si>
  <si>
    <t xml:space="preserve">T12-Statement.pdf p.2 Annual column</t>
  </si>
  <si>
    <t xml:space="preserve">t12_operating_expenses</t>
  </si>
  <si>
    <t xml:space="preserve">T12 opex: taxes+ins+util+R&amp;M+payroll+admin+mgmt</t>
  </si>
  <si>
    <t xml:space="preserve">t12_noi_before_reserves</t>
  </si>
  <si>
    <t xml:space="preserve">T12 EGI − opex (before reserves)</t>
  </si>
  <si>
    <t xml:space="preserve">t12_reserves</t>
  </si>
  <si>
    <t xml:space="preserve">T12 replacement reserves</t>
  </si>
  <si>
    <t xml:space="preserve">t12_ncf</t>
  </si>
  <si>
    <t xml:space="preserve">T12 NOI before reserves − reserves</t>
  </si>
  <si>
    <t xml:space="preserve">uw_egi</t>
  </si>
  <si>
    <t xml:space="preserve">Property-and-Plan p.2 UW scenario</t>
  </si>
  <si>
    <t xml:space="preserve">uw_management_fee</t>
  </si>
  <si>
    <t xml:space="preserve">MAX(T12 $25,200; 3% × UW EGI)</t>
  </si>
  <si>
    <t xml:space="preserve">uw_operating_expenses</t>
  </si>
  <si>
    <t xml:space="preserve">UW opex before reserves</t>
  </si>
  <si>
    <t xml:space="preserve">uw_noi_before_reserves</t>
  </si>
  <si>
    <t xml:space="preserve">UW EGI − UW opex</t>
  </si>
  <si>
    <t xml:space="preserve">uw_reserves</t>
  </si>
  <si>
    <t xml:space="preserve">$0.20/SF × 85,000 SF</t>
  </si>
  <si>
    <t xml:space="preserve">uw_ncf</t>
  </si>
  <si>
    <t xml:space="preserve">UW NOI − reserves</t>
  </si>
  <si>
    <t xml:space="preserve">capitalization_value</t>
  </si>
  <si>
    <t xml:space="preserve">UW NOI before reserves ÷ 6.75% cap rate</t>
  </si>
  <si>
    <t xml:space="preserve">contract_rate</t>
  </si>
  <si>
    <t xml:space="preserve">MAX(3.25%,4.00% floor)+2.75% spread = 6.75%</t>
  </si>
  <si>
    <t xml:space="preserve">sizing_rate</t>
  </si>
  <si>
    <t xml:space="preserve">MAX(contract 6.75%, 7.25% floor) = 7.25%</t>
  </si>
  <si>
    <t xml:space="preserve">annual_debt_constant</t>
  </si>
  <si>
    <t xml:space="preserve">25-yr monthly amort, sizing rate</t>
  </si>
  <si>
    <t xml:space="preserve">ltv_limit</t>
  </si>
  <si>
    <t xml:space="preserve">60% × indicative value</t>
  </si>
  <si>
    <t xml:space="preserve">dscr_limit</t>
  </si>
  <si>
    <t xml:space="preserve">NCF ÷ (1.30 × debt constant)</t>
  </si>
  <si>
    <t xml:space="preserve">debt_yield_limit</t>
  </si>
  <si>
    <t xml:space="preserve">NCF ÷ 10%</t>
  </si>
  <si>
    <t xml:space="preserve">maximum_loan</t>
  </si>
  <si>
    <t xml:space="preserve">MIN of three constraints</t>
  </si>
  <si>
    <t xml:space="preserve">binding_constraint</t>
  </si>
  <si>
    <t xml:space="preserve">Binding of LTV/DSCR/DY</t>
  </si>
  <si>
    <t xml:space="preserve">sizing_annual_debt_service</t>
  </si>
  <si>
    <t xml:space="preserve">Max loan × debt constant</t>
  </si>
  <si>
    <t xml:space="preserve">sizing_dscr</t>
  </si>
  <si>
    <t xml:space="preserve">NCF ÷ sizing DS</t>
  </si>
  <si>
    <t xml:space="preserve">sizing_debt_yield</t>
  </si>
  <si>
    <t xml:space="preserve">NCF ÷ max loan</t>
  </si>
  <si>
    <t xml:space="preserve">first_year_debt_service</t>
  </si>
  <si>
    <t xml:space="preserve">cash_to_borrower</t>
  </si>
  <si>
    <t xml:space="preserve">Loan − payoff − orig fee − closing</t>
  </si>
  <si>
    <t xml:space="preserve">stress_uw_noi</t>
  </si>
  <si>
    <t xml:space="preserve">EGI -5%, mgmt recalc, other opex unchanged</t>
  </si>
  <si>
    <t xml:space="preserve">stress_maximum_loan</t>
  </si>
  <si>
    <t xml:space="preserve">Combined downside: EGI -5%, sizing rate +100 bps, cap unchanged</t>
  </si>
  <si>
    <t xml:space="preserve">subject_lease_monthly_rent</t>
  </si>
  <si>
    <t xml:space="preserve">Lease-File.pdf §3 — $15,000/mo as of 2026-08-31</t>
  </si>
  <si>
    <t xml:space="preserve">subject_lease_expiry</t>
  </si>
  <si>
    <t xml:space="preserve">Lease-File.pdf §2 — Initial term expiry; option not exercised in packet</t>
  </si>
  <si>
    <t xml:space="preserve">subject_lease_deposit</t>
  </si>
  <si>
    <t xml:space="preserve">Lease-File.pdf §4 — $30,000, not prepaid rent</t>
  </si>
  <si>
    <t xml:space="preserve">verified_renewal_insurance</t>
  </si>
  <si>
    <t xml:space="preserve">Property-and-Plan p.2 — fictional insurer renewal confirmation Aug 25, 2026: $33,600 annual</t>
  </si>
  <si>
    <t xml:space="preserve">renewal_option_exercised</t>
  </si>
  <si>
    <t xml:space="preserve">No</t>
  </si>
  <si>
    <t xml:space="preserve">Lease-File.pdf §5 — no exercise notice, acknowledgment or amendment in packet</t>
  </si>
  <si>
    <t xml:space="preserve">prepayment_friction</t>
  </si>
  <si>
    <t xml:space="preserve">1% of outstanding principal in years 1-2; none thereafter. No swap.</t>
  </si>
  <si>
    <t xml:space="preserve">Lender-Terms.pdf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</si>
</sst>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%"/>
    <numFmt numFmtId="166" formatCode="\$#,##0;[RED]&quot;($&quot;#,##0\)"/>
    <numFmt numFmtId="167" formatCode="#,##0"/>
    <numFmt numFmtId="168" formatCode="\$#,##0.00"/>
    <numFmt numFmtId="169" formatCode="0.000\x"/>
    <numFmt numFmtId="170" formatCode="0.00000000"/>
    <numFmt numFmtId="171" formatCode="0.00"/>
    <numFmt numFmtId="172" formatCode="0.00000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b val="true"/>
      <sz val="12"/>
      <color rgb="FFFFFFFF"/>
      <name val="Cambria"/>
      <family val="0"/>
      <charset val="1"/>
    </font>
    <font>
      <i val="true"/>
      <sz val="11"/>
      <color rgb="FF595959"/>
      <name val="Cambria"/>
      <family val="0"/>
      <charset val="1"/>
    </font>
    <font>
      <b val="true"/>
      <sz val="11"/>
      <name val="Cambria"/>
      <family val="0"/>
      <charset val="1"/>
    </font>
    <font>
      <b val="true"/>
      <i val="true"/>
      <sz val="11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9E1F2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5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5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4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4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4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5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6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5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5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5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5" borderId="1" xfId="2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4" fillId="5" borderId="1" xfId="2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5" borderId="1" xfId="2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4" fillId="5" borderId="1" xfId="2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5" borderId="1" xfId="2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5" borderId="1" xfId="2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5" borderId="1" xfId="2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5" borderId="1" xfId="20" applyFont="fals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3" min="3" style="0" width="60"/>
  </cols>
  <sheetData>
    <row r="2" customFormat="false" ht="15" hidden="false" customHeight="false" outlineLevel="0" collapsed="false">
      <c r="B2" s="1" t="s">
        <v>0</v>
      </c>
      <c r="C2" s="1"/>
    </row>
    <row r="3" customFormat="false" ht="15" hidden="false" customHeight="false" outlineLevel="0" collapsed="false">
      <c r="B3" s="2" t="s">
        <v>1</v>
      </c>
      <c r="C3" s="2"/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  <c r="C6" s="0" t="s">
        <v>4</v>
      </c>
    </row>
    <row r="7" customFormat="false" ht="15" hidden="false" customHeight="false" outlineLevel="0" collapsed="false">
      <c r="B7" s="5" t="s">
        <v>5</v>
      </c>
      <c r="C7" s="0" t="s">
        <v>6</v>
      </c>
    </row>
    <row r="8" customFormat="false" ht="15" hidden="false" customHeight="false" outlineLevel="0" collapsed="false">
      <c r="B8" s="6" t="s">
        <v>7</v>
      </c>
      <c r="C8" s="0" t="s">
        <v>8</v>
      </c>
    </row>
    <row r="10" customFormat="false" ht="15" hidden="false" customHeight="false" outlineLevel="0" collapsed="false">
      <c r="B10" s="3" t="s">
        <v>9</v>
      </c>
    </row>
    <row r="11" customFormat="false" ht="15" hidden="false" customHeight="false" outlineLevel="0" collapsed="false">
      <c r="B11" s="7" t="s">
        <v>10</v>
      </c>
      <c r="C11" s="0" t="s">
        <v>11</v>
      </c>
    </row>
    <row r="12" customFormat="false" ht="15" hidden="false" customHeight="false" outlineLevel="0" collapsed="false">
      <c r="B12" s="7" t="s">
        <v>12</v>
      </c>
      <c r="C12" s="0" t="s">
        <v>13</v>
      </c>
    </row>
    <row r="13" customFormat="false" ht="15" hidden="false" customHeight="false" outlineLevel="0" collapsed="false">
      <c r="B13" s="7" t="s">
        <v>14</v>
      </c>
      <c r="C13" s="0" t="s">
        <v>15</v>
      </c>
    </row>
    <row r="14" customFormat="false" ht="15" hidden="false" customHeight="false" outlineLevel="0" collapsed="false">
      <c r="B14" s="7" t="s">
        <v>16</v>
      </c>
      <c r="C14" s="0" t="s">
        <v>17</v>
      </c>
    </row>
    <row r="15" customFormat="false" ht="15" hidden="false" customHeight="false" outlineLevel="0" collapsed="false">
      <c r="B15" s="7" t="s">
        <v>18</v>
      </c>
      <c r="C15" s="0" t="s">
        <v>19</v>
      </c>
    </row>
    <row r="16" customFormat="false" ht="15" hidden="false" customHeight="false" outlineLevel="0" collapsed="false">
      <c r="B16" s="7" t="s">
        <v>20</v>
      </c>
      <c r="C16" s="0" t="s">
        <v>21</v>
      </c>
    </row>
    <row r="17" customFormat="false" ht="15" hidden="false" customHeight="false" outlineLevel="0" collapsed="false">
      <c r="B17" s="7" t="s">
        <v>22</v>
      </c>
      <c r="C17" s="0" t="s">
        <v>23</v>
      </c>
    </row>
    <row r="19" customFormat="false" ht="15" hidden="false" customHeight="false" outlineLevel="0" collapsed="false">
      <c r="B19" s="3" t="s">
        <v>24</v>
      </c>
    </row>
    <row r="20" customFormat="false" ht="15" hidden="false" customHeight="false" outlineLevel="0" collapsed="false">
      <c r="B20" s="7" t="s">
        <v>25</v>
      </c>
      <c r="C20" s="8" t="n">
        <f aca="false">Assumptions!C24</f>
        <v>0.0725</v>
      </c>
    </row>
    <row r="21" customFormat="false" ht="15" hidden="false" customHeight="false" outlineLevel="0" collapsed="false">
      <c r="B21" s="7" t="s">
        <v>26</v>
      </c>
      <c r="C21" s="8" t="n">
        <f aca="false">Assumptions!C33</f>
        <v>0.0725</v>
      </c>
    </row>
    <row r="22" customFormat="false" ht="15" hidden="false" customHeight="false" outlineLevel="0" collapsed="false">
      <c r="B22" s="7" t="s">
        <v>27</v>
      </c>
      <c r="C22" s="8" t="n">
        <f aca="false">Assumptions!C32</f>
        <v>0.0675</v>
      </c>
    </row>
    <row r="23" customFormat="false" ht="15" hidden="false" customHeight="false" outlineLevel="0" collapsed="false">
      <c r="B23" s="7" t="s">
        <v>28</v>
      </c>
      <c r="C23" s="9" t="n">
        <f aca="false">Underwriting!C10</f>
        <v>1023000</v>
      </c>
    </row>
    <row r="24" customFormat="false" ht="15" hidden="false" customHeight="false" outlineLevel="0" collapsed="false">
      <c r="B24" s="7" t="s">
        <v>29</v>
      </c>
      <c r="C24" s="9" t="n">
        <f aca="false">Underwriting!C22</f>
        <v>760710</v>
      </c>
    </row>
    <row r="25" customFormat="false" ht="15" hidden="false" customHeight="false" outlineLevel="0" collapsed="false">
      <c r="B25" s="7" t="s">
        <v>30</v>
      </c>
      <c r="C25" s="9" t="n">
        <f aca="false">'Loan Sizing'!C6</f>
        <v>10492551.7241379</v>
      </c>
    </row>
    <row r="26" customFormat="false" ht="15" hidden="false" customHeight="false" outlineLevel="0" collapsed="false">
      <c r="B26" s="7" t="s">
        <v>31</v>
      </c>
      <c r="C26" s="9" t="n">
        <f aca="false">'Loan Sizing'!C18</f>
        <v>6295531.03448276</v>
      </c>
    </row>
    <row r="27" customFormat="false" ht="15" hidden="false" customHeight="false" outlineLevel="0" collapsed="false">
      <c r="B27" s="7" t="s">
        <v>32</v>
      </c>
      <c r="C27" s="5" t="str">
        <f aca="false">'Loan Sizing'!C19</f>
        <v>LTV</v>
      </c>
    </row>
  </sheetData>
  <mergeCells count="2">
    <mergeCell ref="B2:C2"/>
    <mergeCell ref="B3:C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8"/>
    <col collapsed="false" customWidth="true" hidden="false" outlineLevel="0" max="3" min="3" style="0" width="18"/>
    <col collapsed="false" customWidth="true" hidden="false" outlineLevel="0" max="4" min="4" style="0" width="60"/>
  </cols>
  <sheetData>
    <row r="2" customFormat="false" ht="15" hidden="false" customHeight="false" outlineLevel="0" collapsed="false">
      <c r="B2" s="1" t="s">
        <v>33</v>
      </c>
      <c r="C2" s="1"/>
      <c r="D2" s="1"/>
    </row>
    <row r="4" customFormat="false" ht="15" hidden="false" customHeight="false" outlineLevel="0" collapsed="false">
      <c r="B4" s="10" t="s">
        <v>34</v>
      </c>
      <c r="C4" s="10"/>
      <c r="D4" s="10"/>
    </row>
    <row r="5" customFormat="false" ht="15" hidden="false" customHeight="false" outlineLevel="0" collapsed="false">
      <c r="B5" s="0" t="s">
        <v>35</v>
      </c>
      <c r="C5" s="11" t="n">
        <v>85000</v>
      </c>
      <c r="D5" s="0" t="s">
        <v>36</v>
      </c>
    </row>
    <row r="6" customFormat="false" ht="15" hidden="false" customHeight="false" outlineLevel="0" collapsed="false">
      <c r="B6" s="0" t="s">
        <v>37</v>
      </c>
      <c r="C6" s="4" t="s">
        <v>38</v>
      </c>
      <c r="D6" s="0" t="s">
        <v>39</v>
      </c>
    </row>
    <row r="8" customFormat="false" ht="15" hidden="false" customHeight="false" outlineLevel="0" collapsed="false">
      <c r="B8" s="10" t="s">
        <v>40</v>
      </c>
      <c r="C8" s="10"/>
      <c r="D8" s="10"/>
    </row>
    <row r="9" customFormat="false" ht="15" hidden="false" customHeight="false" outlineLevel="0" collapsed="false">
      <c r="B9" s="0" t="s">
        <v>41</v>
      </c>
      <c r="C9" s="12" t="n">
        <v>900000</v>
      </c>
      <c r="D9" s="0" t="s">
        <v>42</v>
      </c>
    </row>
    <row r="10" customFormat="false" ht="15" hidden="false" customHeight="false" outlineLevel="0" collapsed="false">
      <c r="B10" s="0" t="s">
        <v>43</v>
      </c>
      <c r="C10" s="13" t="n">
        <v>0.08</v>
      </c>
      <c r="D10" s="0" t="s">
        <v>44</v>
      </c>
    </row>
    <row r="11" customFormat="false" ht="15" hidden="false" customHeight="false" outlineLevel="0" collapsed="false">
      <c r="B11" s="0" t="s">
        <v>45</v>
      </c>
      <c r="C11" s="12" t="n">
        <v>195000</v>
      </c>
      <c r="D11" s="0" t="s">
        <v>46</v>
      </c>
    </row>
    <row r="13" customFormat="false" ht="15" hidden="false" customHeight="false" outlineLevel="0" collapsed="false">
      <c r="B13" s="10" t="s">
        <v>47</v>
      </c>
      <c r="C13" s="10"/>
      <c r="D13" s="10"/>
    </row>
    <row r="14" customFormat="false" ht="15" hidden="false" customHeight="false" outlineLevel="0" collapsed="false">
      <c r="B14" s="0" t="s">
        <v>48</v>
      </c>
      <c r="C14" s="12" t="n">
        <v>132000</v>
      </c>
      <c r="D14" s="0" t="s">
        <v>49</v>
      </c>
    </row>
    <row r="15" customFormat="false" ht="15" hidden="false" customHeight="false" outlineLevel="0" collapsed="false">
      <c r="B15" s="0" t="s">
        <v>50</v>
      </c>
      <c r="C15" s="12" t="n">
        <v>33600</v>
      </c>
      <c r="D15" s="0" t="s">
        <v>51</v>
      </c>
    </row>
    <row r="16" customFormat="false" ht="15" hidden="false" customHeight="false" outlineLevel="0" collapsed="false">
      <c r="B16" s="0" t="s">
        <v>52</v>
      </c>
      <c r="C16" s="12" t="n">
        <v>12000</v>
      </c>
      <c r="D16" s="0" t="s">
        <v>53</v>
      </c>
    </row>
    <row r="17" customFormat="false" ht="15" hidden="false" customHeight="false" outlineLevel="0" collapsed="false">
      <c r="B17" s="0" t="s">
        <v>54</v>
      </c>
      <c r="C17" s="12" t="n">
        <v>18000</v>
      </c>
      <c r="D17" s="0" t="s">
        <v>55</v>
      </c>
    </row>
    <row r="18" customFormat="false" ht="15" hidden="false" customHeight="false" outlineLevel="0" collapsed="false">
      <c r="B18" s="0" t="s">
        <v>56</v>
      </c>
      <c r="C18" s="12" t="n">
        <v>18000</v>
      </c>
      <c r="D18" s="0" t="s">
        <v>53</v>
      </c>
    </row>
    <row r="19" customFormat="false" ht="15" hidden="false" customHeight="false" outlineLevel="0" collapsed="false">
      <c r="B19" s="0" t="s">
        <v>57</v>
      </c>
      <c r="C19" s="12" t="n">
        <v>18000</v>
      </c>
      <c r="D19" s="0" t="s">
        <v>53</v>
      </c>
    </row>
    <row r="20" customFormat="false" ht="15" hidden="false" customHeight="false" outlineLevel="0" collapsed="false">
      <c r="B20" s="0" t="s">
        <v>58</v>
      </c>
      <c r="C20" s="12" t="n">
        <v>25200</v>
      </c>
      <c r="D20" s="0" t="s">
        <v>59</v>
      </c>
    </row>
    <row r="21" customFormat="false" ht="15" hidden="false" customHeight="false" outlineLevel="0" collapsed="false">
      <c r="B21" s="0" t="s">
        <v>60</v>
      </c>
      <c r="C21" s="13" t="n">
        <v>0.03</v>
      </c>
      <c r="D21" s="0" t="s">
        <v>61</v>
      </c>
    </row>
    <row r="22" customFormat="false" ht="15" hidden="false" customHeight="false" outlineLevel="0" collapsed="false">
      <c r="B22" s="0" t="s">
        <v>62</v>
      </c>
      <c r="C22" s="14" t="n">
        <v>0.2</v>
      </c>
      <c r="D22" s="0" t="s">
        <v>63</v>
      </c>
    </row>
    <row r="24" customFormat="false" ht="15" hidden="false" customHeight="false" outlineLevel="0" collapsed="false">
      <c r="B24" s="7" t="s">
        <v>64</v>
      </c>
      <c r="C24" s="13" t="n">
        <v>0.0725</v>
      </c>
      <c r="D24" s="0" t="s">
        <v>65</v>
      </c>
    </row>
    <row r="26" customFormat="false" ht="15" hidden="false" customHeight="false" outlineLevel="0" collapsed="false">
      <c r="B26" s="10" t="s">
        <v>66</v>
      </c>
      <c r="C26" s="10"/>
      <c r="D26" s="10"/>
    </row>
    <row r="27" customFormat="false" ht="15" hidden="false" customHeight="false" outlineLevel="0" collapsed="false">
      <c r="B27" s="0" t="s">
        <v>67</v>
      </c>
      <c r="C27" s="13" t="n">
        <v>0.0325</v>
      </c>
      <c r="D27" s="0" t="s">
        <v>68</v>
      </c>
    </row>
    <row r="28" customFormat="false" ht="15" hidden="false" customHeight="false" outlineLevel="0" collapsed="false">
      <c r="B28" s="0" t="s">
        <v>69</v>
      </c>
      <c r="C28" s="13" t="n">
        <v>0.04</v>
      </c>
      <c r="D28" s="0" t="s">
        <v>70</v>
      </c>
    </row>
    <row r="29" customFormat="false" ht="15" hidden="false" customHeight="false" outlineLevel="0" collapsed="false">
      <c r="B29" s="0" t="s">
        <v>71</v>
      </c>
      <c r="C29" s="13" t="n">
        <v>0.0275</v>
      </c>
      <c r="D29" s="0" t="s">
        <v>72</v>
      </c>
    </row>
    <row r="30" customFormat="false" ht="15" hidden="false" customHeight="false" outlineLevel="0" collapsed="false">
      <c r="B30" s="0" t="s">
        <v>73</v>
      </c>
      <c r="C30" s="13" t="n">
        <v>0.0725</v>
      </c>
      <c r="D30" s="0" t="s">
        <v>74</v>
      </c>
    </row>
    <row r="31" customFormat="false" ht="15" hidden="false" customHeight="false" outlineLevel="0" collapsed="false">
      <c r="B31" s="0" t="s">
        <v>75</v>
      </c>
      <c r="C31" s="8" t="n">
        <f aca="false">MAX(C27,C28)</f>
        <v>0.04</v>
      </c>
      <c r="D31" s="0" t="s">
        <v>76</v>
      </c>
    </row>
    <row r="32" customFormat="false" ht="15" hidden="false" customHeight="false" outlineLevel="0" collapsed="false">
      <c r="B32" s="0" t="s">
        <v>27</v>
      </c>
      <c r="C32" s="15" t="n">
        <f aca="false">C31+C29</f>
        <v>0.0675</v>
      </c>
      <c r="D32" s="0" t="s">
        <v>77</v>
      </c>
    </row>
    <row r="33" customFormat="false" ht="15" hidden="false" customHeight="false" outlineLevel="0" collapsed="false">
      <c r="B33" s="0" t="s">
        <v>26</v>
      </c>
      <c r="C33" s="15" t="n">
        <f aca="false">MAX(C32,C30)</f>
        <v>0.0725</v>
      </c>
      <c r="D33" s="0" t="s">
        <v>78</v>
      </c>
    </row>
    <row r="34" customFormat="false" ht="15" hidden="false" customHeight="false" outlineLevel="0" collapsed="false">
      <c r="B34" s="0" t="s">
        <v>79</v>
      </c>
      <c r="C34" s="11" t="n">
        <v>25</v>
      </c>
      <c r="D34" s="0" t="s">
        <v>80</v>
      </c>
    </row>
    <row r="35" customFormat="false" ht="15" hidden="false" customHeight="false" outlineLevel="0" collapsed="false">
      <c r="B35" s="0" t="s">
        <v>81</v>
      </c>
      <c r="C35" s="11" t="n">
        <v>12</v>
      </c>
      <c r="D35" s="0" t="s">
        <v>82</v>
      </c>
    </row>
    <row r="36" customFormat="false" ht="15" hidden="false" customHeight="false" outlineLevel="0" collapsed="false">
      <c r="B36" s="0" t="s">
        <v>83</v>
      </c>
      <c r="C36" s="11" t="n">
        <v>36</v>
      </c>
    </row>
    <row r="38" customFormat="false" ht="15" hidden="false" customHeight="false" outlineLevel="0" collapsed="false">
      <c r="B38" s="10" t="s">
        <v>84</v>
      </c>
      <c r="C38" s="10"/>
      <c r="D38" s="10"/>
    </row>
    <row r="39" customFormat="false" ht="15" hidden="false" customHeight="false" outlineLevel="0" collapsed="false">
      <c r="B39" s="0" t="s">
        <v>85</v>
      </c>
      <c r="C39" s="13" t="n">
        <v>0.6</v>
      </c>
      <c r="D39" s="0" t="s">
        <v>86</v>
      </c>
    </row>
    <row r="40" customFormat="false" ht="15" hidden="false" customHeight="false" outlineLevel="0" collapsed="false">
      <c r="B40" s="0" t="s">
        <v>87</v>
      </c>
      <c r="C40" s="16" t="n">
        <v>1.3</v>
      </c>
      <c r="D40" s="0" t="s">
        <v>88</v>
      </c>
    </row>
    <row r="41" customFormat="false" ht="15" hidden="false" customHeight="false" outlineLevel="0" collapsed="false">
      <c r="B41" s="0" t="s">
        <v>89</v>
      </c>
      <c r="C41" s="13" t="n">
        <v>0.1</v>
      </c>
      <c r="D41" s="0" t="s">
        <v>90</v>
      </c>
    </row>
    <row r="43" customFormat="false" ht="15" hidden="false" customHeight="false" outlineLevel="0" collapsed="false">
      <c r="B43" s="10" t="s">
        <v>91</v>
      </c>
      <c r="C43" s="10"/>
      <c r="D43" s="10"/>
    </row>
    <row r="44" customFormat="false" ht="15" hidden="false" customHeight="false" outlineLevel="0" collapsed="false">
      <c r="B44" s="0" t="s">
        <v>92</v>
      </c>
      <c r="C44" s="12" t="n">
        <v>4200000</v>
      </c>
      <c r="D44" s="0" t="s">
        <v>93</v>
      </c>
    </row>
    <row r="45" customFormat="false" ht="15" hidden="false" customHeight="false" outlineLevel="0" collapsed="false">
      <c r="B45" s="0" t="s">
        <v>94</v>
      </c>
      <c r="C45" s="12" t="n">
        <v>70000</v>
      </c>
      <c r="D45" s="0" t="s">
        <v>93</v>
      </c>
    </row>
    <row r="46" customFormat="false" ht="15" hidden="false" customHeight="false" outlineLevel="0" collapsed="false">
      <c r="B46" s="0" t="s">
        <v>95</v>
      </c>
      <c r="C46" s="13" t="n">
        <v>0.0125</v>
      </c>
      <c r="D46" s="0" t="s">
        <v>96</v>
      </c>
    </row>
    <row r="48" customFormat="false" ht="15" hidden="false" customHeight="false" outlineLevel="0" collapsed="false">
      <c r="B48" s="10" t="s">
        <v>97</v>
      </c>
      <c r="C48" s="10"/>
      <c r="D48" s="10"/>
    </row>
    <row r="49" customFormat="false" ht="15" hidden="false" customHeight="false" outlineLevel="0" collapsed="false">
      <c r="B49" s="0" t="s">
        <v>98</v>
      </c>
      <c r="C49" s="13" t="n">
        <v>-0.05</v>
      </c>
      <c r="D49" s="0" t="s">
        <v>99</v>
      </c>
    </row>
    <row r="50" customFormat="false" ht="15" hidden="false" customHeight="false" outlineLevel="0" collapsed="false">
      <c r="B50" s="0" t="s">
        <v>100</v>
      </c>
      <c r="C50" s="11" t="n">
        <v>100</v>
      </c>
      <c r="D50" s="0" t="s">
        <v>101</v>
      </c>
    </row>
    <row r="51" customFormat="false" ht="15" hidden="false" customHeight="false" outlineLevel="0" collapsed="false">
      <c r="B51" s="0" t="s">
        <v>102</v>
      </c>
      <c r="C51" s="11" t="n">
        <v>50</v>
      </c>
      <c r="D51" s="0" t="s">
        <v>103</v>
      </c>
    </row>
  </sheetData>
  <mergeCells count="8">
    <mergeCell ref="B2:D2"/>
    <mergeCell ref="B4:D4"/>
    <mergeCell ref="B8:D8"/>
    <mergeCell ref="B13:D13"/>
    <mergeCell ref="B26:D26"/>
    <mergeCell ref="B38:D38"/>
    <mergeCell ref="B43:D43"/>
    <mergeCell ref="B48:D4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5" min="4" style="0" width="12"/>
    <col collapsed="false" customWidth="true" hidden="false" outlineLevel="0" max="7" min="6" style="0" width="16"/>
    <col collapsed="false" customWidth="true" hidden="false" outlineLevel="0" max="8" min="8" style="0" width="14"/>
  </cols>
  <sheetData>
    <row r="2" customFormat="false" ht="15" hidden="false" customHeight="false" outlineLevel="0" collapsed="false">
      <c r="B2" s="1" t="s">
        <v>104</v>
      </c>
      <c r="C2" s="1"/>
      <c r="D2" s="1"/>
      <c r="E2" s="1"/>
      <c r="F2" s="1"/>
      <c r="G2" s="1"/>
      <c r="H2" s="1"/>
    </row>
    <row r="4" customFormat="false" ht="15" hidden="false" customHeight="false" outlineLevel="0" collapsed="false">
      <c r="B4" s="17" t="s">
        <v>105</v>
      </c>
      <c r="C4" s="17" t="s">
        <v>106</v>
      </c>
      <c r="D4" s="17" t="s">
        <v>107</v>
      </c>
      <c r="E4" s="17" t="s">
        <v>108</v>
      </c>
      <c r="F4" s="17" t="s">
        <v>109</v>
      </c>
      <c r="G4" s="17" t="s">
        <v>110</v>
      </c>
      <c r="H4" s="17" t="s">
        <v>111</v>
      </c>
    </row>
    <row r="5" customFormat="false" ht="15" hidden="false" customHeight="false" outlineLevel="0" collapsed="false">
      <c r="B5" s="18" t="s">
        <v>112</v>
      </c>
      <c r="C5" s="18" t="s">
        <v>113</v>
      </c>
      <c r="D5" s="19" t="n">
        <v>18000</v>
      </c>
      <c r="E5" s="18" t="s">
        <v>114</v>
      </c>
      <c r="F5" s="20" t="n">
        <v>15000</v>
      </c>
      <c r="G5" s="20" t="n">
        <v>15000</v>
      </c>
      <c r="H5" s="18" t="s">
        <v>115</v>
      </c>
    </row>
    <row r="6" customFormat="false" ht="15" hidden="false" customHeight="false" outlineLevel="0" collapsed="false">
      <c r="B6" s="18" t="s">
        <v>116</v>
      </c>
      <c r="C6" s="18" t="s">
        <v>117</v>
      </c>
      <c r="D6" s="19" t="n">
        <v>22000</v>
      </c>
      <c r="E6" s="18" t="s">
        <v>114</v>
      </c>
      <c r="F6" s="20" t="n">
        <v>18700</v>
      </c>
      <c r="G6" s="20" t="n">
        <v>18700</v>
      </c>
      <c r="H6" s="18" t="s">
        <v>118</v>
      </c>
    </row>
    <row r="7" customFormat="false" ht="15" hidden="false" customHeight="false" outlineLevel="0" collapsed="false">
      <c r="B7" s="18" t="s">
        <v>119</v>
      </c>
      <c r="C7" s="18" t="s">
        <v>120</v>
      </c>
      <c r="D7" s="19" t="n">
        <v>30000</v>
      </c>
      <c r="E7" s="18" t="s">
        <v>114</v>
      </c>
      <c r="F7" s="20" t="n">
        <v>27000</v>
      </c>
      <c r="G7" s="20" t="n">
        <v>27000</v>
      </c>
      <c r="H7" s="18" t="s">
        <v>121</v>
      </c>
    </row>
    <row r="8" customFormat="false" ht="15" hidden="false" customHeight="false" outlineLevel="0" collapsed="false">
      <c r="B8" s="18" t="s">
        <v>122</v>
      </c>
      <c r="C8" s="18" t="s">
        <v>123</v>
      </c>
      <c r="D8" s="19" t="n">
        <v>15000</v>
      </c>
      <c r="E8" s="18" t="s">
        <v>123</v>
      </c>
      <c r="F8" s="20"/>
      <c r="G8" s="20" t="n">
        <v>12500</v>
      </c>
      <c r="H8" s="18"/>
    </row>
    <row r="10" customFormat="false" ht="15" hidden="false" customHeight="false" outlineLevel="0" collapsed="false">
      <c r="B10" s="7" t="s">
        <v>124</v>
      </c>
      <c r="D10" s="21" t="n">
        <f aca="false">SUM(D5:D8)</f>
        <v>85000</v>
      </c>
      <c r="F10" s="22" t="n">
        <f aca="false">SUM(F5:F8)</f>
        <v>60700</v>
      </c>
      <c r="G10" s="22" t="n">
        <f aca="false">SUM(G5:G8)</f>
        <v>73200</v>
      </c>
    </row>
    <row r="12" customFormat="false" ht="15" hidden="false" customHeight="false" outlineLevel="0" collapsed="false">
      <c r="B12" s="10" t="s">
        <v>125</v>
      </c>
      <c r="C12" s="10"/>
      <c r="D12" s="10"/>
      <c r="E12" s="10"/>
      <c r="F12" s="10"/>
      <c r="G12" s="10"/>
      <c r="H12" s="10"/>
    </row>
    <row r="13" customFormat="false" ht="15" hidden="false" customHeight="false" outlineLevel="0" collapsed="false">
      <c r="B13" s="0" t="s">
        <v>126</v>
      </c>
      <c r="C13" s="23" t="n">
        <f aca="false">COUNTA(B5:B8)</f>
        <v>4</v>
      </c>
    </row>
    <row r="14" customFormat="false" ht="15" hidden="false" customHeight="false" outlineLevel="0" collapsed="false">
      <c r="B14" s="0" t="s">
        <v>127</v>
      </c>
      <c r="C14" s="23" t="n">
        <f aca="false">COUNTIF(E5:E8,"Occupied")</f>
        <v>3</v>
      </c>
    </row>
    <row r="15" customFormat="false" ht="15" hidden="false" customHeight="false" outlineLevel="0" collapsed="false">
      <c r="B15" s="0" t="s">
        <v>128</v>
      </c>
      <c r="C15" s="23" t="n">
        <f aca="false">SUM(D5:D8)</f>
        <v>85000</v>
      </c>
    </row>
    <row r="16" customFormat="false" ht="15" hidden="false" customHeight="false" outlineLevel="0" collapsed="false">
      <c r="B16" s="0" t="s">
        <v>129</v>
      </c>
      <c r="C16" s="23" t="n">
        <f aca="false">SUMIF(E5:E8,"Occupied",D5:D8)</f>
        <v>70000</v>
      </c>
    </row>
    <row r="17" customFormat="false" ht="15" hidden="false" customHeight="false" outlineLevel="0" collapsed="false">
      <c r="B17" s="0" t="s">
        <v>130</v>
      </c>
      <c r="C17" s="8" t="n">
        <f aca="false">C14/C13</f>
        <v>0.75</v>
      </c>
    </row>
    <row r="18" customFormat="false" ht="15" hidden="false" customHeight="false" outlineLevel="0" collapsed="false">
      <c r="B18" s="0" t="s">
        <v>131</v>
      </c>
      <c r="C18" s="8" t="n">
        <f aca="false">C16/C15</f>
        <v>0.823529411764706</v>
      </c>
    </row>
    <row r="19" customFormat="false" ht="15" hidden="false" customHeight="false" outlineLevel="0" collapsed="false">
      <c r="B19" s="0" t="s">
        <v>132</v>
      </c>
      <c r="C19" s="9" t="n">
        <f aca="false">SUM(F5:F8)</f>
        <v>60700</v>
      </c>
    </row>
    <row r="20" customFormat="false" ht="15" hidden="false" customHeight="false" outlineLevel="0" collapsed="false">
      <c r="B20" s="0" t="s">
        <v>133</v>
      </c>
      <c r="C20" s="9" t="n">
        <f aca="false">C19</f>
        <v>60700</v>
      </c>
      <c r="D20" s="0" t="s">
        <v>134</v>
      </c>
    </row>
  </sheetData>
  <mergeCells count="2">
    <mergeCell ref="B2:H2"/>
    <mergeCell ref="B12:H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4" min="4" style="0" width="40"/>
  </cols>
  <sheetData>
    <row r="2" customFormat="false" ht="15" hidden="false" customHeight="false" outlineLevel="0" collapsed="false">
      <c r="B2" s="1" t="s">
        <v>135</v>
      </c>
      <c r="C2" s="1"/>
      <c r="D2" s="1"/>
    </row>
    <row r="4" customFormat="false" ht="15" hidden="false" customHeight="false" outlineLevel="0" collapsed="false">
      <c r="B4" s="0" t="s">
        <v>136</v>
      </c>
      <c r="C4" s="24" t="n">
        <v>852000</v>
      </c>
      <c r="D4" s="0" t="s">
        <v>137</v>
      </c>
    </row>
    <row r="5" customFormat="false" ht="15" hidden="false" customHeight="false" outlineLevel="0" collapsed="false">
      <c r="B5" s="0" t="s">
        <v>138</v>
      </c>
      <c r="C5" s="24" t="n">
        <v>-150000</v>
      </c>
      <c r="D5" s="0" t="s">
        <v>14</v>
      </c>
    </row>
    <row r="6" customFormat="false" ht="15" hidden="false" customHeight="false" outlineLevel="0" collapsed="false">
      <c r="B6" s="0" t="s">
        <v>139</v>
      </c>
      <c r="C6" s="24" t="n">
        <v>-36000</v>
      </c>
      <c r="D6" s="0" t="s">
        <v>14</v>
      </c>
    </row>
    <row r="7" customFormat="false" ht="15" hidden="false" customHeight="false" outlineLevel="0" collapsed="false">
      <c r="B7" s="0" t="s">
        <v>140</v>
      </c>
      <c r="C7" s="24" t="n">
        <v>-6000</v>
      </c>
      <c r="D7" s="0" t="s">
        <v>14</v>
      </c>
    </row>
    <row r="8" customFormat="false" ht="15" hidden="false" customHeight="false" outlineLevel="0" collapsed="false">
      <c r="B8" s="0" t="s">
        <v>141</v>
      </c>
      <c r="C8" s="24" t="n">
        <v>186000</v>
      </c>
      <c r="D8" s="0" t="s">
        <v>14</v>
      </c>
    </row>
    <row r="9" customFormat="false" ht="15" hidden="false" customHeight="false" outlineLevel="0" collapsed="false">
      <c r="B9" s="7" t="s">
        <v>142</v>
      </c>
      <c r="C9" s="22" t="n">
        <f aca="false">SUM(C4:C8)</f>
        <v>846000</v>
      </c>
    </row>
    <row r="11" customFormat="false" ht="15" hidden="false" customHeight="false" outlineLevel="0" collapsed="false">
      <c r="B11" s="7" t="s">
        <v>143</v>
      </c>
    </row>
    <row r="12" customFormat="false" ht="15" hidden="false" customHeight="false" outlineLevel="0" collapsed="false">
      <c r="B12" s="0" t="s">
        <v>48</v>
      </c>
      <c r="C12" s="24" t="n">
        <v>126000</v>
      </c>
    </row>
    <row r="13" customFormat="false" ht="15" hidden="false" customHeight="false" outlineLevel="0" collapsed="false">
      <c r="B13" s="0" t="s">
        <v>50</v>
      </c>
      <c r="C13" s="24" t="n">
        <v>30000</v>
      </c>
    </row>
    <row r="14" customFormat="false" ht="15" hidden="false" customHeight="false" outlineLevel="0" collapsed="false">
      <c r="B14" s="0" t="s">
        <v>52</v>
      </c>
      <c r="C14" s="24" t="n">
        <v>12000</v>
      </c>
    </row>
    <row r="15" customFormat="false" ht="15" hidden="false" customHeight="false" outlineLevel="0" collapsed="false">
      <c r="B15" s="0" t="s">
        <v>144</v>
      </c>
      <c r="C15" s="24" t="n">
        <v>24000</v>
      </c>
    </row>
    <row r="16" customFormat="false" ht="15" hidden="false" customHeight="false" outlineLevel="0" collapsed="false">
      <c r="B16" s="0" t="s">
        <v>56</v>
      </c>
      <c r="C16" s="24" t="n">
        <v>18000</v>
      </c>
    </row>
    <row r="17" customFormat="false" ht="15" hidden="false" customHeight="false" outlineLevel="0" collapsed="false">
      <c r="B17" s="0" t="s">
        <v>57</v>
      </c>
      <c r="C17" s="24" t="n">
        <v>18000</v>
      </c>
    </row>
    <row r="18" customFormat="false" ht="15" hidden="false" customHeight="false" outlineLevel="0" collapsed="false">
      <c r="B18" s="0" t="s">
        <v>145</v>
      </c>
      <c r="C18" s="24" t="n">
        <v>25200</v>
      </c>
    </row>
    <row r="19" customFormat="false" ht="15" hidden="false" customHeight="false" outlineLevel="0" collapsed="false">
      <c r="B19" s="7" t="s">
        <v>146</v>
      </c>
      <c r="C19" s="22" t="n">
        <f aca="false">SUM(C12:C18)</f>
        <v>253200</v>
      </c>
    </row>
    <row r="21" customFormat="false" ht="15" hidden="false" customHeight="false" outlineLevel="0" collapsed="false">
      <c r="B21" s="7" t="s">
        <v>147</v>
      </c>
      <c r="C21" s="25" t="n">
        <f aca="false">C9-C19</f>
        <v>592800</v>
      </c>
    </row>
    <row r="22" customFormat="false" ht="15" hidden="false" customHeight="false" outlineLevel="0" collapsed="false">
      <c r="B22" s="0" t="s">
        <v>148</v>
      </c>
      <c r="C22" s="24" t="n">
        <v>17000</v>
      </c>
    </row>
    <row r="23" customFormat="false" ht="15" hidden="false" customHeight="false" outlineLevel="0" collapsed="false">
      <c r="B23" s="7" t="s">
        <v>149</v>
      </c>
      <c r="C23" s="25" t="n">
        <f aca="false">C21-C22</f>
        <v>575800</v>
      </c>
    </row>
    <row r="25" customFormat="false" ht="15" hidden="false" customHeight="false" outlineLevel="0" collapsed="false">
      <c r="B25" s="26" t="s">
        <v>150</v>
      </c>
    </row>
    <row r="26" customFormat="false" ht="15" hidden="false" customHeight="false" outlineLevel="0" collapsed="false">
      <c r="B26" s="0" t="s">
        <v>151</v>
      </c>
      <c r="C26" s="24" t="n">
        <v>220000</v>
      </c>
      <c r="D26" s="0" t="s">
        <v>152</v>
      </c>
    </row>
    <row r="27" customFormat="false" ht="15" hidden="false" customHeight="false" outlineLevel="0" collapsed="false">
      <c r="B27" s="0" t="s">
        <v>153</v>
      </c>
      <c r="C27" s="24" t="n">
        <v>294000</v>
      </c>
      <c r="D27" s="0" t="s">
        <v>154</v>
      </c>
    </row>
    <row r="28" customFormat="false" ht="15" hidden="false" customHeight="false" outlineLevel="0" collapsed="false">
      <c r="B28" s="0" t="s">
        <v>155</v>
      </c>
      <c r="C28" s="24" t="n">
        <v>180000</v>
      </c>
      <c r="D28" s="0" t="s">
        <v>156</v>
      </c>
    </row>
  </sheetData>
  <mergeCells count="1">
    <mergeCell ref="B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3" min="3" style="0" width="18"/>
    <col collapsed="false" customWidth="true" hidden="false" outlineLevel="0" max="4" min="4" style="0" width="50"/>
  </cols>
  <sheetData>
    <row r="2" customFormat="false" ht="15" hidden="false" customHeight="false" outlineLevel="0" collapsed="false">
      <c r="B2" s="1" t="s">
        <v>157</v>
      </c>
      <c r="C2" s="1"/>
      <c r="D2" s="1"/>
    </row>
    <row r="4" customFormat="false" ht="15" hidden="false" customHeight="false" outlineLevel="0" collapsed="false">
      <c r="B4" s="0" t="s">
        <v>136</v>
      </c>
      <c r="C4" s="9" t="n">
        <f aca="false">Assumptions!C9</f>
        <v>900000</v>
      </c>
      <c r="D4" s="0" t="s">
        <v>158</v>
      </c>
    </row>
    <row r="5" customFormat="false" ht="15" hidden="false" customHeight="false" outlineLevel="0" collapsed="false">
      <c r="B5" s="0" t="s">
        <v>159</v>
      </c>
      <c r="C5" s="9" t="n">
        <f aca="false">-C4*Assumptions!C10</f>
        <v>-72000</v>
      </c>
      <c r="D5" s="0" t="s">
        <v>160</v>
      </c>
    </row>
    <row r="6" customFormat="false" ht="15" hidden="false" customHeight="false" outlineLevel="0" collapsed="false">
      <c r="B6" s="0" t="s">
        <v>141</v>
      </c>
      <c r="C6" s="9" t="n">
        <f aca="false">Assumptions!C11</f>
        <v>195000</v>
      </c>
    </row>
    <row r="10" customFormat="false" ht="15" hidden="false" customHeight="false" outlineLevel="0" collapsed="false">
      <c r="B10" s="0" t="s">
        <v>142</v>
      </c>
      <c r="C10" s="25" t="n">
        <f aca="false">C4+C5+C6</f>
        <v>1023000</v>
      </c>
    </row>
    <row r="12" customFormat="false" ht="15" hidden="false" customHeight="false" outlineLevel="0" collapsed="false">
      <c r="B12" s="7" t="s">
        <v>143</v>
      </c>
    </row>
    <row r="13" customFormat="false" ht="15" hidden="false" customHeight="false" outlineLevel="0" collapsed="false">
      <c r="B13" s="0" t="s">
        <v>48</v>
      </c>
      <c r="C13" s="9" t="n">
        <f aca="false">Assumptions!C14</f>
        <v>132000</v>
      </c>
    </row>
    <row r="14" customFormat="false" ht="15" hidden="false" customHeight="false" outlineLevel="0" collapsed="false">
      <c r="B14" s="0" t="s">
        <v>50</v>
      </c>
      <c r="C14" s="9" t="n">
        <f aca="false">Assumptions!C15</f>
        <v>33600</v>
      </c>
    </row>
    <row r="15" customFormat="false" ht="15" hidden="false" customHeight="false" outlineLevel="0" collapsed="false">
      <c r="B15" s="0" t="s">
        <v>52</v>
      </c>
      <c r="C15" s="9" t="n">
        <f aca="false">Assumptions!C16</f>
        <v>12000</v>
      </c>
    </row>
    <row r="16" customFormat="false" ht="15" hidden="false" customHeight="false" outlineLevel="0" collapsed="false">
      <c r="B16" s="0" t="s">
        <v>54</v>
      </c>
      <c r="C16" s="9" t="n">
        <f aca="false">Assumptions!C17</f>
        <v>18000</v>
      </c>
    </row>
    <row r="17" customFormat="false" ht="15" hidden="false" customHeight="false" outlineLevel="0" collapsed="false">
      <c r="B17" s="0" t="s">
        <v>56</v>
      </c>
      <c r="C17" s="9" t="n">
        <f aca="false">Assumptions!C18</f>
        <v>18000</v>
      </c>
    </row>
    <row r="18" customFormat="false" ht="15" hidden="false" customHeight="false" outlineLevel="0" collapsed="false">
      <c r="B18" s="0" t="s">
        <v>57</v>
      </c>
      <c r="C18" s="9" t="n">
        <f aca="false">Assumptions!C19</f>
        <v>18000</v>
      </c>
    </row>
    <row r="19" customFormat="false" ht="15" hidden="false" customHeight="false" outlineLevel="0" collapsed="false">
      <c r="B19" s="0" t="s">
        <v>161</v>
      </c>
      <c r="C19" s="9" t="n">
        <f aca="false">MAX(Assumptions!C20,Assumptions!C21*C10)</f>
        <v>30690</v>
      </c>
      <c r="D19" s="0" t="e">
        <f aca="false">MAX(T12 actual, % × EGI))</f>
        <v>#N/A</v>
      </c>
    </row>
    <row r="20" customFormat="false" ht="15" hidden="false" customHeight="false" outlineLevel="0" collapsed="false">
      <c r="B20" s="0" t="s">
        <v>146</v>
      </c>
      <c r="C20" s="22" t="n">
        <f aca="false">SUM(C13:C19)</f>
        <v>262290</v>
      </c>
    </row>
    <row r="22" customFormat="false" ht="15" hidden="false" customHeight="false" outlineLevel="0" collapsed="false">
      <c r="B22" s="0" t="s">
        <v>147</v>
      </c>
      <c r="C22" s="25" t="n">
        <f aca="false">C10-C20</f>
        <v>760710</v>
      </c>
      <c r="D22" s="0" t="s">
        <v>162</v>
      </c>
    </row>
    <row r="23" customFormat="false" ht="15" hidden="false" customHeight="false" outlineLevel="0" collapsed="false">
      <c r="B23" s="0" t="s">
        <v>163</v>
      </c>
      <c r="C23" s="9" t="n">
        <f aca="false">Assumptions!C22*Assumptions!C5</f>
        <v>17000</v>
      </c>
      <c r="D23" s="0" t="s">
        <v>164</v>
      </c>
    </row>
    <row r="24" customFormat="false" ht="15" hidden="false" customHeight="false" outlineLevel="0" collapsed="false">
      <c r="B24" s="0" t="s">
        <v>149</v>
      </c>
      <c r="C24" s="25" t="n">
        <f aca="false">C22-C23</f>
        <v>743710</v>
      </c>
    </row>
  </sheetData>
  <mergeCells count="1">
    <mergeCell ref="B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3" min="3" style="0" width="18"/>
    <col collapsed="false" customWidth="true" hidden="false" outlineLevel="0" max="4" min="4" style="0" width="55"/>
  </cols>
  <sheetData>
    <row r="2" customFormat="false" ht="15" hidden="false" customHeight="false" outlineLevel="0" collapsed="false">
      <c r="B2" s="1" t="s">
        <v>165</v>
      </c>
      <c r="C2" s="1"/>
      <c r="D2" s="1"/>
    </row>
    <row r="4" customFormat="false" ht="15" hidden="false" customHeight="false" outlineLevel="0" collapsed="false">
      <c r="B4" s="7" t="s">
        <v>166</v>
      </c>
    </row>
    <row r="5" customFormat="false" ht="15" hidden="false" customHeight="false" outlineLevel="0" collapsed="false">
      <c r="B5" s="0" t="s">
        <v>167</v>
      </c>
      <c r="C5" s="9" t="n">
        <f aca="false">Underwriting!C22</f>
        <v>760710</v>
      </c>
      <c r="D5" s="0" t="s">
        <v>168</v>
      </c>
    </row>
    <row r="6" customFormat="false" ht="15" hidden="false" customHeight="false" outlineLevel="0" collapsed="false">
      <c r="B6" s="0" t="s">
        <v>30</v>
      </c>
      <c r="C6" s="25" t="n">
        <f aca="false">C5/Assumptions!C24</f>
        <v>10492551.7241379</v>
      </c>
      <c r="D6" s="0" t="s">
        <v>169</v>
      </c>
    </row>
    <row r="8" customFormat="false" ht="15" hidden="false" customHeight="false" outlineLevel="0" collapsed="false">
      <c r="B8" s="0" t="s">
        <v>170</v>
      </c>
      <c r="C8" s="9" t="n">
        <f aca="false">Underwriting!C24</f>
        <v>743710</v>
      </c>
    </row>
    <row r="10" customFormat="false" ht="15" hidden="false" customHeight="false" outlineLevel="0" collapsed="false">
      <c r="B10" s="0" t="s">
        <v>26</v>
      </c>
      <c r="C10" s="8" t="n">
        <f aca="false">Assumptions!C33</f>
        <v>0.0725</v>
      </c>
    </row>
    <row r="11" customFormat="false" ht="15" hidden="false" customHeight="false" outlineLevel="0" collapsed="false">
      <c r="B11" s="0" t="s">
        <v>171</v>
      </c>
      <c r="C11" s="27" t="n">
        <f aca="false">-12*PMT(C10/12,Assumptions!C34*12,1)</f>
        <v>0.0867368236916599</v>
      </c>
      <c r="D11" s="0" t="s">
        <v>172</v>
      </c>
    </row>
    <row r="13" customFormat="false" ht="15" hidden="false" customHeight="false" outlineLevel="0" collapsed="false">
      <c r="B13" s="28" t="s">
        <v>173</v>
      </c>
      <c r="C13" s="28" t="s">
        <v>174</v>
      </c>
      <c r="D13" s="28" t="s">
        <v>175</v>
      </c>
    </row>
    <row r="14" customFormat="false" ht="15" hidden="false" customHeight="false" outlineLevel="0" collapsed="false">
      <c r="B14" s="0" t="s">
        <v>176</v>
      </c>
      <c r="C14" s="9" t="n">
        <f aca="false">Assumptions!C39*C6</f>
        <v>6295531.03448276</v>
      </c>
      <c r="D14" s="0" t="e">
        <f aca="false">ltv × value</f>
        <v>#N/A</v>
      </c>
    </row>
    <row r="15" customFormat="false" ht="15" hidden="false" customHeight="false" outlineLevel="0" collapsed="false">
      <c r="B15" s="0" t="s">
        <v>177</v>
      </c>
      <c r="C15" s="9" t="n">
        <f aca="false">C8/(Assumptions!C40*C11)</f>
        <v>6595637.13582959</v>
      </c>
      <c r="D15" s="0" t="s">
        <v>178</v>
      </c>
    </row>
    <row r="16" customFormat="false" ht="15" hidden="false" customHeight="false" outlineLevel="0" collapsed="false">
      <c r="B16" s="0" t="s">
        <v>179</v>
      </c>
      <c r="C16" s="9" t="n">
        <f aca="false">C8/Assumptions!C41</f>
        <v>7437100</v>
      </c>
      <c r="D16" s="0" t="s">
        <v>180</v>
      </c>
    </row>
    <row r="18" customFormat="false" ht="15" hidden="false" customHeight="false" outlineLevel="0" collapsed="false">
      <c r="B18" s="0" t="s">
        <v>181</v>
      </c>
      <c r="C18" s="25" t="n">
        <f aca="false">MIN(C14:C16)</f>
        <v>6295531.03448276</v>
      </c>
    </row>
    <row r="19" customFormat="false" ht="15" hidden="false" customHeight="false" outlineLevel="0" collapsed="false">
      <c r="B19" s="0" t="s">
        <v>32</v>
      </c>
      <c r="C19" s="29" t="str">
        <f aca="false">IF(C18=C14,"LTV",IF(C18=C15,"DSCR","Debt yield"))</f>
        <v>LTV</v>
      </c>
    </row>
    <row r="21" customFormat="false" ht="15" hidden="false" customHeight="false" outlineLevel="0" collapsed="false">
      <c r="B21" s="0" t="s">
        <v>182</v>
      </c>
      <c r="C21" s="9" t="n">
        <f aca="false">C18*C11</f>
        <v>546054.365383304</v>
      </c>
    </row>
    <row r="22" customFormat="false" ht="15" hidden="false" customHeight="false" outlineLevel="0" collapsed="false">
      <c r="B22" s="0" t="s">
        <v>183</v>
      </c>
      <c r="C22" s="30" t="n">
        <f aca="false">C8/C21</f>
        <v>1.36197061528471</v>
      </c>
    </row>
    <row r="23" customFormat="false" ht="15" hidden="false" customHeight="false" outlineLevel="0" collapsed="false">
      <c r="B23" s="0" t="s">
        <v>184</v>
      </c>
      <c r="C23" s="8" t="n">
        <f aca="false">C8/C18</f>
        <v>0.118133005131171</v>
      </c>
    </row>
    <row r="25" customFormat="false" ht="15" hidden="false" customHeight="false" outlineLevel="0" collapsed="false">
      <c r="B25" s="0" t="s">
        <v>27</v>
      </c>
      <c r="C25" s="8" t="n">
        <f aca="false">Assumptions!C32</f>
        <v>0.0675</v>
      </c>
    </row>
    <row r="26" customFormat="false" ht="15" hidden="false" customHeight="false" outlineLevel="0" collapsed="false">
      <c r="B26" s="0" t="s">
        <v>185</v>
      </c>
      <c r="C26" s="22" t="n">
        <f aca="false">C18*C25</f>
        <v>424948.344827586</v>
      </c>
      <c r="D26" s="0" t="s">
        <v>186</v>
      </c>
    </row>
    <row r="29" customFormat="false" ht="15" hidden="false" customHeight="false" outlineLevel="0" collapsed="false">
      <c r="B29" s="10" t="s">
        <v>187</v>
      </c>
      <c r="C29" s="10"/>
      <c r="D29" s="10"/>
    </row>
    <row r="30" customFormat="false" ht="15" hidden="false" customHeight="false" outlineLevel="0" collapsed="false">
      <c r="B30" s="7" t="s">
        <v>188</v>
      </c>
    </row>
    <row r="31" customFormat="false" ht="15" hidden="false" customHeight="false" outlineLevel="0" collapsed="false">
      <c r="B31" s="0" t="s">
        <v>189</v>
      </c>
      <c r="C31" s="9" t="n">
        <f aca="false">C18</f>
        <v>6295531.03448276</v>
      </c>
    </row>
    <row r="32" customFormat="false" ht="15" hidden="false" customHeight="false" outlineLevel="0" collapsed="false">
      <c r="B32" s="0" t="s">
        <v>190</v>
      </c>
      <c r="C32" s="9" t="n">
        <f aca="false">MAX(0,-C39)</f>
        <v>0</v>
      </c>
    </row>
    <row r="33" customFormat="false" ht="15" hidden="false" customHeight="false" outlineLevel="0" collapsed="false">
      <c r="B33" s="0" t="s">
        <v>191</v>
      </c>
      <c r="C33" s="22" t="n">
        <f aca="false">C31+C32</f>
        <v>6295531.03448276</v>
      </c>
    </row>
    <row r="35" customFormat="false" ht="15" hidden="false" customHeight="false" outlineLevel="0" collapsed="false">
      <c r="B35" s="7" t="s">
        <v>192</v>
      </c>
    </row>
    <row r="36" customFormat="false" ht="15" hidden="false" customHeight="false" outlineLevel="0" collapsed="false">
      <c r="B36" s="0" t="s">
        <v>92</v>
      </c>
      <c r="C36" s="9" t="n">
        <f aca="false">Assumptions!C44</f>
        <v>4200000</v>
      </c>
    </row>
    <row r="37" customFormat="false" ht="15" hidden="false" customHeight="false" outlineLevel="0" collapsed="false">
      <c r="B37" s="0" t="s">
        <v>193</v>
      </c>
      <c r="C37" s="9" t="n">
        <f aca="false">Assumptions!C46*C18</f>
        <v>78694.1379310345</v>
      </c>
    </row>
    <row r="38" customFormat="false" ht="15" hidden="false" customHeight="false" outlineLevel="0" collapsed="false">
      <c r="B38" s="0" t="s">
        <v>94</v>
      </c>
      <c r="C38" s="9" t="n">
        <f aca="false">Assumptions!C45</f>
        <v>70000</v>
      </c>
    </row>
    <row r="39" customFormat="false" ht="15" hidden="false" customHeight="false" outlineLevel="0" collapsed="false">
      <c r="B39" s="0" t="s">
        <v>194</v>
      </c>
      <c r="C39" s="25" t="n">
        <f aca="false">C18-C36-C37-C38</f>
        <v>1946836.89655172</v>
      </c>
    </row>
    <row r="40" customFormat="false" ht="15" hidden="false" customHeight="false" outlineLevel="0" collapsed="false">
      <c r="B40" s="0" t="s">
        <v>195</v>
      </c>
      <c r="C40" s="22" t="n">
        <f aca="false">C36+C37+C38+MAX(0,C39)+MAX(0,-C39)</f>
        <v>6295531.03448276</v>
      </c>
    </row>
  </sheetData>
  <mergeCells count="2">
    <mergeCell ref="B2:D2"/>
    <mergeCell ref="B29:D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4" min="3" style="0" width="18"/>
    <col collapsed="false" customWidth="true" hidden="false" outlineLevel="0" max="5" min="5" style="0" width="45"/>
  </cols>
  <sheetData>
    <row r="2" customFormat="false" ht="15" hidden="false" customHeight="false" outlineLevel="0" collapsed="false">
      <c r="B2" s="1" t="s">
        <v>196</v>
      </c>
      <c r="C2" s="1"/>
      <c r="D2" s="1"/>
      <c r="E2" s="1"/>
    </row>
    <row r="4" customFormat="false" ht="15" hidden="false" customHeight="false" outlineLevel="0" collapsed="false">
      <c r="C4" s="17" t="s">
        <v>197</v>
      </c>
      <c r="D4" s="17" t="s">
        <v>198</v>
      </c>
    </row>
    <row r="5" customFormat="false" ht="15" hidden="false" customHeight="false" outlineLevel="0" collapsed="false">
      <c r="B5" s="0" t="s">
        <v>199</v>
      </c>
      <c r="C5" s="8" t="n">
        <f aca="false">0</f>
        <v>0</v>
      </c>
      <c r="D5" s="8" t="n">
        <f aca="false">Assumptions!C49</f>
        <v>-0.05</v>
      </c>
    </row>
    <row r="6" customFormat="false" ht="15" hidden="false" customHeight="false" outlineLevel="0" collapsed="false">
      <c r="B6" s="0" t="s">
        <v>200</v>
      </c>
      <c r="C6" s="8" t="n">
        <f aca="false">0</f>
        <v>0</v>
      </c>
      <c r="D6" s="8" t="n">
        <f aca="false">Assumptions!C50/10000</f>
        <v>0.01</v>
      </c>
    </row>
    <row r="8" customFormat="false" ht="15" hidden="false" customHeight="false" outlineLevel="0" collapsed="false">
      <c r="B8" s="0" t="s">
        <v>201</v>
      </c>
      <c r="C8" s="9" t="n">
        <f aca="false">Underwriting!C10*(1+C5)</f>
        <v>1023000</v>
      </c>
      <c r="D8" s="9" t="n">
        <f aca="false">Underwriting!C10*(1+D5)</f>
        <v>971850</v>
      </c>
    </row>
    <row r="9" customFormat="false" ht="15" hidden="false" customHeight="false" outlineLevel="0" collapsed="false">
      <c r="B9" s="0" t="s">
        <v>202</v>
      </c>
      <c r="C9" s="9" t="n">
        <f aca="false">MAX(Assumptions!C20,Assumptions!C21*C8)</f>
        <v>30690</v>
      </c>
      <c r="D9" s="9" t="n">
        <f aca="false">MAX(Assumptions!C20,Assumptions!C21*D8)</f>
        <v>29155.5</v>
      </c>
    </row>
    <row r="10" customFormat="false" ht="15" hidden="false" customHeight="false" outlineLevel="0" collapsed="false">
      <c r="B10" s="0" t="s">
        <v>203</v>
      </c>
      <c r="C10" s="9" t="n">
        <f aca="false">Assumptions!C14+Assumptions!C15+Assumptions!C16+Assumptions!C17+Assumptions!C18+Assumptions!C19</f>
        <v>231600</v>
      </c>
      <c r="D10" s="9" t="n">
        <f aca="false">C10</f>
        <v>231600</v>
      </c>
    </row>
    <row r="11" customFormat="false" ht="15" hidden="false" customHeight="false" outlineLevel="0" collapsed="false">
      <c r="B11" s="0" t="s">
        <v>146</v>
      </c>
      <c r="C11" s="9" t="n">
        <f aca="false">C9+C10</f>
        <v>262290</v>
      </c>
      <c r="D11" s="9" t="n">
        <f aca="false">D9+D10</f>
        <v>260755.5</v>
      </c>
    </row>
    <row r="12" customFormat="false" ht="15" hidden="false" customHeight="false" outlineLevel="0" collapsed="false">
      <c r="B12" s="0" t="s">
        <v>204</v>
      </c>
      <c r="C12" s="25" t="n">
        <f aca="false">C8-C11</f>
        <v>760710</v>
      </c>
      <c r="D12" s="25" t="n">
        <f aca="false">D8-D11</f>
        <v>711094.5</v>
      </c>
    </row>
    <row r="13" customFormat="false" ht="15" hidden="false" customHeight="false" outlineLevel="0" collapsed="false">
      <c r="B13" s="0" t="s">
        <v>205</v>
      </c>
      <c r="C13" s="9" t="n">
        <f aca="false">Assumptions!C22*Assumptions!C5</f>
        <v>17000</v>
      </c>
      <c r="D13" s="9" t="n">
        <f aca="false">C13</f>
        <v>17000</v>
      </c>
    </row>
    <row r="14" customFormat="false" ht="15" hidden="false" customHeight="false" outlineLevel="0" collapsed="false">
      <c r="B14" s="0" t="s">
        <v>206</v>
      </c>
      <c r="C14" s="22" t="n">
        <f aca="false">C12-C13</f>
        <v>743710</v>
      </c>
      <c r="D14" s="22" t="n">
        <f aca="false">D12-D13</f>
        <v>694094.5</v>
      </c>
    </row>
    <row r="16" customFormat="false" ht="15" hidden="false" customHeight="false" outlineLevel="0" collapsed="false">
      <c r="B16" s="0" t="s">
        <v>25</v>
      </c>
      <c r="C16" s="8" t="n">
        <f aca="false">Assumptions!C24</f>
        <v>0.0725</v>
      </c>
      <c r="D16" s="8" t="n">
        <f aca="false">Assumptions!C24</f>
        <v>0.0725</v>
      </c>
    </row>
    <row r="17" customFormat="false" ht="15" hidden="false" customHeight="false" outlineLevel="0" collapsed="false">
      <c r="B17" s="0" t="s">
        <v>26</v>
      </c>
      <c r="C17" s="8" t="n">
        <f aca="false">Assumptions!C33+C6</f>
        <v>0.0725</v>
      </c>
      <c r="D17" s="8" t="n">
        <f aca="false">Assumptions!C33+D6</f>
        <v>0.0825</v>
      </c>
    </row>
    <row r="18" customFormat="false" ht="15" hidden="false" customHeight="false" outlineLevel="0" collapsed="false">
      <c r="B18" s="0" t="s">
        <v>171</v>
      </c>
      <c r="C18" s="31" t="n">
        <f aca="false">-12*PMT(C17/12,Assumptions!C34*12,1)</f>
        <v>0.0867368236916599</v>
      </c>
      <c r="D18" s="31" t="n">
        <f aca="false">-12*PMT(D17/12,Assumptions!C34*12,1)</f>
        <v>0.0946140161623425</v>
      </c>
    </row>
    <row r="20" customFormat="false" ht="15" hidden="false" customHeight="false" outlineLevel="0" collapsed="false">
      <c r="B20" s="0" t="s">
        <v>207</v>
      </c>
      <c r="C20" s="9" t="n">
        <f aca="false">C12/C16</f>
        <v>10492551.7241379</v>
      </c>
      <c r="D20" s="9" t="n">
        <f aca="false">D12/D16</f>
        <v>9808200</v>
      </c>
    </row>
    <row r="21" customFormat="false" ht="15" hidden="false" customHeight="false" outlineLevel="0" collapsed="false">
      <c r="B21" s="0" t="s">
        <v>208</v>
      </c>
      <c r="C21" s="9" t="n">
        <f aca="false">Assumptions!C39*C20</f>
        <v>6295531.03448276</v>
      </c>
      <c r="D21" s="9" t="n">
        <f aca="false">Assumptions!C39*D20</f>
        <v>5884920</v>
      </c>
    </row>
    <row r="22" customFormat="false" ht="15" hidden="false" customHeight="false" outlineLevel="0" collapsed="false">
      <c r="B22" s="0" t="s">
        <v>209</v>
      </c>
      <c r="C22" s="9" t="n">
        <f aca="false">C14/(Assumptions!C40*C18)</f>
        <v>6595637.13582959</v>
      </c>
      <c r="D22" s="9" t="n">
        <f aca="false">D14/(Assumptions!C40*D18)</f>
        <v>5643126.33381641</v>
      </c>
    </row>
    <row r="23" customFormat="false" ht="15" hidden="false" customHeight="false" outlineLevel="0" collapsed="false">
      <c r="B23" s="0" t="s">
        <v>210</v>
      </c>
      <c r="C23" s="9" t="n">
        <f aca="false">C14/Assumptions!C41</f>
        <v>7437100</v>
      </c>
      <c r="D23" s="9" t="n">
        <f aca="false">D14/Assumptions!C41</f>
        <v>6940945</v>
      </c>
    </row>
    <row r="24" customFormat="false" ht="15" hidden="false" customHeight="false" outlineLevel="0" collapsed="false">
      <c r="B24" s="0" t="s">
        <v>31</v>
      </c>
      <c r="C24" s="25" t="n">
        <f aca="false">MIN(C21:C23)</f>
        <v>6295531.03448276</v>
      </c>
      <c r="D24" s="25" t="n">
        <f aca="false">MIN(D21:D23)</f>
        <v>5643126.33381641</v>
      </c>
    </row>
    <row r="25" customFormat="false" ht="15" hidden="false" customHeight="false" outlineLevel="0" collapsed="false">
      <c r="B25" s="0" t="s">
        <v>32</v>
      </c>
      <c r="C25" s="32" t="str">
        <f aca="false">IF(C24=C21,"LTV",IF(C24=C22,"DSCR","Debt yield"))</f>
        <v>LTV</v>
      </c>
      <c r="D25" s="32" t="str">
        <f aca="false">IF(D24=D21,"LTV",IF(D24=D22,"DSCR","Debt yield"))</f>
        <v>DSCR</v>
      </c>
    </row>
    <row r="28" customFormat="false" ht="15" hidden="false" customHeight="false" outlineLevel="0" collapsed="false">
      <c r="B28" s="10" t="s">
        <v>211</v>
      </c>
      <c r="C28" s="10"/>
      <c r="D28" s="10"/>
      <c r="E28" s="10"/>
    </row>
    <row r="29" customFormat="false" ht="15" hidden="false" customHeight="false" outlineLevel="0" collapsed="false">
      <c r="B29" s="0" t="s">
        <v>212</v>
      </c>
      <c r="C29" s="8" t="n">
        <f aca="false">Assumptions!C24+Assumptions!C51/10000</f>
        <v>0.0775</v>
      </c>
    </row>
    <row r="30" customFormat="false" ht="15" hidden="false" customHeight="false" outlineLevel="0" collapsed="false">
      <c r="B30" s="0" t="s">
        <v>213</v>
      </c>
      <c r="C30" s="9" t="n">
        <f aca="false">Underwriting!C22/C29</f>
        <v>9815612.90322581</v>
      </c>
    </row>
    <row r="31" customFormat="false" ht="15" hidden="false" customHeight="false" outlineLevel="0" collapsed="false">
      <c r="B31" s="0" t="s">
        <v>214</v>
      </c>
      <c r="C31" s="9" t="n">
        <f aca="false">Assumptions!C39*C30</f>
        <v>5889367.74193548</v>
      </c>
    </row>
    <row r="32" customFormat="false" ht="15" hidden="false" customHeight="false" outlineLevel="0" collapsed="false">
      <c r="B32" s="0" t="s">
        <v>215</v>
      </c>
      <c r="C32" s="25" t="n">
        <f aca="false">MIN(C31, 'Loan Sizing'!C15, 'Loan Sizing'!C16)</f>
        <v>5889367.74193548</v>
      </c>
    </row>
  </sheetData>
  <mergeCells count="2">
    <mergeCell ref="B2:E2"/>
    <mergeCell ref="B28:E2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60"/>
  </cols>
  <sheetData>
    <row r="2" customFormat="false" ht="15" hidden="false" customHeight="false" outlineLevel="0" collapsed="false">
      <c r="B2" s="1" t="s">
        <v>216</v>
      </c>
      <c r="C2" s="1"/>
      <c r="D2" s="1"/>
    </row>
    <row r="4" customFormat="false" ht="15" hidden="false" customHeight="false" outlineLevel="0" collapsed="false">
      <c r="B4" s="17" t="s">
        <v>217</v>
      </c>
      <c r="C4" s="17" t="s">
        <v>218</v>
      </c>
      <c r="D4" s="17" t="s">
        <v>219</v>
      </c>
    </row>
    <row r="5" customFormat="false" ht="15" hidden="false" customHeight="false" outlineLevel="0" collapsed="false">
      <c r="B5" s="7" t="s">
        <v>220</v>
      </c>
      <c r="C5" s="33" t="n">
        <f aca="false">'Rent Roll'!C13</f>
        <v>4</v>
      </c>
      <c r="D5" s="0" t="s">
        <v>221</v>
      </c>
    </row>
    <row r="6" customFormat="false" ht="15" hidden="false" customHeight="false" outlineLevel="0" collapsed="false">
      <c r="B6" s="7" t="s">
        <v>222</v>
      </c>
      <c r="C6" s="33" t="n">
        <f aca="false">'Rent Roll'!C14</f>
        <v>3</v>
      </c>
      <c r="D6" s="0" t="s">
        <v>223</v>
      </c>
    </row>
    <row r="7" customFormat="false" ht="15" hidden="false" customHeight="false" outlineLevel="0" collapsed="false">
      <c r="B7" s="7" t="s">
        <v>224</v>
      </c>
      <c r="C7" s="33" t="n">
        <f aca="false">'Rent Roll'!C15</f>
        <v>85000</v>
      </c>
      <c r="D7" s="0" t="s">
        <v>225</v>
      </c>
    </row>
    <row r="8" customFormat="false" ht="15" hidden="false" customHeight="false" outlineLevel="0" collapsed="false">
      <c r="B8" s="7" t="s">
        <v>226</v>
      </c>
      <c r="C8" s="33" t="n">
        <f aca="false">'Rent Roll'!C16</f>
        <v>70000</v>
      </c>
      <c r="D8" s="0" t="s">
        <v>227</v>
      </c>
    </row>
    <row r="9" customFormat="false" ht="15" hidden="false" customHeight="false" outlineLevel="0" collapsed="false">
      <c r="B9" s="7" t="s">
        <v>228</v>
      </c>
      <c r="C9" s="34" t="n">
        <f aca="false">'Rent Roll'!C17*100</f>
        <v>75</v>
      </c>
      <c r="D9" s="0" t="s">
        <v>229</v>
      </c>
    </row>
    <row r="10" customFormat="false" ht="15" hidden="false" customHeight="false" outlineLevel="0" collapsed="false">
      <c r="B10" s="7" t="s">
        <v>230</v>
      </c>
      <c r="C10" s="34" t="n">
        <f aca="false">'Rent Roll'!C18*100</f>
        <v>82.3529411764706</v>
      </c>
      <c r="D10" s="0" t="s">
        <v>231</v>
      </c>
    </row>
    <row r="11" customFormat="false" ht="15" hidden="false" customHeight="false" outlineLevel="0" collapsed="false">
      <c r="B11" s="7" t="s">
        <v>232</v>
      </c>
      <c r="C11" s="35" t="n">
        <f aca="false">'Rent Roll'!C19</f>
        <v>60700</v>
      </c>
      <c r="D11" s="0" t="s">
        <v>233</v>
      </c>
    </row>
    <row r="12" customFormat="false" ht="15" hidden="false" customHeight="false" outlineLevel="0" collapsed="false">
      <c r="B12" s="7" t="s">
        <v>234</v>
      </c>
      <c r="C12" s="35" t="n">
        <f aca="false">'Rent Roll'!C20</f>
        <v>60700</v>
      </c>
      <c r="D12" s="0" t="s">
        <v>235</v>
      </c>
    </row>
    <row r="13" customFormat="false" ht="15" hidden="false" customHeight="false" outlineLevel="0" collapsed="false">
      <c r="B13" s="7" t="s">
        <v>236</v>
      </c>
      <c r="C13" s="35" t="n">
        <f aca="false">'T12'!C9</f>
        <v>846000</v>
      </c>
      <c r="D13" s="0" t="s">
        <v>237</v>
      </c>
    </row>
    <row r="14" customFormat="false" ht="15" hidden="false" customHeight="false" outlineLevel="0" collapsed="false">
      <c r="B14" s="7" t="s">
        <v>238</v>
      </c>
      <c r="C14" s="35" t="n">
        <f aca="false">'T12'!C19</f>
        <v>253200</v>
      </c>
      <c r="D14" s="0" t="s">
        <v>239</v>
      </c>
    </row>
    <row r="15" customFormat="false" ht="15" hidden="false" customHeight="false" outlineLevel="0" collapsed="false">
      <c r="B15" s="7" t="s">
        <v>240</v>
      </c>
      <c r="C15" s="35" t="n">
        <f aca="false">'T12'!C21</f>
        <v>592800</v>
      </c>
      <c r="D15" s="0" t="s">
        <v>241</v>
      </c>
    </row>
    <row r="16" customFormat="false" ht="15" hidden="false" customHeight="false" outlineLevel="0" collapsed="false">
      <c r="B16" s="7" t="s">
        <v>242</v>
      </c>
      <c r="C16" s="35" t="n">
        <f aca="false">'T12'!C22</f>
        <v>17000</v>
      </c>
      <c r="D16" s="0" t="s">
        <v>243</v>
      </c>
    </row>
    <row r="17" customFormat="false" ht="15" hidden="false" customHeight="false" outlineLevel="0" collapsed="false">
      <c r="B17" s="7" t="s">
        <v>244</v>
      </c>
      <c r="C17" s="35" t="n">
        <f aca="false">'T12'!C23</f>
        <v>575800</v>
      </c>
      <c r="D17" s="0" t="s">
        <v>245</v>
      </c>
    </row>
    <row r="18" customFormat="false" ht="15" hidden="false" customHeight="false" outlineLevel="0" collapsed="false">
      <c r="B18" s="7" t="s">
        <v>246</v>
      </c>
      <c r="C18" s="35" t="n">
        <f aca="false">Underwriting!C10</f>
        <v>1023000</v>
      </c>
      <c r="D18" s="0" t="s">
        <v>247</v>
      </c>
    </row>
    <row r="19" customFormat="false" ht="15" hidden="false" customHeight="false" outlineLevel="0" collapsed="false">
      <c r="B19" s="7" t="s">
        <v>248</v>
      </c>
      <c r="C19" s="35" t="n">
        <f aca="false">Underwriting!C19</f>
        <v>30690</v>
      </c>
      <c r="D19" s="0" t="s">
        <v>249</v>
      </c>
    </row>
    <row r="20" customFormat="false" ht="15" hidden="false" customHeight="false" outlineLevel="0" collapsed="false">
      <c r="B20" s="7" t="s">
        <v>250</v>
      </c>
      <c r="C20" s="35" t="n">
        <f aca="false">Underwriting!C20</f>
        <v>262290</v>
      </c>
      <c r="D20" s="0" t="s">
        <v>251</v>
      </c>
    </row>
    <row r="21" customFormat="false" ht="15" hidden="false" customHeight="false" outlineLevel="0" collapsed="false">
      <c r="B21" s="7" t="s">
        <v>252</v>
      </c>
      <c r="C21" s="35" t="n">
        <f aca="false">Underwriting!C22</f>
        <v>760710</v>
      </c>
      <c r="D21" s="0" t="s">
        <v>253</v>
      </c>
    </row>
    <row r="22" customFormat="false" ht="15" hidden="false" customHeight="false" outlineLevel="0" collapsed="false">
      <c r="B22" s="7" t="s">
        <v>254</v>
      </c>
      <c r="C22" s="35" t="n">
        <f aca="false">Underwriting!C23</f>
        <v>17000</v>
      </c>
      <c r="D22" s="0" t="s">
        <v>255</v>
      </c>
    </row>
    <row r="23" customFormat="false" ht="15" hidden="false" customHeight="false" outlineLevel="0" collapsed="false">
      <c r="B23" s="7" t="s">
        <v>256</v>
      </c>
      <c r="C23" s="35" t="n">
        <f aca="false">Underwriting!C24</f>
        <v>743710</v>
      </c>
      <c r="D23" s="0" t="s">
        <v>257</v>
      </c>
    </row>
    <row r="24" customFormat="false" ht="15" hidden="false" customHeight="false" outlineLevel="0" collapsed="false">
      <c r="B24" s="7" t="s">
        <v>258</v>
      </c>
      <c r="C24" s="35" t="n">
        <f aca="false">'Loan Sizing'!C6</f>
        <v>10492551.7241379</v>
      </c>
      <c r="D24" s="0" t="s">
        <v>259</v>
      </c>
    </row>
    <row r="25" customFormat="false" ht="15" hidden="false" customHeight="false" outlineLevel="0" collapsed="false">
      <c r="B25" s="7" t="s">
        <v>260</v>
      </c>
      <c r="C25" s="36" t="n">
        <f aca="false">Assumptions!C32</f>
        <v>0.0675</v>
      </c>
      <c r="D25" s="0" t="s">
        <v>261</v>
      </c>
    </row>
    <row r="26" customFormat="false" ht="15" hidden="false" customHeight="false" outlineLevel="0" collapsed="false">
      <c r="B26" s="7" t="s">
        <v>262</v>
      </c>
      <c r="C26" s="36" t="n">
        <f aca="false">Assumptions!C33</f>
        <v>0.0725</v>
      </c>
      <c r="D26" s="0" t="s">
        <v>263</v>
      </c>
    </row>
    <row r="27" customFormat="false" ht="15" hidden="false" customHeight="false" outlineLevel="0" collapsed="false">
      <c r="B27" s="7" t="s">
        <v>264</v>
      </c>
      <c r="C27" s="37" t="n">
        <f aca="false">'Loan Sizing'!C11</f>
        <v>0.0867368236916599</v>
      </c>
      <c r="D27" s="0" t="s">
        <v>265</v>
      </c>
    </row>
    <row r="28" customFormat="false" ht="15" hidden="false" customHeight="false" outlineLevel="0" collapsed="false">
      <c r="B28" s="7" t="s">
        <v>266</v>
      </c>
      <c r="C28" s="35" t="n">
        <f aca="false">'Loan Sizing'!C14</f>
        <v>6295531.03448276</v>
      </c>
      <c r="D28" s="0" t="s">
        <v>267</v>
      </c>
    </row>
    <row r="29" customFormat="false" ht="15" hidden="false" customHeight="false" outlineLevel="0" collapsed="false">
      <c r="B29" s="7" t="s">
        <v>268</v>
      </c>
      <c r="C29" s="35" t="n">
        <f aca="false">'Loan Sizing'!C15</f>
        <v>6595637.13582959</v>
      </c>
      <c r="D29" s="0" t="s">
        <v>269</v>
      </c>
    </row>
    <row r="30" customFormat="false" ht="15" hidden="false" customHeight="false" outlineLevel="0" collapsed="false">
      <c r="B30" s="7" t="s">
        <v>270</v>
      </c>
      <c r="C30" s="35" t="n">
        <f aca="false">'Loan Sizing'!C16</f>
        <v>7437100</v>
      </c>
      <c r="D30" s="0" t="s">
        <v>271</v>
      </c>
    </row>
    <row r="31" customFormat="false" ht="15" hidden="false" customHeight="false" outlineLevel="0" collapsed="false">
      <c r="B31" s="7" t="s">
        <v>272</v>
      </c>
      <c r="C31" s="35" t="n">
        <f aca="false">'Loan Sizing'!C18</f>
        <v>6295531.03448276</v>
      </c>
      <c r="D31" s="0" t="s">
        <v>273</v>
      </c>
    </row>
    <row r="32" customFormat="false" ht="15" hidden="false" customHeight="false" outlineLevel="0" collapsed="false">
      <c r="B32" s="7" t="s">
        <v>274</v>
      </c>
      <c r="C32" s="38" t="str">
        <f aca="false">'Loan Sizing'!C19</f>
        <v>LTV</v>
      </c>
      <c r="D32" s="0" t="s">
        <v>275</v>
      </c>
    </row>
    <row r="33" customFormat="false" ht="15" hidden="false" customHeight="false" outlineLevel="0" collapsed="false">
      <c r="B33" s="7" t="s">
        <v>276</v>
      </c>
      <c r="C33" s="35" t="n">
        <f aca="false">'Loan Sizing'!C21</f>
        <v>546054.365383304</v>
      </c>
      <c r="D33" s="0" t="s">
        <v>277</v>
      </c>
    </row>
    <row r="34" customFormat="false" ht="15" hidden="false" customHeight="false" outlineLevel="0" collapsed="false">
      <c r="B34" s="7" t="s">
        <v>278</v>
      </c>
      <c r="C34" s="39" t="n">
        <f aca="false">'Loan Sizing'!C22</f>
        <v>1.36197061528471</v>
      </c>
      <c r="D34" s="0" t="s">
        <v>279</v>
      </c>
    </row>
    <row r="35" customFormat="false" ht="15" hidden="false" customHeight="false" outlineLevel="0" collapsed="false">
      <c r="B35" s="7" t="s">
        <v>280</v>
      </c>
      <c r="C35" s="40" t="n">
        <f aca="false">'Loan Sizing'!C23</f>
        <v>0.118133005131171</v>
      </c>
      <c r="D35" s="0" t="s">
        <v>281</v>
      </c>
    </row>
    <row r="36" customFormat="false" ht="15" hidden="false" customHeight="false" outlineLevel="0" collapsed="false">
      <c r="B36" s="7" t="s">
        <v>282</v>
      </c>
      <c r="C36" s="35" t="n">
        <f aca="false">'Loan Sizing'!C26</f>
        <v>424948.344827586</v>
      </c>
      <c r="D36" s="0" t="s">
        <v>186</v>
      </c>
    </row>
    <row r="37" customFormat="false" ht="15" hidden="false" customHeight="false" outlineLevel="0" collapsed="false">
      <c r="B37" s="7" t="s">
        <v>283</v>
      </c>
      <c r="C37" s="35" t="n">
        <f aca="false">'Loan Sizing'!C39</f>
        <v>1946836.89655172</v>
      </c>
      <c r="D37" s="0" t="s">
        <v>284</v>
      </c>
    </row>
    <row r="38" customFormat="false" ht="15" hidden="false" customHeight="false" outlineLevel="0" collapsed="false">
      <c r="B38" s="7" t="s">
        <v>285</v>
      </c>
      <c r="C38" s="35" t="n">
        <f aca="false">Sensitivity!D12</f>
        <v>711094.5</v>
      </c>
      <c r="D38" s="0" t="s">
        <v>286</v>
      </c>
    </row>
    <row r="39" customFormat="false" ht="15" hidden="false" customHeight="false" outlineLevel="0" collapsed="false">
      <c r="B39" s="7" t="s">
        <v>287</v>
      </c>
      <c r="C39" s="35" t="n">
        <f aca="false">Sensitivity!D24</f>
        <v>5643126.33381641</v>
      </c>
      <c r="D39" s="0" t="s">
        <v>288</v>
      </c>
    </row>
    <row r="40" customFormat="false" ht="15" hidden="false" customHeight="false" outlineLevel="0" collapsed="false">
      <c r="B40" s="7" t="s">
        <v>289</v>
      </c>
      <c r="C40" s="35" t="n">
        <v>15000</v>
      </c>
      <c r="D40" s="0" t="s">
        <v>290</v>
      </c>
    </row>
    <row r="41" customFormat="false" ht="15" hidden="false" customHeight="false" outlineLevel="0" collapsed="false">
      <c r="B41" s="7" t="s">
        <v>291</v>
      </c>
      <c r="C41" s="38" t="s">
        <v>115</v>
      </c>
      <c r="D41" s="0" t="s">
        <v>292</v>
      </c>
    </row>
    <row r="42" customFormat="false" ht="15" hidden="false" customHeight="false" outlineLevel="0" collapsed="false">
      <c r="B42" s="7" t="s">
        <v>293</v>
      </c>
      <c r="C42" s="35" t="n">
        <v>30000</v>
      </c>
      <c r="D42" s="0" t="s">
        <v>294</v>
      </c>
    </row>
    <row r="43" customFormat="false" ht="15" hidden="false" customHeight="false" outlineLevel="0" collapsed="false">
      <c r="B43" s="7" t="s">
        <v>295</v>
      </c>
      <c r="C43" s="35" t="n">
        <v>33600</v>
      </c>
      <c r="D43" s="0" t="s">
        <v>296</v>
      </c>
    </row>
    <row r="44" customFormat="false" ht="15" hidden="false" customHeight="false" outlineLevel="0" collapsed="false">
      <c r="B44" s="7" t="s">
        <v>297</v>
      </c>
      <c r="C44" s="38" t="s">
        <v>298</v>
      </c>
      <c r="D44" s="0" t="s">
        <v>299</v>
      </c>
    </row>
    <row r="45" customFormat="false" ht="15" hidden="false" customHeight="false" outlineLevel="0" collapsed="false">
      <c r="B45" s="7" t="s">
        <v>300</v>
      </c>
      <c r="C45" s="38" t="s">
        <v>301</v>
      </c>
      <c r="D45" s="0" t="s">
        <v>302</v>
      </c>
    </row>
  </sheetData>
  <mergeCells count="1">
    <mergeCell ref="B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