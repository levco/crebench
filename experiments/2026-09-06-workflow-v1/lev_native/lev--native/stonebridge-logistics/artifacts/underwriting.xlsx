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T12" sheetId="4" state="visible" r:id="rId4"/>
    <sheet xmlns:r="http://schemas.openxmlformats.org/officeDocument/2006/relationships" name="Underwriting" sheetId="5" state="visible" r:id="rId5"/>
    <sheet xmlns:r="http://schemas.openxmlformats.org/officeDocument/2006/relationships" name="Loan Sizing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Fie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;[Red](&quot;$&quot;#,##0)"/>
    <numFmt numFmtId="165" formatCode="&quot;$&quot;#,##0.00"/>
    <numFmt numFmtId="166" formatCode="0.000&quot;x&quot;"/>
    <numFmt numFmtId="167" formatCode="0.00000000"/>
    <numFmt numFmtId="168" formatCode="0.00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95959"/>
    </font>
    <font>
      <b val="1"/>
      <sz val="11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  <xf numFmtId="10" fontId="0" fillId="5" borderId="1" pivotButton="0" quotePrefix="0" xfId="0"/>
    <xf numFmtId="164" fontId="0" fillId="5" borderId="1" pivotButton="0" quotePrefix="0" xfId="0"/>
    <xf numFmtId="3" fontId="0" fillId="4" borderId="1" pivotButton="0" quotePrefix="0" xfId="0"/>
    <xf numFmtId="164" fontId="0" fillId="4" borderId="1" pivotButton="0" quotePrefix="0" xfId="0"/>
    <xf numFmtId="10" fontId="0" fillId="4" borderId="1" pivotButton="0" quotePrefix="0" xfId="0"/>
    <xf numFmtId="165" fontId="0" fillId="4" borderId="1" pivotButton="0" quotePrefix="0" xfId="0"/>
    <xf numFmtId="10" fontId="4" fillId="5" borderId="1" pivotButton="0" quotePrefix="0" xfId="0"/>
    <xf numFmtId="166" fontId="0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3" fontId="0" fillId="0" borderId="0" pivotButton="0" quotePrefix="0" xfId="0"/>
    <xf numFmtId="164" fontId="4" fillId="5" borderId="1" pivotButton="0" quotePrefix="0" xfId="0"/>
    <xf numFmtId="3" fontId="0" fillId="5" borderId="1" pivotButton="0" quotePrefix="0" xfId="0"/>
    <xf numFmtId="164" fontId="0" fillId="0" borderId="0" pivotButton="0" quotePrefix="0" xfId="0"/>
    <xf numFmtId="164" fontId="4" fillId="6" borderId="1" pivotButton="0" quotePrefix="0" xfId="0"/>
    <xf numFmtId="0" fontId="5" fillId="0" borderId="0" pivotButton="0" quotePrefix="0" xfId="0"/>
    <xf numFmtId="167" fontId="4" fillId="5" borderId="1" pivotButton="0" quotePrefix="0" xfId="0"/>
    <xf numFmtId="0" fontId="3" fillId="3" borderId="1" pivotButton="0" quotePrefix="0" xfId="0"/>
    <xf numFmtId="0" fontId="4" fillId="6" borderId="1" pivotButton="0" quotePrefix="0" xfId="0"/>
    <xf numFmtId="166" fontId="0" fillId="5" borderId="1" pivotButton="0" quotePrefix="0" xfId="0"/>
    <xf numFmtId="167" fontId="0" fillId="5" borderId="1" pivotButton="0" quotePrefix="0" xfId="0"/>
    <xf numFmtId="0" fontId="4" fillId="5" borderId="1" pivotButton="0" quotePrefix="0" xfId="0"/>
    <xf numFmtId="3" fontId="0" fillId="5" borderId="1" applyAlignment="1" pivotButton="0" quotePrefix="0" xfId="0">
      <alignment horizontal="right"/>
    </xf>
    <xf numFmtId="2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8" fontId="0" fillId="5" borderId="1" applyAlignment="1" pivotButton="0" quotePrefix="0" xfId="0">
      <alignment horizontal="right"/>
    </xf>
    <xf numFmtId="167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166" fontId="0" fillId="5" borderId="1" applyAlignment="1" pivotButton="0" quotePrefix="0" xfId="0">
      <alignment horizontal="right"/>
    </xf>
    <xf numFmtId="10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60" customWidth="1" min="3" max="3"/>
  </cols>
  <sheetData>
    <row r="2">
      <c r="B2" s="1" t="inlineStr">
        <is>
          <t>Stonebridge Logistics — Refinance Underwriting Workbook</t>
        </is>
      </c>
    </row>
    <row r="3">
      <c r="B3" s="2" t="inlineStr">
        <is>
          <t>As of August 31, 2026 · USD · Fictional evaluation material · No real transaction</t>
        </is>
      </c>
    </row>
    <row r="5">
      <c r="B5" s="3" t="inlineStr">
        <is>
          <t>Legend</t>
        </is>
      </c>
    </row>
    <row r="6">
      <c r="B6" s="4" t="inlineStr">
        <is>
          <t>Yellow cells</t>
        </is>
      </c>
      <c r="C6" t="inlineStr">
        <is>
          <t>Editable input assumptions — reviewer can change these</t>
        </is>
      </c>
    </row>
    <row r="7">
      <c r="B7" s="5" t="inlineStr">
        <is>
          <t>Green cells</t>
        </is>
      </c>
      <c r="C7" t="inlineStr">
        <is>
          <t>Calculated with live formulas</t>
        </is>
      </c>
    </row>
    <row r="8">
      <c r="B8" s="6" t="inlineStr">
        <is>
          <t>Orange cells</t>
        </is>
      </c>
      <c r="C8" t="inlineStr">
        <is>
          <t>Key results (maximum loan, binding constraint, etc.)</t>
        </is>
      </c>
    </row>
    <row r="10">
      <c r="B10" s="3" t="inlineStr">
        <is>
          <t>Sheet Map</t>
        </is>
      </c>
    </row>
    <row r="11">
      <c r="B11" s="7" t="inlineStr">
        <is>
          <t>Assumptions</t>
        </is>
      </c>
      <c r="C11" t="inlineStr">
        <is>
          <t>All editable inputs (cap rate, sizing rate, EGI drivers, expenses, loan terms)</t>
        </is>
      </c>
    </row>
    <row r="12">
      <c r="B12" s="7" t="inlineStr">
        <is>
          <t>Rent Roll</t>
        </is>
      </c>
      <c r="C12" t="inlineStr">
        <is>
          <t>Unit-level rent roll, occupancy calculations</t>
        </is>
      </c>
    </row>
    <row r="13">
      <c r="B13" s="7" t="inlineStr">
        <is>
          <t>T12</t>
        </is>
      </c>
      <c r="C13" t="inlineStr">
        <is>
          <t>Trailing-twelve historical statement, monthly detail + annual</t>
        </is>
      </c>
    </row>
    <row r="14">
      <c r="B14" s="7" t="inlineStr">
        <is>
          <t>Underwriting</t>
        </is>
      </c>
      <c r="C14" t="inlineStr">
        <is>
          <t>Underwritten EGI, expenses, NOI, NCF — driven by Assumptions</t>
        </is>
      </c>
    </row>
    <row r="15">
      <c r="B15" s="7" t="inlineStr">
        <is>
          <t>Loan Sizing</t>
        </is>
      </c>
      <c r="C15" t="inlineStr">
        <is>
          <t>LTV / DSCR / Debt Yield tests, binding constraint, sources &amp; uses</t>
        </is>
      </c>
    </row>
    <row r="16">
      <c r="B16" s="7" t="inlineStr">
        <is>
          <t>Sensitivity</t>
        </is>
      </c>
      <c r="C16" t="inlineStr">
        <is>
          <t>Stress: EGI -5%, Rate +100 bps combined downside; cap +50 bps separately</t>
        </is>
      </c>
    </row>
    <row r="17">
      <c r="B17" s="7" t="inlineStr">
        <is>
          <t>Fields</t>
        </is>
      </c>
      <c r="C17" t="inlineStr">
        <is>
          <t>All requested analysis field IDs with values / sources</t>
        </is>
      </c>
    </row>
    <row r="19">
      <c r="B19" s="3" t="inlineStr">
        <is>
          <t>Key Inputs Quick-Access</t>
        </is>
      </c>
    </row>
    <row r="20">
      <c r="B20" s="7" t="inlineStr">
        <is>
          <t>Cap rate</t>
        </is>
      </c>
      <c r="C20" s="8">
        <f>Assumptions!C24</f>
        <v/>
      </c>
    </row>
    <row r="21">
      <c r="B21" s="7" t="inlineStr">
        <is>
          <t>Sizing rate</t>
        </is>
      </c>
      <c r="C21" s="8">
        <f>Assumptions!C33</f>
        <v/>
      </c>
    </row>
    <row r="22">
      <c r="B22" s="7" t="inlineStr">
        <is>
          <t>Contract rate</t>
        </is>
      </c>
      <c r="C22" s="8">
        <f>Assumptions!C32</f>
        <v/>
      </c>
    </row>
    <row r="23">
      <c r="B23" s="7" t="inlineStr">
        <is>
          <t>Underwritten EGI</t>
        </is>
      </c>
      <c r="C23" s="9">
        <f>Underwriting!C10</f>
        <v/>
      </c>
    </row>
    <row r="24">
      <c r="B24" s="7" t="inlineStr">
        <is>
          <t>Underwritten NOI (before reserves)</t>
        </is>
      </c>
      <c r="C24" s="9">
        <f>Underwriting!C22</f>
        <v/>
      </c>
    </row>
    <row r="25">
      <c r="B25" s="7" t="inlineStr">
        <is>
          <t>Indicative value</t>
        </is>
      </c>
      <c r="C25" s="9">
        <f>'Loan Sizing'!C6</f>
        <v/>
      </c>
    </row>
    <row r="26">
      <c r="B26" s="7" t="inlineStr">
        <is>
          <t>Maximum loan</t>
        </is>
      </c>
      <c r="C26" s="9">
        <f>'Loan Sizing'!C18</f>
        <v/>
      </c>
    </row>
    <row r="27">
      <c r="B27" s="7" t="inlineStr">
        <is>
          <t>Binding constraint</t>
        </is>
      </c>
      <c r="C27" s="5">
        <f>'Loan Sizing'!C19</f>
        <v/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51"/>
  <sheetViews>
    <sheetView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8" customWidth="1" min="3" max="3"/>
    <col width="60" customWidth="1" min="4" max="4"/>
  </cols>
  <sheetData>
    <row r="2">
      <c r="B2" s="1" t="inlineStr">
        <is>
          <t>Editable Assumptions</t>
        </is>
      </c>
    </row>
    <row r="4">
      <c r="B4" s="3" t="inlineStr">
        <is>
          <t>Property</t>
        </is>
      </c>
    </row>
    <row r="5">
      <c r="B5" t="inlineStr">
        <is>
          <t>Total rentable SF</t>
        </is>
      </c>
      <c r="C5" s="10" t="n">
        <v>85000</v>
      </c>
      <c r="D5" t="inlineStr">
        <is>
          <t>From rent roll (sum of unit SF)</t>
        </is>
      </c>
    </row>
    <row r="6">
      <c r="B6" t="inlineStr">
        <is>
          <t>As-of date</t>
        </is>
      </c>
      <c r="C6" s="4" t="inlineStr">
        <is>
          <t>2026-08-31</t>
        </is>
      </c>
      <c r="D6" t="inlineStr">
        <is>
          <t>Rent roll and T12 as-of</t>
        </is>
      </c>
    </row>
    <row r="8">
      <c r="B8" s="3" t="inlineStr">
        <is>
          <t>Underwriting — Revenue</t>
        </is>
      </c>
    </row>
    <row r="9">
      <c r="B9" t="inlineStr">
        <is>
          <t>Gross potential base rent (annual)</t>
        </is>
      </c>
      <c r="C9" s="11" t="n">
        <v>900000</v>
      </c>
      <c r="D9" t="inlineStr">
        <is>
          <t>Supplied scenario per Property-and-Plan p.2</t>
        </is>
      </c>
    </row>
    <row r="10">
      <c r="B10" t="inlineStr">
        <is>
          <t>Combined revenue loss %</t>
        </is>
      </c>
      <c r="C10" s="12" t="n">
        <v>0.08</v>
      </c>
      <c r="D10" t="inlineStr">
        <is>
          <t>Vacancy + concessions + bad debt per plan</t>
        </is>
      </c>
    </row>
    <row r="11">
      <c r="B11" t="inlineStr">
        <is>
          <t>Other income / recoveries (annual)</t>
        </is>
      </c>
      <c r="C11" s="11" t="n">
        <v>195000</v>
      </c>
      <c r="D11" t="inlineStr">
        <is>
          <t>Added after revenue loss</t>
        </is>
      </c>
    </row>
    <row r="13">
      <c r="B13" s="3" t="inlineStr">
        <is>
          <t>Underwriting — Operating Expenses (annual)</t>
        </is>
      </c>
    </row>
    <row r="14">
      <c r="B14" t="inlineStr">
        <is>
          <t>Real estate taxes</t>
        </is>
      </c>
      <c r="C14" s="11" t="n">
        <v>132000</v>
      </c>
      <c r="D14" t="inlineStr">
        <is>
          <t>Plan override; T12 was $126,000</t>
        </is>
      </c>
    </row>
    <row r="15">
      <c r="B15" t="inlineStr">
        <is>
          <t>Property insurance</t>
        </is>
      </c>
      <c r="C15" s="11" t="n">
        <v>33600</v>
      </c>
      <c r="D15" t="inlineStr">
        <is>
          <t>Renewal quote in plan (verified renewal confirmation Aug 25, 2026)</t>
        </is>
      </c>
    </row>
    <row r="16">
      <c r="B16" t="inlineStr">
        <is>
          <t>Utilities</t>
        </is>
      </c>
      <c r="C16" s="11" t="n">
        <v>12000</v>
      </c>
      <c r="D16" t="inlineStr">
        <is>
          <t>Use T12 actual</t>
        </is>
      </c>
    </row>
    <row r="17">
      <c r="B17" t="inlineStr">
        <is>
          <t>Repairs &amp; maintenance</t>
        </is>
      </c>
      <c r="C17" s="11" t="n">
        <v>18000</v>
      </c>
      <c r="D17" t="inlineStr">
        <is>
          <t>T12 $24,000 less $6,000 one-time casualty cleanup</t>
        </is>
      </c>
    </row>
    <row r="18">
      <c r="B18" t="inlineStr">
        <is>
          <t>Payroll / contract labor</t>
        </is>
      </c>
      <c r="C18" s="11" t="n">
        <v>18000</v>
      </c>
      <c r="D18" t="inlineStr">
        <is>
          <t>Use T12 actual</t>
        </is>
      </c>
    </row>
    <row r="19">
      <c r="B19" t="inlineStr">
        <is>
          <t>Administrative / legal</t>
        </is>
      </c>
      <c r="C19" s="11" t="n">
        <v>18000</v>
      </c>
      <c r="D19" t="inlineStr">
        <is>
          <t>Use T12 actual</t>
        </is>
      </c>
    </row>
    <row r="20">
      <c r="B20" t="inlineStr">
        <is>
          <t>Management — T12 actual</t>
        </is>
      </c>
      <c r="C20" s="11" t="n">
        <v>25200</v>
      </c>
      <c r="D20" t="inlineStr">
        <is>
          <t>Historical T12 mgmt fee</t>
        </is>
      </c>
    </row>
    <row r="21">
      <c r="B21" t="inlineStr">
        <is>
          <t>Management — % of underwritten EGI</t>
        </is>
      </c>
      <c r="C21" s="12" t="n">
        <v>0.03</v>
      </c>
      <c r="D21" t="inlineStr">
        <is>
          <t>Plan: greater of T12 actual OR 3% of underwritten EGI</t>
        </is>
      </c>
    </row>
    <row r="22">
      <c r="B22" t="inlineStr">
        <is>
          <t>Replacement reserves ($/SF/yr)</t>
        </is>
      </c>
      <c r="C22" s="13" t="n">
        <v>0.2</v>
      </c>
      <c r="D22" t="inlineStr">
        <is>
          <t>Deducted BELOW NOI</t>
        </is>
      </c>
    </row>
    <row r="24">
      <c r="B24" s="7" t="inlineStr">
        <is>
          <t>Cap rate (valuation)</t>
        </is>
      </c>
      <c r="C24" s="12" t="n">
        <v>0.0675</v>
      </c>
      <c r="D24" t="inlineStr">
        <is>
          <t>NOI BEFORE reserves ÷ cap rate; no appraisal implied</t>
        </is>
      </c>
    </row>
    <row r="26">
      <c r="B26" s="3" t="inlineStr">
        <is>
          <t>Loan Terms</t>
        </is>
      </c>
    </row>
    <row r="27">
      <c r="B27" t="inlineStr">
        <is>
          <t>Index rate</t>
        </is>
      </c>
      <c r="C27" s="12" t="n">
        <v>0.0325</v>
      </c>
      <c r="D27" t="inlineStr">
        <is>
          <t>Lender Terms</t>
        </is>
      </c>
    </row>
    <row r="28">
      <c r="B28" t="inlineStr">
        <is>
          <t>Index floor</t>
        </is>
      </c>
      <c r="C28" s="12" t="n">
        <v>0.04</v>
      </c>
      <c r="D28" t="inlineStr">
        <is>
          <t>Apply floor BEFORE spread</t>
        </is>
      </c>
    </row>
    <row r="29">
      <c r="B29" t="inlineStr">
        <is>
          <t>Spread</t>
        </is>
      </c>
      <c r="C29" s="12" t="n">
        <v>0.0275</v>
      </c>
      <c r="D29" t="inlineStr">
        <is>
          <t>Added AFTER floor</t>
        </is>
      </c>
    </row>
    <row r="30">
      <c r="B30" t="inlineStr">
        <is>
          <t>Sizing rate floor</t>
        </is>
      </c>
      <c r="C30" s="12" t="n">
        <v>0.0725</v>
      </c>
      <c r="D30" t="inlineStr">
        <is>
          <t>Underwriting floor</t>
        </is>
      </c>
    </row>
    <row r="31">
      <c r="B31" t="inlineStr">
        <is>
          <t>Effective index (after floor)</t>
        </is>
      </c>
      <c r="C31" s="8">
        <f>MAX(C27,C28)</f>
        <v/>
      </c>
      <c r="D31" t="inlineStr">
        <is>
          <t>MAX(index, floor)</t>
        </is>
      </c>
    </row>
    <row r="32">
      <c r="B32" t="inlineStr">
        <is>
          <t>Contract rate</t>
        </is>
      </c>
      <c r="C32" s="14">
        <f>C31+C29</f>
        <v/>
      </c>
      <c r="D32" t="inlineStr">
        <is>
          <t>Effective index + spread</t>
        </is>
      </c>
    </row>
    <row r="33">
      <c r="B33" t="inlineStr">
        <is>
          <t>Sizing rate</t>
        </is>
      </c>
      <c r="C33" s="14">
        <f>MAX(C32,C30)</f>
        <v/>
      </c>
      <c r="D33" t="inlineStr">
        <is>
          <t>Greater of contract rate and 7.25%</t>
        </is>
      </c>
    </row>
    <row r="34">
      <c r="B34" t="inlineStr">
        <is>
          <t>Amortization (years)</t>
        </is>
      </c>
      <c r="C34" s="10" t="n">
        <v>25</v>
      </c>
      <c r="D34" t="inlineStr">
        <is>
          <t>Monthly payments</t>
        </is>
      </c>
    </row>
    <row r="35">
      <c r="B35" t="inlineStr">
        <is>
          <t>Interest-only period (months)</t>
        </is>
      </c>
      <c r="C35" s="10" t="n">
        <v>12</v>
      </c>
      <c r="D35" t="inlineStr">
        <is>
          <t>First 12 months IO</t>
        </is>
      </c>
    </row>
    <row r="36">
      <c r="B36" t="inlineStr">
        <is>
          <t>Maturity (months)</t>
        </is>
      </c>
      <c r="C36" s="10" t="n">
        <v>36</v>
      </c>
    </row>
    <row r="38">
      <c r="B38" s="3" t="inlineStr">
        <is>
          <t>Loan Sizing Constraints</t>
        </is>
      </c>
    </row>
    <row r="39">
      <c r="B39" t="inlineStr">
        <is>
          <t>Max LTV</t>
        </is>
      </c>
      <c r="C39" s="12" t="n">
        <v>0.6</v>
      </c>
      <c r="D39" t="inlineStr">
        <is>
          <t>Applied to indicative value</t>
        </is>
      </c>
    </row>
    <row r="40">
      <c r="B40" t="inlineStr">
        <is>
          <t>Min DSCR</t>
        </is>
      </c>
      <c r="C40" s="15" t="n">
        <v>1.3</v>
      </c>
      <c r="D40" t="inlineStr">
        <is>
          <t>NCF after reserves ÷ amortizing DS at sizing rate</t>
        </is>
      </c>
    </row>
    <row r="41">
      <c r="B41" t="inlineStr">
        <is>
          <t>Min debt yield</t>
        </is>
      </c>
      <c r="C41" s="12" t="n">
        <v>0.1</v>
      </c>
      <c r="D41" t="inlineStr">
        <is>
          <t>NCF after reserves ÷ loan</t>
        </is>
      </c>
    </row>
    <row r="43">
      <c r="B43" s="3" t="inlineStr">
        <is>
          <t>Fees &amp; Uses</t>
        </is>
      </c>
    </row>
    <row r="44">
      <c r="B44" t="inlineStr">
        <is>
          <t>Existing debt payoff</t>
        </is>
      </c>
      <c r="C44" s="11" t="n">
        <v>4200000</v>
      </c>
      <c r="D44" t="inlineStr">
        <is>
          <t>Property plan</t>
        </is>
      </c>
    </row>
    <row r="45">
      <c r="B45" t="inlineStr">
        <is>
          <t>Fixed closing costs</t>
        </is>
      </c>
      <c r="C45" s="11" t="n">
        <v>70000</v>
      </c>
      <c r="D45" t="inlineStr">
        <is>
          <t>Property plan</t>
        </is>
      </c>
    </row>
    <row r="46">
      <c r="B46" t="inlineStr">
        <is>
          <t>Origination fee % of loan</t>
        </is>
      </c>
      <c r="C46" s="12" t="n">
        <v>0.0125</v>
      </c>
      <c r="D46" t="inlineStr">
        <is>
          <t>1.25% of actual initial principal</t>
        </is>
      </c>
    </row>
    <row r="48">
      <c r="B48" s="3" t="inlineStr">
        <is>
          <t>Sensitivity Levers</t>
        </is>
      </c>
    </row>
    <row r="49">
      <c r="B49" t="inlineStr">
        <is>
          <t>EGI stress %</t>
        </is>
      </c>
      <c r="C49" s="12" t="n">
        <v>-0.05</v>
      </c>
      <c r="D49" t="inlineStr">
        <is>
          <t>Downside EGI adjustment</t>
        </is>
      </c>
    </row>
    <row r="50">
      <c r="B50" t="inlineStr">
        <is>
          <t>Sizing-rate stress (bps)</t>
        </is>
      </c>
      <c r="C50" s="10" t="n">
        <v>100</v>
      </c>
      <c r="D50" t="inlineStr">
        <is>
          <t>Added to sizing rate in combined downside</t>
        </is>
      </c>
    </row>
    <row r="51">
      <c r="B51" t="inlineStr">
        <is>
          <t>Cap-rate sensitivity (bps)</t>
        </is>
      </c>
      <c r="C51" s="10" t="n">
        <v>50</v>
      </c>
      <c r="D51" t="inlineStr">
        <is>
          <t>Separate cap-rate stress</t>
        </is>
      </c>
    </row>
  </sheetData>
  <mergeCells count="8">
    <mergeCell ref="B48:D48"/>
    <mergeCell ref="B8:D8"/>
    <mergeCell ref="B4:D4"/>
    <mergeCell ref="B26:D26"/>
    <mergeCell ref="B13:D13"/>
    <mergeCell ref="B43:D43"/>
    <mergeCell ref="B38:D38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2" customWidth="1" min="5" max="5"/>
    <col width="16" customWidth="1" min="6" max="6"/>
    <col width="16" customWidth="1" min="7" max="7"/>
    <col width="14" customWidth="1" min="8" max="8"/>
  </cols>
  <sheetData>
    <row r="2">
      <c r="B2" s="1" t="inlineStr">
        <is>
          <t>Rent Roll — As of 2026-08-31</t>
        </is>
      </c>
    </row>
    <row r="4">
      <c r="B4" s="16" t="inlineStr">
        <is>
          <t>Unit</t>
        </is>
      </c>
      <c r="C4" s="16" t="inlineStr">
        <is>
          <t>Tenant</t>
        </is>
      </c>
      <c r="D4" s="16" t="inlineStr">
        <is>
          <t>Area SF</t>
        </is>
      </c>
      <c r="E4" s="16" t="inlineStr">
        <is>
          <t>Status</t>
        </is>
      </c>
      <c r="F4" s="16" t="inlineStr">
        <is>
          <t>Monthly Base Rent</t>
        </is>
      </c>
      <c r="G4" s="16" t="inlineStr">
        <is>
          <t>Market Monthly Rent</t>
        </is>
      </c>
      <c r="H4" s="16" t="inlineStr">
        <is>
          <t>Lease Expiry</t>
        </is>
      </c>
    </row>
    <row r="5">
      <c r="B5" s="17" t="inlineStr">
        <is>
          <t>101</t>
        </is>
      </c>
      <c r="C5" s="17" t="inlineStr">
        <is>
          <t>Tenant A LLC</t>
        </is>
      </c>
      <c r="D5" s="18" t="n">
        <v>18000</v>
      </c>
      <c r="E5" s="17" t="inlineStr">
        <is>
          <t>Occupied</t>
        </is>
      </c>
      <c r="F5" s="19" t="n">
        <v>15000</v>
      </c>
      <c r="G5" s="19" t="n">
        <v>15000</v>
      </c>
      <c r="H5" s="17" t="inlineStr">
        <is>
          <t>2030-08-31</t>
        </is>
      </c>
    </row>
    <row r="6">
      <c r="B6" s="17" t="inlineStr">
        <is>
          <t>102</t>
        </is>
      </c>
      <c r="C6" s="17" t="inlineStr">
        <is>
          <t>Tenant B LLC</t>
        </is>
      </c>
      <c r="D6" s="18" t="n">
        <v>22000</v>
      </c>
      <c r="E6" s="17" t="inlineStr">
        <is>
          <t>Occupied</t>
        </is>
      </c>
      <c r="F6" s="19" t="n">
        <v>18700</v>
      </c>
      <c r="G6" s="19" t="n">
        <v>18700</v>
      </c>
      <c r="H6" s="17" t="inlineStr">
        <is>
          <t>2028-08-31</t>
        </is>
      </c>
    </row>
    <row r="7">
      <c r="B7" s="17" t="inlineStr">
        <is>
          <t>103</t>
        </is>
      </c>
      <c r="C7" s="17" t="inlineStr">
        <is>
          <t>Tenant C LLC</t>
        </is>
      </c>
      <c r="D7" s="18" t="n">
        <v>30000</v>
      </c>
      <c r="E7" s="17" t="inlineStr">
        <is>
          <t>Occupied</t>
        </is>
      </c>
      <c r="F7" s="19" t="n">
        <v>27000</v>
      </c>
      <c r="G7" s="19" t="n">
        <v>27000</v>
      </c>
      <c r="H7" s="17" t="inlineStr">
        <is>
          <t>2029-08-31</t>
        </is>
      </c>
    </row>
    <row r="8">
      <c r="B8" s="17" t="inlineStr">
        <is>
          <t>104</t>
        </is>
      </c>
      <c r="C8" s="17" t="inlineStr">
        <is>
          <t>Vacant</t>
        </is>
      </c>
      <c r="D8" s="18" t="n">
        <v>15000</v>
      </c>
      <c r="E8" s="17" t="inlineStr">
        <is>
          <t>Vacant</t>
        </is>
      </c>
      <c r="F8" s="19" t="n"/>
      <c r="G8" s="19" t="n">
        <v>12500</v>
      </c>
      <c r="H8" s="17" t="n"/>
    </row>
    <row r="10">
      <c r="B10" s="7" t="inlineStr">
        <is>
          <t>Totals</t>
        </is>
      </c>
      <c r="D10" s="20">
        <f>SUM(D5:D8)</f>
        <v/>
      </c>
      <c r="F10" s="21">
        <f>SUM(F5:F8)</f>
        <v/>
      </c>
      <c r="G10" s="21">
        <f>SUM(G5:G8)</f>
        <v/>
      </c>
    </row>
    <row r="12">
      <c r="B12" s="3" t="inlineStr">
        <is>
          <t>Occupancy Summary</t>
        </is>
      </c>
    </row>
    <row r="13">
      <c r="B13" t="inlineStr">
        <is>
          <t>Total space count</t>
        </is>
      </c>
      <c r="C13" s="22">
        <f>COUNTA(B5:B8)</f>
        <v/>
      </c>
    </row>
    <row r="14">
      <c r="B14" t="inlineStr">
        <is>
          <t>Occupied count</t>
        </is>
      </c>
      <c r="C14" s="22">
        <f>COUNTIF(E5:E8,"Occupied")</f>
        <v/>
      </c>
    </row>
    <row r="15">
      <c r="B15" t="inlineStr">
        <is>
          <t>Total area SF</t>
        </is>
      </c>
      <c r="C15" s="22">
        <f>SUM(D5:D8)</f>
        <v/>
      </c>
    </row>
    <row r="16">
      <c r="B16" t="inlineStr">
        <is>
          <t>Occupied area SF</t>
        </is>
      </c>
      <c r="C16" s="22">
        <f>SUMIF(E5:E8,"Occupied",D5:D8)</f>
        <v/>
      </c>
    </row>
    <row r="17">
      <c r="B17" t="inlineStr">
        <is>
          <t>Occupancy by count %</t>
        </is>
      </c>
      <c r="C17" s="8">
        <f>C14/C13</f>
        <v/>
      </c>
    </row>
    <row r="18">
      <c r="B18" t="inlineStr">
        <is>
          <t>Occupancy by area %</t>
        </is>
      </c>
      <c r="C18" s="8">
        <f>C16/C15</f>
        <v/>
      </c>
    </row>
    <row r="19">
      <c r="B19" t="inlineStr">
        <is>
          <t>Rent roll monthly base</t>
        </is>
      </c>
      <c r="C19" s="9">
        <f>SUM(F5:F8)</f>
        <v/>
      </c>
    </row>
    <row r="20">
      <c r="B20" t="inlineStr">
        <is>
          <t>Effective monthly base (after amendments)</t>
        </is>
      </c>
      <c r="C20" s="9">
        <f>C19</f>
        <v/>
      </c>
      <c r="D20" t="inlineStr">
        <is>
          <t>Lease file confirms Unit 101 $15,000/mo as of 2026-08-31; no amendments</t>
        </is>
      </c>
    </row>
  </sheetData>
  <mergeCells count="2">
    <mergeCell ref="B2:H2"/>
    <mergeCell ref="B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40" customWidth="1" min="4" max="4"/>
  </cols>
  <sheetData>
    <row r="2">
      <c r="B2" s="1" t="inlineStr">
        <is>
          <t>Trailing 12 Months (Sep-2025 to Aug-2026) — Annual</t>
        </is>
      </c>
    </row>
    <row r="4">
      <c r="B4" t="inlineStr">
        <is>
          <t>Gross potential base rent</t>
        </is>
      </c>
      <c r="C4" s="23" t="n">
        <v>852000</v>
      </c>
      <c r="D4" t="inlineStr">
        <is>
          <t>T12 p.2 Annual</t>
        </is>
      </c>
    </row>
    <row r="5">
      <c r="B5" t="inlineStr">
        <is>
          <t>Vacancy loss</t>
        </is>
      </c>
      <c r="C5" s="23" t="n">
        <v>-150000</v>
      </c>
      <c r="D5" t="inlineStr">
        <is>
          <t>T12</t>
        </is>
      </c>
    </row>
    <row r="6">
      <c r="B6" t="inlineStr">
        <is>
          <t>Concessions</t>
        </is>
      </c>
      <c r="C6" s="23" t="n">
        <v>-36000</v>
      </c>
      <c r="D6" t="inlineStr">
        <is>
          <t>T12</t>
        </is>
      </c>
    </row>
    <row r="7">
      <c r="B7" t="inlineStr">
        <is>
          <t>Bad debt</t>
        </is>
      </c>
      <c r="C7" s="23" t="n">
        <v>-6000</v>
      </c>
      <c r="D7" t="inlineStr">
        <is>
          <t>T12</t>
        </is>
      </c>
    </row>
    <row r="8">
      <c r="B8" t="inlineStr">
        <is>
          <t>Other income / recoveries</t>
        </is>
      </c>
      <c r="C8" s="23" t="n">
        <v>186000</v>
      </c>
      <c r="D8" t="inlineStr">
        <is>
          <t>T12</t>
        </is>
      </c>
    </row>
    <row r="9">
      <c r="B9" s="7" t="inlineStr">
        <is>
          <t>Effective Gross Income (EGI)</t>
        </is>
      </c>
      <c r="C9" s="21">
        <f>SUM(C4:C8)</f>
        <v/>
      </c>
    </row>
    <row r="11">
      <c r="B11" s="7" t="inlineStr">
        <is>
          <t>Operating expenses</t>
        </is>
      </c>
    </row>
    <row r="12">
      <c r="B12" t="inlineStr">
        <is>
          <t>Real estate taxes</t>
        </is>
      </c>
      <c r="C12" s="23" t="n">
        <v>126000</v>
      </c>
    </row>
    <row r="13">
      <c r="B13" t="inlineStr">
        <is>
          <t>Property insurance</t>
        </is>
      </c>
      <c r="C13" s="23" t="n">
        <v>30000</v>
      </c>
    </row>
    <row r="14">
      <c r="B14" t="inlineStr">
        <is>
          <t>Utilities</t>
        </is>
      </c>
      <c r="C14" s="23" t="n">
        <v>12000</v>
      </c>
    </row>
    <row r="15">
      <c r="B15" t="inlineStr">
        <is>
          <t>Repairs and maintenance</t>
        </is>
      </c>
      <c r="C15" s="23" t="n">
        <v>24000</v>
      </c>
    </row>
    <row r="16">
      <c r="B16" t="inlineStr">
        <is>
          <t>Payroll / contract labor</t>
        </is>
      </c>
      <c r="C16" s="23" t="n">
        <v>18000</v>
      </c>
    </row>
    <row r="17">
      <c r="B17" t="inlineStr">
        <is>
          <t>Administrative / legal</t>
        </is>
      </c>
      <c r="C17" s="23" t="n">
        <v>18000</v>
      </c>
    </row>
    <row r="18">
      <c r="B18" t="inlineStr">
        <is>
          <t>Management fee</t>
        </is>
      </c>
      <c r="C18" s="23" t="n">
        <v>25200</v>
      </c>
    </row>
    <row r="19">
      <c r="B19" s="7" t="inlineStr">
        <is>
          <t>Total operating expenses</t>
        </is>
      </c>
      <c r="C19" s="21">
        <f>SUM(C12:C18)</f>
        <v/>
      </c>
    </row>
    <row r="21">
      <c r="B21" s="7" t="inlineStr">
        <is>
          <t>NOI before replacement reserves</t>
        </is>
      </c>
      <c r="C21" s="24">
        <f>C9-C19</f>
        <v/>
      </c>
    </row>
    <row r="22">
      <c r="B22" t="inlineStr">
        <is>
          <t>Replacement reserves (below NOI)</t>
        </is>
      </c>
      <c r="C22" s="23" t="n">
        <v>17000</v>
      </c>
    </row>
    <row r="23">
      <c r="B23" s="7" t="inlineStr">
        <is>
          <t>Net cash flow after reserves</t>
        </is>
      </c>
      <c r="C23" s="24">
        <f>C21-C22</f>
        <v/>
      </c>
    </row>
    <row r="25">
      <c r="B25" s="25" t="inlineStr">
        <is>
          <t>Memo — below cash flow / non-operating</t>
        </is>
      </c>
    </row>
    <row r="26">
      <c r="B26" t="inlineStr">
        <is>
          <t>Capital improvements</t>
        </is>
      </c>
      <c r="C26" s="23" t="n">
        <v>220000</v>
      </c>
      <c r="D26" t="inlineStr">
        <is>
          <t>Not an operating expense</t>
        </is>
      </c>
    </row>
    <row r="27">
      <c r="B27" t="inlineStr">
        <is>
          <t>Loan principal &amp; interest</t>
        </is>
      </c>
      <c r="C27" s="23" t="n">
        <v>294000</v>
      </c>
      <c r="D27" t="inlineStr">
        <is>
          <t>Existing debt service</t>
        </is>
      </c>
    </row>
    <row r="28">
      <c r="B28" t="inlineStr">
        <is>
          <t>Depreciation (noncash)</t>
        </is>
      </c>
      <c r="C28" s="23" t="n">
        <v>180000</v>
      </c>
      <c r="D28" t="inlineStr">
        <is>
          <t>Excluded from NOI</t>
        </is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4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50" customWidth="1" min="4" max="4"/>
  </cols>
  <sheetData>
    <row r="2">
      <c r="B2" s="1" t="inlineStr">
        <is>
          <t>Underwritten Cash Flow — driven by Assumptions</t>
        </is>
      </c>
    </row>
    <row r="4">
      <c r="B4" t="inlineStr">
        <is>
          <t>Gross potential base rent</t>
        </is>
      </c>
      <c r="C4" s="9">
        <f>Assumptions!C9</f>
        <v/>
      </c>
      <c r="D4" t="inlineStr">
        <is>
          <t>Assumptions!C9</t>
        </is>
      </c>
    </row>
    <row r="5">
      <c r="B5" t="inlineStr">
        <is>
          <t>Combined revenue loss (vac + conc + bad debt)</t>
        </is>
      </c>
      <c r="C5" s="9">
        <f>-C4*Assumptions!C10</f>
        <v/>
      </c>
      <c r="D5" t="inlineStr">
        <is>
          <t>-GPR × loss %</t>
        </is>
      </c>
    </row>
    <row r="6">
      <c r="B6" t="inlineStr">
        <is>
          <t>Other income / recoveries</t>
        </is>
      </c>
      <c r="C6" s="9">
        <f>Assumptions!C11</f>
        <v/>
      </c>
    </row>
    <row r="7"/>
    <row r="10">
      <c r="B10" t="inlineStr">
        <is>
          <t>Effective Gross Income (EGI)</t>
        </is>
      </c>
      <c r="C10" s="24">
        <f>C4+C5+C6</f>
        <v/>
      </c>
    </row>
    <row r="12">
      <c r="B12" s="7" t="inlineStr">
        <is>
          <t>Operating expenses</t>
        </is>
      </c>
    </row>
    <row r="13">
      <c r="B13" t="inlineStr">
        <is>
          <t>Real estate taxes</t>
        </is>
      </c>
      <c r="C13" s="9">
        <f>Assumptions!C14</f>
        <v/>
      </c>
    </row>
    <row r="14">
      <c r="B14" t="inlineStr">
        <is>
          <t>Property insurance</t>
        </is>
      </c>
      <c r="C14" s="9">
        <f>Assumptions!C15</f>
        <v/>
      </c>
    </row>
    <row r="15">
      <c r="B15" t="inlineStr">
        <is>
          <t>Utilities</t>
        </is>
      </c>
      <c r="C15" s="9">
        <f>Assumptions!C16</f>
        <v/>
      </c>
    </row>
    <row r="16">
      <c r="B16" t="inlineStr">
        <is>
          <t>Repairs &amp; maintenance</t>
        </is>
      </c>
      <c r="C16" s="9">
        <f>Assumptions!C17</f>
        <v/>
      </c>
    </row>
    <row r="17">
      <c r="B17" t="inlineStr">
        <is>
          <t>Payroll / contract labor</t>
        </is>
      </c>
      <c r="C17" s="9">
        <f>Assumptions!C18</f>
        <v/>
      </c>
    </row>
    <row r="18">
      <c r="B18" t="inlineStr">
        <is>
          <t>Administrative / legal</t>
        </is>
      </c>
      <c r="C18" s="9">
        <f>Assumptions!C19</f>
        <v/>
      </c>
    </row>
    <row r="19">
      <c r="B19" t="inlineStr">
        <is>
          <t>Management fee (max of T12 or % of EGI)</t>
        </is>
      </c>
      <c r="C19" s="9">
        <f>MAX(Assumptions!C20,Assumptions!C21*C10)</f>
        <v/>
      </c>
      <c r="D19">
        <f>MAX(T12 actual, % × EGI)</f>
        <v/>
      </c>
    </row>
    <row r="20">
      <c r="B20" t="inlineStr">
        <is>
          <t>Total operating expenses</t>
        </is>
      </c>
      <c r="C20" s="21">
        <f>SUM(C13:C19)</f>
        <v/>
      </c>
    </row>
    <row r="22">
      <c r="B22" t="inlineStr">
        <is>
          <t>NOI before replacement reserves</t>
        </is>
      </c>
      <c r="C22" s="24">
        <f>C10-C20</f>
        <v/>
      </c>
      <c r="D22" t="inlineStr">
        <is>
          <t>EGI − total operating expenses</t>
        </is>
      </c>
    </row>
    <row r="23">
      <c r="B23" t="inlineStr">
        <is>
          <t>Replacement reserves</t>
        </is>
      </c>
      <c r="C23" s="9">
        <f>Assumptions!C22*Assumptions!C5</f>
        <v/>
      </c>
      <c r="D23" t="inlineStr">
        <is>
          <t>$/SF × total SF</t>
        </is>
      </c>
    </row>
    <row r="24">
      <c r="B24" t="inlineStr">
        <is>
          <t>Net cash flow after reserves</t>
        </is>
      </c>
      <c r="C24" s="24">
        <f>C22-C23</f>
        <v/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40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55" customWidth="1" min="4" max="4"/>
  </cols>
  <sheetData>
    <row r="2">
      <c r="B2" s="1" t="inlineStr">
        <is>
          <t>Loan Sizing — LTV / DSCR / Debt Yield</t>
        </is>
      </c>
    </row>
    <row r="4">
      <c r="B4" s="7" t="inlineStr">
        <is>
          <t>Valuation basis</t>
        </is>
      </c>
    </row>
    <row r="5">
      <c r="B5" t="inlineStr">
        <is>
          <t>Underwritten NOI before reserves</t>
        </is>
      </c>
      <c r="C5" s="9">
        <f>Underwriting!C22</f>
        <v/>
      </c>
      <c r="D5" t="inlineStr">
        <is>
          <t>Underwriting sheet</t>
        </is>
      </c>
    </row>
    <row r="6">
      <c r="B6" t="inlineStr">
        <is>
          <t>Indicative value</t>
        </is>
      </c>
      <c r="C6" s="24">
        <f>C5/Assumptions!C24</f>
        <v/>
      </c>
      <c r="D6" t="inlineStr">
        <is>
          <t>NOI before reserves ÷ cap rate</t>
        </is>
      </c>
    </row>
    <row r="8">
      <c r="B8" t="inlineStr">
        <is>
          <t>Underwritten NCF after reserves</t>
        </is>
      </c>
      <c r="C8" s="9">
        <f>Underwriting!C24</f>
        <v/>
      </c>
    </row>
    <row r="10">
      <c r="B10" t="inlineStr">
        <is>
          <t>Sizing rate</t>
        </is>
      </c>
      <c r="C10" s="8">
        <f>Assumptions!C33</f>
        <v/>
      </c>
    </row>
    <row r="11">
      <c r="B11" t="inlineStr">
        <is>
          <t>Annual debt constant</t>
        </is>
      </c>
      <c r="C11" s="26">
        <f>-12*PMT(C10/12,Assumptions!C34*12,1)</f>
        <v/>
      </c>
      <c r="D11" t="inlineStr">
        <is>
          <t>Amortizing DS per $1 principal, 25-yr monthly</t>
        </is>
      </c>
    </row>
    <row r="13">
      <c r="B13" s="27" t="inlineStr">
        <is>
          <t>Constraint</t>
        </is>
      </c>
      <c r="C13" s="27" t="inlineStr">
        <is>
          <t>Maximum Loan</t>
        </is>
      </c>
      <c r="D13" s="27" t="inlineStr">
        <is>
          <t>Formula</t>
        </is>
      </c>
    </row>
    <row r="14">
      <c r="B14" t="inlineStr">
        <is>
          <t>LTV (60% of value)</t>
        </is>
      </c>
      <c r="C14" s="9">
        <f>Assumptions!C39*C6</f>
        <v/>
      </c>
      <c r="D14">
        <f>LTV × value</f>
        <v/>
      </c>
    </row>
    <row r="15">
      <c r="B15" t="inlineStr">
        <is>
          <t>DSCR (min 1.30x)</t>
        </is>
      </c>
      <c r="C15" s="9">
        <f>C8/(Assumptions!C40*C11)</f>
        <v/>
      </c>
      <c r="D15" t="inlineStr">
        <is>
          <t>NCF ÷ (min DSCR × debt constant)</t>
        </is>
      </c>
    </row>
    <row r="16">
      <c r="B16" t="inlineStr">
        <is>
          <t>Debt yield (min 10%)</t>
        </is>
      </c>
      <c r="C16" s="9">
        <f>C8/Assumptions!C41</f>
        <v/>
      </c>
      <c r="D16" t="inlineStr">
        <is>
          <t>NCF ÷ min DY</t>
        </is>
      </c>
    </row>
    <row r="18">
      <c r="B18" t="inlineStr">
        <is>
          <t>Maximum loan (binding minimum)</t>
        </is>
      </c>
      <c r="C18" s="24">
        <f>MIN(C14:C16)</f>
        <v/>
      </c>
    </row>
    <row r="19">
      <c r="B19" t="inlineStr">
        <is>
          <t>Binding constraint</t>
        </is>
      </c>
      <c r="C19" s="28">
        <f>IF(C18=C14,"LTV",IF(C18=C15,"DSCR","Debt yield"))</f>
        <v/>
      </c>
    </row>
    <row r="21">
      <c r="B21" t="inlineStr">
        <is>
          <t>Sizing annual debt service</t>
        </is>
      </c>
      <c r="C21" s="9">
        <f>C18*C11</f>
        <v/>
      </c>
    </row>
    <row r="22">
      <c r="B22" t="inlineStr">
        <is>
          <t>Sizing DSCR</t>
        </is>
      </c>
      <c r="C22" s="29">
        <f>C8/C21</f>
        <v/>
      </c>
    </row>
    <row r="23">
      <c r="B23" t="inlineStr">
        <is>
          <t>Sizing debt yield</t>
        </is>
      </c>
      <c r="C23" s="8">
        <f>C8/C18</f>
        <v/>
      </c>
    </row>
    <row r="25">
      <c r="B25" t="inlineStr">
        <is>
          <t>Contract rate</t>
        </is>
      </c>
      <c r="C25" s="8">
        <f>Assumptions!C32</f>
        <v/>
      </c>
    </row>
    <row r="26">
      <c r="B26" t="inlineStr">
        <is>
          <t>First-year debt service (12-mo IO at contract rate)</t>
        </is>
      </c>
      <c r="C26" s="21">
        <f>C18*C25</f>
        <v/>
      </c>
      <c r="D26" t="inlineStr">
        <is>
          <t>IO year: principal × contract rate</t>
        </is>
      </c>
    </row>
    <row r="29">
      <c r="B29" s="3" t="inlineStr">
        <is>
          <t>Sources &amp; Uses</t>
        </is>
      </c>
    </row>
    <row r="30">
      <c r="B30" s="7" t="inlineStr">
        <is>
          <t>SOURCES</t>
        </is>
      </c>
    </row>
    <row r="31">
      <c r="B31" t="inlineStr">
        <is>
          <t>New first mortgage</t>
        </is>
      </c>
      <c r="C31" s="9">
        <f>C18</f>
        <v/>
      </c>
    </row>
    <row r="32">
      <c r="B32" t="inlineStr">
        <is>
          <t>Borrower cash-in (if negative below)</t>
        </is>
      </c>
      <c r="C32" s="9">
        <f>MAX(0,-C39)</f>
        <v/>
      </c>
    </row>
    <row r="33">
      <c r="B33" t="inlineStr">
        <is>
          <t>Total sources</t>
        </is>
      </c>
      <c r="C33" s="21">
        <f>C31+C32</f>
        <v/>
      </c>
    </row>
    <row r="35">
      <c r="B35" s="7" t="inlineStr">
        <is>
          <t>USES</t>
        </is>
      </c>
    </row>
    <row r="36">
      <c r="B36" t="inlineStr">
        <is>
          <t>Existing debt payoff</t>
        </is>
      </c>
      <c r="C36" s="9">
        <f>Assumptions!C44</f>
        <v/>
      </c>
    </row>
    <row r="37">
      <c r="B37" t="inlineStr">
        <is>
          <t>Origination fee (1.25% of loan)</t>
        </is>
      </c>
      <c r="C37" s="9">
        <f>Assumptions!C46*C18</f>
        <v/>
      </c>
    </row>
    <row r="38">
      <c r="B38" t="inlineStr">
        <is>
          <t>Fixed closing costs</t>
        </is>
      </c>
      <c r="C38" s="9">
        <f>Assumptions!C45</f>
        <v/>
      </c>
    </row>
    <row r="39">
      <c r="B39" t="inlineStr">
        <is>
          <t>Cash to borrower (positive) / cash-in (negative)</t>
        </is>
      </c>
      <c r="C39" s="24">
        <f>C18-C36-C37-C38</f>
        <v/>
      </c>
    </row>
    <row r="40">
      <c r="B40" t="inlineStr">
        <is>
          <t>Total uses</t>
        </is>
      </c>
      <c r="C40" s="21">
        <f>C36+C37+C38+MAX(0,C39)+MAX(0,-C39)</f>
        <v/>
      </c>
    </row>
  </sheetData>
  <mergeCells count="2">
    <mergeCell ref="B29:D29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32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18" customWidth="1" min="4" max="4"/>
    <col width="45" customWidth="1" min="5" max="5"/>
  </cols>
  <sheetData>
    <row r="2">
      <c r="B2" s="1" t="inlineStr">
        <is>
          <t>Sensitivity Analysis</t>
        </is>
      </c>
    </row>
    <row r="4">
      <c r="C4" s="16" t="inlineStr">
        <is>
          <t>Base case</t>
        </is>
      </c>
      <c r="D4" s="16" t="inlineStr">
        <is>
          <t>Downside</t>
        </is>
      </c>
    </row>
    <row r="5">
      <c r="B5" t="inlineStr">
        <is>
          <t>EGI adjustment</t>
        </is>
      </c>
      <c r="C5" s="8">
        <f>0</f>
        <v/>
      </c>
      <c r="D5" s="8">
        <f>Assumptions!C49</f>
        <v/>
      </c>
    </row>
    <row r="6">
      <c r="B6" t="inlineStr">
        <is>
          <t>Sizing-rate adjustment</t>
        </is>
      </c>
      <c r="C6" s="8">
        <f>0</f>
        <v/>
      </c>
      <c r="D6" s="8">
        <f>Assumptions!C50/10000</f>
        <v/>
      </c>
    </row>
    <row r="8">
      <c r="B8" t="inlineStr">
        <is>
          <t>EGI</t>
        </is>
      </c>
      <c r="C8" s="9">
        <f>Underwriting!C10*(1+C5)</f>
        <v/>
      </c>
      <c r="D8" s="9">
        <f>Underwriting!C10*(1+D5)</f>
        <v/>
      </c>
    </row>
    <row r="9">
      <c r="B9" t="inlineStr">
        <is>
          <t>Management fee (recalculated)</t>
        </is>
      </c>
      <c r="C9" s="9">
        <f>MAX(Assumptions!C20,Assumptions!C21*C8)</f>
        <v/>
      </c>
      <c r="D9" s="9">
        <f>MAX(Assumptions!C20,Assumptions!C21*D8)</f>
        <v/>
      </c>
    </row>
    <row r="10">
      <c r="B10" t="inlineStr">
        <is>
          <t>Other operating expenses (unchanged)</t>
        </is>
      </c>
      <c r="C10" s="9">
        <f>Assumptions!C14+Assumptions!C15+Assumptions!C16+Assumptions!C17+Assumptions!C18+Assumptions!C19</f>
        <v/>
      </c>
      <c r="D10" s="9">
        <f>C10</f>
        <v/>
      </c>
    </row>
    <row r="11">
      <c r="B11" t="inlineStr">
        <is>
          <t>Total operating expenses</t>
        </is>
      </c>
      <c r="C11" s="9">
        <f>C9+C10</f>
        <v/>
      </c>
      <c r="D11" s="9">
        <f>D9+D10</f>
        <v/>
      </c>
    </row>
    <row r="12">
      <c r="B12" t="inlineStr">
        <is>
          <t>NOI before reserves</t>
        </is>
      </c>
      <c r="C12" s="24">
        <f>C8-C11</f>
        <v/>
      </c>
      <c r="D12" s="24">
        <f>D8-D11</f>
        <v/>
      </c>
    </row>
    <row r="13">
      <c r="B13" t="inlineStr">
        <is>
          <t>Reserves</t>
        </is>
      </c>
      <c r="C13" s="9">
        <f>Assumptions!C22*Assumptions!C5</f>
        <v/>
      </c>
      <c r="D13" s="9">
        <f>C13</f>
        <v/>
      </c>
    </row>
    <row r="14">
      <c r="B14" t="inlineStr">
        <is>
          <t>NCF after reserves</t>
        </is>
      </c>
      <c r="C14" s="21">
        <f>C12-C13</f>
        <v/>
      </c>
      <c r="D14" s="21">
        <f>D12-D13</f>
        <v/>
      </c>
    </row>
    <row r="16">
      <c r="B16" t="inlineStr">
        <is>
          <t>Cap rate</t>
        </is>
      </c>
      <c r="C16" s="8">
        <f>Assumptions!C24</f>
        <v/>
      </c>
      <c r="D16" s="8">
        <f>Assumptions!C24</f>
        <v/>
      </c>
    </row>
    <row r="17">
      <c r="B17" t="inlineStr">
        <is>
          <t>Sizing rate</t>
        </is>
      </c>
      <c r="C17" s="8">
        <f>Assumptions!C33+C6</f>
        <v/>
      </c>
      <c r="D17" s="8">
        <f>Assumptions!C33+D6</f>
        <v/>
      </c>
    </row>
    <row r="18">
      <c r="B18" t="inlineStr">
        <is>
          <t>Annual debt constant</t>
        </is>
      </c>
      <c r="C18" s="30">
        <f>-12*PMT(C17/12,Assumptions!C34*12,1)</f>
        <v/>
      </c>
      <c r="D18" s="30">
        <f>-12*PMT(D17/12,Assumptions!C34*12,1)</f>
        <v/>
      </c>
    </row>
    <row r="20">
      <c r="B20" t="inlineStr">
        <is>
          <t>Indicative value (NOI ÷ cap rate)</t>
        </is>
      </c>
      <c r="C20" s="9">
        <f>C12/C16</f>
        <v/>
      </c>
      <c r="D20" s="9">
        <f>D12/D16</f>
        <v/>
      </c>
    </row>
    <row r="21">
      <c r="B21" t="inlineStr">
        <is>
          <t>LTV limit</t>
        </is>
      </c>
      <c r="C21" s="9">
        <f>Assumptions!C39*C20</f>
        <v/>
      </c>
      <c r="D21" s="9">
        <f>Assumptions!C39*D20</f>
        <v/>
      </c>
    </row>
    <row r="22">
      <c r="B22" t="inlineStr">
        <is>
          <t>DSCR limit</t>
        </is>
      </c>
      <c r="C22" s="9">
        <f>C14/(Assumptions!C40*C18)</f>
        <v/>
      </c>
      <c r="D22" s="9">
        <f>D14/(Assumptions!C40*D18)</f>
        <v/>
      </c>
    </row>
    <row r="23">
      <c r="B23" t="inlineStr">
        <is>
          <t>Debt yield limit</t>
        </is>
      </c>
      <c r="C23" s="9">
        <f>C14/Assumptions!C41</f>
        <v/>
      </c>
      <c r="D23" s="9">
        <f>D14/Assumptions!C41</f>
        <v/>
      </c>
    </row>
    <row r="24">
      <c r="B24" t="inlineStr">
        <is>
          <t>Maximum loan</t>
        </is>
      </c>
      <c r="C24" s="24">
        <f>MIN(C21:C23)</f>
        <v/>
      </c>
      <c r="D24" s="24">
        <f>MIN(D21:D23)</f>
        <v/>
      </c>
    </row>
    <row r="25">
      <c r="B25" t="inlineStr">
        <is>
          <t>Binding constraint</t>
        </is>
      </c>
      <c r="C25" s="31">
        <f>IF(C24=C21,"LTV",IF(C24=C22,"DSCR","Debt yield"))</f>
        <v/>
      </c>
      <c r="D25" s="31">
        <f>IF(D24=D21,"LTV",IF(D24=D22,"DSCR","Debt yield"))</f>
        <v/>
      </c>
    </row>
    <row r="28">
      <c r="B28" s="3" t="inlineStr">
        <is>
          <t>Separate cap-rate sensitivity (+50 bps default)</t>
        </is>
      </c>
    </row>
    <row r="29">
      <c r="B29" t="inlineStr">
        <is>
          <t>Cap rate + adjustment</t>
        </is>
      </c>
      <c r="C29" s="8">
        <f>Assumptions!C24+Assumptions!C51/10000</f>
        <v/>
      </c>
    </row>
    <row r="30">
      <c r="B30" t="inlineStr">
        <is>
          <t>Stressed value</t>
        </is>
      </c>
      <c r="C30" s="9">
        <f>Underwriting!C22/C29</f>
        <v/>
      </c>
    </row>
    <row r="31">
      <c r="B31" t="inlineStr">
        <is>
          <t>LTV limit under stressed cap</t>
        </is>
      </c>
      <c r="C31" s="9">
        <f>Assumptions!C39*C30</f>
        <v/>
      </c>
    </row>
    <row r="32">
      <c r="B32" t="inlineStr">
        <is>
          <t>Maximum loan (LTV vs DSCR vs DY base)</t>
        </is>
      </c>
      <c r="C32" s="24">
        <f>MIN(C31, 'Loan Sizing'!C15, 'Loan Sizing'!C16)</f>
        <v/>
      </c>
    </row>
  </sheetData>
  <mergeCells count="2">
    <mergeCell ref="B28:E28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4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60" customWidth="1" min="4" max="4"/>
  </cols>
  <sheetData>
    <row r="2">
      <c r="B2" s="1" t="inlineStr">
        <is>
          <t>Analysis Fields</t>
        </is>
      </c>
    </row>
    <row r="4">
      <c r="B4" s="16" t="inlineStr">
        <is>
          <t>Field ID</t>
        </is>
      </c>
      <c r="C4" s="16" t="inlineStr">
        <is>
          <t>Value</t>
        </is>
      </c>
      <c r="D4" s="16" t="inlineStr">
        <is>
          <t>Source / Calculation</t>
        </is>
      </c>
    </row>
    <row r="5">
      <c r="B5" s="7" t="inlineStr">
        <is>
          <t>space_count</t>
        </is>
      </c>
      <c r="C5" s="32">
        <f>'Rent Roll'!C13</f>
        <v/>
      </c>
      <c r="D5" t="inlineStr">
        <is>
          <t>Rent-Roll.xlsx — count of unit rows</t>
        </is>
      </c>
    </row>
    <row r="6">
      <c r="B6" s="7" t="inlineStr">
        <is>
          <t>occupied_count</t>
        </is>
      </c>
      <c r="C6" s="32">
        <f>'Rent Roll'!C14</f>
        <v/>
      </c>
      <c r="D6" t="inlineStr">
        <is>
          <t>Rent-Roll.xlsx — Status='Occupied'</t>
        </is>
      </c>
    </row>
    <row r="7">
      <c r="B7" s="7" t="inlineStr">
        <is>
          <t>total_area_sf</t>
        </is>
      </c>
      <c r="C7" s="32">
        <f>'Rent Roll'!C15</f>
        <v/>
      </c>
      <c r="D7" t="inlineStr">
        <is>
          <t>Rent-Roll.xlsx — SUM Area SF</t>
        </is>
      </c>
    </row>
    <row r="8">
      <c r="B8" s="7" t="inlineStr">
        <is>
          <t>occupied_area_sf</t>
        </is>
      </c>
      <c r="C8" s="32">
        <f>'Rent Roll'!C16</f>
        <v/>
      </c>
      <c r="D8" t="inlineStr">
        <is>
          <t>Rent-Roll.xlsx — SUMIF occupied</t>
        </is>
      </c>
    </row>
    <row r="9">
      <c r="B9" s="7" t="inlineStr">
        <is>
          <t>occupancy_count_pct</t>
        </is>
      </c>
      <c r="C9" s="33">
        <f>'Rent Roll'!C17*100</f>
        <v/>
      </c>
      <c r="D9" t="inlineStr">
        <is>
          <t>Occupied count / total × 100</t>
        </is>
      </c>
    </row>
    <row r="10">
      <c r="B10" s="7" t="inlineStr">
        <is>
          <t>occupancy_area_pct</t>
        </is>
      </c>
      <c r="C10" s="33">
        <f>'Rent Roll'!C18*100</f>
        <v/>
      </c>
      <c r="D10" t="inlineStr">
        <is>
          <t>Occupied SF / total SF × 100</t>
        </is>
      </c>
    </row>
    <row r="11">
      <c r="B11" s="7" t="inlineStr">
        <is>
          <t>rent_roll_monthly_base</t>
        </is>
      </c>
      <c r="C11" s="34">
        <f>'Rent Roll'!C19</f>
        <v/>
      </c>
      <c r="D11" t="inlineStr">
        <is>
          <t>Rent-Roll.xlsx — SUM Monthly Base Rent</t>
        </is>
      </c>
    </row>
    <row r="12">
      <c r="B12" s="7" t="inlineStr">
        <is>
          <t>effective_monthly_base</t>
        </is>
      </c>
      <c r="C12" s="34">
        <f>'Rent Roll'!C20</f>
        <v/>
      </c>
      <c r="D12" t="inlineStr">
        <is>
          <t>Lease-File.pdf confirms Unit 101 $15,000/mo; no amendments — equals rent roll</t>
        </is>
      </c>
    </row>
    <row r="13">
      <c r="B13" s="7" t="inlineStr">
        <is>
          <t>t12_egi</t>
        </is>
      </c>
      <c r="C13" s="34">
        <f>T12!C9</f>
        <v/>
      </c>
      <c r="D13" t="inlineStr">
        <is>
          <t>T12-Statement.pdf p.2 Annual column</t>
        </is>
      </c>
    </row>
    <row r="14">
      <c r="B14" s="7" t="inlineStr">
        <is>
          <t>t12_operating_expenses</t>
        </is>
      </c>
      <c r="C14" s="34">
        <f>T12!C19</f>
        <v/>
      </c>
      <c r="D14" t="inlineStr">
        <is>
          <t>T12 opex: taxes+ins+util+R&amp;M+payroll+admin+mgmt</t>
        </is>
      </c>
    </row>
    <row r="15">
      <c r="B15" s="7" t="inlineStr">
        <is>
          <t>t12_noi_before_reserves</t>
        </is>
      </c>
      <c r="C15" s="34">
        <f>T12!C21</f>
        <v/>
      </c>
      <c r="D15" t="inlineStr">
        <is>
          <t>T12 EGI − opex (before reserves)</t>
        </is>
      </c>
    </row>
    <row r="16">
      <c r="B16" s="7" t="inlineStr">
        <is>
          <t>t12_reserves</t>
        </is>
      </c>
      <c r="C16" s="34">
        <f>T12!C22</f>
        <v/>
      </c>
      <c r="D16" t="inlineStr">
        <is>
          <t>T12 replacement reserves</t>
        </is>
      </c>
    </row>
    <row r="17">
      <c r="B17" s="7" t="inlineStr">
        <is>
          <t>t12_ncf</t>
        </is>
      </c>
      <c r="C17" s="34">
        <f>T12!C23</f>
        <v/>
      </c>
      <c r="D17" t="inlineStr">
        <is>
          <t>T12 NOI before reserves − reserves</t>
        </is>
      </c>
    </row>
    <row r="18">
      <c r="B18" s="7" t="inlineStr">
        <is>
          <t>uw_egi</t>
        </is>
      </c>
      <c r="C18" s="34">
        <f>Underwriting!C10</f>
        <v/>
      </c>
      <c r="D18" t="inlineStr">
        <is>
          <t>Property-and-Plan p.2 UW scenario</t>
        </is>
      </c>
    </row>
    <row r="19">
      <c r="B19" s="7" t="inlineStr">
        <is>
          <t>uw_management_fee</t>
        </is>
      </c>
      <c r="C19" s="34">
        <f>Underwriting!C19</f>
        <v/>
      </c>
      <c r="D19" t="inlineStr">
        <is>
          <t>MAX(T12 $25,200; 3% × UW EGI)</t>
        </is>
      </c>
    </row>
    <row r="20">
      <c r="B20" s="7" t="inlineStr">
        <is>
          <t>uw_operating_expenses</t>
        </is>
      </c>
      <c r="C20" s="34">
        <f>Underwriting!C20</f>
        <v/>
      </c>
      <c r="D20" t="inlineStr">
        <is>
          <t>UW opex before reserves</t>
        </is>
      </c>
    </row>
    <row r="21">
      <c r="B21" s="7" t="inlineStr">
        <is>
          <t>uw_noi_before_reserves</t>
        </is>
      </c>
      <c r="C21" s="34">
        <f>Underwriting!C22</f>
        <v/>
      </c>
      <c r="D21" t="inlineStr">
        <is>
          <t>UW EGI − UW opex</t>
        </is>
      </c>
    </row>
    <row r="22">
      <c r="B22" s="7" t="inlineStr">
        <is>
          <t>uw_reserves</t>
        </is>
      </c>
      <c r="C22" s="34">
        <f>Underwriting!C23</f>
        <v/>
      </c>
      <c r="D22" t="inlineStr">
        <is>
          <t>$0.20/SF × 85,000 SF</t>
        </is>
      </c>
    </row>
    <row r="23">
      <c r="B23" s="7" t="inlineStr">
        <is>
          <t>uw_ncf</t>
        </is>
      </c>
      <c r="C23" s="34">
        <f>Underwriting!C24</f>
        <v/>
      </c>
      <c r="D23" t="inlineStr">
        <is>
          <t>UW NOI − reserves</t>
        </is>
      </c>
    </row>
    <row r="24">
      <c r="B24" s="7" t="inlineStr">
        <is>
          <t>capitalization_value</t>
        </is>
      </c>
      <c r="C24" s="34">
        <f>'Loan Sizing'!C6</f>
        <v/>
      </c>
      <c r="D24" t="inlineStr">
        <is>
          <t>UW NOI before reserves ÷ 6.75% cap rate</t>
        </is>
      </c>
    </row>
    <row r="25">
      <c r="B25" s="7" t="inlineStr">
        <is>
          <t>contract_rate</t>
        </is>
      </c>
      <c r="C25" s="35">
        <f>Assumptions!C32</f>
        <v/>
      </c>
      <c r="D25" t="inlineStr">
        <is>
          <t>MAX(3.25%,4.00% floor)+2.75% spread = 6.75%</t>
        </is>
      </c>
    </row>
    <row r="26">
      <c r="B26" s="7" t="inlineStr">
        <is>
          <t>sizing_rate</t>
        </is>
      </c>
      <c r="C26" s="35">
        <f>Assumptions!C33</f>
        <v/>
      </c>
      <c r="D26" t="inlineStr">
        <is>
          <t>MAX(contract 6.75%, 7.25% floor) = 7.25%</t>
        </is>
      </c>
    </row>
    <row r="27">
      <c r="B27" s="7" t="inlineStr">
        <is>
          <t>annual_debt_constant</t>
        </is>
      </c>
      <c r="C27" s="36">
        <f>'Loan Sizing'!C11</f>
        <v/>
      </c>
      <c r="D27" t="inlineStr">
        <is>
          <t>25-yr monthly amort, sizing rate</t>
        </is>
      </c>
    </row>
    <row r="28">
      <c r="B28" s="7" t="inlineStr">
        <is>
          <t>ltv_limit</t>
        </is>
      </c>
      <c r="C28" s="34">
        <f>'Loan Sizing'!C14</f>
        <v/>
      </c>
      <c r="D28" t="inlineStr">
        <is>
          <t>60% × indicative value</t>
        </is>
      </c>
    </row>
    <row r="29">
      <c r="B29" s="7" t="inlineStr">
        <is>
          <t>dscr_limit</t>
        </is>
      </c>
      <c r="C29" s="34">
        <f>'Loan Sizing'!C15</f>
        <v/>
      </c>
      <c r="D29" t="inlineStr">
        <is>
          <t>NCF ÷ (1.30 × debt constant)</t>
        </is>
      </c>
    </row>
    <row r="30">
      <c r="B30" s="7" t="inlineStr">
        <is>
          <t>debt_yield_limit</t>
        </is>
      </c>
      <c r="C30" s="34">
        <f>'Loan Sizing'!C16</f>
        <v/>
      </c>
      <c r="D30" t="inlineStr">
        <is>
          <t>NCF ÷ 10%</t>
        </is>
      </c>
    </row>
    <row r="31">
      <c r="B31" s="7" t="inlineStr">
        <is>
          <t>maximum_loan</t>
        </is>
      </c>
      <c r="C31" s="34">
        <f>'Loan Sizing'!C18</f>
        <v/>
      </c>
      <c r="D31" t="inlineStr">
        <is>
          <t>MIN of three constraints</t>
        </is>
      </c>
    </row>
    <row r="32">
      <c r="B32" s="7" t="inlineStr">
        <is>
          <t>binding_constraint</t>
        </is>
      </c>
      <c r="C32" s="37">
        <f>'Loan Sizing'!C19</f>
        <v/>
      </c>
      <c r="D32" t="inlineStr">
        <is>
          <t>Binding of LTV/DSCR/DY</t>
        </is>
      </c>
    </row>
    <row r="33">
      <c r="B33" s="7" t="inlineStr">
        <is>
          <t>sizing_annual_debt_service</t>
        </is>
      </c>
      <c r="C33" s="34">
        <f>'Loan Sizing'!C21</f>
        <v/>
      </c>
      <c r="D33" t="inlineStr">
        <is>
          <t>Max loan × debt constant</t>
        </is>
      </c>
    </row>
    <row r="34">
      <c r="B34" s="7" t="inlineStr">
        <is>
          <t>sizing_dscr</t>
        </is>
      </c>
      <c r="C34" s="38">
        <f>'Loan Sizing'!C22</f>
        <v/>
      </c>
      <c r="D34" t="inlineStr">
        <is>
          <t>NCF ÷ sizing DS</t>
        </is>
      </c>
    </row>
    <row r="35">
      <c r="B35" s="7" t="inlineStr">
        <is>
          <t>sizing_debt_yield</t>
        </is>
      </c>
      <c r="C35" s="39">
        <f>'Loan Sizing'!C23</f>
        <v/>
      </c>
      <c r="D35" t="inlineStr">
        <is>
          <t>NCF ÷ max loan</t>
        </is>
      </c>
    </row>
    <row r="36">
      <c r="B36" s="7" t="inlineStr">
        <is>
          <t>first_year_debt_service</t>
        </is>
      </c>
      <c r="C36" s="34">
        <f>'Loan Sizing'!C26</f>
        <v/>
      </c>
      <c r="D36" t="inlineStr">
        <is>
          <t>IO year: principal × contract rate</t>
        </is>
      </c>
    </row>
    <row r="37">
      <c r="B37" s="7" t="inlineStr">
        <is>
          <t>cash_to_borrower</t>
        </is>
      </c>
      <c r="C37" s="34">
        <f>'Loan Sizing'!C39</f>
        <v/>
      </c>
      <c r="D37" t="inlineStr">
        <is>
          <t>Loan − payoff − orig fee − closing</t>
        </is>
      </c>
    </row>
    <row r="38">
      <c r="B38" s="7" t="inlineStr">
        <is>
          <t>stress_uw_noi</t>
        </is>
      </c>
      <c r="C38" s="34">
        <f>Sensitivity!D12</f>
        <v/>
      </c>
      <c r="D38" t="inlineStr">
        <is>
          <t>EGI -5%, mgmt recalc, other opex unchanged</t>
        </is>
      </c>
    </row>
    <row r="39">
      <c r="B39" s="7" t="inlineStr">
        <is>
          <t>stress_maximum_loan</t>
        </is>
      </c>
      <c r="C39" s="34">
        <f>Sensitivity!D24</f>
        <v/>
      </c>
      <c r="D39" t="inlineStr">
        <is>
          <t>Combined downside: EGI -5%, sizing rate +100 bps, cap unchanged</t>
        </is>
      </c>
    </row>
    <row r="40">
      <c r="B40" s="7" t="inlineStr">
        <is>
          <t>subject_lease_monthly_rent</t>
        </is>
      </c>
      <c r="C40" s="34" t="n">
        <v>15000</v>
      </c>
      <c r="D40" t="inlineStr">
        <is>
          <t>Lease-File.pdf §3 — $15,000/mo as of 2026-08-31</t>
        </is>
      </c>
    </row>
    <row r="41">
      <c r="B41" s="7" t="inlineStr">
        <is>
          <t>subject_lease_expiry</t>
        </is>
      </c>
      <c r="C41" s="37" t="inlineStr">
        <is>
          <t>2030-08-31</t>
        </is>
      </c>
      <c r="D41" t="inlineStr">
        <is>
          <t>Lease-File.pdf §2 — Initial term expiry; option not exercised in packet</t>
        </is>
      </c>
    </row>
    <row r="42">
      <c r="B42" s="7" t="inlineStr">
        <is>
          <t>subject_lease_deposit</t>
        </is>
      </c>
      <c r="C42" s="34" t="n">
        <v>30000</v>
      </c>
      <c r="D42" t="inlineStr">
        <is>
          <t>Lease-File.pdf §4 — $30,000, not prepaid rent</t>
        </is>
      </c>
    </row>
    <row r="43">
      <c r="B43" s="7" t="inlineStr">
        <is>
          <t>verified_renewal_insurance</t>
        </is>
      </c>
      <c r="C43" s="34" t="n">
        <v>33600</v>
      </c>
      <c r="D43" t="inlineStr">
        <is>
          <t>Property-and-Plan p.2 — fictional insurer renewal confirmation Aug 25, 2026: $33,600 annual</t>
        </is>
      </c>
    </row>
    <row r="44">
      <c r="B44" s="7" t="inlineStr">
        <is>
          <t>renewal_option_exercised</t>
        </is>
      </c>
      <c r="C44" s="37" t="inlineStr">
        <is>
          <t>No</t>
        </is>
      </c>
      <c r="D44" t="inlineStr">
        <is>
          <t>Lease-File.pdf §5 — no exercise notice, acknowledgment or amendment in packet</t>
        </is>
      </c>
    </row>
    <row r="45">
      <c r="B45" s="7" t="inlineStr">
        <is>
          <t>prepayment_friction</t>
        </is>
      </c>
      <c r="C45" s="37" t="inlineStr">
        <is>
          <t>1% of outstanding principal in years 1-2; none thereafter. No swap.</t>
        </is>
      </c>
      <c r="D45" t="inlineStr">
        <is>
          <t>Lender-Terms.pdf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2026-09-06T22:01:16Z</dcterms:created>
  <dcterms:modified xmlns:dcterms="http://purl.org/dc/terms/" xmlns:xsi="http://www.w3.org/2001/XMLSchema-instance" xsi:type="dcterms:W3CDTF">2026-09-06T22:03:16Z</dcterms:modified>
</cp:coreProperties>
</file>