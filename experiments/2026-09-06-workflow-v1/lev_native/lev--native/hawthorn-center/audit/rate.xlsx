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7e77f447649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23fc1293b4249ff"/>
    <x:sheet xmlns:r="http://schemas.openxmlformats.org/officeDocument/2006/relationships" name="Rent Roll" sheetId="2" r:id="R596cfb143d534e68"/>
    <x:sheet xmlns:r="http://schemas.openxmlformats.org/officeDocument/2006/relationships" name="T12" sheetId="3" r:id="Re48b6771fbba4ee3"/>
    <x:sheet xmlns:r="http://schemas.openxmlformats.org/officeDocument/2006/relationships" name="Assumptions" sheetId="4" r:id="R626ebf20f7614172"/>
    <x:sheet xmlns:r="http://schemas.openxmlformats.org/officeDocument/2006/relationships" name="Loan Sizing" sheetId="5" r:id="R7b6cbe032d1a4048"/>
    <x:sheet xmlns:r="http://schemas.openxmlformats.org/officeDocument/2006/relationships" name="Sources &amp; Uses" sheetId="6" r:id="R86791b19ed75452c"/>
    <x:sheet xmlns:r="http://schemas.openxmlformats.org/officeDocument/2006/relationships" name="Sensitivity" sheetId="7" r:id="R36008f1a58df4ad0"/>
    <x:sheet xmlns:r="http://schemas.openxmlformats.org/officeDocument/2006/relationships" name="Analysis Fields" sheetId="8" r:id="R02caf25405f24e28"/>
    <x:sheet xmlns:r="http://schemas.openxmlformats.org/officeDocument/2006/relationships" name="Reconciliation" sheetId="9" r:id="R612aebd982a84041"/>
  </x:sheets>
</x:workbook>
</file>

<file path=xl/sharedStrings.xml><?xml version="1.0" encoding="utf-8"?>
<x:sst xmlns:x="http://schemas.openxmlformats.org/spreadsheetml/2006/main">
  <x:si>
    <x:t xml:space="preserve">Hawthorn Center | Refinance Underwriting Model</x:t>
  </x:si>
  <x:si>
    <x:t xml:space="preserve">Prepared:</x:t>
  </x:si>
  <x:si>
    <x:t xml:space="preserve">2026-09-01</x:t>
  </x:si>
  <x:si>
    <x:t xml:space="preserve">As-of date:</x:t>
  </x:si>
  <x:si>
    <x:t xml:space="preserve">2026-08-31</x:t>
  </x:si>
  <x:si>
    <x:t xml:space="preserve">Purpose:</x:t>
  </x:si>
  <x:si>
    <x:t xml:space="preserve">First-mortgage cash-out refinance sizing (internal review)</x:t>
  </x:si>
  <x:si>
    <x:t xml:space="preserve">Source packet:</x:t>
  </x:si>
  <x:si>
    <x:t xml:space="preserve">Property-and-Plan.pdf, Rent-Roll.xlsx, T12-Statement.pdf, Lease-File.pdf, Lender-Terms.pdf</x:t>
  </x:si>
  <x:si>
    <x:t xml:space="preserve">How to use this workbook</x:t>
  </x:si>
  <x:si>
    <x:t xml:space="preserve">Editable inputs</x:t>
  </x:si>
  <x:si>
    <x:t xml:space="preserve">Yellow-filled cells with blue text on the Assumptions tab. Change any and every dependent calculation recalculates.</x:t>
  </x:si>
  <x:si>
    <x:t xml:space="preserve">Recalculate</x:t>
  </x:si>
  <x:si>
    <x:t xml:space="preserve">The model uses formulas, not baked values. Open in Excel/LibreOffice and press F9 if needed.</x:t>
  </x:si>
  <x:si>
    <x:t xml:space="preserve">Never edit</x:t>
  </x:si>
  <x:si>
    <x:t xml:space="preserve">Black-text formulas and green-text cross-sheet links. Historical T12 numbers on the T12 tab are hardcoded from the source PDF and marked as such.</x:t>
  </x:si>
  <x:si>
    <x:t xml:space="preserve">Sensitivities</x:t>
  </x:si>
  <x:si>
    <x:t xml:space="preserve">The Sensitivity tab uses the same formula engine driven by scenario inputs on Assumptions.</x:t>
  </x:si>
  <x:si>
    <x:t xml:space="preserve">Location map — key inputs and outputs</x:t>
  </x:si>
  <x:si>
    <x:t xml:space="preserve">Item</x:t>
  </x:si>
  <x:si>
    <x:t xml:space="preserve">Sheet</x:t>
  </x:si>
  <x:si>
    <x:t xml:space="preserve">Cell</x:t>
  </x:si>
  <x:si>
    <x:t xml:space="preserve">Cap rate (input)</x:t>
  </x:si>
  <x:si>
    <x:t xml:space="preserve">Assumptions</x:t>
  </x:si>
  <x:si>
    <x:t xml:space="preserve">B26</x:t>
  </x:si>
  <x:si>
    <x:t xml:space="preserve">Sizing rate (calc)</x:t>
  </x:si>
  <x:si>
    <x:t xml:space="preserve">B25</x:t>
  </x:si>
  <x:si>
    <x:t xml:space="preserve">Contract rate (input)</x:t>
  </x:si>
  <x:si>
    <x:t xml:space="preserve">B24</x:t>
  </x:si>
  <x:si>
    <x:t xml:space="preserve">Amortization years (input)</x:t>
  </x:si>
  <x:si>
    <x:t xml:space="preserve">B27</x:t>
  </x:si>
  <x:si>
    <x:t xml:space="preserve">LTV cap (input)</x:t>
  </x:si>
  <x:si>
    <x:t xml:space="preserve">B29</x:t>
  </x:si>
  <x:si>
    <x:t xml:space="preserve">DSCR floor (input)</x:t>
  </x:si>
  <x:si>
    <x:t xml:space="preserve">B30</x:t>
  </x:si>
  <x:si>
    <x:t xml:space="preserve">Debt yield floor (input)</x:t>
  </x:si>
  <x:si>
    <x:t xml:space="preserve">B31</x:t>
  </x:si>
  <x:si>
    <x:t xml:space="preserve">Origination fee % (input)</x:t>
  </x:si>
  <x:si>
    <x:t xml:space="preserve">B32</x:t>
  </x:si>
  <x:si>
    <x:t xml:space="preserve">UW GPR (input)</x:t>
  </x:si>
  <x:si>
    <x:t xml:space="preserve">B7</x:t>
  </x:si>
  <x:si>
    <x:t xml:space="preserve">UW combined revenue loss % (input)</x:t>
  </x:si>
  <x:si>
    <x:t xml:space="preserve">B8</x:t>
  </x:si>
  <x:si>
    <x:t xml:space="preserve">UW Other income (input)</x:t>
  </x:si>
  <x:si>
    <x:t xml:space="preserve">B9</x:t>
  </x:si>
  <x:si>
    <x:t xml:space="preserve">EGI (calculated)</x:t>
  </x:si>
  <x:si>
    <x:t xml:space="preserve">B10</x:t>
  </x:si>
  <x:si>
    <x:t xml:space="preserve">UW NOI before reserves (calc)</x:t>
  </x:si>
  <x:si>
    <x:t xml:space="preserve">B20</x:t>
  </x:si>
  <x:si>
    <x:t xml:space="preserve">UW NCF after reserves (calc)</x:t>
  </x:si>
  <x:si>
    <x:t xml:space="preserve">B22</x:t>
  </x:si>
  <x:si>
    <x:t xml:space="preserve">Indicative value (calc)</x:t>
  </x:si>
  <x:si>
    <x:t xml:space="preserve">Loan Sizing</x:t>
  </x:si>
  <x:si>
    <x:t xml:space="preserve">Annual debt constant (calc)</x:t>
  </x:si>
  <x:si>
    <x:t xml:space="preserve">LTV constraint (calc)</x:t>
  </x:si>
  <x:si>
    <x:t xml:space="preserve">B12</x:t>
  </x:si>
  <x:si>
    <x:t xml:space="preserve">DSCR constraint (calc)</x:t>
  </x:si>
  <x:si>
    <x:t xml:space="preserve">B13</x:t>
  </x:si>
  <x:si>
    <x:t xml:space="preserve">Debt yield constraint (calc)</x:t>
  </x:si>
  <x:si>
    <x:t xml:space="preserve">B14</x:t>
  </x:si>
  <x:si>
    <x:t xml:space="preserve">MAXIMUM LOAN (calc)</x:t>
  </x:si>
  <x:si>
    <x:t xml:space="preserve">B16</x:t>
  </x:si>
  <x:si>
    <x:t xml:space="preserve">Binding constraint (calc)</x:t>
  </x:si>
  <x:si>
    <x:t xml:space="preserve">B17</x:t>
  </x:si>
  <x:si>
    <x:t xml:space="preserve">First-year debt service (calc)</x:t>
  </x:si>
  <x:si>
    <x:t xml:space="preserve">Cash to borrower (calc)</x:t>
  </x:si>
  <x:si>
    <x:t xml:space="preserve">Sources &amp; Uses</x:t>
  </x:si>
  <x:si>
    <x:t xml:space="preserve">Combined downside — Max loan</x:t>
  </x:si>
  <x:si>
    <x:t xml:space="preserve">Sensitivity</x:t>
  </x:si>
  <x:si>
    <x:t xml:space="preserve">Cap rate +50bps — Max loan</x:t>
  </x:si>
  <x:si>
    <x:t xml:space="preserve">C14</x:t>
  </x:si>
  <x:si>
    <x:t xml:space="preserve">Legend</x:t>
  </x:si>
  <x:si>
    <x:t xml:space="preserve">Blue text + yellow fill</x:t>
  </x:si>
  <x:si>
    <x:t xml:space="preserve">Editable input</x:t>
  </x:si>
  <x:si>
    <x:t xml:space="preserve">Black text</x:t>
  </x:si>
  <x:si>
    <x:t xml:space="preserve">Formula (do not overwrite)</x:t>
  </x:si>
  <x:si>
    <x:t xml:space="preserve">Green text</x:t>
  </x:si>
  <x:si>
    <x:t xml:space="preserve">Link to another sheet</x:t>
  </x:si>
  <x:si>
    <x:t xml:space="preserve">Hawthorn Center | Rent Roll — as of 2026-08-31 (source: Rent-Roll.xlsx)</x:t>
  </x:si>
  <x:si>
    <x:t xml:space="preserve">Unit</x:t>
  </x:si>
  <x:si>
    <x:t xml:space="preserve">Tenant</x:t>
  </x:si>
  <x:si>
    <x:t xml:space="preserve">Area SF</x:t>
  </x:si>
  <x:si>
    <x:t xml:space="preserve">Status</x:t>
  </x:si>
  <x:si>
    <x:t xml:space="preserve">Monthly base rent</x:t>
  </x:si>
  <x:si>
    <x:t xml:space="preserve">Market monthly rent</x:t>
  </x:si>
  <x:si>
    <x:t xml:space="preserve">Lease expiry</x:t>
  </x:si>
  <x:si>
    <x:t xml:space="preserve">Notes</x:t>
  </x:si>
  <x:si>
    <x:t xml:space="preserve">101</x:t>
  </x:si>
  <x:si>
    <x:t xml:space="preserve">Tenant A LLC</x:t>
  </x:si>
  <x:si>
    <x:t xml:space="preserve">Occupied</x:t>
  </x:si>
  <x:si>
    <x:t xml:space="preserve">2029-08-31</x:t>
  </x:si>
  <x:si>
    <x:t xml:space="preserve">See Lease tab — no exercised renewal notice supplied</x:t>
  </x:si>
  <x:si>
    <x:t xml:space="preserve">102</x:t>
  </x:si>
  <x:si>
    <x:t xml:space="preserve">Tenant B LLC</x:t>
  </x:si>
  <x:si>
    <x:t xml:space="preserve">2028-08-31</x:t>
  </x:si>
  <x:si>
    <x:t xml:space="preserve">103</x:t>
  </x:si>
  <x:si>
    <x:t xml:space="preserve">Tenant C LLC</x:t>
  </x:si>
  <x:si>
    <x:t xml:space="preserve">104</x:t>
  </x:si>
  <x:si>
    <x:t xml:space="preserve">Tenant D LLC</x:t>
  </x:si>
  <x:si>
    <x:t xml:space="preserve">2030-08-31</x:t>
  </x:si>
  <x:si>
    <x:t xml:space="preserve">105</x:t>
  </x:si>
  <x:si>
    <x:t xml:space="preserve">Tenant E LLC</x:t>
  </x:si>
  <x:si>
    <x:t xml:space="preserve">2031-08-31</x:t>
  </x:si>
  <x:si>
    <x:t xml:space="preserve">106</x:t>
  </x:si>
  <x:si>
    <x:t xml:space="preserve">Tenant F LLC</x:t>
  </x:si>
  <x:si>
    <x:t xml:space="preserve">2027-08-31</x:t>
  </x:si>
  <x:si>
    <x:t xml:space="preserve">107</x:t>
  </x:si>
  <x:si>
    <x:t xml:space="preserve">Tenant G LLC</x:t>
  </x:si>
  <x:si>
    <x:t xml:space="preserve">108</x:t>
  </x:si>
  <x:si>
    <x:t xml:space="preserve">Tenant H LLC</x:t>
  </x:si>
  <x:si>
    <x:t xml:space="preserve">109</x:t>
  </x:si>
  <x:si>
    <x:t xml:space="preserve">Tenant I LLC</x:t>
  </x:si>
  <x:si>
    <x:t xml:space="preserve">110</x:t>
  </x:si>
  <x:si>
    <x:t xml:space="preserve">Vacant</x:t>
  </x:si>
  <x:si>
    <x:t xml:space="preserve">Vacant — no contractual base rent</x:t>
  </x:si>
  <x:si>
    <x:t xml:space="preserve">Totals</x:t>
  </x:si>
  <x:si>
    <x:t xml:space="preserve">Summary</x:t>
  </x:si>
  <x:si>
    <x:t xml:space="preserve">space_count</x:t>
  </x:si>
  <x:si>
    <x:t xml:space="preserve">occupied_count</x:t>
  </x:si>
  <x:si>
    <x:t xml:space="preserve">total_area_sf</x:t>
  </x:si>
  <x:si>
    <x:t xml:space="preserve">occupied_area_sf</x:t>
  </x:si>
  <x:si>
    <x:t xml:space="preserve">occupancy_count_pct (0-100)</x:t>
  </x:si>
  <x:si>
    <x:t xml:space="preserve">occupancy_area_pct (0-100)</x:t>
  </x:si>
  <x:si>
    <x:t xml:space="preserve">rent_roll_monthly_base</x:t>
  </x:si>
  <x:si>
    <x:t xml:space="preserve">annualized rent-roll base</x:t>
  </x:si>
  <x:si>
    <x:t xml:space="preserve">effective_monthly_base (post-amendment)</x:t>
  </x:si>
  <x:si>
    <x:t xml:space="preserve">Equals rent-roll total; Lease amendment for Unit 101 confirms $3,000/mo — no adjustment</x:t>
  </x:si>
  <x:si>
    <x:t xml:space="preserve">Hawthorn Center | T12 Sep-2025 through Aug-2026 (source: T12-Statement.pdf)</x:t>
  </x:si>
  <x:si>
    <x:t xml:space="preserve">Account</x:t>
  </x:si>
  <x:si>
    <x:t xml:space="preserve">Sep-25</x:t>
  </x:si>
  <x:si>
    <x:t xml:space="preserve">Oct-25</x:t>
  </x:si>
  <x:si>
    <x:t xml:space="preserve">Nov-25</x:t>
  </x:si>
  <x:si>
    <x:t xml:space="preserve">Dec-25</x:t>
  </x:si>
  <x:si>
    <x:t xml:space="preserve">Jan-26</x:t>
  </x:si>
  <x:si>
    <x:t xml:space="preserve">Feb-26</x:t>
  </x:si>
  <x:si>
    <x:t xml:space="preserve">Mar-26</x:t>
  </x:si>
  <x:si>
    <x:t xml:space="preserve">Apr-26</x:t>
  </x:si>
  <x:si>
    <x:t xml:space="preserve">May-26</x:t>
  </x:si>
  <x:si>
    <x:t xml:space="preserve">Jun-26</x:t>
  </x:si>
  <x:si>
    <x:t xml:space="preserve">Jul-26</x:t>
  </x:si>
  <x:si>
    <x:t xml:space="preserve">Aug-26</x:t>
  </x:si>
  <x:si>
    <x:t xml:space="preserve">Annual (formula)</x:t>
  </x:si>
  <x:si>
    <x:t xml:space="preserve">Annual (source)</x:t>
  </x:si>
  <x:si>
    <x:t xml:space="preserve">Gross potential base rent</x:t>
  </x:si>
  <x:si>
    <x:t xml:space="preserve">Vacancy loss</x:t>
  </x:si>
  <x:si>
    <x:t xml:space="preserve">Concessions</x:t>
  </x:si>
  <x:si>
    <x:t xml:space="preserve">Bad debt</x:t>
  </x:si>
  <x:si>
    <x:t xml:space="preserve">Other income / recoveries</x:t>
  </x:si>
  <x:si>
    <x:t xml:space="preserve">Real estate taxes</x:t>
  </x:si>
  <x:si>
    <x:t xml:space="preserve">Property insurance</x:t>
  </x:si>
  <x:si>
    <x:t xml:space="preserve">Utilities</x:t>
  </x:si>
  <x:si>
    <x:t xml:space="preserve">Repairs and maintenance</x:t>
  </x:si>
  <x:si>
    <x:t xml:space="preserve">Payroll / contract labor</x:t>
  </x:si>
  <x:si>
    <x:t xml:space="preserve">Administrative / legal</x:t>
  </x:si>
  <x:si>
    <x:t xml:space="preserve">Management fee</x:t>
  </x:si>
  <x:si>
    <x:t xml:space="preserve">Replacement reserves (below NOI)</x:t>
  </x:si>
  <x:si>
    <x:t xml:space="preserve">Capital improvements (below cash flow)</x:t>
  </x:si>
  <x:si>
    <x:t xml:space="preserve">Loan principal and interest (below CF)</x:t>
  </x:si>
  <x:si>
    <x:t xml:space="preserve">Depreciation (noncash)</x:t>
  </x:si>
  <x:si>
    <x:t xml:space="preserve">Reconciled T12 (calculated, based on 'Annual (source)')</x:t>
  </x:si>
  <x:si>
    <x:t xml:space="preserve">t12_gpr</x:t>
  </x:si>
  <x:si>
    <x:t xml:space="preserve">t12_revenue_loss (vac+conc+bad)</x:t>
  </x:si>
  <x:si>
    <x:t xml:space="preserve">t12_other_income</x:t>
  </x:si>
  <x:si>
    <x:t xml:space="preserve">t12_egi</x:t>
  </x:si>
  <x:si>
    <x:t xml:space="preserve">EGI = GPR + vac + conc + bad + other (vac/conc/bad are negative)</x:t>
  </x:si>
  <x:si>
    <x:t xml:space="preserve">t12_operating_expenses</x:t>
  </x:si>
  <x:si>
    <x:t xml:space="preserve">Excludes reserves, capex, debt, depreciation</x:t>
  </x:si>
  <x:si>
    <x:t xml:space="preserve">t12_noi_before_reserves</x:t>
  </x:si>
  <x:si>
    <x:t xml:space="preserve">t12_reserves</x:t>
  </x:si>
  <x:si>
    <x:t xml:space="preserve">t12_ncf</x:t>
  </x:si>
  <x:si>
    <x:t xml:space="preserve">Underwriting Assumptions — inputs are yellow-fill / blue-text</x:t>
  </x:si>
  <x:si>
    <x:t xml:space="preserve">Property basics</x:t>
  </x:si>
  <x:si>
    <x:t xml:space="preserve">Total rentable SF (from Rent Roll)</x:t>
  </x:si>
  <x:si>
    <x:t xml:space="preserve">Green = link. Source: Rent Roll tab row-total</x:t>
  </x:si>
  <x:si>
    <x:t xml:space="preserve">As-of date</x:t>
  </x:si>
  <x:si>
    <x:t xml:space="preserve">Underwriting revenue (from Property-and-Plan.pdf, page 2)</x:t>
  </x:si>
  <x:si>
    <x:t xml:space="preserve">UW GPR (annual, supplied scenario)</x:t>
  </x:si>
  <x:si>
    <x:t xml:space="preserve">Plan: $780,000 annual; not inferred from T12</x:t>
  </x:si>
  <x:si>
    <x:t xml:space="preserve">Combined revenue loss % (vac+conc+bad)</x:t>
  </x:si>
  <x:si>
    <x:t xml:space="preserve">Plan: 5.00% of UW GPR</x:t>
  </x:si>
  <x:si>
    <x:t xml:space="preserve">Other income / recoveries (annual)</x:t>
  </x:si>
  <x:si>
    <x:t xml:space="preserve">Plan: $180,000; add after revenue loss</x:t>
  </x:si>
  <x:si>
    <x:t xml:space="preserve">UW EGI (calc)</x:t>
  </x:si>
  <x:si>
    <x:t xml:space="preserve">GPR − loss + other</x:t>
  </x:si>
  <x:si>
    <x:t xml:space="preserve">Underwriting operating expenses (annual)</x:t>
  </x:si>
  <x:si>
    <x:t xml:space="preserve">Plan: $120,000</x:t>
  </x:si>
  <x:si>
    <x:t xml:space="preserve">Plan: fictional insurer renewal 2026-08-25, $34,800</x:t>
  </x:si>
  <x:si>
    <x:t xml:space="preserve">Utilities (T12 actual)</x:t>
  </x:si>
  <x:si>
    <x:t xml:space="preserve">Repairs &amp; maintenance (T12 actual; no removal)</x:t>
  </x:si>
  <x:si>
    <x:t xml:space="preserve">Payroll / contract labor (T12)</x:t>
  </x:si>
  <x:si>
    <x:t xml:space="preserve">Administrative / legal (T12)</x:t>
  </x:si>
  <x:si>
    <x:t xml:space="preserve">T12 management fee (for max())</x:t>
  </x:si>
  <x:si>
    <x:t xml:space="preserve">UW management fee = MAX(T12, 4% × EGI)</x:t>
  </x:si>
  <x:si>
    <x:t xml:space="preserve">Lender rule: greater of T12 or 4.00% of UW EGI</x:t>
  </x:si>
  <x:si>
    <x:t xml:space="preserve">UW replacement reserves ($0.15/SF/yr)</x:t>
  </x:si>
  <x:si>
    <x:t xml:space="preserve">Plan: deduct after NOI</x:t>
  </x:si>
  <x:si>
    <x:t xml:space="preserve">Lender terms (Lender-Terms.pdf)</x:t>
  </x:si>
  <x:si>
    <x:t xml:space="preserve">Contract rate (annual)</x:t>
  </x:si>
  <x:si>
    <x:t xml:space="preserve">Term sheet: 6.35% fixed</x:t>
  </x:si>
  <x:si>
    <x:t xml:space="preserve">Sizing rate = MAX(contract, 6.35% floor)</x:t>
  </x:si>
  <x:si>
    <x:t xml:space="preserve">Cap rate (valuation)</x:t>
  </x:si>
  <x:si>
    <x:t xml:space="preserve">Term sheet: 6.25%</x:t>
  </x:si>
  <x:si>
    <x:t xml:space="preserve">Amortization (years)</x:t>
  </x:si>
  <x:si>
    <x:t xml:space="preserve">Term sheet: 25 years, monthly</x:t>
  </x:si>
  <x:si>
    <x:t xml:space="preserve">IO months</x:t>
  </x:si>
  <x:si>
    <x:t xml:space="preserve">Term sheet: 0</x:t>
  </x:si>
  <x:si>
    <x:t xml:space="preserve">LTV cap</x:t>
  </x:si>
  <x:si>
    <x:t xml:space="preserve">Term sheet: 62.50%</x:t>
  </x:si>
  <x:si>
    <x:t xml:space="preserve">DSCR minimum</x:t>
  </x:si>
  <x:si>
    <x:t xml:space="preserve">NCF after reserves / annual amortizing DS at sizing rate</x:t>
  </x:si>
  <x:si>
    <x:t xml:space="preserve">Debt yield minimum</x:t>
  </x:si>
  <x:si>
    <x:t xml:space="preserve">Numerator: NOI before reserves</x:t>
  </x:si>
  <x:si>
    <x:t xml:space="preserve">Origination fee %</x:t>
  </x:si>
  <x:si>
    <x:t xml:space="preserve">0.80% of actual initial principal</x:t>
  </x:si>
  <x:si>
    <x:t xml:space="preserve">Transaction context (Property-and-Plan.pdf, page 1)</x:t>
  </x:si>
  <x:si>
    <x:t xml:space="preserve">Existing debt payoff</x:t>
  </x:si>
  <x:si>
    <x:t xml:space="preserve">Fixed closing costs</x:t>
  </x:si>
  <x:si>
    <x:t xml:space="preserve">Sensitivity levers (used on Sensitivity tab)</x:t>
  </x:si>
  <x:si>
    <x:t xml:space="preserve">Downside — EGI haircut</x:t>
  </x:si>
  <x:si>
    <x:t xml:space="preserve">Plan: reduce total UW EGI by 5%</x:t>
  </x:si>
  <x:si>
    <x:t xml:space="preserve">Downside — sizing rate delta (bps)</x:t>
  </x:si>
  <x:si>
    <x:t xml:space="preserve">Plan: +100 bps in combined downside</x:t>
  </x:si>
  <x:si>
    <x:t xml:space="preserve">Cap rate sensitivity — delta (bps)</x:t>
  </x:si>
  <x:si>
    <x:t xml:space="preserve">Plan: separate +50bps cap-rate sensitivity</x:t>
  </x:si>
  <x:si>
    <x:t xml:space="preserve">Loan sizing at MAX(contract, floor) sizing rate</x:t>
  </x:si>
  <x:si>
    <x:t xml:space="preserve">Cash flows and valuation</x:t>
  </x:si>
  <x:si>
    <x:t xml:space="preserve">UW NOI before reserves</x:t>
  </x:si>
  <x:si>
    <x:t xml:space="preserve">UW NCF after reserves</x:t>
  </x:si>
  <x:si>
    <x:t xml:space="preserve">Cap rate</x:t>
  </x:si>
  <x:si>
    <x:t xml:space="preserve">Indicative value (NOI-before-reserves / cap)</x:t>
  </x:si>
  <x:si>
    <x:t xml:space="preserve">Debt constant</x:t>
  </x:si>
  <x:si>
    <x:t xml:space="preserve">Annual debt constant at sizing rate (25-yr amort, monthly)</x:t>
  </x:si>
  <x:si>
    <x:t xml:space="preserve">PMT-based; per $1 of principal, ×12 = annual constant</x:t>
  </x:si>
  <x:si>
    <x:t xml:space="preserve">Three constraints</x:t>
  </x:si>
  <x:si>
    <x:t xml:space="preserve">LTV = Value × LTV cap</x:t>
  </x:si>
  <x:si>
    <x:t xml:space="preserve">LTV maximum principal</x:t>
  </x:si>
  <x:si>
    <x:t xml:space="preserve">DSCR maximum principal = NCF / DSCR / debt constant</x:t>
  </x:si>
  <x:si>
    <x:t xml:space="preserve">Debt yield max principal = NOI / DY min</x:t>
  </x:si>
  <x:si>
    <x:t xml:space="preserve">Binding result</x:t>
  </x:si>
  <x:si>
    <x:t xml:space="preserve">MAXIMUM LOAN (min of three)</x:t>
  </x:si>
  <x:si>
    <x:t xml:space="preserve">Binding constraint</x:t>
  </x:si>
  <x:si>
    <x:t xml:space="preserve">Debt service and coverage at max loan</x:t>
  </x:si>
  <x:si>
    <x:t xml:space="preserve">Sizing annual debt service (at sizing rate)</x:t>
  </x:si>
  <x:si>
    <x:t xml:space="preserve">First-year debt service (contract rate, IO respected)</x:t>
  </x:si>
  <x:si>
    <x:t xml:space="preserve">IO months &gt; 0 → interest-only; otherwise contract-rate amortizing</x:t>
  </x:si>
  <x:si>
    <x:t xml:space="preserve">Sizing DSCR (NCF / sizing DS)</x:t>
  </x:si>
  <x:si>
    <x:t xml:space="preserve">Sizing debt yield (NOI / max loan)</x:t>
  </x:si>
  <x:si>
    <x:t xml:space="preserve">Sources &amp; Uses — closing</x:t>
  </x:si>
  <x:si>
    <x:t xml:space="preserve">Sources</x:t>
  </x:si>
  <x:si>
    <x:t xml:space="preserve">First-mortgage proceeds</x:t>
  </x:si>
  <x:si>
    <x:t xml:space="preserve">Borrower cash (if cash-in)</x:t>
  </x:si>
  <x:si>
    <x:t xml:space="preserve">Zero if cash-out</x:t>
  </x:si>
  <x:si>
    <x:t xml:space="preserve">Total sources</x:t>
  </x:si>
  <x:si>
    <x:t xml:space="preserve">Uses</x:t>
  </x:si>
  <x:si>
    <x:t xml:space="preserve">Origination fee (0.80% of loan)</x:t>
  </x:si>
  <x:si>
    <x:t xml:space="preserve">Cash to borrower (if cash-out)</x:t>
  </x:si>
  <x:si>
    <x:t xml:space="preserve">Total uses</x:t>
  </x:si>
  <x:si>
    <x:t xml:space="preserve">Net cash to (from) borrower</x:t>
  </x:si>
  <x:si>
    <x:t xml:space="preserve">Cash to borrower = Loan − Payoff − Origination − Fixed closing</x:t>
  </x:si>
  <x:si>
    <x:t xml:space="preserve">Positive = cash out; negative = cash in required</x:t>
  </x:si>
  <x:si>
    <x:t xml:space="preserve">Sensitivity — Combined downside and Cap-rate stress</x:t>
  </x:si>
  <x:si>
    <x:t xml:space="preserve">Scenario</x:t>
  </x:si>
  <x:si>
    <x:t xml:space="preserve">Combined downside: EGI × (1+haircut), sizing rate + delta</x:t>
  </x:si>
  <x:si>
    <x:t xml:space="preserve">Cap rate + delta (bps)</x:t>
  </x:si>
  <x:si>
    <x:t xml:space="preserve">Stressed EGI</x:t>
  </x:si>
  <x:si>
    <x:t xml:space="preserve">Downside: apply EGI haircut on Assumptions!B37; cap-rate scenario keeps EGI unchanged</x:t>
  </x:si>
  <x:si>
    <x:t xml:space="preserve">Recalculated management fee</x:t>
  </x:si>
  <x:si>
    <x:t xml:space="preserve">Total operating expenses (other + recalculated mgmt)</x:t>
  </x:si>
  <x:si>
    <x:t xml:space="preserve">NOI (before reserves)</x:t>
  </x:si>
  <x:si>
    <x:t xml:space="preserve">Replacement reserves</x:t>
  </x:si>
  <x:si>
    <x:t xml:space="preserve">NCF (after reserves)</x:t>
  </x:si>
  <x:si>
    <x:t xml:space="preserve">Sizing rate</x:t>
  </x:si>
  <x:si>
    <x:t xml:space="preserve">Annual debt constant</x:t>
  </x:si>
  <x:si>
    <x:t xml:space="preserve">Indicative value (NOI / cap)</x:t>
  </x:si>
  <x:si>
    <x:t xml:space="preserve">LTV constraint</x:t>
  </x:si>
  <x:si>
    <x:t xml:space="preserve">MAXIMUM LOAN (stress)</x:t>
  </x:si>
  <x:si>
    <x:t xml:space="preserve">Combined downside binds where DSCR is tightest given lower NCF and higher rate; cap-rate scenario compresses LTV</x:t>
  </x:si>
  <x:si>
    <x:t xml:space="preserve">Binding constraint (stress)</x:t>
  </x:si>
  <x:si>
    <x:t xml:space="preserve">Delta vs base max loan</x:t>
  </x:si>
  <x:si>
    <x:t xml:space="preserve">Requested analysis fields — with sources</x:t>
  </x:si>
  <x:si>
    <x:t xml:space="preserve">Field ID</x:t>
  </x:si>
  <x:si>
    <x:t xml:space="preserve">Value</x:t>
  </x:si>
  <x:si>
    <x:t xml:space="preserve">Source / calculation</x:t>
  </x:si>
  <x:si>
    <x:t xml:space="preserve">Rent Roll tab; source: Rent-Roll.xlsx</x:t>
  </x:si>
  <x:si>
    <x:t xml:space="preserve">Rent Roll tab</x:t>
  </x:si>
  <x:si>
    <x:t xml:space="preserve">occupancy_count_pct</x:t>
  </x:si>
  <x:si>
    <x:t xml:space="preserve">9 of 10 units occupied</x:t>
  </x:si>
  <x:si>
    <x:t xml:space="preserve">Percent 0-100</x:t>
  </x:si>
  <x:si>
    <x:t xml:space="preserve">occupancy_area_pct</x:t>
  </x:si>
  <x:si>
    <x:t xml:space="preserve">27,200 of 28,800 SF occupied</x:t>
  </x:si>
  <x:si>
    <x:t xml:space="preserve">Sum of column E on Rent Roll</x:t>
  </x:si>
  <x:si>
    <x:t xml:space="preserve">USD monthly</x:t>
  </x:si>
  <x:si>
    <x:t xml:space="preserve">effective_monthly_base</x:t>
  </x:si>
  <x:si>
    <x:t xml:space="preserve">Rent Roll total; Lease-File.pdf confirms Unit 101 $3,000/mo</x:t>
  </x:si>
  <x:si>
    <x:t xml:space="preserve">No exercised amendment changing contractual rent supplied</x:t>
  </x:si>
  <x:si>
    <x:t xml:space="preserve">T12 source annuals: GPR+other+(vac+conc+bad)</x:t>
  </x:si>
  <x:si>
    <x:t xml:space="preserve">T12; excludes reserves, capex, debt, depreciation</x:t>
  </x:si>
  <x:si>
    <x:t xml:space="preserve">T12 EGI − OpEx</x:t>
  </x:si>
  <x:si>
    <x:t xml:space="preserve">T12 replacement reserves (below NOI)</x:t>
  </x:si>
  <x:si>
    <x:t xml:space="preserve">T12 NOI − reserves</x:t>
  </x:si>
  <x:si>
    <x:t xml:space="preserve">Debt principal/interest and capex NOT included per lender rule</x:t>
  </x:si>
  <x:si>
    <x:t xml:space="preserve">uw_egi</x:t>
  </x:si>
  <x:si>
    <x:t xml:space="preserve">Assumptions: GPR − 5% loss + Other</x:t>
  </x:si>
  <x:si>
    <x:t xml:space="preserve">uw_management_fee</x:t>
  </x:si>
  <x:si>
    <x:t xml:space="preserve">MAX(T12 mgmt, 4% × UW EGI)</x:t>
  </x:si>
  <x:si>
    <x:t xml:space="preserve">4% × EGI binds ($36,840 &gt; $18,000)</x:t>
  </x:si>
  <x:si>
    <x:t xml:space="preserve">uw_operating_expenses</x:t>
  </x:si>
  <x:si>
    <x:t xml:space="preserve">Sum of UW OpEx line items (incl. lender-normalized mgmt)</x:t>
  </x:si>
  <x:si>
    <x:t xml:space="preserve">Excludes reserves</x:t>
  </x:si>
  <x:si>
    <x:t xml:space="preserve">uw_noi_before_reserves</x:t>
  </x:si>
  <x:si>
    <x:t xml:space="preserve">UW EGI − UW OpEx</x:t>
  </x:si>
  <x:si>
    <x:t xml:space="preserve">uw_reserves</x:t>
  </x:si>
  <x:si>
    <x:t xml:space="preserve">$0.15 × total SF</x:t>
  </x:si>
  <x:si>
    <x:t xml:space="preserve">uw_ncf</x:t>
  </x:si>
  <x:si>
    <x:t xml:space="preserve">UW NOI − reserves</x:t>
  </x:si>
  <x:si>
    <x:t xml:space="preserve">capitalization_value</x:t>
  </x:si>
  <x:si>
    <x:t xml:space="preserve">UW NOI-before-reserves / 6.25%</x:t>
  </x:si>
  <x:si>
    <x:t xml:space="preserve">Indicative; not an appraisal</x:t>
  </x:si>
  <x:si>
    <x:t xml:space="preserve">contract_rate</x:t>
  </x:si>
  <x:si>
    <x:t xml:space="preserve">Lender-Terms.pdf: 6.35% contract</x:t>
  </x:si>
  <x:si>
    <x:t xml:space="preserve">Decimal</x:t>
  </x:si>
  <x:si>
    <x:t xml:space="preserve">sizing_rate</x:t>
  </x:si>
  <x:si>
    <x:t xml:space="preserve">MAX(contract, 6.35% floor)</x:t>
  </x:si>
  <x:si>
    <x:t xml:space="preserve">annual_debt_constant</x:t>
  </x:si>
  <x:si>
    <x:t xml:space="preserve">PMT(sizing/12, 25×12, 1) × 12</x:t>
  </x:si>
  <x:si>
    <x:t xml:space="preserve">Per $1 of principal</x:t>
  </x:si>
  <x:si>
    <x:t xml:space="preserve">ltv_limit</x:t>
  </x:si>
  <x:si>
    <x:t xml:space="preserve">Value × 62.5%</x:t>
  </x:si>
  <x:si>
    <x:t xml:space="preserve">dscr_limit</x:t>
  </x:si>
  <x:si>
    <x:t xml:space="preserve">NCF / 1.25 / debt constant</x:t>
  </x:si>
  <x:si>
    <x:t xml:space="preserve">debt_yield_limit</x:t>
  </x:si>
  <x:si>
    <x:t xml:space="preserve">NOI / 9.00%</x:t>
  </x:si>
  <x:si>
    <x:t xml:space="preserve">maximum_loan</x:t>
  </x:si>
  <x:si>
    <x:t xml:space="preserve">MIN of the three constraints</x:t>
  </x:si>
  <x:si>
    <x:t xml:space="preserve">binding_constraint</x:t>
  </x:si>
  <x:si>
    <x:t xml:space="preserve">Auto-labeled</x:t>
  </x:si>
  <x:si>
    <x:t xml:space="preserve">sizing_annual_debt_service</x:t>
  </x:si>
  <x:si>
    <x:t xml:space="preserve">Max loan × annual debt constant</x:t>
  </x:si>
  <x:si>
    <x:t xml:space="preserve">sizing_dscr</x:t>
  </x:si>
  <x:si>
    <x:t xml:space="preserve">NCF / sizing DS</x:t>
  </x:si>
  <x:si>
    <x:t xml:space="preserve">≈ 1.25x by construction (DSCR-bound)</x:t>
  </x:si>
  <x:si>
    <x:t xml:space="preserve">sizing_debt_yield</x:t>
  </x:si>
  <x:si>
    <x:t xml:space="preserve">NOI / max loan</x:t>
  </x:si>
  <x:si>
    <x:t xml:space="preserve">first_year_debt_service</x:t>
  </x:si>
  <x:si>
    <x:t xml:space="preserve">IO=0 → contract-rate amortizing DS</x:t>
  </x:si>
  <x:si>
    <x:t xml:space="preserve">Equals sizing DS because contract = sizing rate</x:t>
  </x:si>
  <x:si>
    <x:t xml:space="preserve">cash_to_borrower</x:t>
  </x:si>
  <x:si>
    <x:t xml:space="preserve">Loan − payoff − origination − fixed closing</x:t>
  </x:si>
  <x:si>
    <x:t xml:space="preserve">Positive = cash out</x:t>
  </x:si>
  <x:si>
    <x:t xml:space="preserve">stress_uw_noi</x:t>
  </x:si>
  <x:si>
    <x:t xml:space="preserve">EGI −5%; mgmt recalc; other opex unchanged</x:t>
  </x:si>
  <x:si>
    <x:t xml:space="preserve">stress_maximum_loan</x:t>
  </x:si>
  <x:si>
    <x:t xml:space="preserve">Combined downside: EGI −5% AND sizing +100 bps; cap unchanged</x:t>
  </x:si>
  <x:si>
    <x:t xml:space="preserve">subject_lease_monthly_rent</x:t>
  </x:si>
  <x:si>
    <x:t xml:space="preserve">Lease-File.pdf §3: base rent $3,000/mo as of 2026-08-31</x:t>
  </x:si>
  <x:si>
    <x:t xml:space="preserve">subject_lease_expiry</x:t>
  </x:si>
  <x:si>
    <x:t xml:space="preserve">"2029-08-31"</x:t>
  </x:si>
  <x:si>
    <x:t xml:space="preserve">Lease-File.pdf §2: initial term expires 2029-08-31</x:t>
  </x:si>
  <x:si>
    <x:t xml:space="preserve">Renewal option not evidenced as exercised</x:t>
  </x:si>
  <x:si>
    <x:t xml:space="preserve">subject_lease_deposit</x:t>
  </x:si>
  <x:si>
    <x:t xml:space="preserve">Lease-File.pdf §4</x:t>
  </x:si>
  <x:si>
    <x:t xml:space="preserve">Not prepaid rent or recurring income</x:t>
  </x:si>
  <x:si>
    <x:t xml:space="preserve">verified_renewal_insurance</x:t>
  </x:si>
  <x:si>
    <x:t xml:space="preserve">Property-and-Plan.pdf: fictional insurer renewal 2026-08-25</x:t>
  </x:si>
  <x:si>
    <x:t xml:space="preserve">Supplied in plan; treat as verified per instruction</x:t>
  </x:si>
  <x:si>
    <x:t xml:space="preserve">renewal_option_exercised</x:t>
  </x:si>
  <x:si>
    <x:t xml:space="preserve">"No"</x:t>
  </x:si>
  <x:si>
    <x:t xml:space="preserve">Lease-File.pdf §5: option exists; no exercise notice supplied</x:t>
  </x:si>
  <x:si>
    <x:t xml:space="preserve">prepayment_friction</x:t>
  </x:si>
  <x:si>
    <x:t xml:space="preserve">"No bank prepayment penalty; a separately documented interest-rate swap may carry a termination payment or receipt — 'no penalty' does not mean cost-free exit."</x:t>
  </x:si>
  <x:si>
    <x:t xml:space="preserve">Lender-Terms.pdf</x:t>
  </x:si>
  <x:si>
    <x:t xml:space="preserve">Reconciliation and evidence flags</x:t>
  </x:si>
  <x:si>
    <x:t xml:space="preserve">Source A</x:t>
  </x:si>
  <x:si>
    <x:t xml:space="preserve">Source B / Rule</x:t>
  </x:si>
  <x:si>
    <x:t xml:space="preserve">Resolution</x:t>
  </x:si>
  <x:si>
    <x:t xml:space="preserve">Unit 101 rent</x:t>
  </x:si>
  <x:si>
    <x:t xml:space="preserve">Rent Roll: $3,000/mo</x:t>
  </x:si>
  <x:si>
    <x:t xml:space="preserve">Lease-File.pdf §3: $3,000/mo, no increase before 2027-09-01</x:t>
  </x:si>
  <x:si>
    <x:t xml:space="preserve">Consistent — no amendment overrides</x:t>
  </x:si>
  <x:si>
    <x:t xml:space="preserve">Unit 101 expiry</x:t>
  </x:si>
  <x:si>
    <x:t xml:space="preserve">Rent Roll: 2029-08-31</x:t>
  </x:si>
  <x:si>
    <x:t xml:space="preserve">Lease §2 initial term expires 2029-08-31; §5 renewal option not exercised</x:t>
  </x:si>
  <x:si>
    <x:t xml:space="preserve">Use 2029-08-31; option existence does not extend expiry</x:t>
  </x:si>
  <x:si>
    <x:t xml:space="preserve">Insurance premium (UW)</x:t>
  </x:si>
  <x:si>
    <x:t xml:space="preserve">Property-Plan: $34,800 renewal quote (2026-08-25)</x:t>
  </x:si>
  <x:si>
    <x:t xml:space="preserve">T12 actual insurance $32,400</x:t>
  </x:si>
  <x:si>
    <x:t xml:space="preserve">Per plan: use $34,800 for UW</x:t>
  </x:si>
  <x:si>
    <x:t xml:space="preserve">Real estate taxes (UW)</x:t>
  </x:si>
  <x:si>
    <x:t xml:space="preserve">Property-Plan: $120,000</x:t>
  </x:si>
  <x:si>
    <x:t xml:space="preserve">T12 actual $114,000</x:t>
  </x:si>
  <x:si>
    <x:t xml:space="preserve">Per plan: use $120,000 for UW</x:t>
  </x:si>
  <x:si>
    <x:t xml:space="preserve">Management fee (UW)</x:t>
  </x:si>
  <x:si>
    <x:t xml:space="preserve">T12 $18,000</x:t>
  </x:si>
  <x:si>
    <x:t xml:space="preserve">Lender rule: MAX(T12, 4% × UW EGI) = MAX($18,000, $36,840) = $36,840</x:t>
  </x:si>
  <x:si>
    <x:t xml:space="preserve">4% × EGI binds</x:t>
  </x:si>
  <x:si>
    <x:t xml:space="preserve">Replacement reserves (UW)</x:t>
  </x:si>
  <x:si>
    <x:t xml:space="preserve">Plan: $0.15/SF/yr</x:t>
  </x:si>
  <x:si>
    <x:t xml:space="preserve">T12 actual $11,520 (~$0.40/SF)</x:t>
  </x:si>
  <x:si>
    <x:t xml:space="preserve">Per plan: $0.15 × 28,800 = $4,320</x:t>
  </x:si>
  <x:si>
    <x:t xml:space="preserve">R&amp;M one-time removal</x:t>
  </x:si>
  <x:si>
    <x:t xml:space="preserve">T12 $36,000</x:t>
  </x:si>
  <x:si>
    <x:t xml:space="preserve">Plan: 'remove $0 of one-time casualty cleanup'</x:t>
  </x:si>
  <x:si>
    <x:t xml:space="preserve">No removal; use T12 as-is</x:t>
  </x:si>
  <x:si>
    <x:t xml:space="preserve">Utilities / Payroll / Admin</x:t>
  </x:si>
  <x:si>
    <x:t xml:space="preserve">T12 actuals</x:t>
  </x:si>
  <x:si>
    <x:t xml:space="preserve">Plan: use T12 actual</x:t>
  </x:si>
  <x:si>
    <x:t xml:space="preserve">Use T12 values</x:t>
  </x:si>
  <x:si>
    <x:t xml:space="preserve">Historical 'property NOI' label</x:t>
  </x:si>
  <x:si>
    <x:t xml:space="preserve">T12 accounting shows cash flow after reserves</x:t>
  </x:si>
  <x:si>
    <x:t xml:space="preserve">Plan: preserve reported line; separately identify NOI before reserves and NCF after reserves</x:t>
  </x:si>
  <x:si>
    <x:t xml:space="preserve">We show both explicitly on T12 and Assumptions tabs</x:t>
  </x:si>
  <x:si>
    <x:t xml:space="preserve">Debt / capex / depreciation</x:t>
  </x:si>
  <x:si>
    <x:t xml:space="preserve">T12 lists below cash flow</x:t>
  </x:si>
  <x:si>
    <x:t xml:space="preserve">Plan: not operating expenses</x:t>
  </x:si>
  <x:si>
    <x:t xml:space="preserve">Excluded from OpEx totals</x:t>
  </x:si>
  <x:si>
    <x:t xml:space="preserve">Cap rate 6.25% vs 6.75%</x:t>
  </x:si>
  <x:si>
    <x:t xml:space="preserve">Term sheet cap 6.25%</x:t>
  </x:si>
  <x:si>
    <x:t xml:space="preserve">Downside instruction: separate +50 bps cap sensitivity</x:t>
  </x:si>
  <x:si>
    <x:t xml:space="preserve">Base uses 6.25%; sensitivity tab computes +50 bps case</x:t>
  </x:si>
  <x:si>
    <x:t xml:space="preserve">Prepay 'no penalty'</x:t>
  </x:si>
  <x:si>
    <x:t xml:space="preserve">Term sheet: 'no bank prepayment penalty'</x:t>
  </x:si>
  <x:si>
    <x:t xml:space="preserve">Term sheet also notes swap termination may be payable/receivable</x:t>
  </x:si>
  <x:si>
    <x:t xml:space="preserve">Report both — 'no penalty' ≠ cost-free exit</x:t>
  </x:si>
  <x:si>
    <x:t xml:space="preserve">Appraisal / comps / sponsor track</x:t>
  </x:si>
  <x:si>
    <x:t xml:space="preserve">Not supplied</x:t>
  </x:si>
  <x:si>
    <x:t xml:space="preserve">Plan explicitly states none supplied</x:t>
  </x:si>
  <x:si>
    <x:t xml:space="preserve">Left unknown; not inferred</x:t>
  </x:si>
</x:sst>
</file>

<file path=xl/styles.xml><?xml version="1.0" encoding="utf-8"?>
<x:styleSheet xmlns:x="http://schemas.openxmlformats.org/spreadsheetml/2006/main">
  <x:numFmts count="7">
    <x:numFmt numFmtId="164" formatCode="General"/>
    <x:numFmt numFmtId="165" formatCode="#,##0"/>
    <x:numFmt numFmtId="166" formatCode="_(\$* #,##0_);_(\$* \(#,##0\);_(\$* \-_);_(@_)"/>
    <x:numFmt numFmtId="167" formatCode="0.00"/>
    <x:numFmt numFmtId="168" formatCode="0.00%;\(0.00%\);\-"/>
    <x:numFmt numFmtId="169" formatCode="0.00\x"/>
    <x:numFmt numFmtId="170" formatCode="0.0000"/>
  </x:numFmts>
  <x:fonts count="11">
    <x:font>
      <x:sz val="11"/>
      <x:color rgb="FF000000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i/>
      <x:sz val="9"/>
      <x:color rgb="FF595959"/>
      <x:name val="Arial"/>
    </x:font>
    <x:font>
      <x:b/>
      <x:sz val="10"/>
      <x:color rgb="FF0000FF"/>
      <x:name val="Arial"/>
    </x:font>
    <x:font>
      <x:sz val="10"/>
      <x:color rgb="FF008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4472C4"/>
      </x:patternFill>
    </x:fill>
    <x:fill>
      <x:patternFill patternType="solid">
        <x:fgColor rgb="FFD9E1F2"/>
      </x:patternFill>
    </x:fill>
    <x:fill>
      <x:patternFill patternType="solid">
        <x:fgColor rgb="FFFFFF00"/>
      </x:patternFill>
    </x:fill>
  </x:fills>
  <x:borders count="2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4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center" vertical="center" wrapText="1"/>
    </x:xf>
    <x:xf numFmtId="164" fontId="5" fillId="0" borderId="0" xfId="0" applyFont="1" applyBorder="0" applyAlignment="0">
      <x:alignment horizontal="general" vertical="bottom" wrapText="0"/>
    </x:xf>
    <x:xf numFmtId="164" fontId="6" fillId="3" borderId="0" xfId="0" applyFont="1" applyBorder="1" applyAlignment="1">
      <x:alignment horizontal="left" vertical="center" wrapText="1"/>
    </x:xf>
    <x:xf numFmtId="164" fontId="5" fillId="0" borderId="0" xfId="0" applyFont="1" applyBorder="0" applyAlignment="1">
      <x:alignment horizontal="left" vertical="center" wrapText="1"/>
    </x:xf>
    <x:xf numFmtId="164" fontId="0" fillId="0" borderId="0" xfId="0" applyFont="1" applyBorder="1" applyAlignment="1">
      <x:alignment horizontal="left" vertical="center" wrapText="1"/>
    </x:xf>
    <x:xf numFmtId="164" fontId="5" fillId="4" borderId="0" xfId="0" applyFont="1" applyBorder="0" applyAlignment="0">
      <x:alignment horizontal="general" vertical="bottom" wrapText="0"/>
    </x:xf>
    <x:xf numFmtId="164" fontId="0" fillId="0" borderId="0" xfId="0" applyFont="1" applyBorder="0" applyAlignment="1">
      <x:alignment horizontal="left" vertical="center" wrapText="1"/>
    </x:xf>
    <x:xf numFmtId="164" fontId="5" fillId="4" borderId="1" xfId="0" applyFont="1" applyBorder="1" applyAlignment="1">
      <x:alignment horizontal="center" vertical="center" wrapText="1"/>
    </x:xf>
    <x:xf numFmtId="164" fontId="7" fillId="0" borderId="1" xfId="0" applyFont="1" applyBorder="1" applyAlignment="1">
      <x:alignment horizontal="left" vertical="center" wrapText="1"/>
    </x:xf>
    <x:xf numFmtId="165" fontId="7" fillId="0" borderId="1" xfId="0" applyFont="1" applyBorder="1" applyAlignment="1">
      <x:alignment horizontal="right" vertical="center" wrapText="0"/>
    </x:xf>
    <x:xf numFmtId="166" fontId="7" fillId="0" borderId="1" xfId="0" applyFont="1" applyBorder="1" applyAlignment="1">
      <x:alignment horizontal="right" vertical="center" wrapText="0"/>
    </x:xf>
    <x:xf numFmtId="164" fontId="0" fillId="4" borderId="0" xfId="0" applyFont="0" applyBorder="0" applyAlignment="0">
      <x:alignment horizontal="general" vertical="bottom" wrapText="0"/>
    </x:xf>
    <x:xf numFmtId="165" fontId="5" fillId="4" borderId="0" xfId="0" applyFont="1" applyBorder="0" applyAlignment="0">
      <x:alignment horizontal="general" vertical="bottom" wrapText="0"/>
    </x:xf>
    <x:xf numFmtId="166" fontId="5" fillId="4" borderId="0" xfId="0" applyFont="1" applyBorder="0" applyAlignment="0">
      <x:alignment horizontal="general" vertical="bottom" wrapText="0"/>
    </x:xf>
    <x:xf numFmtId="164" fontId="6" fillId="3" borderId="0" xfId="0" applyFont="1" applyBorder="1" applyAlignment="0">
      <x:alignment horizontal="general" vertical="bottom" wrapText="0"/>
    </x:xf>
    <x:xf numFmtId="165" fontId="7" fillId="0" borderId="0" xfId="0" applyFont="1" applyBorder="0" applyAlignment="1">
      <x:alignment horizontal="right" vertical="center" wrapText="0"/>
    </x:xf>
    <x:xf numFmtId="167" fontId="7" fillId="0" borderId="0" xfId="0" applyFont="1" applyBorder="0" applyAlignment="1">
      <x:alignment horizontal="right" vertical="center" wrapText="0"/>
    </x:xf>
    <x:xf numFmtId="166" fontId="7" fillId="0" borderId="0" xfId="0" applyFont="1" applyBorder="0" applyAlignment="1">
      <x:alignment horizontal="right" vertical="center" wrapText="0"/>
    </x:xf>
    <x:xf numFmtId="164" fontId="8" fillId="0" borderId="0" xfId="0" applyFont="1" applyBorder="0" applyAlignment="0">
      <x:alignment horizontal="general" vertical="bottom" wrapText="0"/>
    </x:xf>
    <x:xf numFmtId="164" fontId="5" fillId="4" borderId="0" xfId="0" applyFont="1" applyBorder="0" applyAlignment="1">
      <x:alignment horizontal="center" vertical="center" wrapText="1"/>
    </x:xf>
    <x:xf numFmtId="164" fontId="7" fillId="0" borderId="0" xfId="0" applyFont="1" applyBorder="0" applyAlignment="1">
      <x:alignment horizontal="left" vertical="center" wrapText="1"/>
    </x:xf>
    <x:xf numFmtId="166" fontId="9" fillId="5" borderId="0" xfId="0" applyFont="1" applyBorder="0" applyAlignment="1">
      <x:alignment horizontal="right" vertical="center" wrapText="0"/>
    </x:xf>
    <x:xf numFmtId="164" fontId="8" fillId="0" borderId="0" xfId="0" applyFont="1" applyBorder="1" applyAlignment="0">
      <x:alignment horizontal="general" vertical="bottom" wrapText="0"/>
    </x:xf>
    <x:xf numFmtId="165" fontId="10" fillId="0" borderId="0" xfId="0" applyFont="1" applyBorder="0" applyAlignment="1">
      <x:alignment horizontal="right" vertical="center" wrapText="0"/>
    </x:xf>
    <x:xf numFmtId="164" fontId="8" fillId="0" borderId="0" xfId="0" applyFont="1" applyBorder="0" applyAlignment="1">
      <x:alignment horizontal="left" vertical="center" wrapText="1"/>
    </x:xf>
    <x:xf numFmtId="164" fontId="9" fillId="5" borderId="0" xfId="0" applyFont="1" applyBorder="0" applyAlignment="1">
      <x:alignment horizontal="right" vertical="center" wrapText="0"/>
    </x:xf>
    <x:xf numFmtId="168" fontId="9" fillId="5" borderId="0" xfId="0" applyFont="1" applyBorder="0" applyAlignment="1">
      <x:alignment horizontal="right" vertical="center" wrapText="0"/>
    </x:xf>
    <x:xf numFmtId="166" fontId="10" fillId="0" borderId="0" xfId="0" applyFont="1" applyBorder="0" applyAlignment="1">
      <x:alignment horizontal="right" vertical="center" wrapText="0"/>
    </x:xf>
    <x:xf numFmtId="168" fontId="7" fillId="0" borderId="0" xfId="0" applyFont="1" applyBorder="0" applyAlignment="1">
      <x:alignment horizontal="right" vertical="center" wrapText="0"/>
    </x:xf>
    <x:xf numFmtId="165" fontId="9" fillId="5" borderId="0" xfId="0" applyFont="1" applyBorder="0" applyAlignment="1">
      <x:alignment horizontal="right" vertical="center" wrapText="0"/>
    </x:xf>
    <x:xf numFmtId="169" fontId="9" fillId="5" borderId="0" xfId="0" applyFont="1" applyBorder="0" applyAlignment="1">
      <x:alignment horizontal="right" vertical="center" wrapText="0"/>
    </x:xf>
    <x:xf numFmtId="168" fontId="10" fillId="0" borderId="0" xfId="0" applyFont="1" applyBorder="0" applyAlignment="1">
      <x:alignment horizontal="right" vertical="center" wrapText="0"/>
    </x:xf>
    <x:xf numFmtId="170" fontId="7" fillId="0" borderId="0" xfId="0" applyFont="1" applyBorder="0" applyAlignment="1">
      <x:alignment horizontal="right" vertical="center" wrapText="0"/>
    </x:xf>
    <x:xf numFmtId="164" fontId="7" fillId="0" borderId="0" xfId="0" applyFont="1" applyBorder="0" applyAlignment="1">
      <x:alignment horizontal="right" vertical="center" wrapText="0"/>
    </x:xf>
    <x:xf numFmtId="169" fontId="7" fillId="0" borderId="0" xfId="0" applyFont="1" applyBorder="0" applyAlignment="1">
      <x:alignment horizontal="right" vertical="center" wrapText="0"/>
    </x:xf>
    <x:xf numFmtId="166" fontId="5" fillId="4" borderId="0" xfId="0" applyFont="1" applyBorder="0" applyAlignment="1">
      <x:alignment horizontal="right" vertical="center" wrapText="0"/>
    </x:xf>
    <x:xf numFmtId="164" fontId="7" fillId="0" borderId="0" xfId="0" applyFont="1" applyBorder="0" applyAlignment="0">
      <x:alignment horizontal="general" vertical="bottom" wrapText="0"/>
    </x:xf>
    <x:xf numFmtId="167" fontId="10" fillId="0" borderId="0" xfId="0" applyFont="1" applyBorder="0" applyAlignment="1">
      <x:alignment horizontal="right" vertical="center" wrapText="0"/>
    </x:xf>
    <x:xf numFmtId="170" fontId="10" fillId="0" borderId="0" xfId="0" applyFont="1" applyBorder="0" applyAlignment="1">
      <x:alignment horizontal="right" vertical="center" wrapText="0"/>
    </x:xf>
    <x:xf numFmtId="164" fontId="10" fillId="0" borderId="0" xfId="0" applyFont="1" applyBorder="0" applyAlignment="1">
      <x:alignment horizontal="right" vertical="center" wrapText="0"/>
    </x:xf>
    <x:xf numFmtId="169" fontId="10" fillId="0" borderId="0" xfId="0" applyFont="1" applyBorder="0" applyAlignment="1">
      <x:alignment horizontal="right" vertical="center" wrapText="0"/>
    </x:xf>
    <x:xf numFmtId="164" fontId="5" fillId="0" borderId="1" xfId="0" applyFont="1" applyBorder="1" applyAlignment="1">
      <x:alignment horizontal="left" vertical="center" wrapText="1"/>
    </x:xf>
    <x:xf numFmtId="164" fontId="0" fillId="0" borderId="1" xfId="0" applyFont="1" applyBorder="1" applyAlignment="1">
      <x:alignment horizontal="left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4472C4"/>
      <x:rgbColor rgb="FF33CCCC"/>
      <x:rgbColor rgb="FF99CC00"/>
      <x:rgbColor rgb="FFFFCC00"/>
      <x:rgbColor rgb="FFFF9900"/>
      <x:rgbColor rgb="FFFF6600"/>
      <x:rgbColor rgb="FF59595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7b3bf2d9d4518" /><Relationship Type="http://schemas.openxmlformats.org/officeDocument/2006/relationships/theme" Target="/xl/theme/theme1.xml" Id="Rd80c0b3187354f5f" /><Relationship Type="http://schemas.openxmlformats.org/officeDocument/2006/relationships/sharedStrings" Target="/xl/sharedStrings.xml" Id="Rea5be899258c4d54" /><Relationship Type="http://schemas.openxmlformats.org/officeDocument/2006/relationships/worksheet" Target="/xl/worksheets/sheet1.xml" Id="Rc23fc1293b4249ff" /><Relationship Type="http://schemas.openxmlformats.org/officeDocument/2006/relationships/worksheet" Target="/xl/worksheets/sheet2.xml" Id="R596cfb143d534e68" /><Relationship Type="http://schemas.openxmlformats.org/officeDocument/2006/relationships/worksheet" Target="/xl/worksheets/sheet3.xml" Id="Re48b6771fbba4ee3" /><Relationship Type="http://schemas.openxmlformats.org/officeDocument/2006/relationships/worksheet" Target="/xl/worksheets/sheet4.xml" Id="R626ebf20f7614172" /><Relationship Type="http://schemas.openxmlformats.org/officeDocument/2006/relationships/worksheet" Target="/xl/worksheets/sheet5.xml" Id="R7b6cbe032d1a4048" /><Relationship Type="http://schemas.openxmlformats.org/officeDocument/2006/relationships/worksheet" Target="/xl/worksheets/sheet6.xml" Id="R86791b19ed75452c" /><Relationship Type="http://schemas.openxmlformats.org/officeDocument/2006/relationships/worksheet" Target="/xl/worksheets/sheet7.xml" Id="R36008f1a58df4ad0" /><Relationship Type="http://schemas.openxmlformats.org/officeDocument/2006/relationships/worksheet" Target="/xl/worksheets/sheet8.xml" Id="R02caf25405f24e28" /><Relationship Type="http://schemas.openxmlformats.org/officeDocument/2006/relationships/worksheet" Target="/xl/worksheets/sheet9.xml" Id="R612aebd982a840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30" hidden="0" customWidth="1"/>
    <x:col min="2" max="2" width="55" hidden="0" customWidth="1"/>
    <x:col min="3" max="3" width="60" hidden="0" customWidth="1"/>
  </x:cols>
  <x:sheetData>
    <x:row r="1" ht="15" hidden="0" customHeight="1">
      <x:c r="A1" s="1" t="s">
        <x:v>0</x:v>
      </x:c>
      <x:c r="B1" s="1"/>
      <x:c r="C1" s="1"/>
    </x:row>
    <x:row r="2" ht="15" hidden="0">
      <x:c r="A2" s="2" t="s">
        <x:v>1</x:v>
      </x:c>
      <x:c r="B2" t="s">
        <x:v>2</x:v>
      </x:c>
    </x:row>
    <x:row r="3" ht="15" hidden="0">
      <x:c r="A3" s="2" t="s">
        <x:v>3</x:v>
      </x:c>
      <x:c r="B3" t="s">
        <x:v>4</x:v>
      </x:c>
    </x:row>
    <x:row r="4" ht="15" hidden="0">
      <x:c r="A4" s="2" t="s">
        <x:v>5</x:v>
      </x:c>
      <x:c r="B4" t="s">
        <x:v>6</x:v>
      </x:c>
    </x:row>
    <x:row r="5" ht="15" hidden="0">
      <x:c r="A5" s="2" t="s">
        <x:v>7</x:v>
      </x:c>
      <x:c r="B5" t="s">
        <x:v>8</x:v>
      </x:c>
    </x:row>
    <x:row r="7" ht="15" hidden="0" customHeight="1">
      <x:c r="A7" s="3" t="s">
        <x:v>9</x:v>
      </x:c>
      <x:c r="B7" s="3"/>
      <x:c r="C7" s="3"/>
    </x:row>
    <x:row r="8" ht="15" hidden="0" customHeight="1">
      <x:c r="A8" s="4" t="s">
        <x:v>10</x:v>
      </x:c>
      <x:c r="B8" s="5" t="s">
        <x:v>11</x:v>
      </x:c>
      <x:c r="C8" s="5"/>
    </x:row>
    <x:row r="9" ht="15" hidden="0" customHeight="1">
      <x:c r="A9" s="4" t="s">
        <x:v>12</x:v>
      </x:c>
      <x:c r="B9" s="5" t="s">
        <x:v>13</x:v>
      </x:c>
      <x:c r="C9" s="5"/>
    </x:row>
    <x:row r="10" ht="15" hidden="0" customHeight="1">
      <x:c r="A10" s="4" t="s">
        <x:v>14</x:v>
      </x:c>
      <x:c r="B10" s="5" t="s">
        <x:v>15</x:v>
      </x:c>
      <x:c r="C10" s="5"/>
    </x:row>
    <x:row r="11" ht="15" hidden="0" customHeight="1">
      <x:c r="A11" s="4" t="s">
        <x:v>16</x:v>
      </x:c>
      <x:c r="B11" s="5" t="s">
        <x:v>17</x:v>
      </x:c>
      <x:c r="C11" s="5"/>
    </x:row>
    <x:row r="13" ht="15" hidden="0" customHeight="1">
      <x:c r="A13" s="3" t="s">
        <x:v>18</x:v>
      </x:c>
      <x:c r="B13" s="3"/>
      <x:c r="C13" s="3"/>
    </x:row>
    <x:row r="14" ht="15" hidden="0">
      <x:c r="A14" s="6" t="s">
        <x:v>19</x:v>
      </x:c>
      <x:c r="B14" s="6" t="s">
        <x:v>20</x:v>
      </x:c>
      <x:c r="C14" s="6" t="s">
        <x:v>21</x:v>
      </x:c>
    </x:row>
    <x:row r="15" ht="15" hidden="0">
      <x:c r="A15" s="7" t="s">
        <x:v>22</x:v>
      </x:c>
      <x:c r="B15" s="7" t="s">
        <x:v>23</x:v>
      </x:c>
      <x:c r="C15" s="7" t="s">
        <x:v>24</x:v>
      </x:c>
    </x:row>
    <x:row r="16" ht="15" hidden="0">
      <x:c r="A16" s="7" t="s">
        <x:v>25</x:v>
      </x:c>
      <x:c r="B16" s="7" t="s">
        <x:v>23</x:v>
      </x:c>
      <x:c r="C16" s="7" t="s">
        <x:v>26</x:v>
      </x:c>
    </x:row>
    <x:row r="17" ht="15" hidden="0">
      <x:c r="A17" s="7" t="s">
        <x:v>27</x:v>
      </x:c>
      <x:c r="B17" s="7" t="s">
        <x:v>23</x:v>
      </x:c>
      <x:c r="C17" s="7" t="s">
        <x:v>28</x:v>
      </x:c>
    </x:row>
    <x:row r="18" ht="15" hidden="0">
      <x:c r="A18" s="7" t="s">
        <x:v>29</x:v>
      </x:c>
      <x:c r="B18" s="7" t="s">
        <x:v>23</x:v>
      </x:c>
      <x:c r="C18" s="7" t="s">
        <x:v>30</x:v>
      </x:c>
    </x:row>
    <x:row r="19" ht="15" hidden="0">
      <x:c r="A19" s="7" t="s">
        <x:v>31</x:v>
      </x:c>
      <x:c r="B19" s="7" t="s">
        <x:v>23</x:v>
      </x:c>
      <x:c r="C19" s="7" t="s">
        <x:v>32</x:v>
      </x:c>
    </x:row>
    <x:row r="20" ht="15" hidden="0">
      <x:c r="A20" s="7" t="s">
        <x:v>33</x:v>
      </x:c>
      <x:c r="B20" s="7" t="s">
        <x:v>23</x:v>
      </x:c>
      <x:c r="C20" s="7" t="s">
        <x:v>34</x:v>
      </x:c>
    </x:row>
    <x:row r="21" ht="15" hidden="0">
      <x:c r="A21" s="7" t="s">
        <x:v>35</x:v>
      </x:c>
      <x:c r="B21" s="7" t="s">
        <x:v>23</x:v>
      </x:c>
      <x:c r="C21" s="7" t="s">
        <x:v>36</x:v>
      </x:c>
    </x:row>
    <x:row r="22" ht="15" hidden="0">
      <x:c r="A22" s="7" t="s">
        <x:v>37</x:v>
      </x:c>
      <x:c r="B22" s="7" t="s">
        <x:v>23</x:v>
      </x:c>
      <x:c r="C22" s="7" t="s">
        <x:v>38</x:v>
      </x:c>
    </x:row>
    <x:row r="23" ht="15" hidden="0">
      <x:c r="A23" s="7" t="s">
        <x:v>39</x:v>
      </x:c>
      <x:c r="B23" s="7" t="s">
        <x:v>23</x:v>
      </x:c>
      <x:c r="C23" s="7" t="s">
        <x:v>40</x:v>
      </x:c>
    </x:row>
    <x:row r="24" ht="15" hidden="0">
      <x:c r="A24" s="7" t="s">
        <x:v>41</x:v>
      </x:c>
      <x:c r="B24" s="7" t="s">
        <x:v>23</x:v>
      </x:c>
      <x:c r="C24" s="7" t="s">
        <x:v>42</x:v>
      </x:c>
    </x:row>
    <x:row r="25" ht="15" hidden="0">
      <x:c r="A25" s="7" t="s">
        <x:v>43</x:v>
      </x:c>
      <x:c r="B25" s="7" t="s">
        <x:v>23</x:v>
      </x:c>
      <x:c r="C25" s="7" t="s">
        <x:v>44</x:v>
      </x:c>
    </x:row>
    <x:row r="26" ht="15" hidden="0">
      <x:c r="A26" s="7" t="s">
        <x:v>45</x:v>
      </x:c>
      <x:c r="B26" s="7" t="s">
        <x:v>23</x:v>
      </x:c>
      <x:c r="C26" s="7" t="s">
        <x:v>46</x:v>
      </x:c>
    </x:row>
    <x:row r="27" ht="15" hidden="0">
      <x:c r="A27" s="7" t="s">
        <x:v>47</x:v>
      </x:c>
      <x:c r="B27" s="7" t="s">
        <x:v>23</x:v>
      </x:c>
      <x:c r="C27" s="7" t="s">
        <x:v>48</x:v>
      </x:c>
    </x:row>
    <x:row r="28" ht="15" hidden="0">
      <x:c r="A28" s="7" t="s">
        <x:v>49</x:v>
      </x:c>
      <x:c r="B28" s="7" t="s">
        <x:v>23</x:v>
      </x:c>
      <x:c r="C28" s="7" t="s">
        <x:v>50</x:v>
      </x:c>
    </x:row>
    <x:row r="29" ht="15" hidden="0">
      <x:c r="A29" s="7" t="s">
        <x:v>51</x:v>
      </x:c>
      <x:c r="B29" s="7" t="s">
        <x:v>52</x:v>
      </x:c>
      <x:c r="C29" s="7" t="s">
        <x:v>40</x:v>
      </x:c>
    </x:row>
    <x:row r="30" ht="15" hidden="0">
      <x:c r="A30" s="7" t="s">
        <x:v>53</x:v>
      </x:c>
      <x:c r="B30" s="7" t="s">
        <x:v>52</x:v>
      </x:c>
      <x:c r="C30" s="7" t="s">
        <x:v>44</x:v>
      </x:c>
    </x:row>
    <x:row r="31" ht="15" hidden="0">
      <x:c r="A31" s="7" t="s">
        <x:v>54</x:v>
      </x:c>
      <x:c r="B31" s="7" t="s">
        <x:v>52</x:v>
      </x:c>
      <x:c r="C31" s="7" t="s">
        <x:v>55</x:v>
      </x:c>
    </x:row>
    <x:row r="32" ht="15" hidden="0">
      <x:c r="A32" s="7" t="s">
        <x:v>56</x:v>
      </x:c>
      <x:c r="B32" s="7" t="s">
        <x:v>52</x:v>
      </x:c>
      <x:c r="C32" s="7" t="s">
        <x:v>57</x:v>
      </x:c>
    </x:row>
    <x:row r="33" ht="15" hidden="0">
      <x:c r="A33" s="7" t="s">
        <x:v>58</x:v>
      </x:c>
      <x:c r="B33" s="7" t="s">
        <x:v>52</x:v>
      </x:c>
      <x:c r="C33" s="7" t="s">
        <x:v>59</x:v>
      </x:c>
    </x:row>
    <x:row r="34" ht="15" hidden="0">
      <x:c r="A34" s="7" t="s">
        <x:v>60</x:v>
      </x:c>
      <x:c r="B34" s="7" t="s">
        <x:v>52</x:v>
      </x:c>
      <x:c r="C34" s="7" t="s">
        <x:v>61</x:v>
      </x:c>
    </x:row>
    <x:row r="35" ht="15" hidden="0">
      <x:c r="A35" s="7" t="s">
        <x:v>62</x:v>
      </x:c>
      <x:c r="B35" s="7" t="s">
        <x:v>52</x:v>
      </x:c>
      <x:c r="C35" s="7" t="s">
        <x:v>63</x:v>
      </x:c>
    </x:row>
    <x:row r="36" ht="15" hidden="0">
      <x:c r="A36" s="7" t="s">
        <x:v>64</x:v>
      </x:c>
      <x:c r="B36" s="7" t="s">
        <x:v>52</x:v>
      </x:c>
      <x:c r="C36" s="7" t="s">
        <x:v>48</x:v>
      </x:c>
    </x:row>
    <x:row r="37" ht="15" hidden="0">
      <x:c r="A37" s="7" t="s">
        <x:v>65</x:v>
      </x:c>
      <x:c r="B37" s="7" t="s">
        <x:v>66</x:v>
      </x:c>
      <x:c r="C37" s="7" t="s">
        <x:v>59</x:v>
      </x:c>
    </x:row>
    <x:row r="38" ht="15" hidden="0">
      <x:c r="A38" s="7" t="s">
        <x:v>67</x:v>
      </x:c>
      <x:c r="B38" s="7" t="s">
        <x:v>68</x:v>
      </x:c>
      <x:c r="C38" s="7" t="s">
        <x:v>59</x:v>
      </x:c>
    </x:row>
    <x:row r="39" ht="15" hidden="0">
      <x:c r="A39" s="7" t="s">
        <x:v>69</x:v>
      </x:c>
      <x:c r="B39" s="7" t="s">
        <x:v>68</x:v>
      </x:c>
      <x:c r="C39" s="7" t="s">
        <x:v>70</x:v>
      </x:c>
    </x:row>
    <x:row r="41" ht="15" hidden="0" customHeight="1">
      <x:c r="A41" s="3" t="s">
        <x:v>71</x:v>
      </x:c>
      <x:c r="B41" s="3"/>
      <x:c r="C41" s="3"/>
    </x:row>
    <x:row r="42" ht="15" hidden="0">
      <x:c r="A42" s="2" t="s">
        <x:v>72</x:v>
      </x:c>
      <x:c r="B42" t="s">
        <x:v>73</x:v>
      </x:c>
    </x:row>
    <x:row r="43" ht="15" hidden="0">
      <x:c r="A43" s="2" t="s">
        <x:v>74</x:v>
      </x:c>
      <x:c r="B43" t="s">
        <x:v>75</x:v>
      </x:c>
    </x:row>
    <x:row r="44" ht="15" hidden="0">
      <x:c r="A44" s="2" t="s">
        <x:v>76</x:v>
      </x:c>
      <x:c r="B44" t="s">
        <x:v>77</x:v>
      </x:c>
    </x:row>
  </x:sheetData>
  <x:mergeCells>
    <x:mergeCell ref="A1:C1"/>
    <x:mergeCell ref="A7:C7"/>
    <x:mergeCell ref="B8:C8"/>
    <x:mergeCell ref="B9:C9"/>
    <x:mergeCell ref="B10:C10"/>
    <x:mergeCell ref="B11:C11"/>
    <x:mergeCell ref="A13:C13"/>
    <x:mergeCell ref="A41:C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10" hidden="0" customWidth="1"/>
    <x:col min="2" max="2" width="22" hidden="0" customWidth="1"/>
    <x:col min="3" max="4" width="12" hidden="0" customWidth="1"/>
    <x:col min="5" max="6" width="16" hidden="0" customWidth="1"/>
    <x:col min="7" max="7" width="14" hidden="0" customWidth="1"/>
    <x:col min="8" max="8" width="18" hidden="0" customWidth="1"/>
  </x:cols>
  <x:sheetData>
    <x:row r="1" ht="15" hidden="0" customHeight="1">
      <x:c r="A1" s="1" t="s">
        <x:v>78</x:v>
      </x:c>
      <x:c r="B1" s="1"/>
      <x:c r="C1" s="1"/>
      <x:c r="D1" s="1"/>
      <x:c r="E1" s="1"/>
      <x:c r="F1" s="1"/>
      <x:c r="G1" s="1"/>
      <x:c r="H1" s="1"/>
    </x:row>
    <x:row r="3" ht="15" hidden="0">
      <x:c r="A3" s="8" t="s">
        <x:v>79</x:v>
      </x:c>
      <x:c r="B3" s="8" t="s">
        <x:v>80</x:v>
      </x:c>
      <x:c r="C3" s="8" t="s">
        <x:v>81</x:v>
      </x:c>
      <x:c r="D3" s="8" t="s">
        <x:v>82</x:v>
      </x:c>
      <x:c r="E3" s="8" t="s">
        <x:v>83</x:v>
      </x:c>
      <x:c r="F3" s="8" t="s">
        <x:v>84</x:v>
      </x:c>
      <x:c r="G3" s="8" t="s">
        <x:v>85</x:v>
      </x:c>
      <x:c r="H3" s="8" t="s">
        <x:v>86</x:v>
      </x:c>
    </x:row>
    <x:row r="4" ht="15" hidden="0">
      <x:c r="A4" s="9" t="s">
        <x:v>87</x:v>
      </x:c>
      <x:c r="B4" s="9" t="s">
        <x:v>88</x:v>
      </x:c>
      <x:c r="C4" s="10" t="n">
        <x:v>1400</x:v>
      </x:c>
      <x:c r="D4" s="9" t="s">
        <x:v>89</x:v>
      </x:c>
      <x:c r="E4" s="11" t="n">
        <x:v>3000</x:v>
      </x:c>
      <x:c r="F4" s="11" t="n">
        <x:v>3000</x:v>
      </x:c>
      <x:c r="G4" s="9" t="s">
        <x:v>90</x:v>
      </x:c>
      <x:c r="H4" s="9" t="s">
        <x:v>91</x:v>
      </x:c>
    </x:row>
    <x:row r="5" ht="15" hidden="0">
      <x:c r="A5" s="9" t="s">
        <x:v>92</x:v>
      </x:c>
      <x:c r="B5" s="9" t="s">
        <x:v>93</x:v>
      </x:c>
      <x:c r="C5" s="10" t="n">
        <x:v>1800</x:v>
      </x:c>
      <x:c r="D5" s="9" t="s">
        <x:v>89</x:v>
      </x:c>
      <x:c r="E5" s="11" t="n">
        <x:v>4000</x:v>
      </x:c>
      <x:c r="F5" s="11" t="n">
        <x:v>4000</x:v>
      </x:c>
      <x:c r="G5" s="9" t="s">
        <x:v>94</x:v>
      </x:c>
      <x:c r="H5" s="9"/>
    </x:row>
    <x:row r="6" ht="15" hidden="0">
      <x:c r="A6" s="9" t="s">
        <x:v>95</x:v>
      </x:c>
      <x:c r="B6" s="9" t="s">
        <x:v>96</x:v>
      </x:c>
      <x:c r="C6" s="10" t="n">
        <x:v>2200</x:v>
      </x:c>
      <x:c r="D6" s="9" t="s">
        <x:v>89</x:v>
      </x:c>
      <x:c r="E6" s="11" t="n">
        <x:v>4900</x:v>
      </x:c>
      <x:c r="F6" s="11" t="n">
        <x:v>4900</x:v>
      </x:c>
      <x:c r="G6" s="9" t="s">
        <x:v>90</x:v>
      </x:c>
      <x:c r="H6" s="9"/>
    </x:row>
    <x:row r="7" ht="15" hidden="0">
      <x:c r="A7" s="9" t="s">
        <x:v>97</x:v>
      </x:c>
      <x:c r="B7" s="9" t="s">
        <x:v>98</x:v>
      </x:c>
      <x:c r="C7" s="10" t="n">
        <x:v>2500</x:v>
      </x:c>
      <x:c r="D7" s="9" t="s">
        <x:v>89</x:v>
      </x:c>
      <x:c r="E7" s="11" t="n">
        <x:v>5600</x:v>
      </x:c>
      <x:c r="F7" s="11" t="n">
        <x:v>5600</x:v>
      </x:c>
      <x:c r="G7" s="9" t="s">
        <x:v>99</x:v>
      </x:c>
      <x:c r="H7" s="9"/>
    </x:row>
    <x:row r="8" ht="15" hidden="0">
      <x:c r="A8" s="9" t="s">
        <x:v>100</x:v>
      </x:c>
      <x:c r="B8" s="9" t="s">
        <x:v>101</x:v>
      </x:c>
      <x:c r="C8" s="10" t="n">
        <x:v>3000</x:v>
      </x:c>
      <x:c r="D8" s="9" t="s">
        <x:v>89</x:v>
      </x:c>
      <x:c r="E8" s="11" t="n">
        <x:v>6500</x:v>
      </x:c>
      <x:c r="F8" s="11" t="n">
        <x:v>6500</x:v>
      </x:c>
      <x:c r="G8" s="9" t="s">
        <x:v>102</x:v>
      </x:c>
      <x:c r="H8" s="9"/>
    </x:row>
    <x:row r="9" ht="15" hidden="0">
      <x:c r="A9" s="9" t="s">
        <x:v>103</x:v>
      </x:c>
      <x:c r="B9" s="9" t="s">
        <x:v>104</x:v>
      </x:c>
      <x:c r="C9" s="10" t="n">
        <x:v>3300</x:v>
      </x:c>
      <x:c r="D9" s="9" t="s">
        <x:v>89</x:v>
      </x:c>
      <x:c r="E9" s="11" t="n">
        <x:v>7400</x:v>
      </x:c>
      <x:c r="F9" s="11" t="n">
        <x:v>7400</x:v>
      </x:c>
      <x:c r="G9" s="9" t="s">
        <x:v>105</x:v>
      </x:c>
      <x:c r="H9" s="9"/>
    </x:row>
    <x:row r="10" ht="15" hidden="0">
      <x:c r="A10" s="9" t="s">
        <x:v>106</x:v>
      </x:c>
      <x:c r="B10" s="9" t="s">
        <x:v>107</x:v>
      </x:c>
      <x:c r="C10" s="10" t="n">
        <x:v>3800</x:v>
      </x:c>
      <x:c r="D10" s="9" t="s">
        <x:v>89</x:v>
      </x:c>
      <x:c r="E10" s="11" t="n">
        <x:v>8600</x:v>
      </x:c>
      <x:c r="F10" s="11" t="n">
        <x:v>8600</x:v>
      </x:c>
      <x:c r="G10" s="9" t="s">
        <x:v>94</x:v>
      </x:c>
      <x:c r="H10" s="9"/>
    </x:row>
    <x:row r="11" ht="15" hidden="0">
      <x:c r="A11" s="9" t="s">
        <x:v>108</x:v>
      </x:c>
      <x:c r="B11" s="9" t="s">
        <x:v>109</x:v>
      </x:c>
      <x:c r="C11" s="10" t="n">
        <x:v>4200</x:v>
      </x:c>
      <x:c r="D11" s="9" t="s">
        <x:v>89</x:v>
      </x:c>
      <x:c r="E11" s="11" t="n">
        <x:v>9200</x:v>
      </x:c>
      <x:c r="F11" s="11" t="n">
        <x:v>9200</x:v>
      </x:c>
      <x:c r="G11" s="9" t="s">
        <x:v>90</x:v>
      </x:c>
      <x:c r="H11" s="9"/>
    </x:row>
    <x:row r="12" ht="15" hidden="0">
      <x:c r="A12" s="9" t="s">
        <x:v>110</x:v>
      </x:c>
      <x:c r="B12" s="9" t="s">
        <x:v>111</x:v>
      </x:c>
      <x:c r="C12" s="10" t="n">
        <x:v>5000</x:v>
      </x:c>
      <x:c r="D12" s="9" t="s">
        <x:v>89</x:v>
      </x:c>
      <x:c r="E12" s="11" t="n">
        <x:v>10800</x:v>
      </x:c>
      <x:c r="F12" s="11" t="n">
        <x:v>10800</x:v>
      </x:c>
      <x:c r="G12" s="9" t="s">
        <x:v>99</x:v>
      </x:c>
      <x:c r="H12" s="9"/>
    </x:row>
    <x:row r="13" ht="15" hidden="0">
      <x:c r="A13" s="9" t="s">
        <x:v>112</x:v>
      </x:c>
      <x:c r="B13" s="9" t="s">
        <x:v>113</x:v>
      </x:c>
      <x:c r="C13" s="10" t="n">
        <x:v>1600</x:v>
      </x:c>
      <x:c r="D13" s="9" t="s">
        <x:v>113</x:v>
      </x:c>
      <x:c r="E13" s="11"/>
      <x:c r="F13" s="11" t="n">
        <x:v>3400</x:v>
      </x:c>
      <x:c r="G13" s="9"/>
      <x:c r="H13" s="9" t="s">
        <x:v>114</x:v>
      </x:c>
    </x:row>
    <x:row r="14" ht="15" hidden="0">
      <x:c r="A14" s="6" t="s">
        <x:v>115</x:v>
      </x:c>
      <x:c r="B14" s="12"/>
      <x:c r="C14" s="13" t="n">
        <x:f aca="0">SUM(C4:C13)</x:f>
        <x:v>28800</x:v>
      </x:c>
      <x:c r="D14" s="12"/>
      <x:c r="E14" s="14" t="n">
        <x:f aca="0">SUM(E4:E13)</x:f>
        <x:v>60000</x:v>
      </x:c>
      <x:c r="F14" s="14" t="n">
        <x:f aca="0">SUM(F4:F13)</x:f>
        <x:v>63400</x:v>
      </x:c>
      <x:c r="G14" s="12"/>
      <x:c r="H14" s="12"/>
    </x:row>
    <x:row r="16" ht="15" hidden="0">
      <x:c r="A16" s="15" t="s">
        <x:v>116</x:v>
      </x:c>
      <x:c r="B16" s="15"/>
      <x:c r="C16" s="15"/>
      <x:c r="D16" s="15"/>
      <x:c r="E16" s="15"/>
      <x:c r="F16" s="15"/>
      <x:c r="G16" s="15"/>
      <x:c r="H16" s="15"/>
    </x:row>
    <x:row r="17" ht="15" hidden="0">
      <x:c r="A17" s="2" t="s">
        <x:v>117</x:v>
      </x:c>
      <x:c r="B17" s="16" t="n">
        <x:f aca="0">COUNTA(A4:A13)</x:f>
        <x:v>10</x:v>
      </x:c>
    </x:row>
    <x:row r="18" ht="15" hidden="0">
      <x:c r="A18" s="2" t="s">
        <x:v>118</x:v>
      </x:c>
      <x:c r="B18" s="16" t="n">
        <x:f aca="0">COUNTIF(D4:D13,"Occupied")</x:f>
        <x:v>9</x:v>
      </x:c>
    </x:row>
    <x:row r="19" ht="15" hidden="0">
      <x:c r="A19" s="2" t="s">
        <x:v>119</x:v>
      </x:c>
      <x:c r="B19" s="16" t="n">
        <x:f aca="0">SUM(C4:C13)</x:f>
        <x:v>28800</x:v>
      </x:c>
    </x:row>
    <x:row r="20" ht="15" hidden="0">
      <x:c r="A20" s="2" t="s">
        <x:v>120</x:v>
      </x:c>
      <x:c r="B20" s="16" t="n">
        <x:f aca="0">SUMIF(D4:D13,"Occupied",C4:C13)</x:f>
        <x:v>27200</x:v>
      </x:c>
    </x:row>
    <x:row r="21" ht="15" hidden="0">
      <x:c r="A21" s="2" t="s">
        <x:v>121</x:v>
      </x:c>
      <x:c r="B21" s="17" t="n">
        <x:f aca="0">COUNTIF(D4:D13,"Occupied")/COUNTA(A4:A13)*100</x:f>
        <x:v>90</x:v>
      </x:c>
    </x:row>
    <x:row r="22" ht="15" hidden="0">
      <x:c r="A22" s="2" t="s">
        <x:v>122</x:v>
      </x:c>
      <x:c r="B22" s="17" t="n">
        <x:f aca="0">SUMIF(D4:D13,"Occupied",C4:C13)/SUM(C4:C13)*100</x:f>
        <x:v>94.44444444444444</x:v>
      </x:c>
    </x:row>
    <x:row r="23" ht="15" hidden="0">
      <x:c r="A23" s="2" t="s">
        <x:v>123</x:v>
      </x:c>
      <x:c r="B23" s="18" t="n">
        <x:f aca="0">SUM(E4:E13)</x:f>
        <x:v>60000</x:v>
      </x:c>
    </x:row>
    <x:row r="24" ht="15" hidden="0">
      <x:c r="A24" s="2" t="s">
        <x:v>124</x:v>
      </x:c>
      <x:c r="B24" s="18" t="n">
        <x:f aca="0">SUM(E4:E13)*12</x:f>
        <x:v>720000</x:v>
      </x:c>
    </x:row>
    <x:row r="25" ht="15" hidden="0">
      <x:c r="A25" s="2" t="s">
        <x:v>125</x:v>
      </x:c>
      <x:c r="B25" s="18" t="n">
        <x:f aca="0">SUM(E4:E13)</x:f>
        <x:v>60000</x:v>
      </x:c>
      <x:c r="C25" s="19" t="s">
        <x:v>126</x:v>
      </x:c>
    </x:row>
  </x:sheetData>
  <x:mergeCells>
    <x:mergeCell ref="A1:H1"/>
    <x:mergeCell ref="A16:H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30" hidden="0" customWidth="1"/>
    <x:col min="2" max="14" width="10" hidden="0" customWidth="1"/>
    <x:col min="15" max="15" width="13" hidden="0" customWidth="1"/>
  </x:cols>
  <x:sheetData>
    <x:row r="1" ht="15" hidden="0" customHeight="1">
      <x:c r="A1" s="1" t="s">
        <x:v>127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3" ht="15" hidden="0">
      <x:c r="A3" s="6" t="s">
        <x:v>128</x:v>
      </x:c>
      <x:c r="B3" s="20" t="s">
        <x:v>129</x:v>
      </x:c>
      <x:c r="C3" s="20" t="s">
        <x:v>130</x:v>
      </x:c>
      <x:c r="D3" s="20" t="s">
        <x:v>131</x:v>
      </x:c>
      <x:c r="E3" s="20" t="s">
        <x:v>132</x:v>
      </x:c>
      <x:c r="F3" s="20" t="s">
        <x:v>133</x:v>
      </x:c>
      <x:c r="G3" s="20" t="s">
        <x:v>134</x:v>
      </x:c>
      <x:c r="H3" s="20" t="s">
        <x:v>135</x:v>
      </x:c>
      <x:c r="I3" s="20" t="s">
        <x:v>136</x:v>
      </x:c>
      <x:c r="J3" s="20" t="s">
        <x:v>137</x:v>
      </x:c>
      <x:c r="K3" s="20" t="s">
        <x:v>138</x:v>
      </x:c>
      <x:c r="L3" s="20" t="s">
        <x:v>139</x:v>
      </x:c>
      <x:c r="M3" s="20" t="s">
        <x:v>140</x:v>
      </x:c>
      <x:c r="N3" s="6" t="s">
        <x:v>141</x:v>
      </x:c>
      <x:c r="O3" s="6" t="s">
        <x:v>142</x:v>
      </x:c>
    </x:row>
    <x:row r="4" ht="15" hidden="0">
      <x:c r="A4" s="21" t="s">
        <x:v>143</x:v>
      </x:c>
      <x:c r="B4" s="18" t="n">
        <x:v>59502</x:v>
      </x:c>
      <x:c r="C4" s="18" t="n">
        <x:v>60768</x:v>
      </x:c>
      <x:c r="D4" s="18" t="n">
        <x:v>62034</x:v>
      </x:c>
      <x:c r="E4" s="18" t="n">
        <x:v>62667</x:v>
      </x:c>
      <x:c r="F4" s="18" t="n">
        <x:v>63933</x:v>
      </x:c>
      <x:c r="G4" s="18" t="n">
        <x:v>65199</x:v>
      </x:c>
      <x:c r="H4" s="18" t="n">
        <x:v>65832</x:v>
      </x:c>
      <x:c r="I4" s="18" t="n">
        <x:v>67098</x:v>
      </x:c>
      <x:c r="J4" s="18" t="n">
        <x:v>65199</x:v>
      </x:c>
      <x:c r="K4" s="18" t="n">
        <x:v>63933</x:v>
      </x:c>
      <x:c r="L4" s="18" t="n">
        <x:v>62034</x:v>
      </x:c>
      <x:c r="M4" s="18" t="n">
        <x:v>61401</x:v>
      </x:c>
      <x:c r="N4" s="18" t="n">
        <x:f aca="0">SUM(B4:M4)</x:f>
        <x:v>759600</x:v>
      </x:c>
      <x:c r="O4" s="22" t="n">
        <x:v>759600</x:v>
      </x:c>
    </x:row>
    <x:row r="5" ht="15" hidden="0">
      <x:c r="A5" s="21" t="s">
        <x:v>144</x:v>
      </x:c>
      <x:c r="B5" s="18" t="n">
        <x:v>-3264</x:v>
      </x:c>
      <x:c r="C5" s="18" t="n">
        <x:v>-3332</x:v>
      </x:c>
      <x:c r="D5" s="18" t="n">
        <x:v>-3366</x:v>
      </x:c>
      <x:c r="E5" s="18" t="n">
        <x:v>-3434</x:v>
      </x:c>
      <x:c r="F5" s="18" t="n">
        <x:v>-3502</x:v>
      </x:c>
      <x:c r="G5" s="18" t="n">
        <x:v>-3536</x:v>
      </x:c>
      <x:c r="H5" s="18" t="n">
        <x:v>-3604</x:v>
      </x:c>
      <x:c r="I5" s="18" t="n">
        <x:v>-3502</x:v>
      </x:c>
      <x:c r="J5" s="18" t="n">
        <x:v>-3434</x:v>
      </x:c>
      <x:c r="K5" s="18" t="n">
        <x:v>-3332</x:v>
      </x:c>
      <x:c r="L5" s="18" t="n">
        <x:v>-3298</x:v>
      </x:c>
      <x:c r="M5" s="18" t="n">
        <x:v>-3196</x:v>
      </x:c>
      <x:c r="N5" s="18" t="n">
        <x:f aca="0">SUM(B5:M5)</x:f>
        <x:v>-40800</x:v>
      </x:c>
      <x:c r="O5" s="22" t="n">
        <x:v>-40800</x:v>
      </x:c>
    </x:row>
    <x:row r="6" ht="15" hidden="0">
      <x:c r="A6" s="21" t="s">
        <x:v>145</x:v>
      </x:c>
      <x:c r="B6" s="18" t="n">
        <x:v>-1862</x:v>
      </x:c>
      <x:c r="C6" s="18" t="n">
        <x:v>-1881</x:v>
      </x:c>
      <x:c r="D6" s="18" t="n">
        <x:v>-1919</x:v>
      </x:c>
      <x:c r="E6" s="18" t="n">
        <x:v>-1957</x:v>
      </x:c>
      <x:c r="F6" s="18" t="n">
        <x:v>-1976</x:v>
      </x:c>
      <x:c r="G6" s="18" t="n">
        <x:v>-2014</x:v>
      </x:c>
      <x:c r="H6" s="18" t="n">
        <x:v>-1957</x:v>
      </x:c>
      <x:c r="I6" s="18" t="n">
        <x:v>-1919</x:v>
      </x:c>
      <x:c r="J6" s="18" t="n">
        <x:v>-1862</x:v>
      </x:c>
      <x:c r="K6" s="18" t="n">
        <x:v>-1843</x:v>
      </x:c>
      <x:c r="L6" s="18" t="n">
        <x:v>-1786</x:v>
      </x:c>
      <x:c r="M6" s="18" t="n">
        <x:v>-1824</x:v>
      </x:c>
      <x:c r="N6" s="18" t="n">
        <x:f aca="0">SUM(B6:M6)</x:f>
        <x:v>-22800</x:v>
      </x:c>
      <x:c r="O6" s="22" t="n">
        <x:v>-22800</x:v>
      </x:c>
    </x:row>
    <x:row r="7" ht="15" hidden="0">
      <x:c r="A7" s="21" t="s">
        <x:v>146</x:v>
      </x:c>
      <x:c r="B7" s="18" t="n">
        <x:v>-495</x:v>
      </x:c>
      <x:c r="C7" s="18" t="n">
        <x:v>-505</x:v>
      </x:c>
      <x:c r="D7" s="18" t="n">
        <x:v>-515</x:v>
      </x:c>
      <x:c r="E7" s="18" t="n">
        <x:v>-520</x:v>
      </x:c>
      <x:c r="F7" s="18" t="n">
        <x:v>-530</x:v>
      </x:c>
      <x:c r="G7" s="18" t="n">
        <x:v>-515</x:v>
      </x:c>
      <x:c r="H7" s="18" t="n">
        <x:v>-505</x:v>
      </x:c>
      <x:c r="I7" s="18" t="n">
        <x:v>-490</x:v>
      </x:c>
      <x:c r="J7" s="18" t="n">
        <x:v>-485</x:v>
      </x:c>
      <x:c r="K7" s="18" t="n">
        <x:v>-470</x:v>
      </x:c>
      <x:c r="L7" s="18" t="n">
        <x:v>-480</x:v>
      </x:c>
      <x:c r="M7" s="18" t="n">
        <x:v>-490</x:v>
      </x:c>
      <x:c r="N7" s="18" t="n">
        <x:f aca="0">SUM(B7:M7)</x:f>
        <x:v>-6000</x:v>
      </x:c>
      <x:c r="O7" s="22" t="n">
        <x:v>-6000</x:v>
      </x:c>
    </x:row>
    <x:row r="8" ht="15" hidden="0">
      <x:c r="A8" s="21" t="s">
        <x:v>147</x:v>
      </x:c>
      <x:c r="B8" s="18" t="n">
        <x:v>14847</x:v>
      </x:c>
      <x:c r="C8" s="18" t="n">
        <x:v>15141</x:v>
      </x:c>
      <x:c r="D8" s="18" t="n">
        <x:v>15288</x:v>
      </x:c>
      <x:c r="E8" s="18" t="n">
        <x:v>15582</x:v>
      </x:c>
      <x:c r="F8" s="18" t="n">
        <x:v>15141</x:v>
      </x:c>
      <x:c r="G8" s="18" t="n">
        <x:v>14847</x:v>
      </x:c>
      <x:c r="H8" s="18" t="n">
        <x:v>14406</x:v>
      </x:c>
      <x:c r="I8" s="18" t="n">
        <x:v>14259</x:v>
      </x:c>
      <x:c r="J8" s="18" t="n">
        <x:v>13818</x:v>
      </x:c>
      <x:c r="K8" s="18" t="n">
        <x:v>14112</x:v>
      </x:c>
      <x:c r="L8" s="18" t="n">
        <x:v>14406</x:v>
      </x:c>
      <x:c r="M8" s="18" t="n">
        <x:v>14553</x:v>
      </x:c>
      <x:c r="N8" s="18" t="n">
        <x:f aca="0">SUM(B8:M8)</x:f>
        <x:v>176400</x:v>
      </x:c>
      <x:c r="O8" s="22" t="n">
        <x:v>176400</x:v>
      </x:c>
    </x:row>
    <x:row r="9" ht="15" hidden="0">
      <x:c r="A9" s="21" t="s">
        <x:v>148</x:v>
      </x:c>
      <x:c r="B9" s="18" t="n">
        <x:v>9785</x:v>
      </x:c>
      <x:c r="C9" s="18" t="n">
        <x:v>9880</x:v>
      </x:c>
      <x:c r="D9" s="18" t="n">
        <x:v>10070</x:v>
      </x:c>
      <x:c r="E9" s="18" t="n">
        <x:v>9785</x:v>
      </x:c>
      <x:c r="F9" s="18" t="n">
        <x:v>9595</x:v>
      </x:c>
      <x:c r="G9" s="18" t="n">
        <x:v>9310</x:v>
      </x:c>
      <x:c r="H9" s="18" t="n">
        <x:v>9215</x:v>
      </x:c>
      <x:c r="I9" s="18" t="n">
        <x:v>8930</x:v>
      </x:c>
      <x:c r="J9" s="18" t="n">
        <x:v>9120</x:v>
      </x:c>
      <x:c r="K9" s="18" t="n">
        <x:v>9310</x:v>
      </x:c>
      <x:c r="L9" s="18" t="n">
        <x:v>9405</x:v>
      </x:c>
      <x:c r="M9" s="18" t="n">
        <x:v>9595</x:v>
      </x:c>
      <x:c r="N9" s="18" t="n">
        <x:f aca="0">SUM(B9:M9)</x:f>
        <x:v>114000</x:v>
      </x:c>
      <x:c r="O9" s="22" t="n">
        <x:v>114000</x:v>
      </x:c>
    </x:row>
    <x:row r="10" ht="15" hidden="0">
      <x:c r="A10" s="21" t="s">
        <x:v>149</x:v>
      </x:c>
      <x:c r="B10" s="18" t="n">
        <x:v>2808</x:v>
      </x:c>
      <x:c r="C10" s="18" t="n">
        <x:v>2862</x:v>
      </x:c>
      <x:c r="D10" s="18" t="n">
        <x:v>2781</x:v>
      </x:c>
      <x:c r="E10" s="18" t="n">
        <x:v>2727</x:v>
      </x:c>
      <x:c r="F10" s="18" t="n">
        <x:v>2646</x:v>
      </x:c>
      <x:c r="G10" s="18" t="n">
        <x:v>2619</x:v>
      </x:c>
      <x:c r="H10" s="18" t="n">
        <x:v>2538</x:v>
      </x:c>
      <x:c r="I10" s="18" t="n">
        <x:v>2592</x:v>
      </x:c>
      <x:c r="J10" s="18" t="n">
        <x:v>2646</x:v>
      </x:c>
      <x:c r="K10" s="18" t="n">
        <x:v>2673</x:v>
      </x:c>
      <x:c r="L10" s="18" t="n">
        <x:v>2727</x:v>
      </x:c>
      <x:c r="M10" s="18" t="n">
        <x:v>2781</x:v>
      </x:c>
      <x:c r="N10" s="18" t="n">
        <x:f aca="0">SUM(B10:M10)</x:f>
        <x:v>32400</x:v>
      </x:c>
      <x:c r="O10" s="22" t="n">
        <x:v>32400</x:v>
      </x:c>
    </x:row>
    <x:row r="11" ht="15" hidden="0">
      <x:c r="A11" s="21" t="s">
        <x:v>150</x:v>
      </x:c>
      <x:c r="B11" s="18" t="n">
        <x:v>1908</x:v>
      </x:c>
      <x:c r="C11" s="18" t="n">
        <x:v>1854</x:v>
      </x:c>
      <x:c r="D11" s="18" t="n">
        <x:v>1818</x:v>
      </x:c>
      <x:c r="E11" s="18" t="n">
        <x:v>1764</x:v>
      </x:c>
      <x:c r="F11" s="18" t="n">
        <x:v>1746</x:v>
      </x:c>
      <x:c r="G11" s="18" t="n">
        <x:v>1692</x:v>
      </x:c>
      <x:c r="H11" s="18" t="n">
        <x:v>1728</x:v>
      </x:c>
      <x:c r="I11" s="18" t="n">
        <x:v>1764</x:v>
      </x:c>
      <x:c r="J11" s="18" t="n">
        <x:v>1782</x:v>
      </x:c>
      <x:c r="K11" s="18" t="n">
        <x:v>1818</x:v>
      </x:c>
      <x:c r="L11" s="18" t="n">
        <x:v>1854</x:v>
      </x:c>
      <x:c r="M11" s="18" t="n">
        <x:v>1872</x:v>
      </x:c>
      <x:c r="N11" s="18" t="n">
        <x:f aca="0">SUM(B11:M11)</x:f>
        <x:v>21600</x:v>
      </x:c>
      <x:c r="O11" s="22" t="n">
        <x:v>21600</x:v>
      </x:c>
    </x:row>
    <x:row r="12" ht="15" hidden="0">
      <x:c r="A12" s="21" t="s">
        <x:v>151</x:v>
      </x:c>
      <x:c r="B12" s="18" t="n">
        <x:v>3090</x:v>
      </x:c>
      <x:c r="C12" s="18" t="n">
        <x:v>3030</x:v>
      </x:c>
      <x:c r="D12" s="18" t="n">
        <x:v>2940</x:v>
      </x:c>
      <x:c r="E12" s="18" t="n">
        <x:v>2910</x:v>
      </x:c>
      <x:c r="F12" s="18" t="n">
        <x:v>2820</x:v>
      </x:c>
      <x:c r="G12" s="18" t="n">
        <x:v>2880</x:v>
      </x:c>
      <x:c r="H12" s="18" t="n">
        <x:v>2940</x:v>
      </x:c>
      <x:c r="I12" s="18" t="n">
        <x:v>2970</x:v>
      </x:c>
      <x:c r="J12" s="18" t="n">
        <x:v>3030</x:v>
      </x:c>
      <x:c r="K12" s="18" t="n">
        <x:v>3090</x:v>
      </x:c>
      <x:c r="L12" s="18" t="n">
        <x:v>3120</x:v>
      </x:c>
      <x:c r="M12" s="18" t="n">
        <x:v>3180</x:v>
      </x:c>
      <x:c r="N12" s="18" t="n">
        <x:f aca="0">SUM(B12:M12)</x:f>
        <x:v>36000</x:v>
      </x:c>
      <x:c r="O12" s="22" t="n">
        <x:v>36000</x:v>
      </x:c>
    </x:row>
    <x:row r="13" ht="15" hidden="0">
      <x:c r="A13" s="21" t="s">
        <x:v>152</x:v>
      </x:c>
      <x:c r="B13" s="18" t="n">
        <x:v>2020</x:v>
      </x:c>
      <x:c r="C13" s="18" t="n">
        <x:v>1960</x:v>
      </x:c>
      <x:c r="D13" s="18" t="n">
        <x:v>1940</x:v>
      </x:c>
      <x:c r="E13" s="18" t="n">
        <x:v>1880</x:v>
      </x:c>
      <x:c r="F13" s="18" t="n">
        <x:v>1920</x:v>
      </x:c>
      <x:c r="G13" s="18" t="n">
        <x:v>1960</x:v>
      </x:c>
      <x:c r="H13" s="18" t="n">
        <x:v>1980</x:v>
      </x:c>
      <x:c r="I13" s="18" t="n">
        <x:v>2020</x:v>
      </x:c>
      <x:c r="J13" s="18" t="n">
        <x:v>2060</x:v>
      </x:c>
      <x:c r="K13" s="18" t="n">
        <x:v>2080</x:v>
      </x:c>
      <x:c r="L13" s="18" t="n">
        <x:v>2120</x:v>
      </x:c>
      <x:c r="M13" s="18" t="n">
        <x:v>2060</x:v>
      </x:c>
      <x:c r="N13" s="18" t="n">
        <x:f aca="0">SUM(B13:M13)</x:f>
        <x:v>24000</x:v>
      </x:c>
      <x:c r="O13" s="22" t="n">
        <x:v>24000</x:v>
      </x:c>
    </x:row>
    <x:row r="14" ht="15" hidden="0">
      <x:c r="A14" s="21" t="s">
        <x:v>153</x:v>
      </x:c>
      <x:c r="B14" s="18" t="n">
        <x:v>1470</x:v>
      </x:c>
      <x:c r="C14" s="18" t="n">
        <x:v>1455</x:v>
      </x:c>
      <x:c r="D14" s="18" t="n">
        <x:v>1410</x:v>
      </x:c>
      <x:c r="E14" s="18" t="n">
        <x:v>1440</x:v>
      </x:c>
      <x:c r="F14" s="18" t="n">
        <x:v>1470</x:v>
      </x:c>
      <x:c r="G14" s="18" t="n">
        <x:v>1485</x:v>
      </x:c>
      <x:c r="H14" s="18" t="n">
        <x:v>1515</x:v>
      </x:c>
      <x:c r="I14" s="18" t="n">
        <x:v>1545</x:v>
      </x:c>
      <x:c r="J14" s="18" t="n">
        <x:v>1560</x:v>
      </x:c>
      <x:c r="K14" s="18" t="n">
        <x:v>1590</x:v>
      </x:c>
      <x:c r="L14" s="18" t="n">
        <x:v>1545</x:v>
      </x:c>
      <x:c r="M14" s="18" t="n">
        <x:v>1515</x:v>
      </x:c>
      <x:c r="N14" s="18" t="n">
        <x:f aca="0">SUM(B14:M14)</x:f>
        <x:v>18000</x:v>
      </x:c>
      <x:c r="O14" s="22" t="n">
        <x:v>18000</x:v>
      </x:c>
    </x:row>
    <x:row r="15" ht="15" hidden="0">
      <x:c r="A15" s="21" t="s">
        <x:v>154</x:v>
      </x:c>
      <x:c r="B15" s="18" t="n">
        <x:v>1455</x:v>
      </x:c>
      <x:c r="C15" s="18" t="n">
        <x:v>1410</x:v>
      </x:c>
      <x:c r="D15" s="18" t="n">
        <x:v>1440</x:v>
      </x:c>
      <x:c r="E15" s="18" t="n">
        <x:v>1470</x:v>
      </x:c>
      <x:c r="F15" s="18" t="n">
        <x:v>1485</x:v>
      </x:c>
      <x:c r="G15" s="18" t="n">
        <x:v>1515</x:v>
      </x:c>
      <x:c r="H15" s="18" t="n">
        <x:v>1545</x:v>
      </x:c>
      <x:c r="I15" s="18" t="n">
        <x:v>1560</x:v>
      </x:c>
      <x:c r="J15" s="18" t="n">
        <x:v>1590</x:v>
      </x:c>
      <x:c r="K15" s="18" t="n">
        <x:v>1545</x:v>
      </x:c>
      <x:c r="L15" s="18" t="n">
        <x:v>1515</x:v>
      </x:c>
      <x:c r="M15" s="18" t="n">
        <x:v>1470</x:v>
      </x:c>
      <x:c r="N15" s="18" t="n">
        <x:f aca="0">SUM(B15:M15)</x:f>
        <x:v>18000</x:v>
      </x:c>
      <x:c r="O15" s="22" t="n">
        <x:v>18000</x:v>
      </x:c>
    </x:row>
    <x:row r="16" ht="15" hidden="0">
      <x:c r="A16" s="21" t="s">
        <x:v>155</x:v>
      </x:c>
      <x:c r="B16" s="18" t="n">
        <x:v>902</x:v>
      </x:c>
      <x:c r="C16" s="18" t="n">
        <x:v>922</x:v>
      </x:c>
      <x:c r="D16" s="18" t="n">
        <x:v>941</x:v>
      </x:c>
      <x:c r="E16" s="18" t="n">
        <x:v>950</x:v>
      </x:c>
      <x:c r="F16" s="18" t="n">
        <x:v>970</x:v>
      </x:c>
      <x:c r="G16" s="18" t="n">
        <x:v>989</x:v>
      </x:c>
      <x:c r="H16" s="18" t="n">
        <x:v>998</x:v>
      </x:c>
      <x:c r="I16" s="18" t="n">
        <x:v>1018</x:v>
      </x:c>
      <x:c r="J16" s="18" t="n">
        <x:v>989</x:v>
      </x:c>
      <x:c r="K16" s="18" t="n">
        <x:v>970</x:v>
      </x:c>
      <x:c r="L16" s="18" t="n">
        <x:v>941</x:v>
      </x:c>
      <x:c r="M16" s="18" t="n">
        <x:v>930</x:v>
      </x:c>
      <x:c r="N16" s="18" t="n">
        <x:f aca="0">SUM(B16:M16)</x:f>
        <x:v>11520</x:v>
      </x:c>
      <x:c r="O16" s="22" t="n">
        <x:v>11520</x:v>
      </x:c>
    </x:row>
    <x:row r="17" ht="15" hidden="0">
      <x:c r="A17" s="21" t="s">
        <x:v>156</x:v>
      </x:c>
      <x:c r="B17" s="18" t="n">
        <x:v>5920</x:v>
      </x:c>
      <x:c r="C17" s="18" t="n">
        <x:v>6043</x:v>
      </x:c>
      <x:c r="D17" s="18" t="n">
        <x:v>6105</x:v>
      </x:c>
      <x:c r="E17" s="18" t="n">
        <x:v>6228</x:v>
      </x:c>
      <x:c r="F17" s="18" t="n">
        <x:v>6352</x:v>
      </x:c>
      <x:c r="G17" s="18" t="n">
        <x:v>6413</x:v>
      </x:c>
      <x:c r="H17" s="18" t="n">
        <x:v>6537</x:v>
      </x:c>
      <x:c r="I17" s="18" t="n">
        <x:v>6352</x:v>
      </x:c>
      <x:c r="J17" s="18" t="n">
        <x:v>6228</x:v>
      </x:c>
      <x:c r="K17" s="18" t="n">
        <x:v>6043</x:v>
      </x:c>
      <x:c r="L17" s="18" t="n">
        <x:v>5982</x:v>
      </x:c>
      <x:c r="M17" s="18" t="n">
        <x:v>5797</x:v>
      </x:c>
      <x:c r="N17" s="18" t="n">
        <x:f aca="0">SUM(B17:M17)</x:f>
        <x:v>74000</x:v>
      </x:c>
      <x:c r="O17" s="22" t="n">
        <x:v>74000</x:v>
      </x:c>
    </x:row>
    <x:row r="18" ht="15" hidden="0">
      <x:c r="A18" s="21" t="s">
        <x:v>157</x:v>
      </x:c>
      <x:c r="B18" s="18" t="n">
        <x:v>24010</x:v>
      </x:c>
      <x:c r="C18" s="18" t="n">
        <x:v>24255</x:v>
      </x:c>
      <x:c r="D18" s="18" t="n">
        <x:v>24745</x:v>
      </x:c>
      <x:c r="E18" s="18" t="n">
        <x:v>25235</x:v>
      </x:c>
      <x:c r="F18" s="18" t="n">
        <x:v>25480</x:v>
      </x:c>
      <x:c r="G18" s="18" t="n">
        <x:v>25970</x:v>
      </x:c>
      <x:c r="H18" s="18" t="n">
        <x:v>25235</x:v>
      </x:c>
      <x:c r="I18" s="18" t="n">
        <x:v>24745</x:v>
      </x:c>
      <x:c r="J18" s="18" t="n">
        <x:v>24010</x:v>
      </x:c>
      <x:c r="K18" s="18" t="n">
        <x:v>23765</x:v>
      </x:c>
      <x:c r="L18" s="18" t="n">
        <x:v>23030</x:v>
      </x:c>
      <x:c r="M18" s="18" t="n">
        <x:v>23520</x:v>
      </x:c>
      <x:c r="N18" s="18" t="n">
        <x:f aca="0">SUM(B18:M18)</x:f>
        <x:v>294000</x:v>
      </x:c>
      <x:c r="O18" s="22" t="n">
        <x:v>294000</x:v>
      </x:c>
    </x:row>
    <x:row r="19" ht="15" hidden="0">
      <x:c r="A19" s="21" t="s">
        <x:v>158</x:v>
      </x:c>
      <x:c r="B19" s="18" t="n">
        <x:v>14850</x:v>
      </x:c>
      <x:c r="C19" s="18" t="n">
        <x:v>15150</x:v>
      </x:c>
      <x:c r="D19" s="18" t="n">
        <x:v>15450</x:v>
      </x:c>
      <x:c r="E19" s="18" t="n">
        <x:v>15600</x:v>
      </x:c>
      <x:c r="F19" s="18" t="n">
        <x:v>15900</x:v>
      </x:c>
      <x:c r="G19" s="18" t="n">
        <x:v>15450</x:v>
      </x:c>
      <x:c r="H19" s="18" t="n">
        <x:v>15150</x:v>
      </x:c>
      <x:c r="I19" s="18" t="n">
        <x:v>14700</x:v>
      </x:c>
      <x:c r="J19" s="18" t="n">
        <x:v>14550</x:v>
      </x:c>
      <x:c r="K19" s="18" t="n">
        <x:v>14100</x:v>
      </x:c>
      <x:c r="L19" s="18" t="n">
        <x:v>14400</x:v>
      </x:c>
      <x:c r="M19" s="18" t="n">
        <x:v>14700</x:v>
      </x:c>
      <x:c r="N19" s="18" t="n">
        <x:f aca="0">SUM(B19:M19)</x:f>
        <x:v>180000</x:v>
      </x:c>
      <x:c r="O19" s="22" t="n">
        <x:v>180000</x:v>
      </x:c>
    </x:row>
    <x:row r="21" ht="15" hidden="0">
      <x:c r="A21" s="15" t="s">
        <x:v>159</x:v>
      </x:c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</x:row>
    <x:row r="22" ht="15" hidden="0">
      <x:c r="A22" s="2" t="s">
        <x:v>160</x:v>
      </x:c>
      <x:c r="B22" s="18" t="n">
        <x:f aca="0">O4</x:f>
        <x:v>759600</x:v>
      </x:c>
    </x:row>
    <x:row r="23" ht="15" hidden="0">
      <x:c r="A23" s="2" t="s">
        <x:v>161</x:v>
      </x:c>
      <x:c r="B23" s="18" t="n">
        <x:f aca="0">O5+O6+O7</x:f>
        <x:v>-69600</x:v>
      </x:c>
    </x:row>
    <x:row r="24" ht="15" hidden="0">
      <x:c r="A24" s="2" t="s">
        <x:v>162</x:v>
      </x:c>
      <x:c r="B24" s="18" t="n">
        <x:f aca="0">O8</x:f>
        <x:v>176400</x:v>
      </x:c>
    </x:row>
    <x:row r="25" ht="15" hidden="0">
      <x:c r="A25" s="2" t="s">
        <x:v>163</x:v>
      </x:c>
      <x:c r="B25" s="18" t="n">
        <x:f aca="0">O4+O5+O6+O7+O8</x:f>
        <x:v>866400</x:v>
      </x:c>
      <x:c r="C25" s="23" t="s">
        <x:v>164</x:v>
      </x:c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</x:row>
    <x:row r="26" ht="15" hidden="0">
      <x:c r="A26" s="2" t="s">
        <x:v>165</x:v>
      </x:c>
      <x:c r="B26" s="18" t="n">
        <x:f aca="0">O9+O10+O11+O12+O13+O14+O15</x:f>
        <x:v>264000</x:v>
      </x:c>
      <x:c r="C26" s="23" t="s">
        <x:v>166</x:v>
      </x:c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</x:row>
    <x:row r="27" ht="15" hidden="0">
      <x:c r="A27" s="2" t="s">
        <x:v>167</x:v>
      </x:c>
      <x:c r="B27" s="18" t="n">
        <x:f aca="0">O4+O5+O6+O7+O8-(O9+O10+O11+O12+O13+O14+O15)</x:f>
        <x:v>602400</x:v>
      </x:c>
    </x:row>
    <x:row r="28" ht="15" hidden="0">
      <x:c r="A28" s="2" t="s">
        <x:v>168</x:v>
      </x:c>
      <x:c r="B28" s="18" t="n">
        <x:f aca="0">O16</x:f>
        <x:v>11520</x:v>
      </x:c>
    </x:row>
    <x:row r="29" ht="15" hidden="0">
      <x:c r="A29" s="2" t="s">
        <x:v>169</x:v>
      </x:c>
      <x:c r="B29" s="18" t="n">
        <x:f aca="0">O4+O5+O6+O7+O8-(O9+O10+O11+O12+O13+O14+O15)-O16</x:f>
        <x:v>590880</x:v>
      </x:c>
    </x:row>
  </x:sheetData>
  <x:mergeCells>
    <x:mergeCell ref="A1:O1"/>
    <x:mergeCell ref="A21:O21"/>
    <x:mergeCell ref="C25:O25"/>
    <x:mergeCell ref="C26:O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42" hidden="0" customWidth="1"/>
    <x:col min="2" max="2" width="18" hidden="0" customWidth="1"/>
    <x:col min="3" max="3" width="60" hidden="0" customWidth="1"/>
  </x:cols>
  <x:sheetData>
    <x:row r="1" ht="15" hidden="0" customHeight="1">
      <x:c r="A1" s="1" t="s">
        <x:v>170</x:v>
      </x:c>
      <x:c r="B1" s="1"/>
      <x:c r="C1" s="1"/>
    </x:row>
    <x:row r="3" ht="15" hidden="0" customHeight="1">
      <x:c r="A3" s="3" t="s">
        <x:v>171</x:v>
      </x:c>
      <x:c r="B3" s="3"/>
      <x:c r="C3" s="3"/>
    </x:row>
    <x:row r="4" ht="15" hidden="0">
      <x:c r="A4" s="4" t="s">
        <x:v>172</x:v>
      </x:c>
      <x:c r="B4" s="24" t="n">
        <x:f aca="0">'Rent Roll'!C14</x:f>
        <x:v>28800</x:v>
      </x:c>
      <x:c r="C4" s="25" t="s">
        <x:v>173</x:v>
      </x:c>
    </x:row>
    <x:row r="5" ht="15" hidden="0">
      <x:c r="A5" s="4" t="s">
        <x:v>174</x:v>
      </x:c>
      <x:c r="B5" s="26" t="s">
        <x:v>4</x:v>
      </x:c>
    </x:row>
    <x:row r="6" ht="15" hidden="0" customHeight="1">
      <x:c r="A6" s="3" t="s">
        <x:v>175</x:v>
      </x:c>
      <x:c r="B6" s="3"/>
      <x:c r="C6" s="3"/>
    </x:row>
    <x:row r="7" ht="15" hidden="0">
      <x:c r="A7" s="4" t="s">
        <x:v>176</x:v>
      </x:c>
      <x:c r="B7" s="22" t="n">
        <x:v>780000</x:v>
      </x:c>
      <x:c r="C7" s="25" t="s">
        <x:v>177</x:v>
      </x:c>
    </x:row>
    <x:row r="8" ht="15" hidden="0">
      <x:c r="A8" s="4" t="s">
        <x:v>178</x:v>
      </x:c>
      <x:c r="B8" s="27" t="n">
        <x:v>0.05</x:v>
      </x:c>
      <x:c r="C8" s="25" t="s">
        <x:v>179</x:v>
      </x:c>
    </x:row>
    <x:row r="9" ht="15" hidden="0">
      <x:c r="A9" s="4" t="s">
        <x:v>180</x:v>
      </x:c>
      <x:c r="B9" s="22" t="n">
        <x:v>180000</x:v>
      </x:c>
      <x:c r="C9" s="25" t="s">
        <x:v>181</x:v>
      </x:c>
    </x:row>
    <x:row r="10" ht="15" hidden="0">
      <x:c r="A10" s="4" t="s">
        <x:v>182</x:v>
      </x:c>
      <x:c r="B10" s="18" t="n">
        <x:f aca="0">B7-B7*B8+B9</x:f>
        <x:v>921000</x:v>
      </x:c>
      <x:c r="C10" s="25" t="s">
        <x:v>183</x:v>
      </x:c>
    </x:row>
    <x:row r="11" ht="15" hidden="0" customHeight="1">
      <x:c r="A11" s="3" t="s">
        <x:v>184</x:v>
      </x:c>
      <x:c r="B11" s="3"/>
      <x:c r="C11" s="3"/>
    </x:row>
    <x:row r="12" ht="15" hidden="0">
      <x:c r="A12" s="4" t="s">
        <x:v>148</x:v>
      </x:c>
      <x:c r="B12" s="22" t="n">
        <x:v>120000</x:v>
      </x:c>
      <x:c r="C12" s="25" t="s">
        <x:v>185</x:v>
      </x:c>
    </x:row>
    <x:row r="13" ht="15" hidden="0">
      <x:c r="A13" s="4" t="s">
        <x:v>149</x:v>
      </x:c>
      <x:c r="B13" s="22" t="n">
        <x:v>34800</x:v>
      </x:c>
      <x:c r="C13" s="25" t="s">
        <x:v>186</x:v>
      </x:c>
    </x:row>
    <x:row r="14" ht="15" hidden="0">
      <x:c r="A14" s="4" t="s">
        <x:v>187</x:v>
      </x:c>
      <x:c r="B14" s="28" t="n">
        <x:f aca="0">T12!O11</x:f>
        <x:v>21600</x:v>
      </x:c>
    </x:row>
    <x:row r="15" ht="15" hidden="0">
      <x:c r="A15" s="4" t="s">
        <x:v>188</x:v>
      </x:c>
      <x:c r="B15" s="28" t="n">
        <x:f aca="0">T12!O12</x:f>
        <x:v>36000</x:v>
      </x:c>
    </x:row>
    <x:row r="16" ht="15" hidden="0">
      <x:c r="A16" s="4" t="s">
        <x:v>189</x:v>
      </x:c>
      <x:c r="B16" s="28" t="n">
        <x:f aca="0">T12!O13</x:f>
        <x:v>24000</x:v>
      </x:c>
    </x:row>
    <x:row r="17" ht="15" hidden="0">
      <x:c r="A17" s="4" t="s">
        <x:v>190</x:v>
      </x:c>
      <x:c r="B17" s="28" t="n">
        <x:f aca="0">T12!O14</x:f>
        <x:v>18000</x:v>
      </x:c>
    </x:row>
    <x:row r="18" ht="15" hidden="0">
      <x:c r="A18" s="4" t="s">
        <x:v>191</x:v>
      </x:c>
      <x:c r="B18" s="28" t="n">
        <x:f aca="0">T12!O15</x:f>
        <x:v>18000</x:v>
      </x:c>
    </x:row>
    <x:row r="19" ht="15" hidden="0">
      <x:c r="A19" s="4" t="s">
        <x:v>192</x:v>
      </x:c>
      <x:c r="B19" s="18" t="n">
        <x:f aca="0">MAX(B18,0.04*B10)</x:f>
        <x:v>36840</x:v>
      </x:c>
      <x:c r="C19" s="25" t="s">
        <x:v>193</x:v>
      </x:c>
    </x:row>
    <x:row r="20" ht="15" hidden="0">
      <x:c r="A20" s="4" t="s">
        <x:v>47</x:v>
      </x:c>
      <x:c r="B20" s="18" t="n">
        <x:f aca="0">B10-(B12+B13+B14+B15+B16+B17+B19)</x:f>
        <x:v>629760</x:v>
      </x:c>
    </x:row>
    <x:row r="21" ht="15" hidden="0">
      <x:c r="A21" s="4" t="s">
        <x:v>194</x:v>
      </x:c>
      <x:c r="B21" s="18" t="n">
        <x:f aca="0">0.15*B4</x:f>
        <x:v>4320</x:v>
      </x:c>
      <x:c r="C21" s="25" t="s">
        <x:v>195</x:v>
      </x:c>
    </x:row>
    <x:row r="22" ht="15" hidden="0">
      <x:c r="A22" s="4" t="s">
        <x:v>49</x:v>
      </x:c>
      <x:c r="B22" s="18" t="n">
        <x:f aca="0">B20-B21</x:f>
        <x:v>625440</x:v>
      </x:c>
    </x:row>
    <x:row r="23" ht="15" hidden="0" customHeight="1">
      <x:c r="A23" s="3" t="s">
        <x:v>196</x:v>
      </x:c>
      <x:c r="B23" s="3"/>
      <x:c r="C23" s="3"/>
    </x:row>
    <x:row r="24" ht="15" hidden="0">
      <x:c r="A24" s="4" t="s">
        <x:v>197</x:v>
      </x:c>
      <x:c r="B24" s="27" t="n">
        <x:v>0.0635</x:v>
      </x:c>
      <x:c r="C24" s="25" t="s">
        <x:v>198</x:v>
      </x:c>
    </x:row>
    <x:row r="25" ht="15" hidden="0">
      <x:c r="A25" s="4" t="s">
        <x:v>199</x:v>
      </x:c>
      <x:c r="B25" s="29" t="n">
        <x:f aca="0"/>
        <x:v>0.0735</x:v>
      </x:c>
    </x:row>
    <x:row r="26" ht="15" hidden="0">
      <x:c r="A26" s="4" t="s">
        <x:v>200</x:v>
      </x:c>
      <x:c r="B26" s="27" t="n">
        <x:v>0.0625</x:v>
      </x:c>
      <x:c r="C26" s="25" t="s">
        <x:v>201</x:v>
      </x:c>
    </x:row>
    <x:row r="27" ht="15" hidden="0">
      <x:c r="A27" s="4" t="s">
        <x:v>202</x:v>
      </x:c>
      <x:c r="B27" s="30" t="n">
        <x:v>25</x:v>
      </x:c>
      <x:c r="C27" s="25" t="s">
        <x:v>203</x:v>
      </x:c>
    </x:row>
    <x:row r="28" ht="15" hidden="0">
      <x:c r="A28" s="4" t="s">
        <x:v>204</x:v>
      </x:c>
      <x:c r="B28" s="30" t="n">
        <x:v>0</x:v>
      </x:c>
      <x:c r="C28" s="25" t="s">
        <x:v>205</x:v>
      </x:c>
    </x:row>
    <x:row r="29" ht="15" hidden="0">
      <x:c r="A29" s="4" t="s">
        <x:v>206</x:v>
      </x:c>
      <x:c r="B29" s="27" t="n">
        <x:v>0.625</x:v>
      </x:c>
      <x:c r="C29" s="25" t="s">
        <x:v>207</x:v>
      </x:c>
    </x:row>
    <x:row r="30" ht="15" hidden="0">
      <x:c r="A30" s="4" t="s">
        <x:v>208</x:v>
      </x:c>
      <x:c r="B30" s="31" t="n">
        <x:v>1.25</x:v>
      </x:c>
      <x:c r="C30" s="25" t="s">
        <x:v>209</x:v>
      </x:c>
    </x:row>
    <x:row r="31" ht="15" hidden="0">
      <x:c r="A31" s="4" t="s">
        <x:v>210</x:v>
      </x:c>
      <x:c r="B31" s="27" t="n">
        <x:v>0.09</x:v>
      </x:c>
      <x:c r="C31" s="25" t="s">
        <x:v>211</x:v>
      </x:c>
    </x:row>
    <x:row r="32" ht="15" hidden="0">
      <x:c r="A32" s="4" t="s">
        <x:v>212</x:v>
      </x:c>
      <x:c r="B32" s="27" t="n">
        <x:v>0.008</x:v>
      </x:c>
      <x:c r="C32" s="25" t="s">
        <x:v>213</x:v>
      </x:c>
    </x:row>
    <x:row r="33" ht="15" hidden="0" customHeight="1">
      <x:c r="A33" s="3" t="s">
        <x:v>214</x:v>
      </x:c>
      <x:c r="B33" s="3"/>
      <x:c r="C33" s="3"/>
    </x:row>
    <x:row r="34" ht="15" hidden="0">
      <x:c r="A34" s="4" t="s">
        <x:v>215</x:v>
      </x:c>
      <x:c r="B34" s="22" t="n">
        <x:v>4200000</x:v>
      </x:c>
    </x:row>
    <x:row r="35" ht="15" hidden="0">
      <x:c r="A35" s="4" t="s">
        <x:v>216</x:v>
      </x:c>
      <x:c r="B35" s="22" t="n">
        <x:v>52000</x:v>
      </x:c>
    </x:row>
    <x:row r="36" ht="15" hidden="0" customHeight="1">
      <x:c r="A36" s="3" t="s">
        <x:v>217</x:v>
      </x:c>
      <x:c r="B36" s="3"/>
      <x:c r="C36" s="3"/>
    </x:row>
    <x:row r="37" ht="15" hidden="0">
      <x:c r="A37" s="4" t="s">
        <x:v>218</x:v>
      </x:c>
      <x:c r="B37" s="27" t="n">
        <x:v>-0.05</x:v>
      </x:c>
      <x:c r="C37" s="25" t="s">
        <x:v>219</x:v>
      </x:c>
    </x:row>
    <x:row r="38" ht="15" hidden="0">
      <x:c r="A38" s="4" t="s">
        <x:v>220</x:v>
      </x:c>
      <x:c r="B38" s="30" t="n">
        <x:v>100</x:v>
      </x:c>
      <x:c r="C38" s="25" t="s">
        <x:v>221</x:v>
      </x:c>
    </x:row>
    <x:row r="39" ht="15" hidden="0">
      <x:c r="A39" s="4" t="s">
        <x:v>222</x:v>
      </x:c>
      <x:c r="B39" s="30" t="n">
        <x:v>50</x:v>
      </x:c>
      <x:c r="C39" s="25" t="s">
        <x:v>223</x:v>
      </x:c>
    </x:row>
  </x:sheetData>
  <x:mergeCells>
    <x:mergeCell ref="A1:C1"/>
    <x:mergeCell ref="A3:C3"/>
    <x:mergeCell ref="A6:C6"/>
    <x:mergeCell ref="A11:C11"/>
    <x:mergeCell ref="A23:C23"/>
    <x:mergeCell ref="A33:C33"/>
    <x:mergeCell ref="A36:C3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44" hidden="0" customWidth="1"/>
    <x:col min="2" max="2" width="20" hidden="0" customWidth="1"/>
    <x:col min="3" max="3" width="60" hidden="0" customWidth="1"/>
  </x:cols>
  <x:sheetData>
    <x:row r="1" ht="15" hidden="0" customHeight="1">
      <x:c r="A1" s="1" t="s">
        <x:v>224</x:v>
      </x:c>
      <x:c r="B1" s="1"/>
      <x:c r="C1" s="1"/>
    </x:row>
    <x:row r="3" ht="15" hidden="0" customHeight="1">
      <x:c r="A3" s="3" t="s">
        <x:v>225</x:v>
      </x:c>
      <x:c r="B3" s="3"/>
      <x:c r="C3" s="3"/>
    </x:row>
    <x:row r="4" ht="15" hidden="0">
      <x:c r="A4" s="4" t="s">
        <x:v>226</x:v>
      </x:c>
      <x:c r="B4" s="28" t="n">
        <x:f aca="0">Assumptions!B20</x:f>
        <x:v>629760</x:v>
      </x:c>
    </x:row>
    <x:row r="5" ht="15" hidden="0">
      <x:c r="A5" s="4" t="s">
        <x:v>227</x:v>
      </x:c>
      <x:c r="B5" s="28" t="n">
        <x:f aca="0">Assumptions!B22</x:f>
        <x:v>625440</x:v>
      </x:c>
    </x:row>
    <x:row r="6" ht="15" hidden="0">
      <x:c r="A6" s="4" t="s">
        <x:v>228</x:v>
      </x:c>
      <x:c r="B6" s="32" t="n">
        <x:f aca="0">Assumptions!B26</x:f>
        <x:v>0.0625</x:v>
      </x:c>
    </x:row>
    <x:row r="7" ht="15" hidden="0">
      <x:c r="A7" s="4" t="s">
        <x:v>229</x:v>
      </x:c>
      <x:c r="B7" s="18" t="n">
        <x:f aca="0">B4/B6</x:f>
        <x:v>10076160</x:v>
      </x:c>
    </x:row>
    <x:row r="8" ht="15" hidden="0" customHeight="1">
      <x:c r="A8" s="3" t="s">
        <x:v>230</x:v>
      </x:c>
      <x:c r="B8" s="3"/>
      <x:c r="C8" s="3"/>
    </x:row>
    <x:row r="9" ht="15" hidden="0">
      <x:c r="A9" s="4" t="s">
        <x:v>231</x:v>
      </x:c>
      <x:c r="B9" s="33" t="n">
        <x:f aca="0">(-PMT(Assumptions!B25/12,Assumptions!B27*12,1))*12</x:f>
        <x:v>0.08751143765366826</x:v>
      </x:c>
      <x:c r="C9" s="25" t="s">
        <x:v>232</x:v>
      </x:c>
    </x:row>
    <x:row r="10" ht="15" hidden="0" customHeight="1">
      <x:c r="A10" s="3" t="s">
        <x:v>233</x:v>
      </x:c>
      <x:c r="B10" s="3"/>
      <x:c r="C10" s="3"/>
    </x:row>
    <x:row r="11" ht="15" hidden="0">
      <x:c r="A11" s="4" t="s">
        <x:v>234</x:v>
      </x:c>
      <x:c r="B11" s="18" t="n">
        <x:f aca="0">B7*Assumptions!B29</x:f>
        <x:v>6297600</x:v>
      </x:c>
    </x:row>
    <x:row r="12" ht="15" hidden="0">
      <x:c r="A12" s="4" t="s">
        <x:v>235</x:v>
      </x:c>
      <x:c r="B12" s="18" t="n">
        <x:f aca="0">B11</x:f>
        <x:v>6297600</x:v>
      </x:c>
    </x:row>
    <x:row r="13" ht="15" hidden="0">
      <x:c r="A13" s="4" t="s">
        <x:v>236</x:v>
      </x:c>
      <x:c r="B13" s="18" t="n">
        <x:f aca="0">B5/Assumptions!B30/B9</x:f>
        <x:v>5717561.194459779</x:v>
      </x:c>
    </x:row>
    <x:row r="14" ht="15" hidden="0">
      <x:c r="A14" s="4" t="s">
        <x:v>237</x:v>
      </x:c>
      <x:c r="B14" s="18" t="n">
        <x:f aca="0">B4/Assumptions!B31</x:f>
        <x:v>6997333.333333334</x:v>
      </x:c>
    </x:row>
    <x:row r="15" ht="15" hidden="0" customHeight="1">
      <x:c r="A15" s="3" t="s">
        <x:v>238</x:v>
      </x:c>
      <x:c r="B15" s="3"/>
      <x:c r="C15" s="3"/>
    </x:row>
    <x:row r="16" ht="15" hidden="0">
      <x:c r="A16" s="4" t="s">
        <x:v>239</x:v>
      </x:c>
      <x:c r="B16" s="18" t="n">
        <x:f aca="0">MIN(B12,B13,B14)</x:f>
        <x:v>5717561.194459779</x:v>
      </x:c>
    </x:row>
    <x:row r="17" ht="15" hidden="0">
      <x:c r="A17" s="4" t="s">
        <x:v>240</x:v>
      </x:c>
      <x:c r="B17" s="34" t="str">
        <x:f aca="0">IF(B16=B12,"LTV",IF(B16=B13,"DSCR","Debt yield"))</x:f>
        <x:v>DSCR</x:v>
      </x:c>
    </x:row>
    <x:row r="18" ht="15" hidden="0" customHeight="1">
      <x:c r="A18" s="3" t="s">
        <x:v>241</x:v>
      </x:c>
      <x:c r="B18" s="3"/>
      <x:c r="C18" s="3"/>
    </x:row>
    <x:row r="19" ht="15" hidden="0">
      <x:c r="A19" s="4" t="s">
        <x:v>242</x:v>
      </x:c>
      <x:c r="B19" s="18" t="n">
        <x:f aca="0">B16*B9</x:f>
        <x:v>500351.99999999994</x:v>
      </x:c>
    </x:row>
    <x:row r="20" ht="15" hidden="0">
      <x:c r="A20" s="4" t="s">
        <x:v>243</x:v>
      </x:c>
      <x:c r="B20" s="18" t="n">
        <x:f aca="0">IF(Assumptions!B28&gt;0,B16*Assumptions!B24,B16*((-PMT(Assumptions!B24/12,Assumptions!B27*12,1))*12))</x:f>
        <x:v>456854.38196324854</x:v>
      </x:c>
      <x:c r="C20" s="25" t="s">
        <x:v>244</x:v>
      </x:c>
    </x:row>
    <x:row r="21" ht="15" hidden="0">
      <x:c r="A21" s="4" t="s">
        <x:v>245</x:v>
      </x:c>
      <x:c r="B21" s="35" t="n">
        <x:f aca="0">B5/B19</x:f>
        <x:v>1.2500000000000002</x:v>
      </x:c>
    </x:row>
    <x:row r="22" ht="15" hidden="0">
      <x:c r="A22" s="4" t="s">
        <x:v>246</x:v>
      </x:c>
      <x:c r="B22" s="29" t="n">
        <x:f aca="0">B4/B16</x:f>
        <x:v>0.11014486396931385</x:v>
      </x:c>
    </x:row>
  </x:sheetData>
  <x:mergeCells>
    <x:mergeCell ref="A1:C1"/>
    <x:mergeCell ref="A3:C3"/>
    <x:mergeCell ref="A8:C8"/>
    <x:mergeCell ref="A10:C10"/>
    <x:mergeCell ref="A15:C15"/>
    <x:mergeCell ref="A18:C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44" hidden="0" customWidth="1"/>
    <x:col min="2" max="2" width="20" hidden="0" customWidth="1"/>
    <x:col min="3" max="3" width="60" hidden="0" customWidth="1"/>
  </x:cols>
  <x:sheetData>
    <x:row r="1" ht="15" hidden="0" customHeight="1">
      <x:c r="A1" s="1" t="s">
        <x:v>247</x:v>
      </x:c>
      <x:c r="B1" s="1"/>
      <x:c r="C1" s="1"/>
    </x:row>
    <x:row r="3" ht="15" hidden="0" customHeight="1">
      <x:c r="A3" s="3" t="s">
        <x:v>248</x:v>
      </x:c>
      <x:c r="B3" s="3"/>
      <x:c r="C3" s="3"/>
    </x:row>
    <x:row r="4" ht="15" hidden="0">
      <x:c r="A4" s="4" t="s">
        <x:v>249</x:v>
      </x:c>
      <x:c r="B4" s="28" t="n">
        <x:f aca="0">'Loan Sizing'!B16</x:f>
        <x:v>5717561.194459779</x:v>
      </x:c>
    </x:row>
    <x:row r="5" ht="15" hidden="0">
      <x:c r="A5" s="4" t="s">
        <x:v>250</x:v>
      </x:c>
      <x:c r="B5" s="18" t="n">
        <x:f aca="0">IF(B14&lt;0,-B14,0)</x:f>
        <x:v>0</x:v>
      </x:c>
      <x:c r="C5" s="25" t="s">
        <x:v>251</x:v>
      </x:c>
    </x:row>
    <x:row r="6" ht="15" hidden="0">
      <x:c r="A6" s="4" t="s">
        <x:v>252</x:v>
      </x:c>
      <x:c r="B6" s="18" t="n">
        <x:f aca="0">B4+B5</x:f>
        <x:v>5717561.194459779</x:v>
      </x:c>
    </x:row>
    <x:row r="7" ht="15" hidden="0" customHeight="1">
      <x:c r="A7" s="3" t="s">
        <x:v>253</x:v>
      </x:c>
      <x:c r="B7" s="3"/>
      <x:c r="C7" s="3"/>
    </x:row>
    <x:row r="8" ht="15" hidden="0">
      <x:c r="A8" s="4" t="s">
        <x:v>215</x:v>
      </x:c>
      <x:c r="B8" s="28" t="n">
        <x:f aca="0">Assumptions!B34</x:f>
        <x:v>4200000</x:v>
      </x:c>
    </x:row>
    <x:row r="9" ht="15" hidden="0">
      <x:c r="A9" s="4" t="s">
        <x:v>254</x:v>
      </x:c>
      <x:c r="B9" s="18" t="n">
        <x:f aca="0">Assumptions!B32*B4</x:f>
        <x:v>45740.489555678236</x:v>
      </x:c>
    </x:row>
    <x:row r="10" ht="15" hidden="0">
      <x:c r="A10" s="4" t="s">
        <x:v>216</x:v>
      </x:c>
      <x:c r="B10" s="28" t="n">
        <x:f aca="0">Assumptions!B35</x:f>
        <x:v>52000</x:v>
      </x:c>
    </x:row>
    <x:row r="11" ht="15" hidden="0">
      <x:c r="A11" s="4" t="s">
        <x:v>255</x:v>
      </x:c>
      <x:c r="B11" s="18" t="n">
        <x:f aca="0">IF(B14&gt;0,B14,0)</x:f>
        <x:v>1419820.7049041009</x:v>
      </x:c>
    </x:row>
    <x:row r="12" ht="15" hidden="0">
      <x:c r="A12" s="4" t="s">
        <x:v>256</x:v>
      </x:c>
      <x:c r="B12" s="18" t="n">
        <x:f aca="0">B8+B9+B10+B11</x:f>
        <x:v>5717561.194459779</x:v>
      </x:c>
    </x:row>
    <x:row r="13" ht="15" hidden="0" customHeight="1">
      <x:c r="A13" s="3" t="s">
        <x:v>257</x:v>
      </x:c>
      <x:c r="B13" s="3"/>
      <x:c r="C13" s="3"/>
    </x:row>
    <x:row r="14" ht="15" hidden="0">
      <x:c r="A14" s="4" t="s">
        <x:v>258</x:v>
      </x:c>
      <x:c r="B14" s="18" t="n">
        <x:f aca="0">B4-B8-B9-B10</x:f>
        <x:v>1419820.7049041009</x:v>
      </x:c>
      <x:c r="C14" s="25" t="s">
        <x:v>259</x:v>
      </x:c>
    </x:row>
  </x:sheetData>
  <x:mergeCells>
    <x:mergeCell ref="A1:C1"/>
    <x:mergeCell ref="A3:C3"/>
    <x:mergeCell ref="A7:C7"/>
    <x:mergeCell ref="A13:C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44" hidden="0" customWidth="1"/>
    <x:col min="2" max="3" width="20" hidden="0" customWidth="1"/>
    <x:col min="4" max="4" width="60" hidden="0" customWidth="1"/>
  </x:cols>
  <x:sheetData>
    <x:row r="1" ht="15" hidden="0" customHeight="1">
      <x:c r="A1" s="1" t="s">
        <x:v>260</x:v>
      </x:c>
      <x:c r="B1" s="1"/>
      <x:c r="C1" s="1"/>
      <x:c r="D1" s="1"/>
    </x:row>
    <x:row r="3" ht="15" hidden="0">
      <x:c r="A3" s="6" t="s">
        <x:v>261</x:v>
      </x:c>
      <x:c r="B3" s="20" t="s">
        <x:v>262</x:v>
      </x:c>
      <x:c r="C3" s="20" t="s">
        <x:v>263</x:v>
      </x:c>
      <x:c r="D3" s="6" t="s">
        <x:v>86</x:v>
      </x:c>
    </x:row>
    <x:row r="4" ht="15" hidden="0">
      <x:c r="A4" s="2" t="s">
        <x:v>264</x:v>
      </x:c>
      <x:c r="B4" s="18" t="n">
        <x:f aca="0">(Assumptions!B7-Assumptions!B7*Assumptions!B8+Assumptions!B9)*(1+Assumptions!B37)</x:f>
        <x:v>874950</x:v>
      </x:c>
      <x:c r="C4" s="18" t="n">
        <x:f aca="0">Assumptions!B10</x:f>
        <x:v>921000</x:v>
      </x:c>
      <x:c r="D4" s="25" t="s">
        <x:v>265</x:v>
      </x:c>
    </x:row>
    <x:row r="5" ht="15" hidden="0">
      <x:c r="A5" s="2" t="s">
        <x:v>266</x:v>
      </x:c>
      <x:c r="B5" s="18" t="n">
        <x:f aca="0">MAX(Assumptions!B18,0.04*B4)</x:f>
        <x:v>34998</x:v>
      </x:c>
      <x:c r="C5" s="18" t="n">
        <x:f aca="0">MAX(Assumptions!B18,0.04*C4)</x:f>
        <x:v>36840</x:v>
      </x:c>
    </x:row>
    <x:row r="6" ht="15" hidden="0">
      <x:c r="A6" s="2" t="s">
        <x:v>267</x:v>
      </x:c>
      <x:c r="B6" s="18" t="n">
        <x:f aca="0">(Assumptions!B12+Assumptions!B13+Assumptions!B14+Assumptions!B15+Assumptions!B16+Assumptions!B17)+B5</x:f>
        <x:v>289398</x:v>
      </x:c>
      <x:c r="C6" s="18" t="n">
        <x:f aca="0">(Assumptions!B12+Assumptions!B13+Assumptions!B14+Assumptions!B15+Assumptions!B16+Assumptions!B17)+C5</x:f>
        <x:v>291240</x:v>
      </x:c>
    </x:row>
    <x:row r="7" ht="15" hidden="0">
      <x:c r="A7" s="2" t="s">
        <x:v>268</x:v>
      </x:c>
      <x:c r="B7" s="18" t="n">
        <x:f aca="0">B4-B6</x:f>
        <x:v>585552</x:v>
      </x:c>
      <x:c r="C7" s="18" t="n">
        <x:f aca="0">C4-C6</x:f>
        <x:v>629760</x:v>
      </x:c>
    </x:row>
    <x:row r="8" ht="15" hidden="0">
      <x:c r="A8" s="2" t="s">
        <x:v>269</x:v>
      </x:c>
      <x:c r="B8" s="18" t="n">
        <x:f aca="0">Assumptions!B21</x:f>
        <x:v>4320</x:v>
      </x:c>
      <x:c r="C8" s="18" t="n">
        <x:f aca="0">Assumptions!B21</x:f>
        <x:v>4320</x:v>
      </x:c>
    </x:row>
    <x:row r="9" ht="15" hidden="0">
      <x:c r="A9" s="2" t="s">
        <x:v>270</x:v>
      </x:c>
      <x:c r="B9" s="18" t="n">
        <x:f aca="0">B7-B8</x:f>
        <x:v>581232</x:v>
      </x:c>
      <x:c r="C9" s="18" t="n">
        <x:f aca="0">C7-C8</x:f>
        <x:v>625440</x:v>
      </x:c>
    </x:row>
    <x:row r="10" ht="15" hidden="0">
      <x:c r="A10" s="2" t="s">
        <x:v>271</x:v>
      </x:c>
      <x:c r="B10" s="29" t="n">
        <x:f aca="0">Assumptions!B25+Assumptions!B38/10000</x:f>
        <x:v>0.08349999999999999</x:v>
      </x:c>
      <x:c r="C10" s="29" t="n">
        <x:f aca="0">Assumptions!B25</x:f>
        <x:v>0.0735</x:v>
      </x:c>
    </x:row>
    <x:row r="11" ht="15" hidden="0">
      <x:c r="A11" s="2" t="s">
        <x:v>272</x:v>
      </x:c>
      <x:c r="B11" s="33" t="n">
        <x:f aca="0">(-PMT(B10/12,Assumptions!B27*12,1))*12</x:f>
        <x:v>0.09541727306263645</x:v>
      </x:c>
      <x:c r="C11" s="33" t="n">
        <x:f aca="0">(-PMT(C10/12,Assumptions!B27*12,1))*12</x:f>
        <x:v>0.08751143765366826</x:v>
      </x:c>
    </x:row>
    <x:row r="12" ht="15" hidden="0">
      <x:c r="A12" s="2" t="s">
        <x:v>273</x:v>
      </x:c>
      <x:c r="B12" s="18" t="n">
        <x:f aca="0">B7/Assumptions!B26</x:f>
        <x:v>9368832</x:v>
      </x:c>
      <x:c r="C12" s="18" t="n">
        <x:f aca="0">C7/(Assumptions!B26+Assumptions!B39/10000)</x:f>
        <x:v>9329777.777777778</x:v>
      </x:c>
    </x:row>
    <x:row r="13" ht="15" hidden="0">
      <x:c r="A13" s="2" t="s">
        <x:v>274</x:v>
      </x:c>
      <x:c r="B13" s="18" t="n">
        <x:f aca="0">B12*Assumptions!B29</x:f>
        <x:v>5855520</x:v>
      </x:c>
      <x:c r="C13" s="18" t="n">
        <x:f aca="0">C12*Assumptions!B29</x:f>
        <x:v>5831111.111111111</x:v>
      </x:c>
    </x:row>
    <x:row r="14" ht="15" hidden="0">
      <x:c r="A14" s="6" t="s">
        <x:v>275</x:v>
      </x:c>
      <x:c r="B14" s="36" t="n">
        <x:f aca="0">MIN(B13,B9/Assumptions!B30/B11,B7/Assumptions!B31)</x:f>
        <x:v>4873180.558144449</x:v>
      </x:c>
      <x:c r="C14" s="36" t="n">
        <x:f aca="0">MIN(C13,C9/Assumptions!B30/C11,C7/Assumptions!B31)</x:f>
        <x:v>5717561.194459779</x:v>
      </x:c>
      <x:c r="D14" s="19" t="s">
        <x:v>276</x:v>
      </x:c>
    </x:row>
    <x:row r="15" ht="15" hidden="0">
      <x:c r="A15" s="2" t="s">
        <x:v>277</x:v>
      </x:c>
      <x:c r="B15" s="37" t="str">
        <x:f aca="0">IF(B14=B13,"LTV",IF(B14=B9/Assumptions!B30/B11,"DSCR","Debt yield"))</x:f>
        <x:v>DSCR</x:v>
      </x:c>
      <x:c r="C15" s="37" t="str">
        <x:f aca="0">IF(C14=C13,"LTV",IF(C14=C9/Assumptions!B30/C11,"DSCR","Debt yield"))</x:f>
        <x:v>DSCR</x:v>
      </x:c>
    </x:row>
    <x:row r="16" ht="15" hidden="0">
      <x:c r="A16" s="2" t="s">
        <x:v>278</x:v>
      </x:c>
      <x:c r="B16" s="18" t="n">
        <x:f aca="0">B14-'Loan Sizing'!B16</x:f>
        <x:v>-844380.6363153299</x:v>
      </x:c>
      <x:c r="C16" s="18" t="n">
        <x:f aca="0">C14-'Loan Sizing'!B16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34" hidden="0" customWidth="1"/>
    <x:col min="2" max="2" width="22" hidden="0" customWidth="1"/>
    <x:col min="3" max="3" width="60" hidden="0" customWidth="1"/>
    <x:col min="4" max="4" width="45" hidden="0" customWidth="1"/>
  </x:cols>
  <x:sheetData>
    <x:row r="1" ht="15" hidden="0" customHeight="1">
      <x:c r="A1" s="1" t="s">
        <x:v>279</x:v>
      </x:c>
      <x:c r="B1" s="1"/>
      <x:c r="C1" s="1"/>
      <x:c r="D1" s="1"/>
    </x:row>
    <x:row r="3" ht="15" hidden="0">
      <x:c r="A3" s="20" t="s">
        <x:v>280</x:v>
      </x:c>
      <x:c r="B3" s="20" t="s">
        <x:v>281</x:v>
      </x:c>
      <x:c r="C3" s="20" t="s">
        <x:v>282</x:v>
      </x:c>
      <x:c r="D3" s="20" t="s">
        <x:v>86</x:v>
      </x:c>
    </x:row>
    <x:row r="4" ht="15" hidden="0">
      <x:c r="A4" s="2" t="s">
        <x:v>117</x:v>
      </x:c>
      <x:c r="B4" s="24" t="n">
        <x:f aca="0">'Rent Roll'!B17</x:f>
        <x:v>10</x:v>
      </x:c>
      <x:c r="C4" s="21" t="s">
        <x:v>283</x:v>
      </x:c>
      <x:c r="D4" s="25"/>
    </x:row>
    <x:row r="5" ht="15" hidden="0">
      <x:c r="A5" s="2" t="s">
        <x:v>118</x:v>
      </x:c>
      <x:c r="B5" s="24" t="n">
        <x:f aca="0">'Rent Roll'!B18</x:f>
        <x:v>9</x:v>
      </x:c>
      <x:c r="C5" s="21" t="s">
        <x:v>284</x:v>
      </x:c>
      <x:c r="D5" s="25"/>
    </x:row>
    <x:row r="6" ht="15" hidden="0">
      <x:c r="A6" s="2" t="s">
        <x:v>119</x:v>
      </x:c>
      <x:c r="B6" s="24" t="n">
        <x:f aca="0">'Rent Roll'!B19</x:f>
        <x:v>28800</x:v>
      </x:c>
      <x:c r="C6" s="21" t="s">
        <x:v>284</x:v>
      </x:c>
      <x:c r="D6" s="25"/>
    </x:row>
    <x:row r="7" ht="15" hidden="0">
      <x:c r="A7" s="2" t="s">
        <x:v>120</x:v>
      </x:c>
      <x:c r="B7" s="24" t="n">
        <x:f aca="0">'Rent Roll'!B20</x:f>
        <x:v>27200</x:v>
      </x:c>
      <x:c r="C7" s="21" t="s">
        <x:v>284</x:v>
      </x:c>
      <x:c r="D7" s="25"/>
    </x:row>
    <x:row r="8" ht="15" hidden="0">
      <x:c r="A8" s="2" t="s">
        <x:v>285</x:v>
      </x:c>
      <x:c r="B8" s="38" t="n">
        <x:f aca="0">'Rent Roll'!B21</x:f>
        <x:v>90</x:v>
      </x:c>
      <x:c r="C8" s="21" t="s">
        <x:v>286</x:v>
      </x:c>
      <x:c r="D8" s="25" t="s">
        <x:v>287</x:v>
      </x:c>
    </x:row>
    <x:row r="9" ht="15" hidden="0">
      <x:c r="A9" s="2" t="s">
        <x:v>288</x:v>
      </x:c>
      <x:c r="B9" s="38" t="n">
        <x:f aca="0">'Rent Roll'!B22</x:f>
        <x:v>94.44444444444444</x:v>
      </x:c>
      <x:c r="C9" s="21" t="s">
        <x:v>289</x:v>
      </x:c>
      <x:c r="D9" s="25" t="s">
        <x:v>287</x:v>
      </x:c>
    </x:row>
    <x:row r="10" ht="15" hidden="0">
      <x:c r="A10" s="2" t="s">
        <x:v>123</x:v>
      </x:c>
      <x:c r="B10" s="28" t="n">
        <x:f aca="0">'Rent Roll'!B23</x:f>
        <x:v>60000</x:v>
      </x:c>
      <x:c r="C10" s="21" t="s">
        <x:v>290</x:v>
      </x:c>
      <x:c r="D10" s="25" t="s">
        <x:v>291</x:v>
      </x:c>
    </x:row>
    <x:row r="11" ht="15" hidden="0">
      <x:c r="A11" s="2" t="s">
        <x:v>292</x:v>
      </x:c>
      <x:c r="B11" s="28" t="n">
        <x:f aca="0">'Rent Roll'!B25</x:f>
        <x:v>60000</x:v>
      </x:c>
      <x:c r="C11" s="21" t="s">
        <x:v>293</x:v>
      </x:c>
      <x:c r="D11" s="25" t="s">
        <x:v>294</x:v>
      </x:c>
    </x:row>
    <x:row r="12" ht="15" hidden="0">
      <x:c r="A12" s="2" t="s">
        <x:v>163</x:v>
      </x:c>
      <x:c r="B12" s="28" t="n">
        <x:f aca="0">T12!B25</x:f>
        <x:v>866400</x:v>
      </x:c>
      <x:c r="C12" s="21" t="s">
        <x:v>295</x:v>
      </x:c>
      <x:c r="D12" s="25"/>
    </x:row>
    <x:row r="13" ht="15" hidden="0">
      <x:c r="A13" s="2" t="s">
        <x:v>165</x:v>
      </x:c>
      <x:c r="B13" s="28" t="n">
        <x:f aca="0">T12!B26</x:f>
        <x:v>264000</x:v>
      </x:c>
      <x:c r="C13" s="21" t="s">
        <x:v>296</x:v>
      </x:c>
      <x:c r="D13" s="25"/>
    </x:row>
    <x:row r="14" ht="15" hidden="0">
      <x:c r="A14" s="2" t="s">
        <x:v>167</x:v>
      </x:c>
      <x:c r="B14" s="28" t="n">
        <x:f aca="0">T12!B27</x:f>
        <x:v>602400</x:v>
      </x:c>
      <x:c r="C14" s="21" t="s">
        <x:v>297</x:v>
      </x:c>
      <x:c r="D14" s="25"/>
    </x:row>
    <x:row r="15" ht="15" hidden="0">
      <x:c r="A15" s="2" t="s">
        <x:v>168</x:v>
      </x:c>
      <x:c r="B15" s="28" t="n">
        <x:f aca="0">T12!B28</x:f>
        <x:v>11520</x:v>
      </x:c>
      <x:c r="C15" s="21" t="s">
        <x:v>298</x:v>
      </x:c>
      <x:c r="D15" s="25"/>
    </x:row>
    <x:row r="16" ht="15" hidden="0">
      <x:c r="A16" s="2" t="s">
        <x:v>169</x:v>
      </x:c>
      <x:c r="B16" s="28" t="n">
        <x:f aca="0">T12!B29</x:f>
        <x:v>590880</x:v>
      </x:c>
      <x:c r="C16" s="21" t="s">
        <x:v>299</x:v>
      </x:c>
      <x:c r="D16" s="25" t="s">
        <x:v>300</x:v>
      </x:c>
    </x:row>
    <x:row r="17" ht="15" hidden="0">
      <x:c r="A17" s="2" t="s">
        <x:v>301</x:v>
      </x:c>
      <x:c r="B17" s="28" t="n">
        <x:f aca="0">Assumptions!B10</x:f>
        <x:v>921000</x:v>
      </x:c>
      <x:c r="C17" s="21" t="s">
        <x:v>302</x:v>
      </x:c>
      <x:c r="D17" s="25"/>
    </x:row>
    <x:row r="18" ht="15" hidden="0">
      <x:c r="A18" s="2" t="s">
        <x:v>303</x:v>
      </x:c>
      <x:c r="B18" s="28" t="n">
        <x:f aca="0">Assumptions!B19</x:f>
        <x:v>36840</x:v>
      </x:c>
      <x:c r="C18" s="21" t="s">
        <x:v>304</x:v>
      </x:c>
      <x:c r="D18" s="25" t="s">
        <x:v>305</x:v>
      </x:c>
    </x:row>
    <x:row r="19" ht="15" hidden="0">
      <x:c r="A19" s="2" t="s">
        <x:v>306</x:v>
      </x:c>
      <x:c r="B19" s="28" t="n">
        <x:f aca="0">Assumptions!B12+Assumptions!B13+Assumptions!B14+Assumptions!B15+Assumptions!B16+Assumptions!B17+Assumptions!B19</x:f>
        <x:v>291240</x:v>
      </x:c>
      <x:c r="C19" s="21" t="s">
        <x:v>307</x:v>
      </x:c>
      <x:c r="D19" s="25" t="s">
        <x:v>308</x:v>
      </x:c>
    </x:row>
    <x:row r="20" ht="15" hidden="0">
      <x:c r="A20" s="2" t="s">
        <x:v>309</x:v>
      </x:c>
      <x:c r="B20" s="28" t="n">
        <x:f aca="0">Assumptions!B20</x:f>
        <x:v>629760</x:v>
      </x:c>
      <x:c r="C20" s="21" t="s">
        <x:v>310</x:v>
      </x:c>
      <x:c r="D20" s="25"/>
    </x:row>
    <x:row r="21" ht="15" hidden="0">
      <x:c r="A21" s="2" t="s">
        <x:v>311</x:v>
      </x:c>
      <x:c r="B21" s="28" t="n">
        <x:f aca="0">Assumptions!B21</x:f>
        <x:v>4320</x:v>
      </x:c>
      <x:c r="C21" s="21" t="s">
        <x:v>312</x:v>
      </x:c>
      <x:c r="D21" s="25"/>
    </x:row>
    <x:row r="22" ht="15" hidden="0">
      <x:c r="A22" s="2" t="s">
        <x:v>313</x:v>
      </x:c>
      <x:c r="B22" s="28" t="n">
        <x:f aca="0">Assumptions!B22</x:f>
        <x:v>625440</x:v>
      </x:c>
      <x:c r="C22" s="21" t="s">
        <x:v>314</x:v>
      </x:c>
      <x:c r="D22" s="25"/>
    </x:row>
    <x:row r="23" ht="15" hidden="0">
      <x:c r="A23" s="2" t="s">
        <x:v>315</x:v>
      </x:c>
      <x:c r="B23" s="28" t="n">
        <x:f aca="0">'Loan Sizing'!B7</x:f>
        <x:v>10076160</x:v>
      </x:c>
      <x:c r="C23" s="21" t="s">
        <x:v>316</x:v>
      </x:c>
      <x:c r="D23" s="25" t="s">
        <x:v>317</x:v>
      </x:c>
    </x:row>
    <x:row r="24" ht="15" hidden="0">
      <x:c r="A24" s="2" t="s">
        <x:v>318</x:v>
      </x:c>
      <x:c r="B24" s="39" t="n">
        <x:f aca="0">Assumptions!B24</x:f>
        <x:v>0.0635</x:v>
      </x:c>
      <x:c r="C24" s="21" t="s">
        <x:v>319</x:v>
      </x:c>
      <x:c r="D24" s="25" t="s">
        <x:v>320</x:v>
      </x:c>
    </x:row>
    <x:row r="25" ht="15" hidden="0">
      <x:c r="A25" s="2" t="s">
        <x:v>321</x:v>
      </x:c>
      <x:c r="B25" s="39" t="n">
        <x:f aca="0">Assumptions!B25</x:f>
        <x:v>0.0735</x:v>
      </x:c>
      <x:c r="C25" s="21" t="s">
        <x:v>322</x:v>
      </x:c>
      <x:c r="D25" s="25" t="s">
        <x:v>320</x:v>
      </x:c>
    </x:row>
    <x:row r="26" ht="15" hidden="0">
      <x:c r="A26" s="2" t="s">
        <x:v>323</x:v>
      </x:c>
      <x:c r="B26" s="39" t="n">
        <x:f aca="0">'Loan Sizing'!B9</x:f>
        <x:v>0.08751143765366826</x:v>
      </x:c>
      <x:c r="C26" s="21" t="s">
        <x:v>324</x:v>
      </x:c>
      <x:c r="D26" s="25" t="s">
        <x:v>325</x:v>
      </x:c>
    </x:row>
    <x:row r="27" ht="15" hidden="0">
      <x:c r="A27" s="2" t="s">
        <x:v>326</x:v>
      </x:c>
      <x:c r="B27" s="28" t="n">
        <x:f aca="0">'Loan Sizing'!B12</x:f>
        <x:v>6297600</x:v>
      </x:c>
      <x:c r="C27" s="21" t="s">
        <x:v>327</x:v>
      </x:c>
      <x:c r="D27" s="25"/>
    </x:row>
    <x:row r="28" ht="15" hidden="0">
      <x:c r="A28" s="2" t="s">
        <x:v>328</x:v>
      </x:c>
      <x:c r="B28" s="28" t="n">
        <x:f aca="0">'Loan Sizing'!B13</x:f>
        <x:v>5717561.194459779</x:v>
      </x:c>
      <x:c r="C28" s="21" t="s">
        <x:v>329</x:v>
      </x:c>
      <x:c r="D28" s="25"/>
    </x:row>
    <x:row r="29" ht="15" hidden="0">
      <x:c r="A29" s="2" t="s">
        <x:v>330</x:v>
      </x:c>
      <x:c r="B29" s="28" t="n">
        <x:f aca="0">'Loan Sizing'!B14</x:f>
        <x:v>6997333.333333334</x:v>
      </x:c>
      <x:c r="C29" s="21" t="s">
        <x:v>331</x:v>
      </x:c>
      <x:c r="D29" s="25"/>
    </x:row>
    <x:row r="30" ht="15" hidden="0">
      <x:c r="A30" s="2" t="s">
        <x:v>332</x:v>
      </x:c>
      <x:c r="B30" s="28" t="n">
        <x:f aca="0">'Loan Sizing'!B16</x:f>
        <x:v>5717561.194459779</x:v>
      </x:c>
      <x:c r="C30" s="21" t="s">
        <x:v>333</x:v>
      </x:c>
      <x:c r="D30" s="25"/>
    </x:row>
    <x:row r="31" ht="15" hidden="0">
      <x:c r="A31" s="2" t="s">
        <x:v>334</x:v>
      </x:c>
      <x:c r="B31" s="40" t="str">
        <x:f aca="0">'Loan Sizing'!B17</x:f>
        <x:v>DSCR</x:v>
      </x:c>
      <x:c r="C31" s="21" t="s">
        <x:v>335</x:v>
      </x:c>
      <x:c r="D31" s="25"/>
    </x:row>
    <x:row r="32" ht="15" hidden="0">
      <x:c r="A32" s="2" t="s">
        <x:v>336</x:v>
      </x:c>
      <x:c r="B32" s="28" t="n">
        <x:f aca="0">'Loan Sizing'!B19</x:f>
        <x:v>500351.99999999994</x:v>
      </x:c>
      <x:c r="C32" s="21" t="s">
        <x:v>337</x:v>
      </x:c>
      <x:c r="D32" s="25"/>
    </x:row>
    <x:row r="33" ht="15" hidden="0">
      <x:c r="A33" s="2" t="s">
        <x:v>338</x:v>
      </x:c>
      <x:c r="B33" s="41" t="n">
        <x:f aca="0">'Loan Sizing'!B21</x:f>
        <x:v>1.2500000000000002</x:v>
      </x:c>
      <x:c r="C33" s="21" t="s">
        <x:v>339</x:v>
      </x:c>
      <x:c r="D33" s="25" t="s">
        <x:v>340</x:v>
      </x:c>
    </x:row>
    <x:row r="34" ht="15" hidden="0">
      <x:c r="A34" s="2" t="s">
        <x:v>341</x:v>
      </x:c>
      <x:c r="B34" s="32" t="n">
        <x:f aca="0">'Loan Sizing'!B22</x:f>
        <x:v>0.11014486396931385</x:v>
      </x:c>
      <x:c r="C34" s="21" t="s">
        <x:v>342</x:v>
      </x:c>
      <x:c r="D34" s="25"/>
    </x:row>
    <x:row r="35" ht="15" hidden="0">
      <x:c r="A35" s="2" t="s">
        <x:v>343</x:v>
      </x:c>
      <x:c r="B35" s="28" t="n">
        <x:f aca="0">'Loan Sizing'!B20</x:f>
        <x:v>456854.38196324854</x:v>
      </x:c>
      <x:c r="C35" s="21" t="s">
        <x:v>344</x:v>
      </x:c>
      <x:c r="D35" s="25" t="s">
        <x:v>345</x:v>
      </x:c>
    </x:row>
    <x:row r="36" ht="15" hidden="0">
      <x:c r="A36" s="2" t="s">
        <x:v>346</x:v>
      </x:c>
      <x:c r="B36" s="28" t="n">
        <x:f aca="0">'Sources &amp; Uses'!B14</x:f>
        <x:v>1419820.7049041009</x:v>
      </x:c>
      <x:c r="C36" s="21" t="s">
        <x:v>347</x:v>
      </x:c>
      <x:c r="D36" s="25" t="s">
        <x:v>348</x:v>
      </x:c>
    </x:row>
    <x:row r="37" ht="15" hidden="0">
      <x:c r="A37" s="2" t="s">
        <x:v>349</x:v>
      </x:c>
      <x:c r="B37" s="28" t="n">
        <x:f aca="0">Sensitivity!B7</x:f>
        <x:v>585552</x:v>
      </x:c>
      <x:c r="C37" s="21" t="s">
        <x:v>350</x:v>
      </x:c>
      <x:c r="D37" s="25"/>
    </x:row>
    <x:row r="38" ht="15" hidden="0">
      <x:c r="A38" s="2" t="s">
        <x:v>351</x:v>
      </x:c>
      <x:c r="B38" s="28" t="n">
        <x:f aca="0">Sensitivity!B14</x:f>
        <x:v>4873180.558144449</x:v>
      </x:c>
      <x:c r="C38" s="21" t="s">
        <x:v>352</x:v>
      </x:c>
      <x:c r="D38" s="25"/>
    </x:row>
    <x:row r="39" ht="15" hidden="0">
      <x:c r="A39" s="2" t="s">
        <x:v>353</x:v>
      </x:c>
      <x:c r="B39" s="28" t="n">
        <x:f aca="0">3000</x:f>
        <x:v>3000</x:v>
      </x:c>
      <x:c r="C39" s="21" t="s">
        <x:v>354</x:v>
      </x:c>
      <x:c r="D39" s="25"/>
    </x:row>
    <x:row r="40" ht="15" hidden="0">
      <x:c r="A40" s="2" t="s">
        <x:v>355</x:v>
      </x:c>
      <x:c r="B40" s="34" t="s">
        <x:v>356</x:v>
      </x:c>
      <x:c r="C40" s="21" t="s">
        <x:v>357</x:v>
      </x:c>
      <x:c r="D40" s="25" t="s">
        <x:v>358</x:v>
      </x:c>
    </x:row>
    <x:row r="41" ht="15" hidden="0">
      <x:c r="A41" s="2" t="s">
        <x:v>359</x:v>
      </x:c>
      <x:c r="B41" s="28" t="n">
        <x:f aca="0">6000</x:f>
        <x:v>6000</x:v>
      </x:c>
      <x:c r="C41" s="21" t="s">
        <x:v>360</x:v>
      </x:c>
      <x:c r="D41" s="25" t="s">
        <x:v>361</x:v>
      </x:c>
    </x:row>
    <x:row r="42" ht="15" hidden="0">
      <x:c r="A42" s="2" t="s">
        <x:v>362</x:v>
      </x:c>
      <x:c r="B42" s="28" t="n">
        <x:f aca="0">34800</x:f>
        <x:v>34800</x:v>
      </x:c>
      <x:c r="C42" s="21" t="s">
        <x:v>363</x:v>
      </x:c>
      <x:c r="D42" s="25" t="s">
        <x:v>364</x:v>
      </x:c>
    </x:row>
    <x:row r="43" ht="15" hidden="0">
      <x:c r="A43" s="2" t="s">
        <x:v>365</x:v>
      </x:c>
      <x:c r="B43" s="34" t="s">
        <x:v>366</x:v>
      </x:c>
      <x:c r="C43" s="21" t="s">
        <x:v>367</x:v>
      </x:c>
      <x:c r="D43" s="25"/>
    </x:row>
    <x:row r="44" ht="15" hidden="0">
      <x:c r="A44" s="2" t="s">
        <x:v>368</x:v>
      </x:c>
      <x:c r="B44" s="34" t="s">
        <x:v>369</x:v>
      </x:c>
      <x:c r="C44" s="21" t="s">
        <x:v>370</x:v>
      </x:c>
      <x:c r="D44" s="25"/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36" hidden="0" customWidth="1"/>
    <x:col min="2" max="3" width="25" hidden="0" customWidth="1"/>
    <x:col min="4" max="4" width="55" hidden="0" customWidth="1"/>
  </x:cols>
  <x:sheetData>
    <x:row r="1" ht="15" hidden="0" customHeight="1">
      <x:c r="A1" s="1" t="s">
        <x:v>371</x:v>
      </x:c>
      <x:c r="B1" s="1"/>
      <x:c r="C1" s="1"/>
      <x:c r="D1" s="1"/>
    </x:row>
    <x:row r="3" ht="15" hidden="0">
      <x:c r="A3" s="20" t="s">
        <x:v>19</x:v>
      </x:c>
      <x:c r="B3" s="20" t="s">
        <x:v>372</x:v>
      </x:c>
      <x:c r="C3" s="20" t="s">
        <x:v>373</x:v>
      </x:c>
      <x:c r="D3" s="20" t="s">
        <x:v>374</x:v>
      </x:c>
    </x:row>
    <x:row r="4" ht="33.75" hidden="0" customHeight="1">
      <x:c r="A4" s="42" t="s">
        <x:v>375</x:v>
      </x:c>
      <x:c r="B4" s="43" t="s">
        <x:v>376</x:v>
      </x:c>
      <x:c r="C4" s="43" t="s">
        <x:v>377</x:v>
      </x:c>
      <x:c r="D4" s="43" t="s">
        <x:v>378</x:v>
      </x:c>
    </x:row>
    <x:row r="5" ht="33.75" hidden="0" customHeight="1">
      <x:c r="A5" s="42" t="s">
        <x:v>379</x:v>
      </x:c>
      <x:c r="B5" s="43" t="s">
        <x:v>380</x:v>
      </x:c>
      <x:c r="C5" s="43" t="s">
        <x:v>381</x:v>
      </x:c>
      <x:c r="D5" s="43" t="s">
        <x:v>382</x:v>
      </x:c>
    </x:row>
    <x:row r="6" ht="33.75" hidden="0" customHeight="1">
      <x:c r="A6" s="42" t="s">
        <x:v>383</x:v>
      </x:c>
      <x:c r="B6" s="43" t="s">
        <x:v>384</x:v>
      </x:c>
      <x:c r="C6" s="43" t="s">
        <x:v>385</x:v>
      </x:c>
      <x:c r="D6" s="43" t="s">
        <x:v>386</x:v>
      </x:c>
    </x:row>
    <x:row r="7" ht="33.75" hidden="0" customHeight="1">
      <x:c r="A7" s="42" t="s">
        <x:v>387</x:v>
      </x:c>
      <x:c r="B7" s="43" t="s">
        <x:v>388</x:v>
      </x:c>
      <x:c r="C7" s="43" t="s">
        <x:v>389</x:v>
      </x:c>
      <x:c r="D7" s="43" t="s">
        <x:v>390</x:v>
      </x:c>
    </x:row>
    <x:row r="8" ht="33.75" hidden="0" customHeight="1">
      <x:c r="A8" s="42" t="s">
        <x:v>391</x:v>
      </x:c>
      <x:c r="B8" s="43" t="s">
        <x:v>392</x:v>
      </x:c>
      <x:c r="C8" s="43" t="s">
        <x:v>393</x:v>
      </x:c>
      <x:c r="D8" s="43" t="s">
        <x:v>394</x:v>
      </x:c>
    </x:row>
    <x:row r="9" ht="33.75" hidden="0" customHeight="1">
      <x:c r="A9" s="42" t="s">
        <x:v>395</x:v>
      </x:c>
      <x:c r="B9" s="43" t="s">
        <x:v>396</x:v>
      </x:c>
      <x:c r="C9" s="43" t="s">
        <x:v>397</x:v>
      </x:c>
      <x:c r="D9" s="43" t="s">
        <x:v>398</x:v>
      </x:c>
    </x:row>
    <x:row r="10" ht="33.75" hidden="0" customHeight="1">
      <x:c r="A10" s="42" t="s">
        <x:v>399</x:v>
      </x:c>
      <x:c r="B10" s="43" t="s">
        <x:v>400</x:v>
      </x:c>
      <x:c r="C10" s="43" t="s">
        <x:v>401</x:v>
      </x:c>
      <x:c r="D10" s="43" t="s">
        <x:v>402</x:v>
      </x:c>
    </x:row>
    <x:row r="11" ht="33.75" hidden="0" customHeight="1">
      <x:c r="A11" s="42" t="s">
        <x:v>403</x:v>
      </x:c>
      <x:c r="B11" s="43" t="s">
        <x:v>404</x:v>
      </x:c>
      <x:c r="C11" s="43" t="s">
        <x:v>405</x:v>
      </x:c>
      <x:c r="D11" s="43" t="s">
        <x:v>406</x:v>
      </x:c>
    </x:row>
    <x:row r="12" ht="33.75" hidden="0" customHeight="1">
      <x:c r="A12" s="42" t="s">
        <x:v>407</x:v>
      </x:c>
      <x:c r="B12" s="43" t="s">
        <x:v>408</x:v>
      </x:c>
      <x:c r="C12" s="43" t="s">
        <x:v>409</x:v>
      </x:c>
      <x:c r="D12" s="43" t="s">
        <x:v>410</x:v>
      </x:c>
    </x:row>
    <x:row r="13" ht="33.75" hidden="0" customHeight="1">
      <x:c r="A13" s="42" t="s">
        <x:v>411</x:v>
      </x:c>
      <x:c r="B13" s="43" t="s">
        <x:v>412</x:v>
      </x:c>
      <x:c r="C13" s="43" t="s">
        <x:v>413</x:v>
      </x:c>
      <x:c r="D13" s="43" t="s">
        <x:v>414</x:v>
      </x:c>
    </x:row>
    <x:row r="14" ht="33.75" hidden="0" customHeight="1">
      <x:c r="A14" s="42" t="s">
        <x:v>415</x:v>
      </x:c>
      <x:c r="B14" s="43" t="s">
        <x:v>416</x:v>
      </x:c>
      <x:c r="C14" s="43" t="s">
        <x:v>417</x:v>
      </x:c>
      <x:c r="D14" s="43" t="s">
        <x:v>418</x:v>
      </x:c>
    </x:row>
    <x:row r="15" ht="33.75" hidden="0" customHeight="1">
      <x:c r="A15" s="42" t="s">
        <x:v>419</x:v>
      </x:c>
      <x:c r="B15" s="43" t="s">
        <x:v>420</x:v>
      </x:c>
      <x:c r="C15" s="43" t="s">
        <x:v>421</x:v>
      </x:c>
      <x:c r="D15" s="43" t="s">
        <x:v>422</x:v>
      </x:c>
    </x:row>
    <x:row r="16" ht="33.75" hidden="0" customHeight="1">
      <x:c r="A16" s="42" t="s">
        <x:v>423</x:v>
      </x:c>
      <x:c r="B16" s="43" t="s">
        <x:v>424</x:v>
      </x:c>
      <x:c r="C16" s="43" t="s">
        <x:v>425</x:v>
      </x:c>
      <x:c r="D16" s="43" t="s">
        <x:v>426</x:v>
      </x:c>
    </x:row>
  </x:sheetData>
  <x:mergeCells>
    <x:mergeCell ref="A1:D1"/>
  </x:mergeCells>
  <x:pageMargins left="0.7" right="0.7" top="0.75" bottom="0.75" header="0.3" footer="0.3"/>
</x:worksheet>
</file>