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Rent Roll" sheetId="2" state="visible" r:id="rId4"/>
    <sheet name="T12" sheetId="3" state="visible" r:id="rId5"/>
    <sheet name="Assumptions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Analysis Fields" sheetId="8" state="visible" r:id="rId10"/>
    <sheet name="Reconciliat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<sst xmlns="http://schemas.openxmlformats.org/spreadsheetml/2006/main" count="490" uniqueCount="427">
  <si>
    <t xml:space="preserve">Hawthorn Center | Refinance Underwriting Model</t>
  </si>
  <si>
    <t xml:space="preserve">Prepared:</t>
  </si>
  <si>
    <t xml:space="preserve">2026-09-01</t>
  </si>
  <si>
    <t xml:space="preserve">As-of date:</t>
  </si>
  <si>
    <t xml:space="preserve">2026-08-31</t>
  </si>
  <si>
    <t xml:space="preserve">Purpose:</t>
  </si>
  <si>
    <t xml:space="preserve">First-mortgage cash-out refinance sizing (internal review)</t>
  </si>
  <si>
    <t xml:space="preserve">Source packet:</t>
  </si>
  <si>
    <t xml:space="preserve">Property-and-Plan.pdf, Rent-Roll.xlsx, T12-Statement.pdf, Lease-File.pdf, Lender-Terms.pdf</t>
  </si>
  <si>
    <t xml:space="preserve">How to use this workbook</t>
  </si>
  <si>
    <t xml:space="preserve">Editable inputs</t>
  </si>
  <si>
    <t xml:space="preserve">Yellow-filled cells with blue text on the Assumptions tab. Change any and every dependent calculation recalculates.</t>
  </si>
  <si>
    <t xml:space="preserve">Recalculate</t>
  </si>
  <si>
    <t xml:space="preserve">The model uses formulas, not baked values. Open in Excel/LibreOffice and press F9 if needed.</t>
  </si>
  <si>
    <t xml:space="preserve">Never edit</t>
  </si>
  <si>
    <t xml:space="preserve">Black-text formulas and green-text cross-sheet links. Historical T12 numbers on the T12 tab are hardcoded from the source PDF and marked as such.</t>
  </si>
  <si>
    <t xml:space="preserve">Sensitivities</t>
  </si>
  <si>
    <t xml:space="preserve">The Sensitivity tab uses the same formula engine driven by scenario inputs on Assumptions.</t>
  </si>
  <si>
    <t xml:space="preserve">Location map — key inputs and outputs</t>
  </si>
  <si>
    <t xml:space="preserve">Item</t>
  </si>
  <si>
    <t xml:space="preserve">Sheet</t>
  </si>
  <si>
    <t xml:space="preserve">Cell</t>
  </si>
  <si>
    <t xml:space="preserve">Cap rate (input)</t>
  </si>
  <si>
    <t xml:space="preserve">Assumptions</t>
  </si>
  <si>
    <t xml:space="preserve">B26</t>
  </si>
  <si>
    <t xml:space="preserve">Sizing rate (calc)</t>
  </si>
  <si>
    <t xml:space="preserve">B25</t>
  </si>
  <si>
    <t xml:space="preserve">Contract rate (input)</t>
  </si>
  <si>
    <t xml:space="preserve">B24</t>
  </si>
  <si>
    <t xml:space="preserve">Amortization years (input)</t>
  </si>
  <si>
    <t xml:space="preserve">B27</t>
  </si>
  <si>
    <t xml:space="preserve">LTV cap (input)</t>
  </si>
  <si>
    <t xml:space="preserve">B29</t>
  </si>
  <si>
    <t xml:space="preserve">DSCR floor (input)</t>
  </si>
  <si>
    <t xml:space="preserve">B30</t>
  </si>
  <si>
    <t xml:space="preserve">Debt yield floor (input)</t>
  </si>
  <si>
    <t xml:space="preserve">B31</t>
  </si>
  <si>
    <t xml:space="preserve">Origination fee % (input)</t>
  </si>
  <si>
    <t xml:space="preserve">B32</t>
  </si>
  <si>
    <t xml:space="preserve">UW GPR (input)</t>
  </si>
  <si>
    <t xml:space="preserve">B7</t>
  </si>
  <si>
    <t xml:space="preserve">UW combined revenue loss % (input)</t>
  </si>
  <si>
    <t xml:space="preserve">B8</t>
  </si>
  <si>
    <t xml:space="preserve">UW Other income (input)</t>
  </si>
  <si>
    <t xml:space="preserve">B9</t>
  </si>
  <si>
    <t xml:space="preserve">EGI (calculated)</t>
  </si>
  <si>
    <t xml:space="preserve">B10</t>
  </si>
  <si>
    <t xml:space="preserve">UW NOI before reserves (calc)</t>
  </si>
  <si>
    <t xml:space="preserve">B20</t>
  </si>
  <si>
    <t xml:space="preserve">UW NCF after reserves (calc)</t>
  </si>
  <si>
    <t xml:space="preserve">B22</t>
  </si>
  <si>
    <t xml:space="preserve">Indicative value (calc)</t>
  </si>
  <si>
    <t xml:space="preserve">Loan Sizing</t>
  </si>
  <si>
    <t xml:space="preserve">Annual debt constant (calc)</t>
  </si>
  <si>
    <t xml:space="preserve">LTV constraint (calc)</t>
  </si>
  <si>
    <t xml:space="preserve">B12</t>
  </si>
  <si>
    <t xml:space="preserve">DSCR constraint (calc)</t>
  </si>
  <si>
    <t xml:space="preserve">B13</t>
  </si>
  <si>
    <t xml:space="preserve">Debt yield constraint (calc)</t>
  </si>
  <si>
    <t xml:space="preserve">B14</t>
  </si>
  <si>
    <t xml:space="preserve">MAXIMUM LOAN (calc)</t>
  </si>
  <si>
    <t xml:space="preserve">B16</t>
  </si>
  <si>
    <t xml:space="preserve">Binding constraint (calc)</t>
  </si>
  <si>
    <t xml:space="preserve">B17</t>
  </si>
  <si>
    <t xml:space="preserve">First-year debt service (calc)</t>
  </si>
  <si>
    <t xml:space="preserve">Cash to borrower (calc)</t>
  </si>
  <si>
    <t xml:space="preserve">Sources &amp; Uses</t>
  </si>
  <si>
    <t xml:space="preserve">Combined downside — Max loan</t>
  </si>
  <si>
    <t xml:space="preserve">Sensitivity</t>
  </si>
  <si>
    <t xml:space="preserve">Cap rate +50bps — Max loan</t>
  </si>
  <si>
    <t xml:space="preserve">C14</t>
  </si>
  <si>
    <t xml:space="preserve">Legend</t>
  </si>
  <si>
    <t xml:space="preserve">Blue text + yellow fill</t>
  </si>
  <si>
    <t xml:space="preserve">Editable input</t>
  </si>
  <si>
    <t xml:space="preserve">Black text</t>
  </si>
  <si>
    <t xml:space="preserve">Formula (do not overwrite)</t>
  </si>
  <si>
    <t xml:space="preserve">Green text</t>
  </si>
  <si>
    <t xml:space="preserve">Link to another sheet</t>
  </si>
  <si>
    <t xml:space="preserve">Hawthorn Center | Rent Roll — as of 2026-08-31 (source: Rent-Roll.xlsx)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</si>
  <si>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</si>
  <si>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</si>
  <si>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</si>
  <si>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</si>
  <si>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</si>
  <si>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</si>
  <si>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</si>
  <si>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Notes</t>
  </si>
  <si>
    <t xml:space="preserve">101</t>
  </si>
  <si>
    <t xml:space="preserve">Tenant A LLC</t>
  </si>
  <si>
    <t xml:space="preserve">Occupied</t>
  </si>
  <si>
    <t xml:space="preserve">2029-08-31</t>
  </si>
  <si>
    <t xml:space="preserve">See Lease tab — no exercised renewal notice supplied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</si>
  <si>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</si>
  <si>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</si>
  <si>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</si>
  <si>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</si>
  <si>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</si>
  <si>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</si>
  <si>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</si>
  <si>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</si>
  <si>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</si>
  <si>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</si>
  <si>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</si>
  <si>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</si>
  <si>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</si>
  <si>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</si>
  <si>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</si>
  <si>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</si>
  <si>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</si>
  <si>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</si>
  <si>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</si>
  <si>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</si>
  <si>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</si>
  <si>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</si>
  <si>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Vacant — no contractual base rent</t>
  </si>
  <si>
    <t xml:space="preserve">Totals</t>
  </si>
  <si>
    <t xml:space="preserve">Summary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</si>
  <si>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</si>
  <si>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</si>
  <si>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</si>
  <si>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</si>
  <si>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 (0-100)</t>
  </si>
  <si>
    <t xml:space="preserve">occupancy_area_pct (0-100)</t>
  </si>
  <si>
    <t xml:space="preserve">rent_roll_monthly_base</t>
  </si>
  <si>
    <t xml:space="preserve">annualized rent-roll base</t>
  </si>
  <si>
    <t xml:space="preserve">effective_monthly_base (post-amendment)</t>
  </si>
  <si>
    <t xml:space="preserve">Equals rent-roll total; Lease amendment for Unit 101 confirms $3,000/mo — no adjustment</t>
  </si>
  <si>
    <t xml:space="preserve">Hawthorn Center | T12 Sep-2025 through Aug-2026 (source: T12-Statement.pdf)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</si>
  <si>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</si>
  <si>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</si>
  <si>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</si>
  <si>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</si>
  <si>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</si>
  <si>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</si>
  <si>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</si>
  <si>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</si>
  <si>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</si>
  <si>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</si>
  <si>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</si>
  <si>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</si>
  <si>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</si>
  <si>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 (formula)</t>
  </si>
  <si>
    <t xml:space="preserve">Annual (source)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</si>
  <si>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</si>
  <si>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</si>
  <si>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</si>
  <si>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</si>
  <si>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</si>
  <si>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</si>
  <si>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</si>
  <si>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</si>
  <si>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</si>
  <si>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</si>
  <si>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</si>
  <si>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</si>
  <si>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Replacement reserves (below NOI)</t>
  </si>
  <si>
    <t xml:space="preserve">Capital improvements (below cash flow)</t>
  </si>
  <si>
    <t xml:space="preserve">Loan principal and interest (below CF)</t>
  </si>
  <si>
    <t xml:space="preserve">Depreciation (noncash)</t>
  </si>
  <si>
    <t xml:space="preserve">Reconciled T12 (calculated, based on 'Annual (source)')</t>
  </si>
  <si>
    <t xml:space="preserve">t12_gpr</t>
  </si>
  <si>
    <t xml:space="preserve">t12_revenue_loss (vac+conc+bad)</t>
  </si>
  <si>
    <t xml:space="preserve">t12_other_income</t>
  </si>
  <si>
    <t xml:space="preserve">t12_egi</t>
  </si>
  <si>
    <t xml:space="preserve">EGI = GPR + vac + conc + bad + other (vac/conc/bad are negative)</t>
  </si>
  <si>
    <t xml:space="preserve">t12_operating_expenses</t>
  </si>
  <si>
    <t xml:space="preserve">Excludes reserves, capex, debt, depreciation</t>
  </si>
  <si>
    <t xml:space="preserve">t12_noi_before_reserves</t>
  </si>
  <si>
    <t xml:space="preserve">t12_reserves</t>
  </si>
  <si>
    <t xml:space="preserve">t12_ncf</t>
  </si>
  <si>
    <t xml:space="preserve">Underwriting Assumptions — inputs are yellow-fill / blue-text</t>
  </si>
  <si>
    <t xml:space="preserve">Property basics</t>
  </si>
  <si>
    <t xml:space="preserve">Total rentable SF (from Rent Roll)</t>
  </si>
  <si>
    <t xml:space="preserve">Green = link. Source: Rent Roll tab row-total</t>
  </si>
  <si>
    <t xml:space="preserve">As-of date</t>
  </si>
  <si>
    <t xml:space="preserve">Underwriting revenue (from Property-and-Plan.pdf, page 2)</t>
  </si>
  <si>
    <t xml:space="preserve">UW GPR (annual, supplied scenario)</t>
  </si>
  <si>
    <t xml:space="preserve">Plan: $780,000 annual; not inferred from T12</t>
  </si>
  <si>
    <t xml:space="preserve">Combined revenue loss % (vac+conc+bad)</t>
  </si>
  <si>
    <t xml:space="preserve">Plan: 5.00% of UW GPR</t>
  </si>
  <si>
    <t xml:space="preserve">Other income / recoveries (annual)</t>
  </si>
  <si>
    <t xml:space="preserve">Plan: $180,000; add after revenue loss</t>
  </si>
  <si>
    <t xml:space="preserve">UW EGI (calc)</t>
  </si>
  <si>
    <t xml:space="preserve">GPR − loss + other</t>
  </si>
  <si>
    <t xml:space="preserve">Underwriting operating expenses (annual)</t>
  </si>
  <si>
    <t xml:space="preserve">Plan: $120,000</t>
  </si>
  <si>
    <t xml:space="preserve">Plan: fictional insurer renewal 2026-08-25, $34,800</t>
  </si>
  <si>
    <t xml:space="preserve">Utilities (T12 actual)</t>
  </si>
  <si>
    <t xml:space="preserve">Repairs &amp; maintenance (T12 actual; no removal)</t>
  </si>
  <si>
    <t xml:space="preserve">Payroll / contract labor (T12)</t>
  </si>
  <si>
    <t xml:space="preserve">Administrative / legal (T12)</t>
  </si>
  <si>
    <t xml:space="preserve">T12 management fee (for max())</t>
  </si>
  <si>
    <t xml:space="preserve">UW management fee = MAX(T12, 4% × EGI)</t>
  </si>
  <si>
    <t xml:space="preserve">Lender rule: greater of T12 or 4.00% of UW EGI</t>
  </si>
  <si>
    <t xml:space="preserve">UW replacement reserves ($0.15/SF/yr)</t>
  </si>
  <si>
    <t xml:space="preserve">Plan: deduct after NOI</t>
  </si>
  <si>
    <t xml:space="preserve">Lender terms (Lender-Terms.pdf)</t>
  </si>
  <si>
    <t xml:space="preserve">Contract rate (annual)</t>
  </si>
  <si>
    <t xml:space="preserve">Term sheet: 6.35% fixed</t>
  </si>
  <si>
    <t xml:space="preserve">Sizing rate = MAX(contract, 6.35% floor)</t>
  </si>
  <si>
    <t xml:space="preserve">Cap rate (valuation)</t>
  </si>
  <si>
    <t xml:space="preserve">Term sheet: 6.25%</t>
  </si>
  <si>
    <t xml:space="preserve">Amortization (years)</t>
  </si>
  <si>
    <t xml:space="preserve">Term sheet: 25 years, monthly</t>
  </si>
  <si>
    <t xml:space="preserve">IO months</t>
  </si>
  <si>
    <t xml:space="preserve">Term sheet: 0</t>
  </si>
  <si>
    <t xml:space="preserve">LTV cap</t>
  </si>
  <si>
    <t xml:space="preserve">Term sheet: 62.50%</t>
  </si>
  <si>
    <t xml:space="preserve">DSCR minimum</t>
  </si>
  <si>
    <t xml:space="preserve">NCF after reserves / annual amortizing DS at sizing rate</t>
  </si>
  <si>
    <t xml:space="preserve">Debt yield minimum</t>
  </si>
  <si>
    <t xml:space="preserve">Numerator: NOI before reserves</t>
  </si>
  <si>
    <t xml:space="preserve">Origination fee %</t>
  </si>
  <si>
    <t xml:space="preserve">0.80% of actual initial principal</t>
  </si>
  <si>
    <t xml:space="preserve">Transaction context (Property-and-Plan.pdf, page 1)</t>
  </si>
  <si>
    <t xml:space="preserve">Existing debt payoff</t>
  </si>
  <si>
    <t xml:space="preserve">Fixed closing costs</t>
  </si>
  <si>
    <t xml:space="preserve">Sensitivity levers (used on Sensitivity tab)</t>
  </si>
  <si>
    <t xml:space="preserve">Downside — EGI haircut</t>
  </si>
  <si>
    <t xml:space="preserve">Plan: reduce total UW EGI by 5%</t>
  </si>
  <si>
    <t xml:space="preserve">Downside — sizing rate delta (bps)</t>
  </si>
  <si>
    <t xml:space="preserve">Plan: +100 bps in combined downside</t>
  </si>
  <si>
    <t xml:space="preserve">Cap rate sensitivity — delta (bps)</t>
  </si>
  <si>
    <t xml:space="preserve">Plan: separate +50bps cap-rate sensitivity</t>
  </si>
  <si>
    <t xml:space="preserve">Loan sizing at MAX(contract, floor) sizing rate</t>
  </si>
  <si>
    <t xml:space="preserve">Cash flows and valuation</t>
  </si>
  <si>
    <t xml:space="preserve">UW NOI before reserves</t>
  </si>
  <si>
    <t xml:space="preserve">UW NCF after reserves</t>
  </si>
  <si>
    <t xml:space="preserve">Cap rate</t>
  </si>
  <si>
    <t xml:space="preserve">Indicative value (NOI-before-reserves / cap)</t>
  </si>
  <si>
    <t xml:space="preserve">Debt constant</t>
  </si>
  <si>
    <t xml:space="preserve">Annual debt constant at sizing rate (25-yr amort, monthly)</t>
  </si>
  <si>
    <t xml:space="preserve">PMT-based; per $1 of principal, ×12 = annual constant</t>
  </si>
  <si>
    <t xml:space="preserve">Three constraints</t>
  </si>
  <si>
    <t xml:space="preserve">LTV = Value × LTV cap</t>
  </si>
  <si>
    <t xml:space="preserve">LTV maximum principal</t>
  </si>
  <si>
    <t xml:space="preserve">DSCR maximum principal = NCF / DSCR / debt constant</t>
  </si>
  <si>
    <t xml:space="preserve">Debt yield max principal = NOI / DY min</t>
  </si>
  <si>
    <t xml:space="preserve">Binding result</t>
  </si>
  <si>
    <t xml:space="preserve">MAXIMUM LOAN (min of three)</t>
  </si>
  <si>
    <t xml:space="preserve">Binding constraint</t>
  </si>
  <si>
    <t xml:space="preserve">Debt service and coverage at max loan</t>
  </si>
  <si>
    <t xml:space="preserve">Sizing annual debt service (at sizing rate)</t>
  </si>
  <si>
    <t xml:space="preserve">First-year debt service (contract rate, IO respected)</t>
  </si>
  <si>
    <t xml:space="preserve">IO months &gt; 0 → interest-only; otherwise contract-rate amortizing</t>
  </si>
  <si>
    <t xml:space="preserve">Sizing DSCR (NCF / sizing DS)</t>
  </si>
  <si>
    <t xml:space="preserve">Sizing debt yield (NOI / max loan)</t>
  </si>
  <si>
    <t xml:space="preserve">Sources &amp; Uses — closing</t>
  </si>
  <si>
    <t xml:space="preserve">Sources</t>
  </si>
  <si>
    <t xml:space="preserve">First-mortgage proceeds</t>
  </si>
  <si>
    <t xml:space="preserve">Borrower cash (if cash-in)</t>
  </si>
  <si>
    <t xml:space="preserve">Zero if cash-out</t>
  </si>
  <si>
    <t xml:space="preserve">Total sources</t>
  </si>
  <si>
    <t xml:space="preserve">Uses</t>
  </si>
  <si>
    <t xml:space="preserve">Origination fee (0.80% of loan)</t>
  </si>
  <si>
    <t xml:space="preserve">Cash to borrower (if cash-out)</t>
  </si>
  <si>
    <t xml:space="preserve">Total uses</t>
  </si>
  <si>
    <t xml:space="preserve">Net cash to (from) borrower</t>
  </si>
  <si>
    <t xml:space="preserve">Cash to borrower = Loan − Payoff − Origination − Fixed closing</t>
  </si>
  <si>
    <t xml:space="preserve">Positive = cash out; negative = cash in required</t>
  </si>
  <si>
    <t xml:space="preserve">Sensitivity — Combined downside and Cap-rate stress</t>
  </si>
  <si>
    <t xml:space="preserve">Scenario</t>
  </si>
  <si>
    <t xml:space="preserve">Combined downside: EGI × (1+haircut), sizing rate + delta</t>
  </si>
  <si>
    <t xml:space="preserve">Cap rate + delta (bps)</t>
  </si>
  <si>
    <t xml:space="preserve">Stressed EGI</t>
  </si>
  <si>
    <t xml:space="preserve">Downside: apply EGI haircut on Assumptions!B37; cap-rate scenario keeps EGI unchanged</t>
  </si>
  <si>
    <t xml:space="preserve">Recalculated management fee</t>
  </si>
  <si>
    <t xml:space="preserve">Total operating expenses (other + recalculated mgmt)</t>
  </si>
  <si>
    <t xml:space="preserve">NOI (before reserves)</t>
  </si>
  <si>
    <t xml:space="preserve">Replacement reserves</t>
  </si>
  <si>
    <t xml:space="preserve">NCF (after reserves)</t>
  </si>
  <si>
    <t xml:space="preserve">Sizing rate</t>
  </si>
  <si>
    <t xml:space="preserve">Annual debt constant</t>
  </si>
  <si>
    <t xml:space="preserve">Indicative value (NOI / cap)</t>
  </si>
  <si>
    <t xml:space="preserve">LTV constraint</t>
  </si>
  <si>
    <t xml:space="preserve">MAXIMUM LOAN (stress)</t>
  </si>
  <si>
    <t xml:space="preserve">Combined downside binds where DSCR is tightest given lower NCF and higher rate; cap-rate scenario compresses LTV</t>
  </si>
  <si>
    <t xml:space="preserve">Binding constraint (stress)</t>
  </si>
  <si>
    <t xml:space="preserve">Delta vs base max loan</t>
  </si>
  <si>
    <t xml:space="preserve">Requested analysis fields — with sources</t>
  </si>
  <si>
    <t xml:space="preserve">Field ID</t>
  </si>
  <si>
    <t xml:space="preserve">Value</t>
  </si>
  <si>
    <t xml:space="preserve">Source / calculation</t>
  </si>
  <si>
    <t xml:space="preserve">Rent Roll tab; source: Rent-Roll.xlsx</t>
  </si>
  <si>
    <t xml:space="preserve">Rent Roll tab</t>
  </si>
  <si>
    <t xml:space="preserve">occupancy_count_pct</t>
  </si>
  <si>
    <t xml:space="preserve">9 of 10 units occupied</t>
  </si>
  <si>
    <t xml:space="preserve">Percent 0-100</t>
  </si>
  <si>
    <t xml:space="preserve">occupancy_area_pct</t>
  </si>
  <si>
    <t xml:space="preserve">27,200 of 28,800 SF occupied</t>
  </si>
  <si>
    <t xml:space="preserve">Sum of column E on Rent Roll</t>
  </si>
  <si>
    <t xml:space="preserve">USD monthly</t>
  </si>
  <si>
    <t xml:space="preserve">effective_monthly_base</t>
  </si>
  <si>
    <t xml:space="preserve">Rent Roll total; Lease-File.pdf confirms Unit 101 $3,000/mo</t>
  </si>
  <si>
    <t xml:space="preserve">No exercised amendment changing contractual rent supplied</t>
  </si>
  <si>
    <t xml:space="preserve">T12 source annuals: GPR+other+(vac+conc+bad)</t>
  </si>
  <si>
    <t xml:space="preserve">T12; excludes reserves, capex, debt, depreciation</t>
  </si>
  <si>
    <t xml:space="preserve">T12 EGI − OpEx</t>
  </si>
  <si>
    <t xml:space="preserve">T12 replacement reserves (below NOI)</t>
  </si>
  <si>
    <t xml:space="preserve">T12 NOI − reserves</t>
  </si>
  <si>
    <t xml:space="preserve">Debt principal/interest and capex NOT included per lender rule</t>
  </si>
  <si>
    <t xml:space="preserve">uw_egi</t>
  </si>
  <si>
    <t xml:space="preserve">Assumptions: GPR − 5% loss + Other</t>
  </si>
  <si>
    <t xml:space="preserve">uw_management_fee</t>
  </si>
  <si>
    <t xml:space="preserve">MAX(T12 mgmt, 4% × UW EGI)</t>
  </si>
  <si>
    <t xml:space="preserve">4% × EGI binds ($36,840 &gt; $18,000)</t>
  </si>
  <si>
    <t xml:space="preserve">uw_operating_expenses</t>
  </si>
  <si>
    <t xml:space="preserve">Sum of UW OpEx line items (incl. lender-normalized mgmt)</t>
  </si>
  <si>
    <t xml:space="preserve">Excludes reserves</t>
  </si>
  <si>
    <t xml:space="preserve">uw_noi_before_reserves</t>
  </si>
  <si>
    <t xml:space="preserve">UW EGI − UW OpEx</t>
  </si>
  <si>
    <t xml:space="preserve">uw_reserves</t>
  </si>
  <si>
    <t xml:space="preserve">$0.15 × total SF</t>
  </si>
  <si>
    <t xml:space="preserve">uw_ncf</t>
  </si>
  <si>
    <t xml:space="preserve">UW NOI − reserves</t>
  </si>
  <si>
    <t xml:space="preserve">capitalization_value</t>
  </si>
  <si>
    <t xml:space="preserve">UW NOI-before-reserves / 6.25%</t>
  </si>
  <si>
    <t xml:space="preserve">Indicative; not an appraisal</t>
  </si>
  <si>
    <t xml:space="preserve">contract_rate</t>
  </si>
  <si>
    <t xml:space="preserve">Lender-Terms.pdf: 6.35% contract</t>
  </si>
  <si>
    <t xml:space="preserve">Decimal</t>
  </si>
  <si>
    <t xml:space="preserve">sizing_rate</t>
  </si>
  <si>
    <t xml:space="preserve">MAX(contract, 6.35% floor)</t>
  </si>
  <si>
    <t xml:space="preserve">annual_debt_constant</t>
  </si>
  <si>
    <t xml:space="preserve">PMT(sizing/12, 25×12, 1) × 12</t>
  </si>
  <si>
    <t xml:space="preserve">Per $1 of principal</t>
  </si>
  <si>
    <t xml:space="preserve">ltv_limit</t>
  </si>
  <si>
    <t xml:space="preserve">Value × 62.5%</t>
  </si>
  <si>
    <t xml:space="preserve">dscr_limit</t>
  </si>
  <si>
    <t xml:space="preserve">NCF / 1.25 / debt constant</t>
  </si>
  <si>
    <t xml:space="preserve">debt_yield_limit</t>
  </si>
  <si>
    <t xml:space="preserve">NOI / 9.00%</t>
  </si>
  <si>
    <t xml:space="preserve">maximum_loan</t>
  </si>
  <si>
    <t xml:space="preserve">MIN of the three constraints</t>
  </si>
  <si>
    <t xml:space="preserve">binding_constraint</t>
  </si>
  <si>
    <t xml:space="preserve">Auto-labeled</t>
  </si>
  <si>
    <t xml:space="preserve">sizing_annual_debt_service</t>
  </si>
  <si>
    <t xml:space="preserve">Max loan × annual debt constant</t>
  </si>
  <si>
    <t xml:space="preserve">sizing_dscr</t>
  </si>
  <si>
    <t xml:space="preserve">NCF / sizing DS</t>
  </si>
  <si>
    <t xml:space="preserve">≈ 1.25x by construction (DSCR-bound)</t>
  </si>
  <si>
    <t xml:space="preserve">sizing_debt_yield</t>
  </si>
  <si>
    <t xml:space="preserve">NOI / max loan</t>
  </si>
  <si>
    <t xml:space="preserve">first_year_debt_service</t>
  </si>
  <si>
    <t xml:space="preserve">IO=0 → contract-rate amortizing DS</t>
  </si>
  <si>
    <t xml:space="preserve">Equals sizing DS because contract = sizing rate</t>
  </si>
  <si>
    <t xml:space="preserve">cash_to_borrower</t>
  </si>
  <si>
    <t xml:space="preserve">Loan − payoff − origination − fixed closing</t>
  </si>
  <si>
    <t xml:space="preserve">Positive = cash out</t>
  </si>
  <si>
    <t xml:space="preserve">stress_uw_noi</t>
  </si>
  <si>
    <t xml:space="preserve">EGI −5%; mgmt recalc; other opex unchanged</t>
  </si>
  <si>
    <t xml:space="preserve">stress_maximum_loan</t>
  </si>
  <si>
    <t xml:space="preserve">Combined downside: EGI −5% AND sizing +100 bps; cap unchanged</t>
  </si>
  <si>
    <t xml:space="preserve">subject_lease_monthly_rent</t>
  </si>
  <si>
    <t xml:space="preserve">Lease-File.pdf §3: base rent $3,000/mo as of 2026-08-31</t>
  </si>
  <si>
    <t xml:space="preserve">subject_lease_expiry</t>
  </si>
  <si>
    <t xml:space="preserve">"2029-08-31"</t>
  </si>
  <si>
    <t xml:space="preserve">Lease-File.pdf §2: initial term expires 2029-08-31</t>
  </si>
  <si>
    <t xml:space="preserve">Renewal option not evidenced as exercised</t>
  </si>
  <si>
    <t xml:space="preserve">subject_lease_deposit</t>
  </si>
  <si>
    <t xml:space="preserve">Lease-File.pdf §4</t>
  </si>
  <si>
    <t xml:space="preserve">Not prepaid rent or recurring income</t>
  </si>
  <si>
    <t xml:space="preserve">verified_renewal_insurance</t>
  </si>
  <si>
    <t xml:space="preserve">Property-and-Plan.pdf: fictional insurer renewal 2026-08-25</t>
  </si>
  <si>
    <t xml:space="preserve">Supplied in plan; treat as verified per instruction</t>
  </si>
  <si>
    <t xml:space="preserve">renewal_option_exercised</t>
  </si>
  <si>
    <t xml:space="preserve">"No"</t>
  </si>
  <si>
    <t xml:space="preserve">Lease-File.pdf §5: option exists; no exercise notice supplied</t>
  </si>
  <si>
    <t xml:space="preserve">prepayment_friction</t>
  </si>
  <si>
    <t xml:space="preserve">"No bank prepayment penalty; a separately documented interest-rate swap may carry a termination payment or receipt — 'no penalty' does not mean cost-free exit."</t>
  </si>
  <si>
    <t xml:space="preserve">Lender-Terms.pdf</t>
  </si>
  <si>
    <t xml:space="preserve">Reconciliation and evidence flags</t>
  </si>
  <si>
    <t xml:space="preserve">Source A</t>
  </si>
  <si>
    <t xml:space="preserve">Source B / Rule</t>
  </si>
  <si>
    <t xml:space="preserve">Resolution</t>
  </si>
  <si>
    <t xml:space="preserve">Unit 101 rent</t>
  </si>
  <si>
    <t xml:space="preserve">Rent Roll: $3,000/mo</t>
  </si>
  <si>
    <t xml:space="preserve">Lease-File.pdf §3: $3,000/mo, no increase before 2027-09-01</t>
  </si>
  <si>
    <t xml:space="preserve">Consistent — no amendment overrides</t>
  </si>
  <si>
    <t xml:space="preserve">Unit 101 expiry</t>
  </si>
  <si>
    <t xml:space="preserve">Rent Roll: 2029-08-31</t>
  </si>
  <si>
    <t xml:space="preserve">Lease §2 initial term expires 2029-08-31; §5 renewal option not exercised</t>
  </si>
  <si>
    <t xml:space="preserve">Use 2029-08-31; option existence does not extend expiry</t>
  </si>
  <si>
    <t xml:space="preserve">Insurance premium (UW)</t>
  </si>
  <si>
    <t xml:space="preserve">Property-Plan: $34,800 renewal quote (2026-08-25)</t>
  </si>
  <si>
    <t xml:space="preserve">T12 actual insurance $32,400</t>
  </si>
  <si>
    <t xml:space="preserve">Per plan: use $34,800 for UW</t>
  </si>
  <si>
    <t xml:space="preserve">Real estate taxes (UW)</t>
  </si>
  <si>
    <t xml:space="preserve">Property-Plan: $120,000</t>
  </si>
  <si>
    <t xml:space="preserve">T12 actual $114,000</t>
  </si>
  <si>
    <t xml:space="preserve">Per plan: use $120,000 for UW</t>
  </si>
  <si>
    <t xml:space="preserve">Management fee (UW)</t>
  </si>
  <si>
    <t xml:space="preserve">T12 $18,000</t>
  </si>
  <si>
    <t xml:space="preserve">Lender rule: MAX(T12, 4% × UW EGI) = MAX($18,000, $36,840) = $36,840</t>
  </si>
  <si>
    <t xml:space="preserve">4% × EGI binds</t>
  </si>
  <si>
    <t xml:space="preserve">Replacement reserves (UW)</t>
  </si>
  <si>
    <t xml:space="preserve">Plan: $0.15/SF/yr</t>
  </si>
  <si>
    <t xml:space="preserve">T12 actual $11,520 (~$0.40/SF)</t>
  </si>
  <si>
    <t xml:space="preserve">Per plan: $0.15 × 28,800 = $4,320</t>
  </si>
  <si>
    <t xml:space="preserve">R&amp;M one-time removal</t>
  </si>
  <si>
    <t xml:space="preserve">T12 $36,000</t>
  </si>
  <si>
    <t xml:space="preserve">Plan: 'remove $0 of one-time casualty cleanup'</t>
  </si>
  <si>
    <t xml:space="preserve">No removal; use T12 as-is</t>
  </si>
  <si>
    <t xml:space="preserve">Utilities / Payroll / Admin</t>
  </si>
  <si>
    <t xml:space="preserve">T12 actuals</t>
  </si>
  <si>
    <t xml:space="preserve">Plan: use T12 actual</t>
  </si>
  <si>
    <t xml:space="preserve">Use T12 values</t>
  </si>
  <si>
    <t xml:space="preserve">Historical 'property NOI' label</t>
  </si>
  <si>
    <t xml:space="preserve">T12 accounting shows cash flow after reserves</t>
  </si>
  <si>
    <t xml:space="preserve">Plan: preserve reported line; separately identify NOI before reserves and NCF after reserves</t>
  </si>
  <si>
    <t xml:space="preserve">We show both explicitly on T12 and Assumptions tabs</t>
  </si>
  <si>
    <t xml:space="preserve">Debt / capex / depreciation</t>
  </si>
  <si>
    <t xml:space="preserve">T12 lists below cash flow</t>
  </si>
  <si>
    <t xml:space="preserve">Plan: not operating expenses</t>
  </si>
  <si>
    <t xml:space="preserve">Excluded from OpEx totals</t>
  </si>
  <si>
    <t xml:space="preserve">Cap rate 6.25% vs 6.75%</t>
  </si>
  <si>
    <t xml:space="preserve">Term sheet cap 6.25%</t>
  </si>
  <si>
    <t xml:space="preserve">Downside instruction: separate +50 bps cap sensitivity</t>
  </si>
  <si>
    <t xml:space="preserve">Base uses 6.25%; sensitivity tab computes +50 bps case</t>
  </si>
  <si>
    <t xml:space="preserve">Prepay 'no penalty'</t>
  </si>
  <si>
    <t xml:space="preserve">Term sheet: 'no bank prepayment penalty'</t>
  </si>
  <si>
    <t xml:space="preserve">Term sheet also notes swap termination may be payable/receivable</t>
  </si>
  <si>
    <t xml:space="preserve">Report both — 'no penalty' ≠ cost-free exit</t>
  </si>
  <si>
    <t xml:space="preserve">Appraisal / comps / sponsor track</t>
  </si>
  <si>
    <t xml:space="preserve">Not supplied</t>
  </si>
  <si>
    <t xml:space="preserve">Plan explicitly states none supplied</t>
  </si>
  <si>
    <t xml:space="preserve">Left unknown; not inferred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</si>
</sst>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#,##0"/>
    <numFmt numFmtId="171" formatCode="_(\$* #,##0_);_(\$* \(#,##0\);_(\$* \-_);_(@_)"/>
    <numFmt numFmtId="172" formatCode="0.00"/>
    <numFmt numFmtId="173" formatCode="0.00%;\(0.00%\);\-"/>
    <numFmt numFmtId="174" formatCode="0.00\x"/>
    <numFmt numFmtId="175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7" customFormat="false" ht="15" hidden="false" customHeight="true" outlineLevel="0" collapsed="false">
      <c r="A7" s="3" t="s">
        <v>9</v>
      </c>
      <c r="B7" s="3"/>
      <c r="C7" s="3"/>
    </row>
    <row r="8" customFormat="false" ht="15" hidden="false" customHeight="true" outlineLevel="0" collapsed="false">
      <c r="A8" s="4" t="s">
        <v>10</v>
      </c>
      <c r="B8" s="5" t="s">
        <v>11</v>
      </c>
      <c r="C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</row>
    <row r="10" customFormat="false" ht="15" hidden="false" customHeight="true" outlineLevel="0" collapsed="false">
      <c r="A10" s="4" t="s">
        <v>14</v>
      </c>
      <c r="B10" s="5" t="s">
        <v>15</v>
      </c>
      <c r="C10" s="5"/>
    </row>
    <row r="11" customFormat="false" ht="15" hidden="false" customHeight="true" outlineLevel="0" collapsed="false">
      <c r="A11" s="4" t="s">
        <v>16</v>
      </c>
      <c r="B11" s="5" t="s">
        <v>17</v>
      </c>
      <c r="C11" s="5"/>
    </row>
    <row r="13" customFormat="false" ht="15" hidden="false" customHeight="true" outlineLevel="0" collapsed="false">
      <c r="A13" s="3" t="s">
        <v>18</v>
      </c>
      <c r="B13" s="3"/>
      <c r="C13" s="3"/>
    </row>
    <row r="14" customFormat="false" ht="15" hidden="false" customHeight="false" outlineLevel="0" collapsed="false">
      <c r="A14" s="6" t="s">
        <v>19</v>
      </c>
      <c r="B14" s="6" t="s">
        <v>20</v>
      </c>
      <c r="C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</row>
    <row r="16" customFormat="false" ht="15" hidden="false" customHeight="false" outlineLevel="0" collapsed="false">
      <c r="A16" s="7" t="s">
        <v>25</v>
      </c>
      <c r="B16" s="7" t="s">
        <v>23</v>
      </c>
      <c r="C16" s="7" t="s">
        <v>26</v>
      </c>
    </row>
    <row r="17" customFormat="false" ht="15" hidden="false" customHeight="false" outlineLevel="0" collapsed="false">
      <c r="A17" s="7" t="s">
        <v>27</v>
      </c>
      <c r="B17" s="7" t="s">
        <v>23</v>
      </c>
      <c r="C17" s="7" t="s">
        <v>28</v>
      </c>
    </row>
    <row r="18" customFormat="false" ht="15" hidden="false" customHeight="false" outlineLevel="0" collapsed="false">
      <c r="A18" s="7" t="s">
        <v>29</v>
      </c>
      <c r="B18" s="7" t="s">
        <v>23</v>
      </c>
      <c r="C18" s="7" t="s">
        <v>30</v>
      </c>
    </row>
    <row r="19" customFormat="false" ht="15" hidden="false" customHeight="false" outlineLevel="0" collapsed="false">
      <c r="A19" s="7" t="s">
        <v>31</v>
      </c>
      <c r="B19" s="7" t="s">
        <v>23</v>
      </c>
      <c r="C19" s="7" t="s">
        <v>32</v>
      </c>
    </row>
    <row r="20" customFormat="false" ht="15" hidden="false" customHeight="false" outlineLevel="0" collapsed="false">
      <c r="A20" s="7" t="s">
        <v>33</v>
      </c>
      <c r="B20" s="7" t="s">
        <v>23</v>
      </c>
      <c r="C20" s="7" t="s">
        <v>34</v>
      </c>
    </row>
    <row r="21" customFormat="false" ht="15" hidden="false" customHeight="false" outlineLevel="0" collapsed="false">
      <c r="A21" s="7" t="s">
        <v>35</v>
      </c>
      <c r="B21" s="7" t="s">
        <v>23</v>
      </c>
      <c r="C21" s="7" t="s">
        <v>36</v>
      </c>
    </row>
    <row r="22" customFormat="false" ht="15" hidden="false" customHeight="false" outlineLevel="0" collapsed="false">
      <c r="A22" s="7" t="s">
        <v>37</v>
      </c>
      <c r="B22" s="7" t="s">
        <v>23</v>
      </c>
      <c r="C22" s="7" t="s">
        <v>38</v>
      </c>
    </row>
    <row r="23" customFormat="false" ht="15" hidden="false" customHeight="false" outlineLevel="0" collapsed="false">
      <c r="A23" s="7" t="s">
        <v>39</v>
      </c>
      <c r="B23" s="7" t="s">
        <v>23</v>
      </c>
      <c r="C23" s="7" t="s">
        <v>40</v>
      </c>
    </row>
    <row r="24" customFormat="false" ht="23.85" hidden="false" customHeight="false" outlineLevel="0" collapsed="false">
      <c r="A24" s="7" t="s">
        <v>41</v>
      </c>
      <c r="B24" s="7" t="s">
        <v>23</v>
      </c>
      <c r="C24" s="7" t="s">
        <v>42</v>
      </c>
    </row>
    <row r="25" customFormat="false" ht="15" hidden="false" customHeight="false" outlineLevel="0" collapsed="false">
      <c r="A25" s="7" t="s">
        <v>43</v>
      </c>
      <c r="B25" s="7" t="s">
        <v>23</v>
      </c>
      <c r="C25" s="7" t="s">
        <v>44</v>
      </c>
    </row>
    <row r="26" customFormat="false" ht="15" hidden="false" customHeight="false" outlineLevel="0" collapsed="false">
      <c r="A26" s="7" t="s">
        <v>45</v>
      </c>
      <c r="B26" s="7" t="s">
        <v>23</v>
      </c>
      <c r="C26" s="7" t="s">
        <v>46</v>
      </c>
    </row>
    <row r="27" customFormat="false" ht="15" hidden="false" customHeight="false" outlineLevel="0" collapsed="false">
      <c r="A27" s="7" t="s">
        <v>47</v>
      </c>
      <c r="B27" s="7" t="s">
        <v>23</v>
      </c>
      <c r="C27" s="7" t="s">
        <v>48</v>
      </c>
    </row>
    <row r="28" customFormat="false" ht="15" hidden="false" customHeight="false" outlineLevel="0" collapsed="false">
      <c r="A28" s="7" t="s">
        <v>49</v>
      </c>
      <c r="B28" s="7" t="s">
        <v>23</v>
      </c>
      <c r="C28" s="7" t="s">
        <v>50</v>
      </c>
    </row>
    <row r="29" customFormat="false" ht="15" hidden="false" customHeight="false" outlineLevel="0" collapsed="false">
      <c r="A29" s="7" t="s">
        <v>51</v>
      </c>
      <c r="B29" s="7" t="s">
        <v>52</v>
      </c>
      <c r="C29" s="7" t="s">
        <v>40</v>
      </c>
    </row>
    <row r="30" customFormat="false" ht="15" hidden="false" customHeight="false" outlineLevel="0" collapsed="false">
      <c r="A30" s="7" t="s">
        <v>53</v>
      </c>
      <c r="B30" s="7" t="s">
        <v>52</v>
      </c>
      <c r="C30" s="7" t="s">
        <v>44</v>
      </c>
    </row>
    <row r="31" customFormat="false" ht="15" hidden="false" customHeight="false" outlineLevel="0" collapsed="false">
      <c r="A31" s="7" t="s">
        <v>54</v>
      </c>
      <c r="B31" s="7" t="s">
        <v>52</v>
      </c>
      <c r="C31" s="7" t="s">
        <v>55</v>
      </c>
    </row>
    <row r="32" customFormat="false" ht="15" hidden="false" customHeight="false" outlineLevel="0" collapsed="false">
      <c r="A32" s="7" t="s">
        <v>56</v>
      </c>
      <c r="B32" s="7" t="s">
        <v>52</v>
      </c>
      <c r="C32" s="7" t="s">
        <v>57</v>
      </c>
    </row>
    <row r="33" customFormat="false" ht="15" hidden="false" customHeight="false" outlineLevel="0" collapsed="false">
      <c r="A33" s="7" t="s">
        <v>58</v>
      </c>
      <c r="B33" s="7" t="s">
        <v>52</v>
      </c>
      <c r="C33" s="7" t="s">
        <v>59</v>
      </c>
    </row>
    <row r="34" customFormat="false" ht="15" hidden="false" customHeight="false" outlineLevel="0" collapsed="false">
      <c r="A34" s="7" t="s">
        <v>60</v>
      </c>
      <c r="B34" s="7" t="s">
        <v>52</v>
      </c>
      <c r="C34" s="7" t="s">
        <v>61</v>
      </c>
    </row>
    <row r="35" customFormat="false" ht="15" hidden="false" customHeight="false" outlineLevel="0" collapsed="false">
      <c r="A35" s="7" t="s">
        <v>62</v>
      </c>
      <c r="B35" s="7" t="s">
        <v>52</v>
      </c>
      <c r="C35" s="7" t="s">
        <v>63</v>
      </c>
    </row>
    <row r="36" customFormat="false" ht="15" hidden="false" customHeight="false" outlineLevel="0" collapsed="false">
      <c r="A36" s="7" t="s">
        <v>64</v>
      </c>
      <c r="B36" s="7" t="s">
        <v>52</v>
      </c>
      <c r="C36" s="7" t="s">
        <v>48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59</v>
      </c>
    </row>
    <row r="38" customFormat="false" ht="15" hidden="false" customHeight="false" outlineLevel="0" collapsed="false">
      <c r="A38" s="7" t="s">
        <v>67</v>
      </c>
      <c r="B38" s="7" t="s">
        <v>68</v>
      </c>
      <c r="C38" s="7" t="s">
        <v>59</v>
      </c>
    </row>
    <row r="39" customFormat="false" ht="15" hidden="false" customHeight="false" outlineLevel="0" collapsed="false">
      <c r="A39" s="7" t="s">
        <v>69</v>
      </c>
      <c r="B39" s="7" t="s">
        <v>68</v>
      </c>
      <c r="C39" s="7" t="s">
        <v>70</v>
      </c>
    </row>
    <row r="41" customFormat="false" ht="15" hidden="false" customHeight="true" outlineLevel="0" collapsed="false">
      <c r="A41" s="3" t="s">
        <v>71</v>
      </c>
      <c r="B41" s="3"/>
      <c r="C41" s="3"/>
    </row>
    <row r="42" customFormat="false" ht="15" hidden="false" customHeight="false" outlineLevel="0" collapsed="false">
      <c r="A42" s="2" t="s">
        <v>72</v>
      </c>
      <c r="B42" s="0" t="s">
        <v>73</v>
      </c>
    </row>
    <row r="43" customFormat="false" ht="15" hidden="false" customHeight="false" outlineLevel="0" collapsed="false">
      <c r="A43" s="2" t="s">
        <v>74</v>
      </c>
      <c r="B43" s="0" t="s">
        <v>75</v>
      </c>
    </row>
    <row r="44" customFormat="false" ht="15" hidden="false" customHeight="false" outlineLevel="0" collapsed="false">
      <c r="A44" s="2" t="s">
        <v>76</v>
      </c>
      <c r="B44" s="0" t="s">
        <v>77</v>
      </c>
    </row>
  </sheetData>
  <mergeCells count="8">
    <mergeCell ref="A1:C1"/>
    <mergeCell ref="A7:C7"/>
    <mergeCell ref="B8:C8"/>
    <mergeCell ref="B9:C9"/>
    <mergeCell ref="B10:C10"/>
    <mergeCell ref="B11:C11"/>
    <mergeCell ref="A13:C13"/>
    <mergeCell ref="A41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customFormat="false" ht="35.05" hidden="false" customHeight="false" outlineLevel="0" collapsed="false">
      <c r="A4" s="9" t="s">
        <v>87</v>
      </c>
      <c r="B4" s="9" t="s">
        <v>88</v>
      </c>
      <c r="C4" s="10" t="n">
        <v>1400</v>
      </c>
      <c r="D4" s="9" t="s">
        <v>89</v>
      </c>
      <c r="E4" s="11" t="n">
        <v>3000</v>
      </c>
      <c r="F4" s="11" t="n">
        <v>3000</v>
      </c>
      <c r="G4" s="9" t="s">
        <v>90</v>
      </c>
      <c r="H4" s="9" t="s">
        <v>91</v>
      </c>
    </row>
    <row r="5" customFormat="false" ht="15" hidden="false" customHeight="false" outlineLevel="0" collapsed="false">
      <c r="A5" s="9" t="s">
        <v>92</v>
      </c>
      <c r="B5" s="9" t="s">
        <v>93</v>
      </c>
      <c r="C5" s="10" t="n">
        <v>1800</v>
      </c>
      <c r="D5" s="9" t="s">
        <v>89</v>
      </c>
      <c r="E5" s="11" t="n">
        <v>4000</v>
      </c>
      <c r="F5" s="11" t="n">
        <v>4000</v>
      </c>
      <c r="G5" s="9" t="s">
        <v>94</v>
      </c>
      <c r="H5" s="9"/>
    </row>
    <row r="6" customFormat="false" ht="15" hidden="false" customHeight="false" outlineLevel="0" collapsed="false">
      <c r="A6" s="9" t="s">
        <v>95</v>
      </c>
      <c r="B6" s="9" t="s">
        <v>96</v>
      </c>
      <c r="C6" s="10" t="n">
        <v>2200</v>
      </c>
      <c r="D6" s="9" t="s">
        <v>89</v>
      </c>
      <c r="E6" s="11" t="n">
        <v>4900</v>
      </c>
      <c r="F6" s="11" t="n">
        <v>4900</v>
      </c>
      <c r="G6" s="9" t="s">
        <v>90</v>
      </c>
      <c r="H6" s="9"/>
    </row>
    <row r="7" customFormat="false" ht="15" hidden="false" customHeight="false" outlineLevel="0" collapsed="false">
      <c r="A7" s="9" t="s">
        <v>97</v>
      </c>
      <c r="B7" s="9" t="s">
        <v>98</v>
      </c>
      <c r="C7" s="10" t="n">
        <v>2500</v>
      </c>
      <c r="D7" s="9" t="s">
        <v>89</v>
      </c>
      <c r="E7" s="11" t="n">
        <v>5600</v>
      </c>
      <c r="F7" s="11" t="n">
        <v>5600</v>
      </c>
      <c r="G7" s="9" t="s">
        <v>99</v>
      </c>
      <c r="H7" s="9"/>
    </row>
    <row r="8" customFormat="false" ht="15" hidden="false" customHeight="false" outlineLevel="0" collapsed="false">
      <c r="A8" s="9" t="s">
        <v>100</v>
      </c>
      <c r="B8" s="9" t="s">
        <v>101</v>
      </c>
      <c r="C8" s="10" t="n">
        <v>3000</v>
      </c>
      <c r="D8" s="9" t="s">
        <v>89</v>
      </c>
      <c r="E8" s="11" t="n">
        <v>6500</v>
      </c>
      <c r="F8" s="11" t="n">
        <v>6500</v>
      </c>
      <c r="G8" s="9" t="s">
        <v>102</v>
      </c>
      <c r="H8" s="9"/>
    </row>
    <row r="9" customFormat="false" ht="15" hidden="false" customHeight="false" outlineLevel="0" collapsed="false">
      <c r="A9" s="9" t="s">
        <v>103</v>
      </c>
      <c r="B9" s="9" t="s">
        <v>104</v>
      </c>
      <c r="C9" s="10" t="n">
        <v>3300</v>
      </c>
      <c r="D9" s="9" t="s">
        <v>89</v>
      </c>
      <c r="E9" s="11" t="n">
        <v>7400</v>
      </c>
      <c r="F9" s="11" t="n">
        <v>7400</v>
      </c>
      <c r="G9" s="9" t="s">
        <v>105</v>
      </c>
      <c r="H9" s="9"/>
    </row>
    <row r="10" customFormat="false" ht="15" hidden="false" customHeight="false" outlineLevel="0" collapsed="false">
      <c r="A10" s="9" t="s">
        <v>106</v>
      </c>
      <c r="B10" s="9" t="s">
        <v>107</v>
      </c>
      <c r="C10" s="10" t="n">
        <v>3800</v>
      </c>
      <c r="D10" s="9" t="s">
        <v>89</v>
      </c>
      <c r="E10" s="11" t="n">
        <v>8600</v>
      </c>
      <c r="F10" s="11" t="n">
        <v>8600</v>
      </c>
      <c r="G10" s="9" t="s">
        <v>94</v>
      </c>
      <c r="H10" s="9"/>
    </row>
    <row r="11" customFormat="false" ht="15" hidden="false" customHeight="false" outlineLevel="0" collapsed="false">
      <c r="A11" s="9" t="s">
        <v>108</v>
      </c>
      <c r="B11" s="9" t="s">
        <v>109</v>
      </c>
      <c r="C11" s="10" t="n">
        <v>4200</v>
      </c>
      <c r="D11" s="9" t="s">
        <v>89</v>
      </c>
      <c r="E11" s="11" t="n">
        <v>9200</v>
      </c>
      <c r="F11" s="11" t="n">
        <v>9200</v>
      </c>
      <c r="G11" s="9" t="s">
        <v>90</v>
      </c>
      <c r="H11" s="9"/>
    </row>
    <row r="12" customFormat="false" ht="15" hidden="false" customHeight="false" outlineLevel="0" collapsed="false">
      <c r="A12" s="9" t="s">
        <v>110</v>
      </c>
      <c r="B12" s="9" t="s">
        <v>111</v>
      </c>
      <c r="C12" s="10" t="n">
        <v>5000</v>
      </c>
      <c r="D12" s="9" t="s">
        <v>89</v>
      </c>
      <c r="E12" s="11" t="n">
        <v>10800</v>
      </c>
      <c r="F12" s="11" t="n">
        <v>10800</v>
      </c>
      <c r="G12" s="9" t="s">
        <v>99</v>
      </c>
      <c r="H12" s="9"/>
    </row>
    <row r="13" customFormat="false" ht="23.85" hidden="false" customHeight="false" outlineLevel="0" collapsed="false">
      <c r="A13" s="9" t="s">
        <v>112</v>
      </c>
      <c r="B13" s="9" t="s">
        <v>113</v>
      </c>
      <c r="C13" s="10" t="n">
        <v>1600</v>
      </c>
      <c r="D13" s="9" t="s">
        <v>113</v>
      </c>
      <c r="E13" s="11"/>
      <c r="F13" s="11" t="n">
        <v>3400</v>
      </c>
      <c r="G13" s="9"/>
      <c r="H13" s="9" t="s">
        <v>114</v>
      </c>
    </row>
    <row r="14" customFormat="false" ht="15" hidden="false" customHeight="false" outlineLevel="0" collapsed="false">
      <c r="A14" s="6" t="s">
        <v>115</v>
      </c>
      <c r="B14" s="12"/>
      <c r="C14" s="13" t="n">
        <f aca="false">SUM(C4:C13)</f>
        <v>28800</v>
      </c>
      <c r="D14" s="12"/>
      <c r="E14" s="14" t="n">
        <f aca="false">SUM(E4:E13)</f>
        <v>60000</v>
      </c>
      <c r="F14" s="14" t="n">
        <f aca="false">SUM(F4:F13)</f>
        <v>63400</v>
      </c>
      <c r="G14" s="12"/>
      <c r="H14" s="12"/>
    </row>
    <row r="16" customFormat="false" ht="15" hidden="false" customHeight="false" outlineLevel="0" collapsed="false">
      <c r="A16" s="15" t="s">
        <v>116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2" t="s">
        <v>117</v>
      </c>
      <c r="B17" s="16" t="n">
        <f aca="false">COUNTA(A4:A13)</f>
        <v>10</v>
      </c>
    </row>
    <row r="18" customFormat="false" ht="15" hidden="false" customHeight="false" outlineLevel="0" collapsed="false">
      <c r="A18" s="2" t="s">
        <v>118</v>
      </c>
      <c r="B18" s="16" t="n">
        <f aca="false">COUNTIF(D4:D13,"Occupied")</f>
        <v>9</v>
      </c>
    </row>
    <row r="19" customFormat="false" ht="15" hidden="false" customHeight="false" outlineLevel="0" collapsed="false">
      <c r="A19" s="2" t="s">
        <v>119</v>
      </c>
      <c r="B19" s="16" t="n">
        <f aca="false">SUM(C4:C13)</f>
        <v>28800</v>
      </c>
    </row>
    <row r="20" customFormat="false" ht="15" hidden="false" customHeight="false" outlineLevel="0" collapsed="false">
      <c r="A20" s="2" t="s">
        <v>120</v>
      </c>
      <c r="B20" s="16" t="n">
        <f aca="false">SUMIF(D4:D13,"Occupied",C4:C13)</f>
        <v>27200</v>
      </c>
    </row>
    <row r="21" customFormat="false" ht="15" hidden="false" customHeight="false" outlineLevel="0" collapsed="false">
      <c r="A21" s="2" t="s">
        <v>121</v>
      </c>
      <c r="B21" s="17" t="n">
        <f aca="false">COUNTIF(D4:D13,"Occupied")/COUNTA(A4:A13)*100</f>
        <v>90</v>
      </c>
    </row>
    <row r="22" customFormat="false" ht="15" hidden="false" customHeight="false" outlineLevel="0" collapsed="false">
      <c r="A22" s="2" t="s">
        <v>122</v>
      </c>
      <c r="B22" s="17" t="n">
        <f aca="false">SUMIF(D4:D13,"Occupied",C4:C13)/SUM(C4:C13)*100</f>
        <v>94.4444444444444</v>
      </c>
    </row>
    <row r="23" customFormat="false" ht="15" hidden="false" customHeight="false" outlineLevel="0" collapsed="false">
      <c r="A23" s="2" t="s">
        <v>123</v>
      </c>
      <c r="B23" s="18" t="n">
        <f aca="false">SUM(E4:E13)</f>
        <v>60000</v>
      </c>
    </row>
    <row r="24" customFormat="false" ht="15" hidden="false" customHeight="false" outlineLevel="0" collapsed="false">
      <c r="A24" s="2" t="s">
        <v>124</v>
      </c>
      <c r="B24" s="18" t="n">
        <f aca="false">SUM(E4:E13)*12</f>
        <v>720000</v>
      </c>
    </row>
    <row r="25" customFormat="false" ht="15" hidden="false" customHeight="false" outlineLevel="0" collapsed="false">
      <c r="A25" s="2" t="s">
        <v>125</v>
      </c>
      <c r="B25" s="18" t="n">
        <f aca="false">SUM(E4:E13)</f>
        <v>60000</v>
      </c>
      <c r="C25" s="19" t="s">
        <v>126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  <col collapsed="false" customWidth="true" hidden="false" outlineLevel="0" max="15" min="15" style="0" width="13"/>
  </cols>
  <sheetData>
    <row r="1" customFormat="false" ht="1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6" t="s">
        <v>128</v>
      </c>
      <c r="B3" s="20" t="s">
        <v>129</v>
      </c>
      <c r="C3" s="20" t="s">
        <v>130</v>
      </c>
      <c r="D3" s="20" t="s">
        <v>131</v>
      </c>
      <c r="E3" s="20" t="s">
        <v>132</v>
      </c>
      <c r="F3" s="20" t="s">
        <v>133</v>
      </c>
      <c r="G3" s="20" t="s">
        <v>134</v>
      </c>
      <c r="H3" s="20" t="s">
        <v>135</v>
      </c>
      <c r="I3" s="20" t="s">
        <v>136</v>
      </c>
      <c r="J3" s="20" t="s">
        <v>137</v>
      </c>
      <c r="K3" s="20" t="s">
        <v>138</v>
      </c>
      <c r="L3" s="20" t="s">
        <v>139</v>
      </c>
      <c r="M3" s="20" t="s">
        <v>140</v>
      </c>
      <c r="N3" s="6" t="s">
        <v>141</v>
      </c>
      <c r="O3" s="6" t="s">
        <v>142</v>
      </c>
    </row>
    <row r="4" customFormat="false" ht="15" hidden="false" customHeight="false" outlineLevel="0" collapsed="false">
      <c r="A4" s="21" t="s">
        <v>143</v>
      </c>
      <c r="B4" s="18" t="n">
        <v>59502</v>
      </c>
      <c r="C4" s="18" t="n">
        <v>60768</v>
      </c>
      <c r="D4" s="18" t="n">
        <v>62034</v>
      </c>
      <c r="E4" s="18" t="n">
        <v>62667</v>
      </c>
      <c r="F4" s="18" t="n">
        <v>63933</v>
      </c>
      <c r="G4" s="18" t="n">
        <v>65199</v>
      </c>
      <c r="H4" s="18" t="n">
        <v>65832</v>
      </c>
      <c r="I4" s="18" t="n">
        <v>67098</v>
      </c>
      <c r="J4" s="18" t="n">
        <v>65199</v>
      </c>
      <c r="K4" s="18" t="n">
        <v>63933</v>
      </c>
      <c r="L4" s="18" t="n">
        <v>62034</v>
      </c>
      <c r="M4" s="18" t="n">
        <v>61401</v>
      </c>
      <c r="N4" s="18" t="n">
        <f aca="false">SUM(B4:M4)</f>
        <v>759600</v>
      </c>
      <c r="O4" s="22" t="n">
        <v>759600</v>
      </c>
    </row>
    <row r="5" customFormat="false" ht="15" hidden="false" customHeight="false" outlineLevel="0" collapsed="false">
      <c r="A5" s="21" t="s">
        <v>144</v>
      </c>
      <c r="B5" s="18" t="n">
        <v>-3264</v>
      </c>
      <c r="C5" s="18" t="n">
        <v>-3332</v>
      </c>
      <c r="D5" s="18" t="n">
        <v>-3366</v>
      </c>
      <c r="E5" s="18" t="n">
        <v>-3434</v>
      </c>
      <c r="F5" s="18" t="n">
        <v>-3502</v>
      </c>
      <c r="G5" s="18" t="n">
        <v>-3536</v>
      </c>
      <c r="H5" s="18" t="n">
        <v>-3604</v>
      </c>
      <c r="I5" s="18" t="n">
        <v>-3502</v>
      </c>
      <c r="J5" s="18" t="n">
        <v>-3434</v>
      </c>
      <c r="K5" s="18" t="n">
        <v>-3332</v>
      </c>
      <c r="L5" s="18" t="n">
        <v>-3298</v>
      </c>
      <c r="M5" s="18" t="n">
        <v>-3196</v>
      </c>
      <c r="N5" s="18" t="n">
        <f aca="false">SUM(B5:M5)</f>
        <v>-40800</v>
      </c>
      <c r="O5" s="22" t="n">
        <v>-40800</v>
      </c>
    </row>
    <row r="6" customFormat="false" ht="15" hidden="false" customHeight="false" outlineLevel="0" collapsed="false">
      <c r="A6" s="21" t="s">
        <v>145</v>
      </c>
      <c r="B6" s="18" t="n">
        <v>-1862</v>
      </c>
      <c r="C6" s="18" t="n">
        <v>-1881</v>
      </c>
      <c r="D6" s="18" t="n">
        <v>-1919</v>
      </c>
      <c r="E6" s="18" t="n">
        <v>-1957</v>
      </c>
      <c r="F6" s="18" t="n">
        <v>-1976</v>
      </c>
      <c r="G6" s="18" t="n">
        <v>-2014</v>
      </c>
      <c r="H6" s="18" t="n">
        <v>-1957</v>
      </c>
      <c r="I6" s="18" t="n">
        <v>-1919</v>
      </c>
      <c r="J6" s="18" t="n">
        <v>-1862</v>
      </c>
      <c r="K6" s="18" t="n">
        <v>-1843</v>
      </c>
      <c r="L6" s="18" t="n">
        <v>-1786</v>
      </c>
      <c r="M6" s="18" t="n">
        <v>-1824</v>
      </c>
      <c r="N6" s="18" t="n">
        <f aca="false">SUM(B6:M6)</f>
        <v>-22800</v>
      </c>
      <c r="O6" s="22" t="n">
        <v>-22800</v>
      </c>
    </row>
    <row r="7" customFormat="false" ht="15" hidden="false" customHeight="false" outlineLevel="0" collapsed="false">
      <c r="A7" s="21" t="s">
        <v>146</v>
      </c>
      <c r="B7" s="18" t="n">
        <v>-495</v>
      </c>
      <c r="C7" s="18" t="n">
        <v>-505</v>
      </c>
      <c r="D7" s="18" t="n">
        <v>-515</v>
      </c>
      <c r="E7" s="18" t="n">
        <v>-520</v>
      </c>
      <c r="F7" s="18" t="n">
        <v>-530</v>
      </c>
      <c r="G7" s="18" t="n">
        <v>-515</v>
      </c>
      <c r="H7" s="18" t="n">
        <v>-505</v>
      </c>
      <c r="I7" s="18" t="n">
        <v>-490</v>
      </c>
      <c r="J7" s="18" t="n">
        <v>-485</v>
      </c>
      <c r="K7" s="18" t="n">
        <v>-470</v>
      </c>
      <c r="L7" s="18" t="n">
        <v>-480</v>
      </c>
      <c r="M7" s="18" t="n">
        <v>-490</v>
      </c>
      <c r="N7" s="18" t="n">
        <f aca="false">SUM(B7:M7)</f>
        <v>-6000</v>
      </c>
      <c r="O7" s="22" t="n">
        <v>-6000</v>
      </c>
    </row>
    <row r="8" customFormat="false" ht="15" hidden="false" customHeight="false" outlineLevel="0" collapsed="false">
      <c r="A8" s="21" t="s">
        <v>147</v>
      </c>
      <c r="B8" s="18" t="n">
        <v>14847</v>
      </c>
      <c r="C8" s="18" t="n">
        <v>15141</v>
      </c>
      <c r="D8" s="18" t="n">
        <v>15288</v>
      </c>
      <c r="E8" s="18" t="n">
        <v>15582</v>
      </c>
      <c r="F8" s="18" t="n">
        <v>15141</v>
      </c>
      <c r="G8" s="18" t="n">
        <v>14847</v>
      </c>
      <c r="H8" s="18" t="n">
        <v>14406</v>
      </c>
      <c r="I8" s="18" t="n">
        <v>14259</v>
      </c>
      <c r="J8" s="18" t="n">
        <v>13818</v>
      </c>
      <c r="K8" s="18" t="n">
        <v>14112</v>
      </c>
      <c r="L8" s="18" t="n">
        <v>14406</v>
      </c>
      <c r="M8" s="18" t="n">
        <v>14553</v>
      </c>
      <c r="N8" s="18" t="n">
        <f aca="false">SUM(B8:M8)</f>
        <v>176400</v>
      </c>
      <c r="O8" s="22" t="n">
        <v>176400</v>
      </c>
    </row>
    <row r="9" customFormat="false" ht="15" hidden="false" customHeight="false" outlineLevel="0" collapsed="false">
      <c r="A9" s="21" t="s">
        <v>148</v>
      </c>
      <c r="B9" s="18" t="n">
        <v>9785</v>
      </c>
      <c r="C9" s="18" t="n">
        <v>9880</v>
      </c>
      <c r="D9" s="18" t="n">
        <v>10070</v>
      </c>
      <c r="E9" s="18" t="n">
        <v>9785</v>
      </c>
      <c r="F9" s="18" t="n">
        <v>9595</v>
      </c>
      <c r="G9" s="18" t="n">
        <v>9310</v>
      </c>
      <c r="H9" s="18" t="n">
        <v>9215</v>
      </c>
      <c r="I9" s="18" t="n">
        <v>8930</v>
      </c>
      <c r="J9" s="18" t="n">
        <v>9120</v>
      </c>
      <c r="K9" s="18" t="n">
        <v>9310</v>
      </c>
      <c r="L9" s="18" t="n">
        <v>9405</v>
      </c>
      <c r="M9" s="18" t="n">
        <v>9595</v>
      </c>
      <c r="N9" s="18" t="n">
        <f aca="false">SUM(B9:M9)</f>
        <v>114000</v>
      </c>
      <c r="O9" s="22" t="n">
        <v>114000</v>
      </c>
    </row>
    <row r="10" customFormat="false" ht="15" hidden="false" customHeight="false" outlineLevel="0" collapsed="false">
      <c r="A10" s="21" t="s">
        <v>149</v>
      </c>
      <c r="B10" s="18" t="n">
        <v>2808</v>
      </c>
      <c r="C10" s="18" t="n">
        <v>2862</v>
      </c>
      <c r="D10" s="18" t="n">
        <v>2781</v>
      </c>
      <c r="E10" s="18" t="n">
        <v>2727</v>
      </c>
      <c r="F10" s="18" t="n">
        <v>2646</v>
      </c>
      <c r="G10" s="18" t="n">
        <v>2619</v>
      </c>
      <c r="H10" s="18" t="n">
        <v>2538</v>
      </c>
      <c r="I10" s="18" t="n">
        <v>2592</v>
      </c>
      <c r="J10" s="18" t="n">
        <v>2646</v>
      </c>
      <c r="K10" s="18" t="n">
        <v>2673</v>
      </c>
      <c r="L10" s="18" t="n">
        <v>2727</v>
      </c>
      <c r="M10" s="18" t="n">
        <v>2781</v>
      </c>
      <c r="N10" s="18" t="n">
        <f aca="false">SUM(B10:M10)</f>
        <v>32400</v>
      </c>
      <c r="O10" s="22" t="n">
        <v>32400</v>
      </c>
    </row>
    <row r="11" customFormat="false" ht="15" hidden="false" customHeight="false" outlineLevel="0" collapsed="false">
      <c r="A11" s="21" t="s">
        <v>150</v>
      </c>
      <c r="B11" s="18" t="n">
        <v>1908</v>
      </c>
      <c r="C11" s="18" t="n">
        <v>1854</v>
      </c>
      <c r="D11" s="18" t="n">
        <v>1818</v>
      </c>
      <c r="E11" s="18" t="n">
        <v>1764</v>
      </c>
      <c r="F11" s="18" t="n">
        <v>1746</v>
      </c>
      <c r="G11" s="18" t="n">
        <v>1692</v>
      </c>
      <c r="H11" s="18" t="n">
        <v>1728</v>
      </c>
      <c r="I11" s="18" t="n">
        <v>1764</v>
      </c>
      <c r="J11" s="18" t="n">
        <v>1782</v>
      </c>
      <c r="K11" s="18" t="n">
        <v>1818</v>
      </c>
      <c r="L11" s="18" t="n">
        <v>1854</v>
      </c>
      <c r="M11" s="18" t="n">
        <v>1872</v>
      </c>
      <c r="N11" s="18" t="n">
        <f aca="false">SUM(B11:M11)</f>
        <v>21600</v>
      </c>
      <c r="O11" s="22" t="n">
        <v>21600</v>
      </c>
    </row>
    <row r="12" customFormat="false" ht="15" hidden="false" customHeight="false" outlineLevel="0" collapsed="false">
      <c r="A12" s="21" t="s">
        <v>151</v>
      </c>
      <c r="B12" s="18" t="n">
        <v>3090</v>
      </c>
      <c r="C12" s="18" t="n">
        <v>3030</v>
      </c>
      <c r="D12" s="18" t="n">
        <v>2940</v>
      </c>
      <c r="E12" s="18" t="n">
        <v>2910</v>
      </c>
      <c r="F12" s="18" t="n">
        <v>2820</v>
      </c>
      <c r="G12" s="18" t="n">
        <v>2880</v>
      </c>
      <c r="H12" s="18" t="n">
        <v>2940</v>
      </c>
      <c r="I12" s="18" t="n">
        <v>2970</v>
      </c>
      <c r="J12" s="18" t="n">
        <v>3030</v>
      </c>
      <c r="K12" s="18" t="n">
        <v>3090</v>
      </c>
      <c r="L12" s="18" t="n">
        <v>3120</v>
      </c>
      <c r="M12" s="18" t="n">
        <v>3180</v>
      </c>
      <c r="N12" s="18" t="n">
        <f aca="false">SUM(B12:M12)</f>
        <v>36000</v>
      </c>
      <c r="O12" s="22" t="n">
        <v>36000</v>
      </c>
    </row>
    <row r="13" customFormat="false" ht="15" hidden="false" customHeight="false" outlineLevel="0" collapsed="false">
      <c r="A13" s="21" t="s">
        <v>152</v>
      </c>
      <c r="B13" s="18" t="n">
        <v>2020</v>
      </c>
      <c r="C13" s="18" t="n">
        <v>1960</v>
      </c>
      <c r="D13" s="18" t="n">
        <v>1940</v>
      </c>
      <c r="E13" s="18" t="n">
        <v>1880</v>
      </c>
      <c r="F13" s="18" t="n">
        <v>1920</v>
      </c>
      <c r="G13" s="18" t="n">
        <v>1960</v>
      </c>
      <c r="H13" s="18" t="n">
        <v>1980</v>
      </c>
      <c r="I13" s="18" t="n">
        <v>2020</v>
      </c>
      <c r="J13" s="18" t="n">
        <v>2060</v>
      </c>
      <c r="K13" s="18" t="n">
        <v>2080</v>
      </c>
      <c r="L13" s="18" t="n">
        <v>2120</v>
      </c>
      <c r="M13" s="18" t="n">
        <v>2060</v>
      </c>
      <c r="N13" s="18" t="n">
        <f aca="false">SUM(B13:M13)</f>
        <v>24000</v>
      </c>
      <c r="O13" s="22" t="n">
        <v>24000</v>
      </c>
    </row>
    <row r="14" customFormat="false" ht="15" hidden="false" customHeight="false" outlineLevel="0" collapsed="false">
      <c r="A14" s="21" t="s">
        <v>153</v>
      </c>
      <c r="B14" s="18" t="n">
        <v>1470</v>
      </c>
      <c r="C14" s="18" t="n">
        <v>1455</v>
      </c>
      <c r="D14" s="18" t="n">
        <v>1410</v>
      </c>
      <c r="E14" s="18" t="n">
        <v>1440</v>
      </c>
      <c r="F14" s="18" t="n">
        <v>1470</v>
      </c>
      <c r="G14" s="18" t="n">
        <v>1485</v>
      </c>
      <c r="H14" s="18" t="n">
        <v>1515</v>
      </c>
      <c r="I14" s="18" t="n">
        <v>1545</v>
      </c>
      <c r="J14" s="18" t="n">
        <v>1560</v>
      </c>
      <c r="K14" s="18" t="n">
        <v>1590</v>
      </c>
      <c r="L14" s="18" t="n">
        <v>1545</v>
      </c>
      <c r="M14" s="18" t="n">
        <v>1515</v>
      </c>
      <c r="N14" s="18" t="n">
        <f aca="false">SUM(B14:M14)</f>
        <v>18000</v>
      </c>
      <c r="O14" s="22" t="n">
        <v>18000</v>
      </c>
    </row>
    <row r="15" customFormat="false" ht="15" hidden="false" customHeight="false" outlineLevel="0" collapsed="false">
      <c r="A15" s="21" t="s">
        <v>154</v>
      </c>
      <c r="B15" s="18" t="n">
        <v>1455</v>
      </c>
      <c r="C15" s="18" t="n">
        <v>1410</v>
      </c>
      <c r="D15" s="18" t="n">
        <v>1440</v>
      </c>
      <c r="E15" s="18" t="n">
        <v>1470</v>
      </c>
      <c r="F15" s="18" t="n">
        <v>1485</v>
      </c>
      <c r="G15" s="18" t="n">
        <v>1515</v>
      </c>
      <c r="H15" s="18" t="n">
        <v>1545</v>
      </c>
      <c r="I15" s="18" t="n">
        <v>1560</v>
      </c>
      <c r="J15" s="18" t="n">
        <v>1590</v>
      </c>
      <c r="K15" s="18" t="n">
        <v>1545</v>
      </c>
      <c r="L15" s="18" t="n">
        <v>1515</v>
      </c>
      <c r="M15" s="18" t="n">
        <v>1470</v>
      </c>
      <c r="N15" s="18" t="n">
        <f aca="false">SUM(B15:M15)</f>
        <v>18000</v>
      </c>
      <c r="O15" s="22" t="n">
        <v>18000</v>
      </c>
    </row>
    <row r="16" customFormat="false" ht="15" hidden="false" customHeight="false" outlineLevel="0" collapsed="false">
      <c r="A16" s="21" t="s">
        <v>155</v>
      </c>
      <c r="B16" s="18" t="n">
        <v>902</v>
      </c>
      <c r="C16" s="18" t="n">
        <v>922</v>
      </c>
      <c r="D16" s="18" t="n">
        <v>941</v>
      </c>
      <c r="E16" s="18" t="n">
        <v>950</v>
      </c>
      <c r="F16" s="18" t="n">
        <v>970</v>
      </c>
      <c r="G16" s="18" t="n">
        <v>989</v>
      </c>
      <c r="H16" s="18" t="n">
        <v>998</v>
      </c>
      <c r="I16" s="18" t="n">
        <v>1018</v>
      </c>
      <c r="J16" s="18" t="n">
        <v>989</v>
      </c>
      <c r="K16" s="18" t="n">
        <v>970</v>
      </c>
      <c r="L16" s="18" t="n">
        <v>941</v>
      </c>
      <c r="M16" s="18" t="n">
        <v>930</v>
      </c>
      <c r="N16" s="18" t="n">
        <f aca="false">SUM(B16:M16)</f>
        <v>11520</v>
      </c>
      <c r="O16" s="22" t="n">
        <v>11520</v>
      </c>
    </row>
    <row r="17" customFormat="false" ht="23.85" hidden="false" customHeight="false" outlineLevel="0" collapsed="false">
      <c r="A17" s="21" t="s">
        <v>156</v>
      </c>
      <c r="B17" s="18" t="n">
        <v>5920</v>
      </c>
      <c r="C17" s="18" t="n">
        <v>6043</v>
      </c>
      <c r="D17" s="18" t="n">
        <v>6105</v>
      </c>
      <c r="E17" s="18" t="n">
        <v>6228</v>
      </c>
      <c r="F17" s="18" t="n">
        <v>6352</v>
      </c>
      <c r="G17" s="18" t="n">
        <v>6413</v>
      </c>
      <c r="H17" s="18" t="n">
        <v>6537</v>
      </c>
      <c r="I17" s="18" t="n">
        <v>6352</v>
      </c>
      <c r="J17" s="18" t="n">
        <v>6228</v>
      </c>
      <c r="K17" s="18" t="n">
        <v>6043</v>
      </c>
      <c r="L17" s="18" t="n">
        <v>5982</v>
      </c>
      <c r="M17" s="18" t="n">
        <v>5797</v>
      </c>
      <c r="N17" s="18" t="n">
        <f aca="false">SUM(B17:M17)</f>
        <v>74000</v>
      </c>
      <c r="O17" s="22" t="n">
        <v>74000</v>
      </c>
    </row>
    <row r="18" customFormat="false" ht="23.85" hidden="false" customHeight="false" outlineLevel="0" collapsed="false">
      <c r="A18" s="21" t="s">
        <v>157</v>
      </c>
      <c r="B18" s="18" t="n">
        <v>24010</v>
      </c>
      <c r="C18" s="18" t="n">
        <v>24255</v>
      </c>
      <c r="D18" s="18" t="n">
        <v>24745</v>
      </c>
      <c r="E18" s="18" t="n">
        <v>25235</v>
      </c>
      <c r="F18" s="18" t="n">
        <v>25480</v>
      </c>
      <c r="G18" s="18" t="n">
        <v>25970</v>
      </c>
      <c r="H18" s="18" t="n">
        <v>25235</v>
      </c>
      <c r="I18" s="18" t="n">
        <v>24745</v>
      </c>
      <c r="J18" s="18" t="n">
        <v>24010</v>
      </c>
      <c r="K18" s="18" t="n">
        <v>23765</v>
      </c>
      <c r="L18" s="18" t="n">
        <v>23030</v>
      </c>
      <c r="M18" s="18" t="n">
        <v>23520</v>
      </c>
      <c r="N18" s="18" t="n">
        <f aca="false">SUM(B18:M18)</f>
        <v>294000</v>
      </c>
      <c r="O18" s="22" t="n">
        <v>294000</v>
      </c>
    </row>
    <row r="19" customFormat="false" ht="15" hidden="false" customHeight="false" outlineLevel="0" collapsed="false">
      <c r="A19" s="21" t="s">
        <v>158</v>
      </c>
      <c r="B19" s="18" t="n">
        <v>14850</v>
      </c>
      <c r="C19" s="18" t="n">
        <v>15150</v>
      </c>
      <c r="D19" s="18" t="n">
        <v>15450</v>
      </c>
      <c r="E19" s="18" t="n">
        <v>15600</v>
      </c>
      <c r="F19" s="18" t="n">
        <v>15900</v>
      </c>
      <c r="G19" s="18" t="n">
        <v>15450</v>
      </c>
      <c r="H19" s="18" t="n">
        <v>15150</v>
      </c>
      <c r="I19" s="18" t="n">
        <v>14700</v>
      </c>
      <c r="J19" s="18" t="n">
        <v>14550</v>
      </c>
      <c r="K19" s="18" t="n">
        <v>14100</v>
      </c>
      <c r="L19" s="18" t="n">
        <v>14400</v>
      </c>
      <c r="M19" s="18" t="n">
        <v>14700</v>
      </c>
      <c r="N19" s="18" t="n">
        <f aca="false">SUM(B19:M19)</f>
        <v>180000</v>
      </c>
      <c r="O19" s="22" t="n">
        <v>180000</v>
      </c>
    </row>
    <row r="21" customFormat="false" ht="15" hidden="false" customHeight="false" outlineLevel="0" collapsed="false">
      <c r="A21" s="15" t="s">
        <v>159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2" t="s">
        <v>160</v>
      </c>
      <c r="B22" s="18" t="n">
        <f aca="false">O4</f>
        <v>759600</v>
      </c>
    </row>
    <row r="23" customFormat="false" ht="15" hidden="false" customHeight="false" outlineLevel="0" collapsed="false">
      <c r="A23" s="2" t="s">
        <v>161</v>
      </c>
      <c r="B23" s="18" t="n">
        <f aca="false">O5+O6+O7</f>
        <v>-69600</v>
      </c>
    </row>
    <row r="24" customFormat="false" ht="15" hidden="false" customHeight="false" outlineLevel="0" collapsed="false">
      <c r="A24" s="2" t="s">
        <v>162</v>
      </c>
      <c r="B24" s="18" t="n">
        <f aca="false">O8</f>
        <v>176400</v>
      </c>
    </row>
    <row r="25" customFormat="false" ht="15" hidden="false" customHeight="false" outlineLevel="0" collapsed="false">
      <c r="A25" s="2" t="s">
        <v>163</v>
      </c>
      <c r="B25" s="18" t="n">
        <f aca="false">O4+O5+O6+O7+O8</f>
        <v>866400</v>
      </c>
      <c r="C25" s="23" t="s">
        <v>164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customFormat="false" ht="15" hidden="false" customHeight="false" outlineLevel="0" collapsed="false">
      <c r="A26" s="2" t="s">
        <v>165</v>
      </c>
      <c r="B26" s="18" t="n">
        <f aca="false">O9+O10+O11+O12+O13+O14+O15</f>
        <v>264000</v>
      </c>
      <c r="C26" s="23" t="s">
        <v>166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customFormat="false" ht="15" hidden="false" customHeight="false" outlineLevel="0" collapsed="false">
      <c r="A27" s="2" t="s">
        <v>167</v>
      </c>
      <c r="B27" s="18" t="n">
        <f aca="false">O4+O5+O6+O7+O8-(O9+O10+O11+O12+O13+O14+O15)</f>
        <v>602400</v>
      </c>
    </row>
    <row r="28" customFormat="false" ht="15" hidden="false" customHeight="false" outlineLevel="0" collapsed="false">
      <c r="A28" s="2" t="s">
        <v>168</v>
      </c>
      <c r="B28" s="18" t="n">
        <f aca="false">O16</f>
        <v>11520</v>
      </c>
    </row>
    <row r="29" customFormat="false" ht="15" hidden="false" customHeight="false" outlineLevel="0" collapsed="false">
      <c r="A29" s="2" t="s">
        <v>169</v>
      </c>
      <c r="B29" s="18" t="n">
        <f aca="false">O4+O5+O6+O7+O8-(O9+O10+O11+O12+O13+O14+O15)-O16</f>
        <v>590880</v>
      </c>
    </row>
  </sheetData>
  <mergeCells count="4">
    <mergeCell ref="A1:O1"/>
    <mergeCell ref="A21:O21"/>
    <mergeCell ref="C25:O25"/>
    <mergeCell ref="C26:O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170</v>
      </c>
      <c r="B1" s="1"/>
      <c r="C1" s="1"/>
    </row>
    <row r="3" customFormat="false" ht="15" hidden="false" customHeight="true" outlineLevel="0" collapsed="false">
      <c r="A3" s="3" t="s">
        <v>171</v>
      </c>
      <c r="B3" s="3"/>
      <c r="C3" s="3"/>
    </row>
    <row r="4" customFormat="false" ht="15" hidden="false" customHeight="false" outlineLevel="0" collapsed="false">
      <c r="A4" s="4" t="s">
        <v>172</v>
      </c>
      <c r="B4" s="24" t="n">
        <f aca="false">'Rent Roll'!C14</f>
        <v>28800</v>
      </c>
      <c r="C4" s="25" t="s">
        <v>173</v>
      </c>
    </row>
    <row r="5" customFormat="false" ht="15" hidden="false" customHeight="false" outlineLevel="0" collapsed="false">
      <c r="A5" s="4" t="s">
        <v>174</v>
      </c>
      <c r="B5" s="26" t="s">
        <v>4</v>
      </c>
    </row>
    <row r="6" customFormat="false" ht="15" hidden="false" customHeight="true" outlineLevel="0" collapsed="false">
      <c r="A6" s="3" t="s">
        <v>175</v>
      </c>
      <c r="B6" s="3"/>
      <c r="C6" s="3"/>
    </row>
    <row r="7" customFormat="false" ht="15" hidden="false" customHeight="false" outlineLevel="0" collapsed="false">
      <c r="A7" s="4" t="s">
        <v>176</v>
      </c>
      <c r="B7" s="22" t="n">
        <v>741000</v>
      </c>
      <c r="C7" s="25" t="s">
        <v>177</v>
      </c>
    </row>
    <row r="8" customFormat="false" ht="15" hidden="false" customHeight="false" outlineLevel="0" collapsed="false">
      <c r="A8" s="4" t="s">
        <v>178</v>
      </c>
      <c r="B8" s="27" t="n">
        <v>0.05</v>
      </c>
      <c r="C8" s="25" t="s">
        <v>179</v>
      </c>
    </row>
    <row r="9" customFormat="false" ht="15" hidden="false" customHeight="false" outlineLevel="0" collapsed="false">
      <c r="A9" s="4" t="s">
        <v>180</v>
      </c>
      <c r="B9" s="22" t="n">
        <v>171000</v>
      </c>
      <c r="C9" s="25" t="s">
        <v>181</v>
      </c>
    </row>
    <row r="10" customFormat="false" ht="15" hidden="false" customHeight="false" outlineLevel="0" collapsed="false">
      <c r="A10" s="4" t="s">
        <v>182</v>
      </c>
      <c r="B10" s="18" t="n">
        <f aca="false">B7-B7*B8+B9</f>
        <v>874950</v>
      </c>
      <c r="C10" s="25" t="s">
        <v>183</v>
      </c>
    </row>
    <row r="11" customFormat="false" ht="15" hidden="false" customHeight="true" outlineLevel="0" collapsed="false">
      <c r="A11" s="3" t="s">
        <v>184</v>
      </c>
      <c r="B11" s="3"/>
      <c r="C11" s="3"/>
    </row>
    <row r="12" customFormat="false" ht="15" hidden="false" customHeight="false" outlineLevel="0" collapsed="false">
      <c r="A12" s="4" t="s">
        <v>148</v>
      </c>
      <c r="B12" s="22" t="n">
        <v>120000</v>
      </c>
      <c r="C12" s="25" t="s">
        <v>185</v>
      </c>
    </row>
    <row r="13" customFormat="false" ht="15" hidden="false" customHeight="false" outlineLevel="0" collapsed="false">
      <c r="A13" s="4" t="s">
        <v>149</v>
      </c>
      <c r="B13" s="22" t="n">
        <v>34800</v>
      </c>
      <c r="C13" s="25" t="s">
        <v>186</v>
      </c>
    </row>
    <row r="14" customFormat="false" ht="15" hidden="false" customHeight="false" outlineLevel="0" collapsed="false">
      <c r="A14" s="4" t="s">
        <v>187</v>
      </c>
      <c r="B14" s="28" t="n">
        <f aca="false">'T12'!O11</f>
        <v>21600</v>
      </c>
    </row>
    <row r="15" customFormat="false" ht="15" hidden="false" customHeight="false" outlineLevel="0" collapsed="false">
      <c r="A15" s="4" t="s">
        <v>188</v>
      </c>
      <c r="B15" s="28" t="n">
        <f aca="false">'T12'!O12</f>
        <v>36000</v>
      </c>
    </row>
    <row r="16" customFormat="false" ht="15" hidden="false" customHeight="false" outlineLevel="0" collapsed="false">
      <c r="A16" s="4" t="s">
        <v>189</v>
      </c>
      <c r="B16" s="28" t="n">
        <f aca="false">'T12'!O13</f>
        <v>24000</v>
      </c>
    </row>
    <row r="17" customFormat="false" ht="15" hidden="false" customHeight="false" outlineLevel="0" collapsed="false">
      <c r="A17" s="4" t="s">
        <v>190</v>
      </c>
      <c r="B17" s="28" t="n">
        <f aca="false">'T12'!O14</f>
        <v>18000</v>
      </c>
    </row>
    <row r="18" customFormat="false" ht="15" hidden="false" customHeight="false" outlineLevel="0" collapsed="false">
      <c r="A18" s="4" t="s">
        <v>191</v>
      </c>
      <c r="B18" s="28" t="n">
        <f aca="false">'T12'!O15</f>
        <v>18000</v>
      </c>
    </row>
    <row r="19" customFormat="false" ht="15" hidden="false" customHeight="false" outlineLevel="0" collapsed="false">
      <c r="A19" s="4" t="s">
        <v>192</v>
      </c>
      <c r="B19" s="18" t="n">
        <f aca="false">MAX(B18,0.04*B10)</f>
        <v>34998</v>
      </c>
      <c r="C19" s="25" t="s">
        <v>193</v>
      </c>
    </row>
    <row r="20" customFormat="false" ht="15" hidden="false" customHeight="false" outlineLevel="0" collapsed="false">
      <c r="A20" s="4" t="s">
        <v>47</v>
      </c>
      <c r="B20" s="18" t="n">
        <f aca="false">B10-(B12+B13+B14+B15+B16+B17+B19)</f>
        <v>585552</v>
      </c>
    </row>
    <row r="21" customFormat="false" ht="15" hidden="false" customHeight="false" outlineLevel="0" collapsed="false">
      <c r="A21" s="4" t="s">
        <v>194</v>
      </c>
      <c r="B21" s="18" t="n">
        <f aca="false">0.15*B4</f>
        <v>4320</v>
      </c>
      <c r="C21" s="25" t="s">
        <v>195</v>
      </c>
    </row>
    <row r="22" customFormat="false" ht="15" hidden="false" customHeight="false" outlineLevel="0" collapsed="false">
      <c r="A22" s="4" t="s">
        <v>49</v>
      </c>
      <c r="B22" s="18" t="n">
        <f aca="false">B20-B21</f>
        <v>581232</v>
      </c>
    </row>
    <row r="23" customFormat="false" ht="15" hidden="false" customHeight="true" outlineLevel="0" collapsed="false">
      <c r="A23" s="3" t="s">
        <v>196</v>
      </c>
      <c r="B23" s="3"/>
      <c r="C23" s="3"/>
    </row>
    <row r="24" customFormat="false" ht="15" hidden="false" customHeight="false" outlineLevel="0" collapsed="false">
      <c r="A24" s="4" t="s">
        <v>197</v>
      </c>
      <c r="B24" s="27" t="n">
        <v>0.0635</v>
      </c>
      <c r="C24" s="25" t="s">
        <v>198</v>
      </c>
    </row>
    <row r="25" customFormat="false" ht="15" hidden="false" customHeight="false" outlineLevel="0" collapsed="false">
      <c r="A25" s="4" t="s">
        <v>199</v>
      </c>
      <c r="B25" s="29" t="n">
        <f aca="false">MAX(B24,0.0635)</f>
        <v>0.0635</v>
      </c>
    </row>
    <row r="26" customFormat="false" ht="15" hidden="false" customHeight="false" outlineLevel="0" collapsed="false">
      <c r="A26" s="4" t="s">
        <v>200</v>
      </c>
      <c r="B26" s="27" t="n">
        <v>0.0625</v>
      </c>
      <c r="C26" s="25" t="s">
        <v>201</v>
      </c>
    </row>
    <row r="27" customFormat="false" ht="15" hidden="false" customHeight="false" outlineLevel="0" collapsed="false">
      <c r="A27" s="4" t="s">
        <v>202</v>
      </c>
      <c r="B27" s="30" t="n">
        <v>25</v>
      </c>
      <c r="C27" s="25" t="s">
        <v>203</v>
      </c>
    </row>
    <row r="28" customFormat="false" ht="15" hidden="false" customHeight="false" outlineLevel="0" collapsed="false">
      <c r="A28" s="4" t="s">
        <v>204</v>
      </c>
      <c r="B28" s="30" t="n">
        <v>0</v>
      </c>
      <c r="C28" s="25" t="s">
        <v>205</v>
      </c>
    </row>
    <row r="29" customFormat="false" ht="15" hidden="false" customHeight="false" outlineLevel="0" collapsed="false">
      <c r="A29" s="4" t="s">
        <v>206</v>
      </c>
      <c r="B29" s="27" t="n">
        <v>0.625</v>
      </c>
      <c r="C29" s="25" t="s">
        <v>207</v>
      </c>
    </row>
    <row r="30" customFormat="false" ht="15" hidden="false" customHeight="false" outlineLevel="0" collapsed="false">
      <c r="A30" s="4" t="s">
        <v>208</v>
      </c>
      <c r="B30" s="31" t="n">
        <v>1.25</v>
      </c>
      <c r="C30" s="25" t="s">
        <v>209</v>
      </c>
    </row>
    <row r="31" customFormat="false" ht="15" hidden="false" customHeight="false" outlineLevel="0" collapsed="false">
      <c r="A31" s="4" t="s">
        <v>210</v>
      </c>
      <c r="B31" s="27" t="n">
        <v>0.09</v>
      </c>
      <c r="C31" s="25" t="s">
        <v>211</v>
      </c>
    </row>
    <row r="32" customFormat="false" ht="15" hidden="false" customHeight="false" outlineLevel="0" collapsed="false">
      <c r="A32" s="4" t="s">
        <v>212</v>
      </c>
      <c r="B32" s="27" t="n">
        <v>0.008</v>
      </c>
      <c r="C32" s="25" t="s">
        <v>213</v>
      </c>
    </row>
    <row r="33" customFormat="false" ht="15" hidden="false" customHeight="true" outlineLevel="0" collapsed="false">
      <c r="A33" s="3" t="s">
        <v>214</v>
      </c>
      <c r="B33" s="3"/>
      <c r="C33" s="3"/>
    </row>
    <row r="34" customFormat="false" ht="15" hidden="false" customHeight="false" outlineLevel="0" collapsed="false">
      <c r="A34" s="4" t="s">
        <v>215</v>
      </c>
      <c r="B34" s="22" t="n">
        <v>4200000</v>
      </c>
    </row>
    <row r="35" customFormat="false" ht="15" hidden="false" customHeight="false" outlineLevel="0" collapsed="false">
      <c r="A35" s="4" t="s">
        <v>216</v>
      </c>
      <c r="B35" s="22" t="n">
        <v>52000</v>
      </c>
    </row>
    <row r="36" customFormat="false" ht="15" hidden="false" customHeight="true" outlineLevel="0" collapsed="false">
      <c r="A36" s="3" t="s">
        <v>217</v>
      </c>
      <c r="B36" s="3"/>
      <c r="C36" s="3"/>
    </row>
    <row r="37" customFormat="false" ht="15" hidden="false" customHeight="false" outlineLevel="0" collapsed="false">
      <c r="A37" s="4" t="s">
        <v>218</v>
      </c>
      <c r="B37" s="27" t="n">
        <v>-0.05</v>
      </c>
      <c r="C37" s="25" t="s">
        <v>219</v>
      </c>
    </row>
    <row r="38" customFormat="false" ht="15" hidden="false" customHeight="false" outlineLevel="0" collapsed="false">
      <c r="A38" s="4" t="s">
        <v>220</v>
      </c>
      <c r="B38" s="30" t="n">
        <v>100</v>
      </c>
      <c r="C38" s="25" t="s">
        <v>221</v>
      </c>
    </row>
    <row r="39" customFormat="false" ht="15" hidden="false" customHeight="false" outlineLevel="0" collapsed="false">
      <c r="A39" s="4" t="s">
        <v>222</v>
      </c>
      <c r="B39" s="30" t="n">
        <v>50</v>
      </c>
      <c r="C39" s="25" t="s">
        <v>223</v>
      </c>
    </row>
  </sheetData>
  <mergeCells count="7">
    <mergeCell ref="A1:C1"/>
    <mergeCell ref="A3:C3"/>
    <mergeCell ref="A6:C6"/>
    <mergeCell ref="A11:C11"/>
    <mergeCell ref="A23:C23"/>
    <mergeCell ref="A33:C33"/>
    <mergeCell ref="A36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224</v>
      </c>
      <c r="B1" s="1"/>
      <c r="C1" s="1"/>
    </row>
    <row r="3" customFormat="false" ht="15" hidden="false" customHeight="true" outlineLevel="0" collapsed="false">
      <c r="A3" s="3" t="s">
        <v>225</v>
      </c>
      <c r="B3" s="3"/>
      <c r="C3" s="3"/>
    </row>
    <row r="4" customFormat="false" ht="15" hidden="false" customHeight="false" outlineLevel="0" collapsed="false">
      <c r="A4" s="4" t="s">
        <v>226</v>
      </c>
      <c r="B4" s="28" t="n">
        <f aca="false">Assumptions!B20</f>
        <v>585552</v>
      </c>
    </row>
    <row r="5" customFormat="false" ht="15" hidden="false" customHeight="false" outlineLevel="0" collapsed="false">
      <c r="A5" s="4" t="s">
        <v>227</v>
      </c>
      <c r="B5" s="28" t="n">
        <f aca="false">Assumptions!B22</f>
        <v>581232</v>
      </c>
    </row>
    <row r="6" customFormat="false" ht="15" hidden="false" customHeight="false" outlineLevel="0" collapsed="false">
      <c r="A6" s="4" t="s">
        <v>228</v>
      </c>
      <c r="B6" s="32" t="n">
        <f aca="false">Assumptions!B26</f>
        <v>0.0625</v>
      </c>
    </row>
    <row r="7" customFormat="false" ht="15" hidden="false" customHeight="false" outlineLevel="0" collapsed="false">
      <c r="A7" s="4" t="s">
        <v>229</v>
      </c>
      <c r="B7" s="18" t="n">
        <f aca="false">B4/B6</f>
        <v>9368832</v>
      </c>
    </row>
    <row r="8" customFormat="false" ht="15" hidden="false" customHeight="true" outlineLevel="0" collapsed="false">
      <c r="A8" s="3" t="s">
        <v>230</v>
      </c>
      <c r="B8" s="3"/>
      <c r="C8" s="3"/>
    </row>
    <row r="9" customFormat="false" ht="23.85" hidden="false" customHeight="false" outlineLevel="0" collapsed="false">
      <c r="A9" s="4" t="s">
        <v>231</v>
      </c>
      <c r="B9" s="33" t="n">
        <f aca="false">(-PMT(Assumptions!B25/12,Assumptions!B27*12,1))*12</f>
        <v>0.079903715312384</v>
      </c>
      <c r="C9" s="25" t="s">
        <v>232</v>
      </c>
    </row>
    <row r="10" customFormat="false" ht="15" hidden="false" customHeight="true" outlineLevel="0" collapsed="false">
      <c r="A10" s="3" t="s">
        <v>233</v>
      </c>
      <c r="B10" s="3"/>
      <c r="C10" s="3"/>
    </row>
    <row r="11" customFormat="false" ht="15" hidden="false" customHeight="false" outlineLevel="0" collapsed="false">
      <c r="A11" s="4" t="s">
        <v>234</v>
      </c>
      <c r="B11" s="18" t="n">
        <f aca="false">B7*Assumptions!B29</f>
        <v>5855520</v>
      </c>
    </row>
    <row r="12" customFormat="false" ht="15" hidden="false" customHeight="false" outlineLevel="0" collapsed="false">
      <c r="A12" s="4" t="s">
        <v>235</v>
      </c>
      <c r="B12" s="18" t="n">
        <f aca="false">B11</f>
        <v>5855520</v>
      </c>
    </row>
    <row r="13" customFormat="false" ht="23.85" hidden="false" customHeight="false" outlineLevel="0" collapsed="false">
      <c r="A13" s="4" t="s">
        <v>236</v>
      </c>
      <c r="B13" s="18" t="n">
        <f aca="false">B5/Assumptions!B30/B9</f>
        <v>5819323.89729484</v>
      </c>
    </row>
    <row r="14" customFormat="false" ht="15" hidden="false" customHeight="false" outlineLevel="0" collapsed="false">
      <c r="A14" s="4" t="s">
        <v>237</v>
      </c>
      <c r="B14" s="18" t="n">
        <f aca="false">B4/Assumptions!B31</f>
        <v>6506133.33333333</v>
      </c>
    </row>
    <row r="15" customFormat="false" ht="15" hidden="false" customHeight="true" outlineLevel="0" collapsed="false">
      <c r="A15" s="3" t="s">
        <v>238</v>
      </c>
      <c r="B15" s="3"/>
      <c r="C15" s="3"/>
    </row>
    <row r="16" customFormat="false" ht="15" hidden="false" customHeight="false" outlineLevel="0" collapsed="false">
      <c r="A16" s="4" t="s">
        <v>239</v>
      </c>
      <c r="B16" s="18" t="n">
        <f aca="false">MIN(B12,B13,B14)</f>
        <v>5819323.89729484</v>
      </c>
    </row>
    <row r="17" customFormat="false" ht="15" hidden="false" customHeight="false" outlineLevel="0" collapsed="false">
      <c r="A17" s="4" t="s">
        <v>240</v>
      </c>
      <c r="B17" s="34" t="str">
        <f aca="false">IF(B16=B12,"LTV",IF(B16=B13,"DSCR","Debt yield"))</f>
        <v>DSCR</v>
      </c>
    </row>
    <row r="18" customFormat="false" ht="15" hidden="false" customHeight="true" outlineLevel="0" collapsed="false">
      <c r="A18" s="3" t="s">
        <v>241</v>
      </c>
      <c r="B18" s="3"/>
      <c r="C18" s="3"/>
    </row>
    <row r="19" customFormat="false" ht="15" hidden="false" customHeight="false" outlineLevel="0" collapsed="false">
      <c r="A19" s="4" t="s">
        <v>242</v>
      </c>
      <c r="B19" s="18" t="n">
        <f aca="false">B16*B9</f>
        <v>464985.6</v>
      </c>
    </row>
    <row r="20" customFormat="false" ht="23.85" hidden="false" customHeight="false" outlineLevel="0" collapsed="false">
      <c r="A20" s="4" t="s">
        <v>243</v>
      </c>
      <c r="B20" s="18" t="n">
        <f aca="false">IF(Assumptions!B28&gt;0,B16*Assumptions!B24,B16*((-PMT(Assumptions!B24/12,Assumptions!B27*12,1))*12))</f>
        <v>464985.6</v>
      </c>
      <c r="C20" s="25" t="s">
        <v>244</v>
      </c>
    </row>
    <row r="21" customFormat="false" ht="15" hidden="false" customHeight="false" outlineLevel="0" collapsed="false">
      <c r="A21" s="4" t="s">
        <v>245</v>
      </c>
      <c r="B21" s="35" t="n">
        <f aca="false">B5/B19</f>
        <v>1.25</v>
      </c>
    </row>
    <row r="22" customFormat="false" ht="15" hidden="false" customHeight="false" outlineLevel="0" collapsed="false">
      <c r="A22" s="4" t="s">
        <v>246</v>
      </c>
      <c r="B22" s="29" t="n">
        <f aca="false">B4/B16</f>
        <v>0.10062199842016</v>
      </c>
    </row>
  </sheetData>
  <mergeCells count="6">
    <mergeCell ref="A1:C1"/>
    <mergeCell ref="A3:C3"/>
    <mergeCell ref="A8:C8"/>
    <mergeCell ref="A10:C10"/>
    <mergeCell ref="A15:C15"/>
    <mergeCell ref="A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247</v>
      </c>
      <c r="B1" s="1"/>
      <c r="C1" s="1"/>
    </row>
    <row r="3" customFormat="false" ht="15" hidden="false" customHeight="true" outlineLevel="0" collapsed="false">
      <c r="A3" s="3" t="s">
        <v>248</v>
      </c>
      <c r="B3" s="3"/>
      <c r="C3" s="3"/>
    </row>
    <row r="4" customFormat="false" ht="15" hidden="false" customHeight="false" outlineLevel="0" collapsed="false">
      <c r="A4" s="4" t="s">
        <v>249</v>
      </c>
      <c r="B4" s="28" t="n">
        <f aca="false">'Loan Sizing'!B16</f>
        <v>5819323.89729484</v>
      </c>
    </row>
    <row r="5" customFormat="false" ht="15" hidden="false" customHeight="false" outlineLevel="0" collapsed="false">
      <c r="A5" s="4" t="s">
        <v>250</v>
      </c>
      <c r="B5" s="18" t="n">
        <f aca="false">IF(B14&lt;0,-B14,0)</f>
        <v>0</v>
      </c>
      <c r="C5" s="25" t="s">
        <v>251</v>
      </c>
    </row>
    <row r="6" customFormat="false" ht="15" hidden="false" customHeight="false" outlineLevel="0" collapsed="false">
      <c r="A6" s="4" t="s">
        <v>252</v>
      </c>
      <c r="B6" s="18" t="n">
        <f aca="false">B4+B5</f>
        <v>5819323.89729484</v>
      </c>
    </row>
    <row r="7" customFormat="false" ht="15" hidden="false" customHeight="true" outlineLevel="0" collapsed="false">
      <c r="A7" s="3" t="s">
        <v>253</v>
      </c>
      <c r="B7" s="3"/>
      <c r="C7" s="3"/>
    </row>
    <row r="8" customFormat="false" ht="15" hidden="false" customHeight="false" outlineLevel="0" collapsed="false">
      <c r="A8" s="4" t="s">
        <v>215</v>
      </c>
      <c r="B8" s="28" t="n">
        <f aca="false">Assumptions!B34</f>
        <v>4200000</v>
      </c>
    </row>
    <row r="9" customFormat="false" ht="15" hidden="false" customHeight="false" outlineLevel="0" collapsed="false">
      <c r="A9" s="4" t="s">
        <v>254</v>
      </c>
      <c r="B9" s="18" t="n">
        <f aca="false">Assumptions!B32*B4</f>
        <v>46554.5911783587</v>
      </c>
    </row>
    <row r="10" customFormat="false" ht="15" hidden="false" customHeight="false" outlineLevel="0" collapsed="false">
      <c r="A10" s="4" t="s">
        <v>216</v>
      </c>
      <c r="B10" s="28" t="n">
        <f aca="false">Assumptions!B35</f>
        <v>52000</v>
      </c>
    </row>
    <row r="11" customFormat="false" ht="15" hidden="false" customHeight="false" outlineLevel="0" collapsed="false">
      <c r="A11" s="4" t="s">
        <v>255</v>
      </c>
      <c r="B11" s="18" t="n">
        <f aca="false">IF(B14&gt;0,B14,0)</f>
        <v>1520769.30611648</v>
      </c>
    </row>
    <row r="12" customFormat="false" ht="15" hidden="false" customHeight="false" outlineLevel="0" collapsed="false">
      <c r="A12" s="4" t="s">
        <v>256</v>
      </c>
      <c r="B12" s="18" t="n">
        <f aca="false">B8+B9+B10+B11</f>
        <v>5819323.89729484</v>
      </c>
    </row>
    <row r="13" customFormat="false" ht="15" hidden="false" customHeight="true" outlineLevel="0" collapsed="false">
      <c r="A13" s="3" t="s">
        <v>257</v>
      </c>
      <c r="B13" s="3"/>
      <c r="C13" s="3"/>
    </row>
    <row r="14" customFormat="false" ht="23.85" hidden="false" customHeight="false" outlineLevel="0" collapsed="false">
      <c r="A14" s="4" t="s">
        <v>258</v>
      </c>
      <c r="B14" s="18" t="n">
        <f aca="false">B4-B8-B9-B10</f>
        <v>1520769.30611648</v>
      </c>
      <c r="C14" s="25" t="s">
        <v>259</v>
      </c>
    </row>
  </sheetData>
  <mergeCells count="4">
    <mergeCell ref="A1:C1"/>
    <mergeCell ref="A3:C3"/>
    <mergeCell ref="A7:C7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260</v>
      </c>
      <c r="B1" s="1"/>
      <c r="C1" s="1"/>
      <c r="D1" s="1"/>
    </row>
    <row r="3" customFormat="false" ht="35.05" hidden="false" customHeight="false" outlineLevel="0" collapsed="false">
      <c r="A3" s="6" t="s">
        <v>261</v>
      </c>
      <c r="B3" s="20" t="s">
        <v>262</v>
      </c>
      <c r="C3" s="20" t="s">
        <v>263</v>
      </c>
      <c r="D3" s="6" t="s">
        <v>86</v>
      </c>
    </row>
    <row r="4" customFormat="false" ht="22.35" hidden="false" customHeight="false" outlineLevel="0" collapsed="false">
      <c r="A4" s="2" t="s">
        <v>264</v>
      </c>
      <c r="B4" s="18" t="n">
        <f aca="false">(Assumptions!B7-Assumptions!B7*Assumptions!B8+Assumptions!B9)*(1+Assumptions!B37)</f>
        <v>831202.5</v>
      </c>
      <c r="C4" s="18" t="n">
        <f aca="false">Assumptions!B10</f>
        <v>874950</v>
      </c>
      <c r="D4" s="25" t="s">
        <v>265</v>
      </c>
    </row>
    <row r="5" customFormat="false" ht="15" hidden="false" customHeight="false" outlineLevel="0" collapsed="false">
      <c r="A5" s="2" t="s">
        <v>266</v>
      </c>
      <c r="B5" s="18" t="n">
        <f aca="false">MAX(Assumptions!B18,0.04*B4)</f>
        <v>33248.1</v>
      </c>
      <c r="C5" s="18" t="n">
        <f aca="false">MAX(Assumptions!B18,0.04*C4)</f>
        <v>34998</v>
      </c>
    </row>
    <row r="6" customFormat="false" ht="15" hidden="false" customHeight="false" outlineLevel="0" collapsed="false">
      <c r="A6" s="2" t="s">
        <v>267</v>
      </c>
      <c r="B6" s="18" t="n">
        <f aca="false">(Assumptions!B12+Assumptions!B13+Assumptions!B14+Assumptions!B15+Assumptions!B16+Assumptions!B17)+B5</f>
        <v>287648.1</v>
      </c>
      <c r="C6" s="18" t="n">
        <f aca="false">(Assumptions!B12+Assumptions!B13+Assumptions!B14+Assumptions!B15+Assumptions!B16+Assumptions!B17)+C5</f>
        <v>289398</v>
      </c>
    </row>
    <row r="7" customFormat="false" ht="15" hidden="false" customHeight="false" outlineLevel="0" collapsed="false">
      <c r="A7" s="2" t="s">
        <v>268</v>
      </c>
      <c r="B7" s="18" t="n">
        <f aca="false">B4-B6</f>
        <v>543554.4</v>
      </c>
      <c r="C7" s="18" t="n">
        <f aca="false">C4-C6</f>
        <v>585552</v>
      </c>
    </row>
    <row r="8" customFormat="false" ht="15" hidden="false" customHeight="false" outlineLevel="0" collapsed="false">
      <c r="A8" s="2" t="s">
        <v>269</v>
      </c>
      <c r="B8" s="18" t="n">
        <f aca="false">Assumptions!B21</f>
        <v>4320</v>
      </c>
      <c r="C8" s="18" t="n">
        <f aca="false">Assumptions!B21</f>
        <v>4320</v>
      </c>
    </row>
    <row r="9" customFormat="false" ht="15" hidden="false" customHeight="false" outlineLevel="0" collapsed="false">
      <c r="A9" s="2" t="s">
        <v>270</v>
      </c>
      <c r="B9" s="18" t="n">
        <f aca="false">B7-B8</f>
        <v>539234.4</v>
      </c>
      <c r="C9" s="18" t="n">
        <f aca="false">C7-C8</f>
        <v>581232</v>
      </c>
    </row>
    <row r="10" customFormat="false" ht="15" hidden="false" customHeight="false" outlineLevel="0" collapsed="false">
      <c r="A10" s="2" t="s">
        <v>271</v>
      </c>
      <c r="B10" s="29" t="n">
        <f aca="false">Assumptions!B25+Assumptions!B38/10000</f>
        <v>0.0735</v>
      </c>
      <c r="C10" s="29" t="n">
        <f aca="false">Assumptions!B25</f>
        <v>0.0635</v>
      </c>
    </row>
    <row r="11" customFormat="false" ht="15" hidden="false" customHeight="false" outlineLevel="0" collapsed="false">
      <c r="A11" s="2" t="s">
        <v>272</v>
      </c>
      <c r="B11" s="33" t="n">
        <f aca="false">(-PMT(B10/12,Assumptions!B27*12,1))*12</f>
        <v>0.0875114376536683</v>
      </c>
      <c r="C11" s="33" t="n">
        <f aca="false">(-PMT(C10/12,Assumptions!B27*12,1))*12</f>
        <v>0.079903715312384</v>
      </c>
    </row>
    <row r="12" customFormat="false" ht="15" hidden="false" customHeight="false" outlineLevel="0" collapsed="false">
      <c r="A12" s="2" t="s">
        <v>273</v>
      </c>
      <c r="B12" s="18" t="n">
        <f aca="false">B7/Assumptions!B26</f>
        <v>8696870.4</v>
      </c>
      <c r="C12" s="18" t="n">
        <f aca="false">C7/(Assumptions!B26+Assumptions!B39/10000)</f>
        <v>8674844.44444444</v>
      </c>
    </row>
    <row r="13" customFormat="false" ht="15" hidden="false" customHeight="false" outlineLevel="0" collapsed="false">
      <c r="A13" s="2" t="s">
        <v>274</v>
      </c>
      <c r="B13" s="18" t="n">
        <f aca="false">B12*Assumptions!B29</f>
        <v>5435544</v>
      </c>
      <c r="C13" s="18" t="n">
        <f aca="false">C12*Assumptions!B29</f>
        <v>5421777.77777778</v>
      </c>
    </row>
    <row r="14" customFormat="false" ht="15" hidden="false" customHeight="false" outlineLevel="0" collapsed="false">
      <c r="A14" s="6" t="s">
        <v>275</v>
      </c>
      <c r="B14" s="36" t="n">
        <f aca="false">MIN(B13,B9/Assumptions!B30/B11,B7/Assumptions!B31)</f>
        <v>4929498.72115279</v>
      </c>
      <c r="C14" s="36" t="n">
        <f aca="false">MIN(C13,C9/Assumptions!B30/C11,C7/Assumptions!B31)</f>
        <v>5421777.77777778</v>
      </c>
      <c r="D14" s="19" t="s">
        <v>276</v>
      </c>
    </row>
    <row r="15" customFormat="false" ht="15" hidden="false" customHeight="false" outlineLevel="0" collapsed="false">
      <c r="A15" s="2" t="s">
        <v>277</v>
      </c>
      <c r="B15" s="37" t="str">
        <f aca="false">IF(B14=B13,"LTV",IF(B14=B9/Assumptions!B30/B11,"DSCR","Debt yield"))</f>
        <v>DSCR</v>
      </c>
      <c r="C15" s="37" t="str">
        <f aca="false">IF(C14=C13,"LTV",IF(C14=C9/Assumptions!B30/C11,"DSCR","Debt yield"))</f>
        <v>LTV</v>
      </c>
    </row>
    <row r="16" customFormat="false" ht="15" hidden="false" customHeight="false" outlineLevel="0" collapsed="false">
      <c r="A16" s="2" t="s">
        <v>278</v>
      </c>
      <c r="B16" s="18" t="n">
        <f aca="false">B14-'Loan Sizing'!B16</f>
        <v>-889825.176142047</v>
      </c>
      <c r="C16" s="18" t="n">
        <f aca="false">C14-'Loan Sizing'!B16</f>
        <v>-397546.119517062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true" outlineLevel="0" collapsed="false">
      <c r="A1" s="1" t="s">
        <v>279</v>
      </c>
      <c r="B1" s="1"/>
      <c r="C1" s="1"/>
      <c r="D1" s="1"/>
    </row>
    <row r="3" customFormat="false" ht="15" hidden="false" customHeight="false" outlineLevel="0" collapsed="false">
      <c r="A3" s="20" t="s">
        <v>280</v>
      </c>
      <c r="B3" s="20" t="s">
        <v>281</v>
      </c>
      <c r="C3" s="20" t="s">
        <v>282</v>
      </c>
      <c r="D3" s="20" t="s">
        <v>86</v>
      </c>
    </row>
    <row r="4" customFormat="false" ht="15" hidden="false" customHeight="false" outlineLevel="0" collapsed="false">
      <c r="A4" s="2" t="s">
        <v>117</v>
      </c>
      <c r="B4" s="24" t="n">
        <f aca="false">'Rent Roll'!B17</f>
        <v>10</v>
      </c>
      <c r="C4" s="21" t="s">
        <v>283</v>
      </c>
      <c r="D4" s="25"/>
    </row>
    <row r="5" customFormat="false" ht="15" hidden="false" customHeight="false" outlineLevel="0" collapsed="false">
      <c r="A5" s="2" t="s">
        <v>118</v>
      </c>
      <c r="B5" s="24" t="n">
        <f aca="false">'Rent Roll'!B18</f>
        <v>9</v>
      </c>
      <c r="C5" s="21" t="s">
        <v>284</v>
      </c>
      <c r="D5" s="25"/>
    </row>
    <row r="6" customFormat="false" ht="15" hidden="false" customHeight="false" outlineLevel="0" collapsed="false">
      <c r="A6" s="2" t="s">
        <v>119</v>
      </c>
      <c r="B6" s="24" t="n">
        <f aca="false">'Rent Roll'!B19</f>
        <v>28800</v>
      </c>
      <c r="C6" s="21" t="s">
        <v>284</v>
      </c>
      <c r="D6" s="25"/>
    </row>
    <row r="7" customFormat="false" ht="15" hidden="false" customHeight="false" outlineLevel="0" collapsed="false">
      <c r="A7" s="2" t="s">
        <v>120</v>
      </c>
      <c r="B7" s="24" t="n">
        <f aca="false">'Rent Roll'!B20</f>
        <v>27200</v>
      </c>
      <c r="C7" s="21" t="s">
        <v>284</v>
      </c>
      <c r="D7" s="25"/>
    </row>
    <row r="8" customFormat="false" ht="15" hidden="false" customHeight="false" outlineLevel="0" collapsed="false">
      <c r="A8" s="2" t="s">
        <v>285</v>
      </c>
      <c r="B8" s="38" t="n">
        <f aca="false">'Rent Roll'!B21</f>
        <v>90</v>
      </c>
      <c r="C8" s="21" t="s">
        <v>286</v>
      </c>
      <c r="D8" s="25" t="s">
        <v>287</v>
      </c>
    </row>
    <row r="9" customFormat="false" ht="15" hidden="false" customHeight="false" outlineLevel="0" collapsed="false">
      <c r="A9" s="2" t="s">
        <v>288</v>
      </c>
      <c r="B9" s="38" t="n">
        <f aca="false">'Rent Roll'!B22</f>
        <v>94.4444444444444</v>
      </c>
      <c r="C9" s="21" t="s">
        <v>289</v>
      </c>
      <c r="D9" s="25" t="s">
        <v>287</v>
      </c>
    </row>
    <row r="10" customFormat="false" ht="15" hidden="false" customHeight="false" outlineLevel="0" collapsed="false">
      <c r="A10" s="2" t="s">
        <v>123</v>
      </c>
      <c r="B10" s="28" t="n">
        <f aca="false">'Rent Roll'!B23</f>
        <v>60000</v>
      </c>
      <c r="C10" s="21" t="s">
        <v>290</v>
      </c>
      <c r="D10" s="25" t="s">
        <v>291</v>
      </c>
    </row>
    <row r="11" customFormat="false" ht="22.35" hidden="false" customHeight="false" outlineLevel="0" collapsed="false">
      <c r="A11" s="2" t="s">
        <v>292</v>
      </c>
      <c r="B11" s="28" t="n">
        <f aca="false">'Rent Roll'!B25</f>
        <v>60000</v>
      </c>
      <c r="C11" s="21" t="s">
        <v>293</v>
      </c>
      <c r="D11" s="25" t="s">
        <v>294</v>
      </c>
    </row>
    <row r="12" customFormat="false" ht="15" hidden="false" customHeight="false" outlineLevel="0" collapsed="false">
      <c r="A12" s="2" t="s">
        <v>163</v>
      </c>
      <c r="B12" s="28" t="n">
        <f aca="false">'T12'!B25</f>
        <v>866400</v>
      </c>
      <c r="C12" s="21" t="s">
        <v>295</v>
      </c>
      <c r="D12" s="25"/>
    </row>
    <row r="13" customFormat="false" ht="15" hidden="false" customHeight="false" outlineLevel="0" collapsed="false">
      <c r="A13" s="2" t="s">
        <v>165</v>
      </c>
      <c r="B13" s="28" t="n">
        <f aca="false">'T12'!B26</f>
        <v>264000</v>
      </c>
      <c r="C13" s="21" t="s">
        <v>296</v>
      </c>
      <c r="D13" s="25"/>
    </row>
    <row r="14" customFormat="false" ht="15" hidden="false" customHeight="false" outlineLevel="0" collapsed="false">
      <c r="A14" s="2" t="s">
        <v>167</v>
      </c>
      <c r="B14" s="28" t="n">
        <f aca="false">'T12'!B27</f>
        <v>602400</v>
      </c>
      <c r="C14" s="21" t="s">
        <v>297</v>
      </c>
      <c r="D14" s="25"/>
    </row>
    <row r="15" customFormat="false" ht="15" hidden="false" customHeight="false" outlineLevel="0" collapsed="false">
      <c r="A15" s="2" t="s">
        <v>168</v>
      </c>
      <c r="B15" s="28" t="n">
        <f aca="false">'T12'!B28</f>
        <v>11520</v>
      </c>
      <c r="C15" s="21" t="s">
        <v>298</v>
      </c>
      <c r="D15" s="25"/>
    </row>
    <row r="16" customFormat="false" ht="22.35" hidden="false" customHeight="false" outlineLevel="0" collapsed="false">
      <c r="A16" s="2" t="s">
        <v>169</v>
      </c>
      <c r="B16" s="28" t="n">
        <f aca="false">'T12'!B29</f>
        <v>590880</v>
      </c>
      <c r="C16" s="21" t="s">
        <v>299</v>
      </c>
      <c r="D16" s="25" t="s">
        <v>300</v>
      </c>
    </row>
    <row r="17" customFormat="false" ht="15" hidden="false" customHeight="false" outlineLevel="0" collapsed="false">
      <c r="A17" s="2" t="s">
        <v>301</v>
      </c>
      <c r="B17" s="28" t="n">
        <f aca="false">Assumptions!B10</f>
        <v>874950</v>
      </c>
      <c r="C17" s="21" t="s">
        <v>302</v>
      </c>
      <c r="D17" s="25"/>
    </row>
    <row r="18" customFormat="false" ht="15" hidden="false" customHeight="false" outlineLevel="0" collapsed="false">
      <c r="A18" s="2" t="s">
        <v>303</v>
      </c>
      <c r="B18" s="28" t="n">
        <f aca="false">Assumptions!B19</f>
        <v>34998</v>
      </c>
      <c r="C18" s="21" t="s">
        <v>304</v>
      </c>
      <c r="D18" s="25" t="s">
        <v>305</v>
      </c>
    </row>
    <row r="19" customFormat="false" ht="15" hidden="false" customHeight="false" outlineLevel="0" collapsed="false">
      <c r="A19" s="2" t="s">
        <v>306</v>
      </c>
      <c r="B19" s="28" t="n">
        <f aca="false">Assumptions!B12+Assumptions!B13+Assumptions!B14+Assumptions!B15+Assumptions!B16+Assumptions!B17+Assumptions!B19</f>
        <v>289398</v>
      </c>
      <c r="C19" s="21" t="s">
        <v>307</v>
      </c>
      <c r="D19" s="25" t="s">
        <v>308</v>
      </c>
    </row>
    <row r="20" customFormat="false" ht="15" hidden="false" customHeight="false" outlineLevel="0" collapsed="false">
      <c r="A20" s="2" t="s">
        <v>309</v>
      </c>
      <c r="B20" s="28" t="n">
        <f aca="false">Assumptions!B20</f>
        <v>585552</v>
      </c>
      <c r="C20" s="21" t="s">
        <v>310</v>
      </c>
      <c r="D20" s="25"/>
    </row>
    <row r="21" customFormat="false" ht="15" hidden="false" customHeight="false" outlineLevel="0" collapsed="false">
      <c r="A21" s="2" t="s">
        <v>311</v>
      </c>
      <c r="B21" s="28" t="n">
        <f aca="false">Assumptions!B21</f>
        <v>4320</v>
      </c>
      <c r="C21" s="21" t="s">
        <v>312</v>
      </c>
      <c r="D21" s="25"/>
    </row>
    <row r="22" customFormat="false" ht="15" hidden="false" customHeight="false" outlineLevel="0" collapsed="false">
      <c r="A22" s="2" t="s">
        <v>313</v>
      </c>
      <c r="B22" s="28" t="n">
        <f aca="false">Assumptions!B22</f>
        <v>581232</v>
      </c>
      <c r="C22" s="21" t="s">
        <v>314</v>
      </c>
      <c r="D22" s="25"/>
    </row>
    <row r="23" customFormat="false" ht="15" hidden="false" customHeight="false" outlineLevel="0" collapsed="false">
      <c r="A23" s="2" t="s">
        <v>315</v>
      </c>
      <c r="B23" s="28" t="n">
        <f aca="false">'Loan Sizing'!B7</f>
        <v>9368832</v>
      </c>
      <c r="C23" s="21" t="s">
        <v>316</v>
      </c>
      <c r="D23" s="25" t="s">
        <v>317</v>
      </c>
    </row>
    <row r="24" customFormat="false" ht="15" hidden="false" customHeight="false" outlineLevel="0" collapsed="false">
      <c r="A24" s="2" t="s">
        <v>318</v>
      </c>
      <c r="B24" s="39" t="n">
        <f aca="false">Assumptions!B24</f>
        <v>0.0635</v>
      </c>
      <c r="C24" s="21" t="s">
        <v>319</v>
      </c>
      <c r="D24" s="25" t="s">
        <v>320</v>
      </c>
    </row>
    <row r="25" customFormat="false" ht="15" hidden="false" customHeight="false" outlineLevel="0" collapsed="false">
      <c r="A25" s="2" t="s">
        <v>321</v>
      </c>
      <c r="B25" s="39" t="n">
        <f aca="false">Assumptions!B25</f>
        <v>0.0635</v>
      </c>
      <c r="C25" s="21" t="s">
        <v>322</v>
      </c>
      <c r="D25" s="25" t="s">
        <v>320</v>
      </c>
    </row>
    <row r="26" customFormat="false" ht="15" hidden="false" customHeight="false" outlineLevel="0" collapsed="false">
      <c r="A26" s="2" t="s">
        <v>323</v>
      </c>
      <c r="B26" s="39" t="n">
        <f aca="false">'Loan Sizing'!B9</f>
        <v>0.079903715312384</v>
      </c>
      <c r="C26" s="21" t="s">
        <v>324</v>
      </c>
      <c r="D26" s="25" t="s">
        <v>325</v>
      </c>
    </row>
    <row r="27" customFormat="false" ht="15" hidden="false" customHeight="false" outlineLevel="0" collapsed="false">
      <c r="A27" s="2" t="s">
        <v>326</v>
      </c>
      <c r="B27" s="28" t="n">
        <f aca="false">'Loan Sizing'!B12</f>
        <v>5855520</v>
      </c>
      <c r="C27" s="21" t="s">
        <v>327</v>
      </c>
      <c r="D27" s="25"/>
    </row>
    <row r="28" customFormat="false" ht="15" hidden="false" customHeight="false" outlineLevel="0" collapsed="false">
      <c r="A28" s="2" t="s">
        <v>328</v>
      </c>
      <c r="B28" s="28" t="n">
        <f aca="false">'Loan Sizing'!B13</f>
        <v>5819323.89729484</v>
      </c>
      <c r="C28" s="21" t="s">
        <v>329</v>
      </c>
      <c r="D28" s="25"/>
    </row>
    <row r="29" customFormat="false" ht="15" hidden="false" customHeight="false" outlineLevel="0" collapsed="false">
      <c r="A29" s="2" t="s">
        <v>330</v>
      </c>
      <c r="B29" s="28" t="n">
        <f aca="false">'Loan Sizing'!B14</f>
        <v>6506133.33333333</v>
      </c>
      <c r="C29" s="21" t="s">
        <v>331</v>
      </c>
      <c r="D29" s="25"/>
    </row>
    <row r="30" customFormat="false" ht="15" hidden="false" customHeight="false" outlineLevel="0" collapsed="false">
      <c r="A30" s="2" t="s">
        <v>332</v>
      </c>
      <c r="B30" s="28" t="n">
        <f aca="false">'Loan Sizing'!B16</f>
        <v>5819323.89729484</v>
      </c>
      <c r="C30" s="21" t="s">
        <v>333</v>
      </c>
      <c r="D30" s="25"/>
    </row>
    <row r="31" customFormat="false" ht="15" hidden="false" customHeight="false" outlineLevel="0" collapsed="false">
      <c r="A31" s="2" t="s">
        <v>334</v>
      </c>
      <c r="B31" s="40" t="str">
        <f aca="false">'Loan Sizing'!B17</f>
        <v>DSCR</v>
      </c>
      <c r="C31" s="21" t="s">
        <v>335</v>
      </c>
      <c r="D31" s="25"/>
    </row>
    <row r="32" customFormat="false" ht="15" hidden="false" customHeight="false" outlineLevel="0" collapsed="false">
      <c r="A32" s="2" t="s">
        <v>336</v>
      </c>
      <c r="B32" s="28" t="n">
        <f aca="false">'Loan Sizing'!B19</f>
        <v>464985.6</v>
      </c>
      <c r="C32" s="21" t="s">
        <v>337</v>
      </c>
      <c r="D32" s="25"/>
    </row>
    <row r="33" customFormat="false" ht="15" hidden="false" customHeight="false" outlineLevel="0" collapsed="false">
      <c r="A33" s="2" t="s">
        <v>338</v>
      </c>
      <c r="B33" s="41" t="n">
        <f aca="false">'Loan Sizing'!B21</f>
        <v>1.25</v>
      </c>
      <c r="C33" s="21" t="s">
        <v>339</v>
      </c>
      <c r="D33" s="25" t="s">
        <v>340</v>
      </c>
    </row>
    <row r="34" customFormat="false" ht="15" hidden="false" customHeight="false" outlineLevel="0" collapsed="false">
      <c r="A34" s="2" t="s">
        <v>341</v>
      </c>
      <c r="B34" s="32" t="n">
        <f aca="false">'Loan Sizing'!B22</f>
        <v>0.10062199842016</v>
      </c>
      <c r="C34" s="21" t="s">
        <v>342</v>
      </c>
      <c r="D34" s="25"/>
    </row>
    <row r="35" customFormat="false" ht="15" hidden="false" customHeight="false" outlineLevel="0" collapsed="false">
      <c r="A35" s="2" t="s">
        <v>343</v>
      </c>
      <c r="B35" s="28" t="n">
        <f aca="false">'Loan Sizing'!B20</f>
        <v>464985.6</v>
      </c>
      <c r="C35" s="21" t="s">
        <v>344</v>
      </c>
      <c r="D35" s="25" t="s">
        <v>345</v>
      </c>
    </row>
    <row r="36" customFormat="false" ht="15" hidden="false" customHeight="false" outlineLevel="0" collapsed="false">
      <c r="A36" s="2" t="s">
        <v>346</v>
      </c>
      <c r="B36" s="28" t="n">
        <f aca="false">'Sources &amp; Uses'!B14</f>
        <v>1520769.30611648</v>
      </c>
      <c r="C36" s="21" t="s">
        <v>347</v>
      </c>
      <c r="D36" s="25" t="s">
        <v>348</v>
      </c>
    </row>
    <row r="37" customFormat="false" ht="15" hidden="false" customHeight="false" outlineLevel="0" collapsed="false">
      <c r="A37" s="2" t="s">
        <v>349</v>
      </c>
      <c r="B37" s="28" t="n">
        <f aca="false">Sensitivity!B7</f>
        <v>543554.4</v>
      </c>
      <c r="C37" s="21" t="s">
        <v>350</v>
      </c>
      <c r="D37" s="25"/>
    </row>
    <row r="38" customFormat="false" ht="15" hidden="false" customHeight="false" outlineLevel="0" collapsed="false">
      <c r="A38" s="2" t="s">
        <v>351</v>
      </c>
      <c r="B38" s="28" t="n">
        <f aca="false">Sensitivity!B14</f>
        <v>4929498.72115279</v>
      </c>
      <c r="C38" s="21" t="s">
        <v>352</v>
      </c>
      <c r="D38" s="25"/>
    </row>
    <row r="39" customFormat="false" ht="15" hidden="false" customHeight="false" outlineLevel="0" collapsed="false">
      <c r="A39" s="2" t="s">
        <v>353</v>
      </c>
      <c r="B39" s="28" t="n">
        <f aca="false">3000</f>
        <v>3000</v>
      </c>
      <c r="C39" s="21" t="s">
        <v>354</v>
      </c>
      <c r="D39" s="25"/>
    </row>
    <row r="40" customFormat="false" ht="15" hidden="false" customHeight="false" outlineLevel="0" collapsed="false">
      <c r="A40" s="2" t="s">
        <v>355</v>
      </c>
      <c r="B40" s="34" t="s">
        <v>356</v>
      </c>
      <c r="C40" s="21" t="s">
        <v>357</v>
      </c>
      <c r="D40" s="25" t="s">
        <v>358</v>
      </c>
    </row>
    <row r="41" customFormat="false" ht="15" hidden="false" customHeight="false" outlineLevel="0" collapsed="false">
      <c r="A41" s="2" t="s">
        <v>359</v>
      </c>
      <c r="B41" s="28" t="n">
        <f aca="false">6000</f>
        <v>6000</v>
      </c>
      <c r="C41" s="21" t="s">
        <v>360</v>
      </c>
      <c r="D41" s="25" t="s">
        <v>361</v>
      </c>
    </row>
    <row r="42" customFormat="false" ht="15" hidden="false" customHeight="false" outlineLevel="0" collapsed="false">
      <c r="A42" s="2" t="s">
        <v>362</v>
      </c>
      <c r="B42" s="28" t="n">
        <f aca="false">34800</f>
        <v>34800</v>
      </c>
      <c r="C42" s="21" t="s">
        <v>363</v>
      </c>
      <c r="D42" s="25" t="s">
        <v>364</v>
      </c>
    </row>
    <row r="43" customFormat="false" ht="15" hidden="false" customHeight="false" outlineLevel="0" collapsed="false">
      <c r="A43" s="2" t="s">
        <v>365</v>
      </c>
      <c r="B43" s="34" t="s">
        <v>366</v>
      </c>
      <c r="C43" s="21" t="s">
        <v>367</v>
      </c>
      <c r="D43" s="25"/>
    </row>
    <row r="44" customFormat="false" ht="15" hidden="false" customHeight="false" outlineLevel="0" collapsed="false">
      <c r="A44" s="2" t="s">
        <v>368</v>
      </c>
      <c r="B44" s="34" t="s">
        <v>369</v>
      </c>
      <c r="C44" s="21" t="s">
        <v>370</v>
      </c>
      <c r="D44" s="2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5"/>
    <col collapsed="false" customWidth="true" hidden="false" outlineLevel="0" max="4" min="4" style="0" width="55"/>
  </cols>
  <sheetData>
    <row r="1" customFormat="false" ht="15" hidden="false" customHeight="true" outlineLevel="0" collapsed="false">
      <c r="A1" s="1" t="s">
        <v>371</v>
      </c>
      <c r="B1" s="1"/>
      <c r="C1" s="1"/>
      <c r="D1" s="1"/>
    </row>
    <row r="3" customFormat="false" ht="15" hidden="false" customHeight="false" outlineLevel="0" collapsed="false">
      <c r="A3" s="20" t="s">
        <v>19</v>
      </c>
      <c r="B3" s="20" t="s">
        <v>372</v>
      </c>
      <c r="C3" s="20" t="s">
        <v>373</v>
      </c>
      <c r="D3" s="20" t="s">
        <v>374</v>
      </c>
    </row>
    <row r="4" customFormat="false" ht="33.75" hidden="false" customHeight="true" outlineLevel="0" collapsed="false">
      <c r="A4" s="42" t="s">
        <v>375</v>
      </c>
      <c r="B4" s="43" t="s">
        <v>376</v>
      </c>
      <c r="C4" s="43" t="s">
        <v>377</v>
      </c>
      <c r="D4" s="43" t="s">
        <v>378</v>
      </c>
    </row>
    <row r="5" customFormat="false" ht="33.75" hidden="false" customHeight="true" outlineLevel="0" collapsed="false">
      <c r="A5" s="42" t="s">
        <v>379</v>
      </c>
      <c r="B5" s="43" t="s">
        <v>380</v>
      </c>
      <c r="C5" s="43" t="s">
        <v>381</v>
      </c>
      <c r="D5" s="43" t="s">
        <v>382</v>
      </c>
    </row>
    <row r="6" customFormat="false" ht="33.75" hidden="false" customHeight="true" outlineLevel="0" collapsed="false">
      <c r="A6" s="42" t="s">
        <v>383</v>
      </c>
      <c r="B6" s="43" t="s">
        <v>384</v>
      </c>
      <c r="C6" s="43" t="s">
        <v>385</v>
      </c>
      <c r="D6" s="43" t="s">
        <v>386</v>
      </c>
    </row>
    <row r="7" customFormat="false" ht="33.75" hidden="false" customHeight="true" outlineLevel="0" collapsed="false">
      <c r="A7" s="42" t="s">
        <v>387</v>
      </c>
      <c r="B7" s="43" t="s">
        <v>388</v>
      </c>
      <c r="C7" s="43" t="s">
        <v>389</v>
      </c>
      <c r="D7" s="43" t="s">
        <v>390</v>
      </c>
    </row>
    <row r="8" customFormat="false" ht="33.75" hidden="false" customHeight="true" outlineLevel="0" collapsed="false">
      <c r="A8" s="42" t="s">
        <v>391</v>
      </c>
      <c r="B8" s="43" t="s">
        <v>392</v>
      </c>
      <c r="C8" s="43" t="s">
        <v>393</v>
      </c>
      <c r="D8" s="43" t="s">
        <v>394</v>
      </c>
    </row>
    <row r="9" customFormat="false" ht="33.75" hidden="false" customHeight="true" outlineLevel="0" collapsed="false">
      <c r="A9" s="42" t="s">
        <v>395</v>
      </c>
      <c r="B9" s="43" t="s">
        <v>396</v>
      </c>
      <c r="C9" s="43" t="s">
        <v>397</v>
      </c>
      <c r="D9" s="43" t="s">
        <v>398</v>
      </c>
    </row>
    <row r="10" customFormat="false" ht="33.75" hidden="false" customHeight="true" outlineLevel="0" collapsed="false">
      <c r="A10" s="42" t="s">
        <v>399</v>
      </c>
      <c r="B10" s="43" t="s">
        <v>400</v>
      </c>
      <c r="C10" s="43" t="s">
        <v>401</v>
      </c>
      <c r="D10" s="43" t="s">
        <v>402</v>
      </c>
    </row>
    <row r="11" customFormat="false" ht="33.75" hidden="false" customHeight="true" outlineLevel="0" collapsed="false">
      <c r="A11" s="42" t="s">
        <v>403</v>
      </c>
      <c r="B11" s="43" t="s">
        <v>404</v>
      </c>
      <c r="C11" s="43" t="s">
        <v>405</v>
      </c>
      <c r="D11" s="43" t="s">
        <v>406</v>
      </c>
    </row>
    <row r="12" customFormat="false" ht="33.75" hidden="false" customHeight="true" outlineLevel="0" collapsed="false">
      <c r="A12" s="42" t="s">
        <v>407</v>
      </c>
      <c r="B12" s="43" t="s">
        <v>408</v>
      </c>
      <c r="C12" s="43" t="s">
        <v>409</v>
      </c>
      <c r="D12" s="43" t="s">
        <v>410</v>
      </c>
    </row>
    <row r="13" customFormat="false" ht="33.75" hidden="false" customHeight="true" outlineLevel="0" collapsed="false">
      <c r="A13" s="42" t="s">
        <v>411</v>
      </c>
      <c r="B13" s="43" t="s">
        <v>412</v>
      </c>
      <c r="C13" s="43" t="s">
        <v>413</v>
      </c>
      <c r="D13" s="43" t="s">
        <v>414</v>
      </c>
    </row>
    <row r="14" customFormat="false" ht="33.75" hidden="false" customHeight="true" outlineLevel="0" collapsed="false">
      <c r="A14" s="42" t="s">
        <v>415</v>
      </c>
      <c r="B14" s="43" t="s">
        <v>416</v>
      </c>
      <c r="C14" s="43" t="s">
        <v>417</v>
      </c>
      <c r="D14" s="43" t="s">
        <v>418</v>
      </c>
    </row>
    <row r="15" customFormat="false" ht="33.75" hidden="false" customHeight="true" outlineLevel="0" collapsed="false">
      <c r="A15" s="42" t="s">
        <v>419</v>
      </c>
      <c r="B15" s="43" t="s">
        <v>420</v>
      </c>
      <c r="C15" s="43" t="s">
        <v>421</v>
      </c>
      <c r="D15" s="43" t="s">
        <v>422</v>
      </c>
    </row>
    <row r="16" customFormat="false" ht="33.75" hidden="false" customHeight="true" outlineLevel="0" collapsed="false">
      <c r="A16" s="42" t="s">
        <v>423</v>
      </c>
      <c r="B16" s="43" t="s">
        <v>424</v>
      </c>
      <c r="C16" s="43" t="s">
        <v>425</v>
      </c>
      <c r="D16" s="43" t="s">
        <v>426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