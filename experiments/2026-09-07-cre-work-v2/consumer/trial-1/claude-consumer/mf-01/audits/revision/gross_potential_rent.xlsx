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ME" sheetId="1" state="visible" r:id="rId1"/>
    <sheet xmlns:r="http://schemas.openxmlformats.org/officeDocument/2006/relationships" name="Revision Log" sheetId="2" state="visible" r:id="rId2"/>
    <sheet xmlns:r="http://schemas.openxmlformats.org/officeDocument/2006/relationships" name="Inputs" sheetId="3" state="visible" r:id="rId3"/>
    <sheet xmlns:r="http://schemas.openxmlformats.org/officeDocument/2006/relationships" name="Rent Roll" sheetId="4" state="visible" r:id="rId4"/>
    <sheet xmlns:r="http://schemas.openxmlformats.org/officeDocument/2006/relationships" name="Underwriting" sheetId="5" state="visible" r:id="rId5"/>
    <sheet xmlns:r="http://schemas.openxmlformats.org/officeDocument/2006/relationships" name="Debt" sheetId="6" state="visible" r:id="rId6"/>
    <sheet xmlns:r="http://schemas.openxmlformats.org/officeDocument/2006/relationships" name="Historical" sheetId="7" state="visible" r:id="rId7"/>
    <sheet xmlns:r="http://schemas.openxmlformats.org/officeDocument/2006/relationships" name="Sensitivity" sheetId="8" state="visible" r:id="rId8"/>
    <sheet xmlns:r="http://schemas.openxmlformats.org/officeDocument/2006/relationships" name="Fields" sheetId="9" state="visible" r:id="rId9"/>
    <sheet xmlns:r="http://schemas.openxmlformats.org/officeDocument/2006/relationships" name="Sources" sheetId="10" state="visible" r:id="rId10"/>
  </sheets>
  <definedNames/>
  <calcPr calcId="124519" fullCalcOnLoad="1" refMode="A1" iterate="0" iterateCount="100" iterateDelta="0.0001"/>
</workbook>
</file>

<file path=xl/styles.xml><?xml version="1.0" encoding="utf-8"?>
<styleSheet xmlns="http://schemas.openxmlformats.org/spreadsheetml/2006/main">
  <numFmts count="6">
    <numFmt numFmtId="164" formatCode="\$#,##0;&quot;($&quot;#,##0\);\-"/>
    <numFmt numFmtId="165" formatCode="0.0000%"/>
    <numFmt numFmtId="166" formatCode="0.0000"/>
    <numFmt numFmtId="167" formatCode="\$#,##0.00;&quot;($&quot;#,##0.00\);\-"/>
    <numFmt numFmtId="168" formatCode="0.00000%"/>
    <numFmt numFmtId="169" formatCode="0.000000"/>
  </numFmts>
  <fonts count="12">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Arial"/>
      <charset val="1"/>
      <family val="0"/>
      <i val="1"/>
      <color rgb="FF555555"/>
      <sz val="10"/>
    </font>
    <font>
      <name val="Arial"/>
      <charset val="1"/>
      <family val="0"/>
      <sz val="10"/>
    </font>
    <font>
      <name val="Arial"/>
      <charset val="1"/>
      <family val="0"/>
      <b val="1"/>
      <sz val="10"/>
    </font>
    <font>
      <name val="Arial"/>
      <charset val="1"/>
      <family val="0"/>
      <b val="1"/>
      <color rgb="FFFFFFFF"/>
      <sz val="10"/>
    </font>
    <font>
      <name val="Arial"/>
      <charset val="1"/>
      <family val="0"/>
      <color rgb="FF0000FF"/>
      <sz val="10"/>
    </font>
    <font>
      <name val="Arial"/>
      <charset val="1"/>
      <family val="0"/>
      <color rgb="FF008000"/>
      <sz val="10"/>
    </font>
    <font>
      <name val="Arial"/>
      <charset val="1"/>
      <family val="0"/>
      <b val="1"/>
      <color rgb="FF0000FF"/>
      <sz val="10"/>
    </font>
  </fonts>
  <fills count="5">
    <fill>
      <patternFill/>
    </fill>
    <fill>
      <patternFill patternType="gray125"/>
    </fill>
    <fill>
      <patternFill patternType="solid">
        <fgColor rgb="FF1F3864"/>
        <bgColor rgb="FF333333"/>
      </patternFill>
    </fill>
    <fill>
      <patternFill patternType="solid">
        <fgColor rgb="FFF2F2F2"/>
        <bgColor rgb="FFFFFFFF"/>
      </patternFill>
    </fill>
    <fill>
      <patternFill patternType="solid">
        <fgColor rgb="FFFFFF00"/>
        <bgColor rgb="FFFFFF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15">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2" borderId="1" applyAlignment="1" pivotButton="0" quotePrefix="0" xfId="0">
      <alignment horizontal="general" vertical="bottom"/>
    </xf>
    <xf numFmtId="0" fontId="7" fillId="3" borderId="0" applyAlignment="1" pivotButton="0" quotePrefix="0" xfId="0">
      <alignment horizontal="general" vertical="bottom"/>
    </xf>
    <xf numFmtId="0" fontId="6" fillId="3" borderId="0" applyAlignment="1" pivotButton="0" quotePrefix="0" xfId="0">
      <alignment horizontal="general" vertical="bottom"/>
    </xf>
    <xf numFmtId="0" fontId="6" fillId="3" borderId="0" applyAlignment="1" pivotButton="0" quotePrefix="0" xfId="0">
      <alignment horizontal="general" vertical="top" wrapText="1"/>
    </xf>
    <xf numFmtId="0" fontId="6" fillId="0" borderId="0" applyAlignment="1" pivotButton="0" quotePrefix="0" xfId="0">
      <alignment horizontal="general" vertical="top" wrapText="1"/>
    </xf>
    <xf numFmtId="0" fontId="6" fillId="0" borderId="1" applyAlignment="1" pivotButton="0" quotePrefix="0" xfId="0">
      <alignment horizontal="general" vertical="top" wrapText="1"/>
    </xf>
    <xf numFmtId="164" fontId="9" fillId="4" borderId="1" applyAlignment="1" pivotButton="0" quotePrefix="0" xfId="0">
      <alignment horizontal="general" vertical="top"/>
    </xf>
    <xf numFmtId="0" fontId="6" fillId="0" borderId="1" applyAlignment="1" pivotButton="0" quotePrefix="0" xfId="0">
      <alignment horizontal="general" vertical="top"/>
    </xf>
    <xf numFmtId="10" fontId="9" fillId="0" borderId="1" applyAlignment="1" pivotButton="0" quotePrefix="0" xfId="0">
      <alignment horizontal="general" vertical="top"/>
    </xf>
    <xf numFmtId="164" fontId="9" fillId="0" borderId="1" applyAlignment="1" pivotButton="0" quotePrefix="0" xfId="0">
      <alignment horizontal="general" vertical="top"/>
    </xf>
    <xf numFmtId="3" fontId="9" fillId="0" borderId="1" applyAlignment="1" pivotButton="0" quotePrefix="0" xfId="0">
      <alignment horizontal="general" vertical="top"/>
    </xf>
    <xf numFmtId="165" fontId="9" fillId="4" borderId="1" applyAlignment="1" pivotButton="0" quotePrefix="0" xfId="0">
      <alignment horizontal="general" vertical="top"/>
    </xf>
    <xf numFmtId="165" fontId="9" fillId="0" borderId="1" applyAlignment="1" pivotButton="0" quotePrefix="0" xfId="0">
      <alignment horizontal="general" vertical="top"/>
    </xf>
    <xf numFmtId="166" fontId="9" fillId="0" borderId="1" applyAlignment="1" pivotButton="0" quotePrefix="0" xfId="0">
      <alignment horizontal="general" vertical="top"/>
    </xf>
    <xf numFmtId="0" fontId="9" fillId="0" borderId="1" applyAlignment="1" pivotButton="0" quotePrefix="0" xfId="0">
      <alignment horizontal="general" vertical="top"/>
    </xf>
    <xf numFmtId="165" fontId="9" fillId="0" borderId="0" applyAlignment="1" pivotButton="0" quotePrefix="0" xfId="0">
      <alignment horizontal="general" vertical="bottom"/>
    </xf>
    <xf numFmtId="165" fontId="6" fillId="0" borderId="0" applyAlignment="1" pivotButton="0" quotePrefix="0" xfId="0">
      <alignment horizontal="general" vertical="bottom"/>
    </xf>
    <xf numFmtId="0" fontId="6" fillId="0" borderId="0" applyAlignment="1" pivotButton="0" quotePrefix="0" xfId="0">
      <alignment horizontal="center" vertical="bottom"/>
    </xf>
    <xf numFmtId="0" fontId="8" fillId="2" borderId="1" applyAlignment="1" pivotButton="0" quotePrefix="0" xfId="0">
      <alignment horizontal="center" vertical="center" wrapText="1"/>
    </xf>
    <xf numFmtId="0" fontId="9" fillId="0" borderId="1" applyAlignment="1" pivotButton="0" quotePrefix="0" xfId="0">
      <alignment horizontal="general" vertical="bottom"/>
    </xf>
    <xf numFmtId="0" fontId="6" fillId="0" borderId="1" applyAlignment="1" pivotButton="0" quotePrefix="0" xfId="0">
      <alignment horizontal="general" vertical="bottom"/>
    </xf>
    <xf numFmtId="3" fontId="9" fillId="0" borderId="1" applyAlignment="1" pivotButton="0" quotePrefix="0" xfId="0">
      <alignment horizontal="general" vertical="bottom"/>
    </xf>
    <xf numFmtId="164" fontId="9" fillId="0" borderId="1" applyAlignment="1" pivotButton="0" quotePrefix="0" xfId="0">
      <alignment horizontal="general" vertical="bottom"/>
    </xf>
    <xf numFmtId="164" fontId="10" fillId="0" borderId="1" applyAlignment="1" pivotButton="0" quotePrefix="0" xfId="0">
      <alignment horizontal="general" vertical="bottom"/>
    </xf>
    <xf numFmtId="164" fontId="6" fillId="0" borderId="1" applyAlignment="1" pivotButton="0" quotePrefix="0" xfId="0">
      <alignment horizontal="general" vertical="bottom"/>
    </xf>
    <xf numFmtId="0" fontId="6" fillId="0" borderId="1" applyAlignment="1" pivotButton="0" quotePrefix="0" xfId="0">
      <alignment horizontal="center" vertical="bottom"/>
    </xf>
    <xf numFmtId="164" fontId="6" fillId="0" borderId="0" applyAlignment="1" pivotButton="0" quotePrefix="0" xfId="0">
      <alignment horizontal="general" vertical="bottom"/>
    </xf>
    <xf numFmtId="3" fontId="6" fillId="0" borderId="0" applyAlignment="1" pivotButton="0" quotePrefix="0" xfId="0">
      <alignment horizontal="general" vertical="bottom"/>
    </xf>
    <xf numFmtId="166" fontId="6" fillId="0" borderId="0" applyAlignment="1" pivotButton="0" quotePrefix="0" xfId="0">
      <alignment horizontal="general" vertical="bottom"/>
    </xf>
    <xf numFmtId="0" fontId="8" fillId="2" borderId="0" applyAlignment="1" pivotButton="0" quotePrefix="0" xfId="0">
      <alignment horizontal="general" vertical="bottom"/>
    </xf>
    <xf numFmtId="164" fontId="7" fillId="0" borderId="0" applyAlignment="1" pivotButton="0" quotePrefix="0" xfId="0">
      <alignment horizontal="general" vertical="bottom"/>
    </xf>
    <xf numFmtId="164" fontId="10" fillId="0" borderId="0" applyAlignment="1" pivotButton="0" quotePrefix="0" xfId="0">
      <alignment horizontal="general" vertical="bottom"/>
    </xf>
    <xf numFmtId="164" fontId="7" fillId="3" borderId="0" applyAlignment="1" pivotButton="0" quotePrefix="0" xfId="0">
      <alignment horizontal="general" vertical="bottom"/>
    </xf>
    <xf numFmtId="165" fontId="10" fillId="0" borderId="0" applyAlignment="1" pivotButton="0" quotePrefix="0" xfId="0">
      <alignment horizontal="general" vertical="bottom"/>
    </xf>
    <xf numFmtId="167" fontId="6" fillId="0" borderId="0" applyAlignment="1" pivotButton="0" quotePrefix="0" xfId="0">
      <alignment horizontal="general" vertical="bottom"/>
    </xf>
    <xf numFmtId="10" fontId="6" fillId="0" borderId="0" applyAlignment="1" pivotButton="0" quotePrefix="0" xfId="0">
      <alignment horizontal="general" vertical="bottom"/>
    </xf>
    <xf numFmtId="168" fontId="6" fillId="0" borderId="0" applyAlignment="1" pivotButton="0" quotePrefix="0" xfId="0">
      <alignment horizontal="general" vertical="bottom"/>
    </xf>
    <xf numFmtId="166" fontId="7" fillId="0" borderId="0" applyAlignment="1" pivotButton="0" quotePrefix="0" xfId="0">
      <alignment horizontal="general" vertical="bottom"/>
    </xf>
    <xf numFmtId="0" fontId="0" fillId="3" borderId="0" applyAlignment="1" pivotButton="0" quotePrefix="0" xfId="0">
      <alignment horizontal="general" vertical="bottom"/>
    </xf>
    <xf numFmtId="164" fontId="9" fillId="0" borderId="0" applyAlignment="1" pivotButton="0" quotePrefix="0" xfId="0">
      <alignment horizontal="general" vertical="bottom"/>
    </xf>
    <xf numFmtId="165" fontId="9" fillId="4" borderId="0" applyAlignment="1" pivotButton="0" quotePrefix="0" xfId="0">
      <alignment horizontal="general" vertical="bottom"/>
    </xf>
    <xf numFmtId="0" fontId="8" fillId="2" borderId="0" applyAlignment="1" pivotButton="0" quotePrefix="0" xfId="0">
      <alignment horizontal="general" vertical="bottom" wrapText="1"/>
    </xf>
    <xf numFmtId="165" fontId="11" fillId="2" borderId="0" applyAlignment="1" pivotButton="0" quotePrefix="0" xfId="0">
      <alignment horizontal="general" vertical="bottom"/>
    </xf>
    <xf numFmtId="165" fontId="8" fillId="2" borderId="0" applyAlignment="1" pivotButton="0" quotePrefix="0" xfId="0">
      <alignment horizontal="general" vertical="bottom"/>
    </xf>
    <xf numFmtId="0" fontId="5" fillId="0" borderId="0" applyAlignment="1" pivotButton="0" quotePrefix="0" xfId="0">
      <alignment horizontal="general" vertical="top" wrapText="1"/>
    </xf>
    <xf numFmtId="0" fontId="7" fillId="0" borderId="1" applyAlignment="1" pivotButton="0" quotePrefix="0" xfId="0">
      <alignment horizontal="general" vertical="top"/>
    </xf>
    <xf numFmtId="3" fontId="6" fillId="0" borderId="1" applyAlignment="1" pivotButton="0" quotePrefix="0" xfId="0">
      <alignment horizontal="general" vertical="top"/>
    </xf>
    <xf numFmtId="169" fontId="6" fillId="0" borderId="1" applyAlignment="1" pivotButton="0" quotePrefix="0" xfId="0">
      <alignment horizontal="general" vertical="top"/>
    </xf>
    <xf numFmtId="164" fontId="6" fillId="0" borderId="1" applyAlignment="1" pivotButton="0" quotePrefix="0" xfId="0">
      <alignment horizontal="general" vertical="top"/>
    </xf>
    <xf numFmtId="165" fontId="6" fillId="0" borderId="1" applyAlignment="1" pivotButton="0" quotePrefix="0" xfId="0">
      <alignment horizontal="general" vertical="top"/>
    </xf>
    <xf numFmtId="166" fontId="6" fillId="0" borderId="1" applyAlignment="1" pivotButton="0" quotePrefix="0" xfId="0">
      <alignment horizontal="general" vertical="top"/>
    </xf>
    <xf numFmtId="0" fontId="7" fillId="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2" borderId="1" applyAlignment="1" pivotButton="0" quotePrefix="0" xfId="0">
      <alignment horizontal="general" vertical="bottom"/>
    </xf>
    <xf numFmtId="0" fontId="7" fillId="3" borderId="0" applyAlignment="1" pivotButton="0" quotePrefix="0" xfId="0">
      <alignment horizontal="general" vertical="bottom"/>
    </xf>
    <xf numFmtId="0" fontId="6" fillId="3" borderId="0" applyAlignment="1" pivotButton="0" quotePrefix="0" xfId="0">
      <alignment horizontal="general" vertical="bottom"/>
    </xf>
    <xf numFmtId="0" fontId="6" fillId="3" borderId="0" applyAlignment="1" pivotButton="0" quotePrefix="0" xfId="0">
      <alignment horizontal="general" vertical="top" wrapText="1"/>
    </xf>
    <xf numFmtId="0" fontId="6" fillId="0" borderId="0" applyAlignment="1" pivotButton="0" quotePrefix="0" xfId="0">
      <alignment horizontal="general" vertical="top" wrapText="1"/>
    </xf>
    <xf numFmtId="0" fontId="6" fillId="0" borderId="1" applyAlignment="1" pivotButton="0" quotePrefix="0" xfId="0">
      <alignment horizontal="general" vertical="top" wrapText="1"/>
    </xf>
    <xf numFmtId="164" fontId="9" fillId="4" borderId="1" applyAlignment="1" pivotButton="0" quotePrefix="0" xfId="0">
      <alignment horizontal="general" vertical="top"/>
    </xf>
    <xf numFmtId="0" fontId="6" fillId="0" borderId="1" applyAlignment="1" pivotButton="0" quotePrefix="0" xfId="0">
      <alignment horizontal="general" vertical="top"/>
    </xf>
    <xf numFmtId="10" fontId="9" fillId="0" borderId="1" applyAlignment="1" pivotButton="0" quotePrefix="0" xfId="0">
      <alignment horizontal="general" vertical="top"/>
    </xf>
    <xf numFmtId="164" fontId="9" fillId="0" borderId="1" applyAlignment="1" pivotButton="0" quotePrefix="0" xfId="0">
      <alignment horizontal="general" vertical="top"/>
    </xf>
    <xf numFmtId="3" fontId="9" fillId="0" borderId="1" applyAlignment="1" pivotButton="0" quotePrefix="0" xfId="0">
      <alignment horizontal="general" vertical="top"/>
    </xf>
    <xf numFmtId="165" fontId="9" fillId="4" borderId="1" applyAlignment="1" pivotButton="0" quotePrefix="0" xfId="0">
      <alignment horizontal="general" vertical="top"/>
    </xf>
    <xf numFmtId="165" fontId="9" fillId="0" borderId="1" applyAlignment="1" pivotButton="0" quotePrefix="0" xfId="0">
      <alignment horizontal="general" vertical="top"/>
    </xf>
    <xf numFmtId="166" fontId="9" fillId="0" borderId="1" applyAlignment="1" pivotButton="0" quotePrefix="0" xfId="0">
      <alignment horizontal="general" vertical="top"/>
    </xf>
    <xf numFmtId="0" fontId="9" fillId="0" borderId="1" applyAlignment="1" pivotButton="0" quotePrefix="0" xfId="0">
      <alignment horizontal="general" vertical="top"/>
    </xf>
    <xf numFmtId="165" fontId="9" fillId="0" borderId="0" applyAlignment="1" pivotButton="0" quotePrefix="0" xfId="0">
      <alignment horizontal="general" vertical="bottom"/>
    </xf>
    <xf numFmtId="165" fontId="6" fillId="0" borderId="0" applyAlignment="1" pivotButton="0" quotePrefix="0" xfId="0">
      <alignment horizontal="general" vertical="bottom"/>
    </xf>
    <xf numFmtId="0" fontId="6" fillId="0" borderId="0" applyAlignment="1" pivotButton="0" quotePrefix="0" xfId="0">
      <alignment horizontal="center" vertical="bottom"/>
    </xf>
    <xf numFmtId="0" fontId="8" fillId="2" borderId="1" applyAlignment="1" pivotButton="0" quotePrefix="0" xfId="0">
      <alignment horizontal="center" vertical="center" wrapText="1"/>
    </xf>
    <xf numFmtId="0" fontId="9" fillId="0" borderId="1" applyAlignment="1" pivotButton="0" quotePrefix="0" xfId="0">
      <alignment horizontal="general" vertical="bottom"/>
    </xf>
    <xf numFmtId="0" fontId="6" fillId="0" borderId="1" applyAlignment="1" pivotButton="0" quotePrefix="0" xfId="0">
      <alignment horizontal="general" vertical="bottom"/>
    </xf>
    <xf numFmtId="3" fontId="9" fillId="0" borderId="1" applyAlignment="1" pivotButton="0" quotePrefix="0" xfId="0">
      <alignment horizontal="general" vertical="bottom"/>
    </xf>
    <xf numFmtId="164" fontId="9" fillId="0" borderId="1" applyAlignment="1" pivotButton="0" quotePrefix="0" xfId="0">
      <alignment horizontal="general" vertical="bottom"/>
    </xf>
    <xf numFmtId="164" fontId="10" fillId="0" borderId="1" applyAlignment="1" pivotButton="0" quotePrefix="0" xfId="0">
      <alignment horizontal="general" vertical="bottom"/>
    </xf>
    <xf numFmtId="164" fontId="6" fillId="0" borderId="1" applyAlignment="1" pivotButton="0" quotePrefix="0" xfId="0">
      <alignment horizontal="general" vertical="bottom"/>
    </xf>
    <xf numFmtId="0" fontId="6" fillId="0" borderId="1" applyAlignment="1" pivotButton="0" quotePrefix="0" xfId="0">
      <alignment horizontal="center" vertical="bottom"/>
    </xf>
    <xf numFmtId="164" fontId="6" fillId="0" borderId="0" applyAlignment="1" pivotButton="0" quotePrefix="0" xfId="0">
      <alignment horizontal="general" vertical="bottom"/>
    </xf>
    <xf numFmtId="3" fontId="6" fillId="0" borderId="0" applyAlignment="1" pivotButton="0" quotePrefix="0" xfId="0">
      <alignment horizontal="general" vertical="bottom"/>
    </xf>
    <xf numFmtId="166" fontId="6" fillId="0" borderId="0" applyAlignment="1" pivotButton="0" quotePrefix="0" xfId="0">
      <alignment horizontal="general" vertical="bottom"/>
    </xf>
    <xf numFmtId="0" fontId="8" fillId="2" borderId="0" applyAlignment="1" pivotButton="0" quotePrefix="0" xfId="0">
      <alignment horizontal="general" vertical="bottom"/>
    </xf>
    <xf numFmtId="164" fontId="7" fillId="0" borderId="0" applyAlignment="1" pivotButton="0" quotePrefix="0" xfId="0">
      <alignment horizontal="general" vertical="bottom"/>
    </xf>
    <xf numFmtId="164" fontId="10" fillId="0" borderId="0" applyAlignment="1" pivotButton="0" quotePrefix="0" xfId="0">
      <alignment horizontal="general" vertical="bottom"/>
    </xf>
    <xf numFmtId="164" fontId="7" fillId="3" borderId="0" applyAlignment="1" pivotButton="0" quotePrefix="0" xfId="0">
      <alignment horizontal="general" vertical="bottom"/>
    </xf>
    <xf numFmtId="165" fontId="10" fillId="0" borderId="0" applyAlignment="1" pivotButton="0" quotePrefix="0" xfId="0">
      <alignment horizontal="general" vertical="bottom"/>
    </xf>
    <xf numFmtId="167" fontId="6" fillId="0" borderId="0" applyAlignment="1" pivotButton="0" quotePrefix="0" xfId="0">
      <alignment horizontal="general" vertical="bottom"/>
    </xf>
    <xf numFmtId="10" fontId="6" fillId="0" borderId="0" applyAlignment="1" pivotButton="0" quotePrefix="0" xfId="0">
      <alignment horizontal="general" vertical="bottom"/>
    </xf>
    <xf numFmtId="168" fontId="6" fillId="0" borderId="0" applyAlignment="1" pivotButton="0" quotePrefix="0" xfId="0">
      <alignment horizontal="general" vertical="bottom"/>
    </xf>
    <xf numFmtId="166" fontId="7" fillId="0" borderId="0" applyAlignment="1" pivotButton="0" quotePrefix="0" xfId="0">
      <alignment horizontal="general" vertical="bottom"/>
    </xf>
    <xf numFmtId="0" fontId="0" fillId="3" borderId="0" applyAlignment="1" pivotButton="0" quotePrefix="0" xfId="0">
      <alignment horizontal="general" vertical="bottom"/>
    </xf>
    <xf numFmtId="164" fontId="9" fillId="0" borderId="0" applyAlignment="1" pivotButton="0" quotePrefix="0" xfId="0">
      <alignment horizontal="general" vertical="bottom"/>
    </xf>
    <xf numFmtId="165" fontId="9" fillId="4" borderId="0" applyAlignment="1" pivotButton="0" quotePrefix="0" xfId="0">
      <alignment horizontal="general" vertical="bottom"/>
    </xf>
    <xf numFmtId="0" fontId="8" fillId="2" borderId="0" applyAlignment="1" pivotButton="0" quotePrefix="0" xfId="0">
      <alignment horizontal="general" vertical="bottom" wrapText="1"/>
    </xf>
    <xf numFmtId="165" fontId="11" fillId="2" borderId="0" applyAlignment="1" pivotButton="0" quotePrefix="0" xfId="0">
      <alignment horizontal="general" vertical="bottom"/>
    </xf>
    <xf numFmtId="165" fontId="8" fillId="2" borderId="0" applyAlignment="1" pivotButton="0" quotePrefix="0" xfId="0">
      <alignment horizontal="general" vertical="bottom"/>
    </xf>
    <xf numFmtId="0" fontId="5" fillId="0" borderId="0" applyAlignment="1" pivotButton="0" quotePrefix="0" xfId="0">
      <alignment horizontal="general" vertical="top" wrapText="1"/>
    </xf>
    <xf numFmtId="0" fontId="7" fillId="0" borderId="1" applyAlignment="1" pivotButton="0" quotePrefix="0" xfId="0">
      <alignment horizontal="general" vertical="top"/>
    </xf>
    <xf numFmtId="3" fontId="6" fillId="0" borderId="1" applyAlignment="1" pivotButton="0" quotePrefix="0" xfId="0">
      <alignment horizontal="general" vertical="top"/>
    </xf>
    <xf numFmtId="169" fontId="6" fillId="0" borderId="1" applyAlignment="1" pivotButton="0" quotePrefix="0" xfId="0">
      <alignment horizontal="general" vertical="top"/>
    </xf>
    <xf numFmtId="164" fontId="6" fillId="0" borderId="1" applyAlignment="1" pivotButton="0" quotePrefix="0" xfId="0">
      <alignment horizontal="general" vertical="top"/>
    </xf>
    <xf numFmtId="165" fontId="6" fillId="0" borderId="1" applyAlignment="1" pivotButton="0" quotePrefix="0" xfId="0">
      <alignment horizontal="general" vertical="top"/>
    </xf>
    <xf numFmtId="166" fontId="6" fillId="0" borderId="1" applyAlignment="1" pivotButton="0" quotePrefix="0" xfId="0">
      <alignment horizontal="general" vertical="top"/>
    </xf>
    <xf numFmtId="0" fontId="7" fillId="0"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44"/>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57" min="1" max="1"/>
    <col width="78" customWidth="1" style="57" min="2" max="2"/>
  </cols>
  <sheetData>
    <row r="1" ht="17.35" customHeight="1" s="58">
      <c r="A1" s="59" t="inlineStr">
        <is>
          <t>Magnolia Terrace — Reconciled Underwriting Model — REVISION 2</t>
        </is>
      </c>
    </row>
    <row r="2" ht="15" customHeight="1" s="58">
      <c r="A2" s="60" t="inlineStr">
        <is>
          <t>Original fictional evaluation material. No real transaction. As-of date: 2026-09-01. Supersedes the 2026-08-31 revision 1 model, which is retained unchanged in the audit archive.</t>
        </is>
      </c>
    </row>
    <row r="3" ht="15" customHeight="1" s="58">
      <c r="A3" s="61" t="n"/>
      <c r="B3" s="61" t="n"/>
    </row>
    <row r="4" ht="15" customHeight="1" s="58">
      <c r="A4" s="62" t="inlineStr">
        <is>
          <t>HOW TO USE THIS WORKBOOK</t>
        </is>
      </c>
      <c r="B4" s="62" t="n"/>
    </row>
    <row r="5" ht="15" customHeight="1" s="58">
      <c r="A5" s="61" t="inlineStr">
        <is>
          <t>Blue text</t>
        </is>
      </c>
      <c r="B5" s="61" t="inlineStr">
        <is>
          <t>Hardcoded input / scenario lever. Edit these.</t>
        </is>
      </c>
    </row>
    <row r="6" ht="15" customHeight="1" s="58">
      <c r="A6" s="61" t="inlineStr">
        <is>
          <t>Yellow fill</t>
        </is>
      </c>
      <c r="B6" s="61" t="inlineStr">
        <is>
          <t>The three designated input cells named in the request.</t>
        </is>
      </c>
    </row>
    <row r="7" ht="15" customHeight="1" s="58">
      <c r="A7" s="61" t="inlineStr">
        <is>
          <t>Black text</t>
        </is>
      </c>
      <c r="B7" s="61" t="inlineStr">
        <is>
          <t>Formula on the same sheet. Do not overwrite.</t>
        </is>
      </c>
    </row>
    <row r="8" ht="15" customHeight="1" s="58">
      <c r="A8" s="61" t="inlineStr">
        <is>
          <t>Green text</t>
        </is>
      </c>
      <c r="B8" s="61" t="inlineStr">
        <is>
          <t>Link to another sheet in this workbook. Do not overwrite.</t>
        </is>
      </c>
    </row>
    <row r="9" ht="15" customHeight="1" s="58">
      <c r="A9" s="61" t="n"/>
      <c r="B9" s="61" t="n"/>
    </row>
    <row r="10" ht="15" customHeight="1" s="58">
      <c r="A10" s="62" t="inlineStr">
        <is>
          <t>DESIGNATED INPUT CELLS</t>
        </is>
      </c>
      <c r="B10" s="62" t="inlineStr">
        <is>
          <t>Location</t>
        </is>
      </c>
    </row>
    <row r="11" ht="15" customHeight="1" s="58">
      <c r="A11" s="61" t="inlineStr">
        <is>
          <t>gross_potential_rent</t>
        </is>
      </c>
      <c r="B11" s="61" t="inlineStr">
        <is>
          <t>Inputs!B5</t>
        </is>
      </c>
    </row>
    <row r="12" ht="15" customHeight="1" s="58">
      <c r="A12" s="61" t="inlineStr">
        <is>
          <t>cap_rate</t>
        </is>
      </c>
      <c r="B12" s="61" t="inlineStr">
        <is>
          <t>Inputs!B14</t>
        </is>
      </c>
    </row>
    <row r="13" ht="15" customHeight="1" s="58">
      <c r="A13" s="61" t="inlineStr">
        <is>
          <t>sizing_rate</t>
        </is>
      </c>
      <c r="B13" s="61" t="inlineStr">
        <is>
          <t>Inputs!B17</t>
        </is>
      </c>
    </row>
    <row r="14" ht="15" customHeight="1" s="58">
      <c r="A14" s="61" t="n"/>
      <c r="B14" s="61" t="n"/>
    </row>
    <row r="15" ht="15" customHeight="1" s="58">
      <c r="A15" s="62" t="inlineStr">
        <is>
          <t>DESIGNATED OUTPUT CELLS</t>
        </is>
      </c>
      <c r="B15" s="62" t="inlineStr">
        <is>
          <t>Location</t>
        </is>
      </c>
    </row>
    <row r="16" ht="15" customHeight="1" s="58">
      <c r="A16" s="61" t="inlineStr">
        <is>
          <t>uw_egi</t>
        </is>
      </c>
      <c r="B16" s="61" t="inlineStr">
        <is>
          <t>Underwriting!B8</t>
        </is>
      </c>
    </row>
    <row r="17" ht="15" customHeight="1" s="58">
      <c r="A17" s="61" t="inlineStr">
        <is>
          <t>uw_noi</t>
        </is>
      </c>
      <c r="B17" s="61" t="inlineStr">
        <is>
          <t>Underwriting!B15</t>
        </is>
      </c>
    </row>
    <row r="18" ht="15" customHeight="1" s="58">
      <c r="A18" s="61" t="inlineStr">
        <is>
          <t>uw_ncf</t>
        </is>
      </c>
      <c r="B18" s="61" t="inlineStr">
        <is>
          <t>Underwriting!B17</t>
        </is>
      </c>
    </row>
    <row r="19" ht="15" customHeight="1" s="58">
      <c r="A19" s="61" t="inlineStr">
        <is>
          <t>capitalization_value</t>
        </is>
      </c>
      <c r="B19" s="61" t="inlineStr">
        <is>
          <t>Underwriting!B20</t>
        </is>
      </c>
    </row>
    <row r="20" ht="15" customHeight="1" s="58">
      <c r="A20" s="61" t="inlineStr">
        <is>
          <t>maximum_loan</t>
        </is>
      </c>
      <c r="B20" s="61" t="inlineStr">
        <is>
          <t>Debt!B13</t>
        </is>
      </c>
    </row>
    <row r="21" ht="15" customHeight="1" s="58">
      <c r="A21" s="61" t="inlineStr">
        <is>
          <t>net_cash_out</t>
        </is>
      </c>
      <c r="B21" s="61" t="inlineStr">
        <is>
          <t>Debt!B30</t>
        </is>
      </c>
    </row>
    <row r="22" ht="15" customHeight="1" s="58">
      <c r="A22" s="61" t="n"/>
      <c r="B22" s="61" t="n"/>
    </row>
    <row r="23" ht="15" customHeight="1" s="58">
      <c r="A23" s="62" t="inlineStr">
        <is>
          <t>SHEETS</t>
        </is>
      </c>
      <c r="B23" s="62" t="n"/>
    </row>
    <row r="24" ht="15" customHeight="1" s="58">
      <c r="A24" s="61" t="inlineStr">
        <is>
          <t>Revision Log</t>
        </is>
      </c>
      <c r="B24" s="61" t="inlineStr">
        <is>
          <t>What changed in revision 2, what did not, and why.</t>
        </is>
      </c>
    </row>
    <row r="25" ht="15" customHeight="1" s="58">
      <c r="A25" s="61" t="inlineStr">
        <is>
          <t>Inputs</t>
        </is>
      </c>
      <c r="B25" s="61" t="inlineStr">
        <is>
          <t>All assumptions, each in its own labeled cell, with source.</t>
        </is>
      </c>
    </row>
    <row r="26" ht="15" customHeight="1" s="58">
      <c r="A26" s="61" t="inlineStr">
        <is>
          <t>Rent Roll</t>
        </is>
      </c>
      <c r="B26" s="61" t="inlineStr">
        <is>
          <t>REVISED certified roll as of 2026-09-01 with the executed Suite 001 amendment.</t>
        </is>
      </c>
    </row>
    <row r="27" ht="15" customHeight="1" s="58">
      <c r="A27" s="61" t="inlineStr">
        <is>
          <t>Underwriting</t>
        </is>
      </c>
      <c r="B27" s="61" t="inlineStr">
        <is>
          <t>EGI / NOI / NCF bridge and direct capitalization.</t>
        </is>
      </c>
    </row>
    <row r="28" ht="15" customHeight="1" s="58">
      <c r="A28" s="61" t="inlineStr">
        <is>
          <t>Debt</t>
        </is>
      </c>
      <c r="B28" s="61" t="inlineStr">
        <is>
          <t>Three-constraint loan sizing and sources &amp; uses.</t>
        </is>
      </c>
    </row>
    <row r="29" ht="15" customHeight="1" s="58">
      <c r="A29" s="61" t="inlineStr">
        <is>
          <t>Historical</t>
        </is>
      </c>
      <c r="B29" s="61" t="inlineStr">
        <is>
          <t>T-12 cash operating statement as reported, vs underwritten.</t>
        </is>
      </c>
    </row>
    <row r="30" ht="15" customHeight="1" s="58">
      <c r="A30" s="61" t="inlineStr">
        <is>
          <t>Sensitivity</t>
        </is>
      </c>
      <c r="B30" s="61" t="inlineStr">
        <is>
          <t>Value and maximum loan across cap rate and sizing rate.</t>
        </is>
      </c>
    </row>
    <row r="31" ht="15" customHeight="1" s="58">
      <c r="A31" s="61" t="inlineStr">
        <is>
          <t>Fields</t>
        </is>
      </c>
      <c r="B31" s="61" t="inlineStr">
        <is>
          <t>The 38 named reporting fields with evidence locations.</t>
        </is>
      </c>
    </row>
    <row r="32" ht="15" customHeight="1" s="58">
      <c r="A32" s="61" t="inlineStr">
        <is>
          <t>Sources</t>
        </is>
      </c>
      <c r="B32" s="61" t="inlineStr">
        <is>
          <t>Source register — every document, what it governs, what it does not.</t>
        </is>
      </c>
    </row>
    <row r="33" ht="15" customHeight="1" s="58">
      <c r="A33" s="61" t="n"/>
      <c r="B33" s="61" t="n"/>
    </row>
    <row r="34" ht="15" customHeight="1" s="58">
      <c r="A34" s="62" t="inlineStr">
        <is>
          <t>REVISION 2 SUMMARY</t>
        </is>
      </c>
      <c r="B34" s="62" t="inlineStr">
        <is>
          <t>Per revision-notice.pdf</t>
        </is>
      </c>
    </row>
    <row r="35" ht="15" customHeight="1" s="58">
      <c r="A35" s="61" t="inlineStr">
        <is>
          <t>Roll superseded</t>
        </is>
      </c>
      <c r="B35" s="61" t="inlineStr">
        <is>
          <t>rent-roll-revised.xlsx (2026-09-01) replaces rent-roll-certified.xlsx (2026-08-31).</t>
        </is>
      </c>
    </row>
    <row r="36" ht="15" customHeight="1" s="58">
      <c r="A36" s="61" t="inlineStr">
        <is>
          <t>Suite 045</t>
        </is>
      </c>
      <c r="B36" s="61" t="inlineStr">
        <is>
          <t>Now active. Scheduled rent up $225 to $2,150. Pending count falls to zero.</t>
        </is>
      </c>
    </row>
    <row r="37" ht="15" customHeight="1" s="58">
      <c r="A37" s="61" t="inlineStr">
        <is>
          <t>cap_rate</t>
        </is>
      </c>
      <c r="B37" s="61" t="inlineStr">
        <is>
          <t>5.7500% + 25 bp = 6.0000%.</t>
        </is>
      </c>
    </row>
    <row r="38" ht="15" customHeight="1" s="58">
      <c r="A38" s="61" t="inlineStr">
        <is>
          <t>sizing_rate</t>
        </is>
      </c>
      <c r="B38" s="61" t="inlineStr">
        <is>
          <t>Initial 6.2500% + 75 bp = 7.0000%.</t>
        </is>
      </c>
    </row>
    <row r="39" ht="15" customHeight="1" s="58">
      <c r="A39" s="61" t="inlineStr">
        <is>
          <t>Unchanged</t>
        </is>
      </c>
      <c r="B39" s="61" t="inlineStr">
        <is>
          <t>Suite 001 amendment, all expense inputs, all loan constraints, payoff, fees, reserves.</t>
        </is>
      </c>
    </row>
    <row r="40" ht="15" customHeight="1" s="58">
      <c r="A40" s="61" t="n"/>
      <c r="B40" s="61" t="n"/>
    </row>
    <row r="41" ht="15" customHeight="1" s="58">
      <c r="A41" s="62" t="inlineStr">
        <is>
          <t>DEFINITIONAL NOTE</t>
        </is>
      </c>
      <c r="B41" s="62" t="inlineStr">
        <is>
          <t>Reported T-12 NOI, underwritten NOI and NCF are three different</t>
        </is>
      </c>
    </row>
    <row r="42" ht="15" customHeight="1" s="58">
      <c r="A42" s="61" t="n"/>
      <c r="B42" s="61" t="inlineStr">
        <is>
          <t>measures and are labeled separately throughout. Reported T-12 NOI is a</t>
        </is>
      </c>
    </row>
    <row r="43" ht="15" customHeight="1" s="58">
      <c r="A43" s="61" t="n"/>
      <c r="B43" s="61" t="inlineStr">
        <is>
          <t>historical cash result; underwritten NOI is a forward prescribed</t>
        </is>
      </c>
    </row>
    <row r="44" ht="15" customHeight="1" s="58">
      <c r="A44" s="61" t="n"/>
      <c r="B44" s="61" t="inlineStr">
        <is>
          <t>assumption before reserves; NCF is underwritten NOI after reserves.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49"/>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7" min="1" max="1"/>
    <col width="20" customWidth="1" style="57" min="2" max="3"/>
    <col width="18" customWidth="1" style="57" min="4" max="4"/>
    <col width="60" customWidth="1" style="57" min="5" max="5"/>
  </cols>
  <sheetData>
    <row r="1" ht="17.35" customHeight="1" s="58">
      <c r="A1" s="59" t="inlineStr">
        <is>
          <t>Revision 2 Change Log</t>
        </is>
      </c>
    </row>
    <row r="2" ht="15" customHeight="1" s="58">
      <c r="A2" s="60" t="inlineStr">
        <is>
          <t>Source: revision-notice.pdf p.1 and rent-roll-revised.xlsx, both effective 2026-09-01. The revision 1 model dated 2026-08-31 is retained unchanged in the audit archive and is not overwritten.</t>
        </is>
      </c>
    </row>
    <row r="4" ht="15" customHeight="1" s="58">
      <c r="A4" s="63" t="inlineStr">
        <is>
          <t>Field / item</t>
        </is>
      </c>
      <c r="B4" s="63" t="inlineStr">
        <is>
          <t>Revision 1 (2026-08-31)</t>
        </is>
      </c>
      <c r="C4" s="63" t="inlineStr">
        <is>
          <t>Revision 2 (2026-09-01)</t>
        </is>
      </c>
      <c r="D4" s="63" t="inlineStr">
        <is>
          <t>Change</t>
        </is>
      </c>
      <c r="E4" s="63" t="inlineStr">
        <is>
          <t>Driver</t>
        </is>
      </c>
    </row>
    <row r="5" ht="15" customHeight="1" s="58">
      <c r="A5" s="64" t="inlineStr">
        <is>
          <t>INSTRUCTED CHANGES</t>
        </is>
      </c>
      <c r="B5" s="65" t="n"/>
      <c r="C5" s="65" t="n"/>
      <c r="D5" s="65" t="n"/>
      <c r="E5" s="66" t="n"/>
    </row>
    <row r="6" ht="15" customHeight="1" s="58">
      <c r="A6" s="61" t="inlineStr">
        <is>
          <t>selected_roll_date</t>
        </is>
      </c>
      <c r="B6" s="61" t="inlineStr">
        <is>
          <t>2026-08-31</t>
        </is>
      </c>
      <c r="C6" s="61" t="inlineStr">
        <is>
          <t>2026-09-01</t>
        </is>
      </c>
      <c r="D6" s="62" t="inlineStr">
        <is>
          <t>Superseded</t>
        </is>
      </c>
      <c r="E6" s="67" t="inlineStr">
        <is>
          <t>Revised roll supersedes the prior certified roll.</t>
        </is>
      </c>
    </row>
    <row r="7" ht="15" customHeight="1" s="58">
      <c r="A7" s="61" t="inlineStr">
        <is>
          <t>cap_rate</t>
        </is>
      </c>
      <c r="B7" s="61" t="inlineStr">
        <is>
          <t>0.0575</t>
        </is>
      </c>
      <c r="C7" s="61" t="inlineStr">
        <is>
          <t>0.0600</t>
        </is>
      </c>
      <c r="D7" s="62" t="inlineStr">
        <is>
          <t>+25 bp</t>
        </is>
      </c>
      <c r="E7" s="67" t="inlineStr">
        <is>
          <t>Directly instructed.</t>
        </is>
      </c>
    </row>
    <row r="8" ht="15" customHeight="1" s="58">
      <c r="A8" s="61" t="inlineStr">
        <is>
          <t>sizing_rate</t>
        </is>
      </c>
      <c r="B8" s="61" t="inlineStr">
        <is>
          <t>0.0625</t>
        </is>
      </c>
      <c r="C8" s="61" t="inlineStr">
        <is>
          <t>0.0700</t>
        </is>
      </c>
      <c r="D8" s="62" t="inlineStr">
        <is>
          <t>+75 bp</t>
        </is>
      </c>
      <c r="E8" s="67" t="inlineStr">
        <is>
          <t>Initial sizing rate plus 75 bp, as instructed.</t>
        </is>
      </c>
    </row>
    <row r="9" ht="15" customHeight="1" s="58">
      <c r="A9" s="61" t="inlineStr">
        <is>
          <t>Suite 045 possession</t>
        </is>
      </c>
      <c r="B9" s="61" t="inlineStr">
        <is>
          <t>pending</t>
        </is>
      </c>
      <c r="C9" s="61" t="inlineStr">
        <is>
          <t>active</t>
        </is>
      </c>
      <c r="D9" s="62" t="inlineStr">
        <is>
          <t>Took possession</t>
        </is>
      </c>
      <c r="E9" s="67" t="inlineStr">
        <is>
          <t>Directly instructed.</t>
        </is>
      </c>
    </row>
    <row r="10" ht="15" customHeight="1" s="58">
      <c r="A10" s="61" t="inlineStr">
        <is>
          <t>Suite 045 monthly rent</t>
        </is>
      </c>
      <c r="B10" s="61" t="inlineStr">
        <is>
          <t>$1,925</t>
        </is>
      </c>
      <c r="C10" s="61" t="inlineStr">
        <is>
          <t>$2,150</t>
        </is>
      </c>
      <c r="D10" s="62" t="inlineStr">
        <is>
          <t>+$225</t>
        </is>
      </c>
      <c r="E10" s="67" t="inlineStr">
        <is>
          <t>Directly instructed.</t>
        </is>
      </c>
    </row>
    <row r="11" ht="15" customHeight="1" s="58">
      <c r="A11" s="61" t="n"/>
      <c r="B11" s="61" t="n"/>
      <c r="C11" s="61" t="n"/>
      <c r="D11" s="61" t="n"/>
      <c r="E11" s="67" t="n"/>
    </row>
    <row r="12" ht="15" customHeight="1" s="58">
      <c r="A12" s="64" t="inlineStr">
        <is>
          <t>CONSEQUENTIAL CHANGES</t>
        </is>
      </c>
      <c r="B12" s="65" t="n"/>
      <c r="C12" s="65" t="n"/>
      <c r="D12" s="65" t="n"/>
      <c r="E12" s="66" t="n"/>
    </row>
    <row r="13" ht="15" customHeight="1" s="58">
      <c r="A13" s="61" t="inlineStr">
        <is>
          <t>occupied_units</t>
        </is>
      </c>
      <c r="B13" s="61" t="inlineStr">
        <is>
          <t>44</t>
        </is>
      </c>
      <c r="C13" s="61" t="inlineStr">
        <is>
          <t>45</t>
        </is>
      </c>
      <c r="D13" s="62" t="inlineStr">
        <is>
          <t>+1</t>
        </is>
      </c>
      <c r="E13" s="67" t="inlineStr">
        <is>
          <t>Suite 045 possession.</t>
        </is>
      </c>
    </row>
    <row r="14" ht="15" customHeight="1" s="58">
      <c r="A14" s="61" t="inlineStr">
        <is>
          <t>pending_units</t>
        </is>
      </c>
      <c r="B14" s="61" t="inlineStr">
        <is>
          <t>1</t>
        </is>
      </c>
      <c r="C14" s="61" t="inlineStr">
        <is>
          <t>0</t>
        </is>
      </c>
      <c r="D14" s="62" t="inlineStr">
        <is>
          <t>-1</t>
        </is>
      </c>
      <c r="E14" s="67" t="inlineStr">
        <is>
          <t>Suite 045 possession. A true zero, not unknown.</t>
        </is>
      </c>
    </row>
    <row r="15" ht="15" customHeight="1" s="58">
      <c r="A15" s="61" t="inlineStr">
        <is>
          <t>occupied_area_sf</t>
        </is>
      </c>
      <c r="B15" s="61" t="inlineStr">
        <is>
          <t>37,220</t>
        </is>
      </c>
      <c r="C15" s="61" t="inlineStr">
        <is>
          <t>38,250</t>
        </is>
      </c>
      <c r="D15" s="62" t="inlineStr">
        <is>
          <t>+1,030</t>
        </is>
      </c>
      <c r="E15" s="67" t="inlineStr">
        <is>
          <t>The 1,030 SF of Suite 045.</t>
        </is>
      </c>
    </row>
    <row r="16" ht="15" customHeight="1" s="58">
      <c r="A16" s="61" t="inlineStr">
        <is>
          <t>unit_occupancy</t>
        </is>
      </c>
      <c r="B16" s="61" t="inlineStr">
        <is>
          <t>0.9167</t>
        </is>
      </c>
      <c r="C16" s="61" t="inlineStr">
        <is>
          <t>0.9375</t>
        </is>
      </c>
      <c r="D16" s="62" t="inlineStr">
        <is>
          <t>+0.0208</t>
        </is>
      </c>
      <c r="E16" s="67" t="inlineStr">
        <is>
          <t>45 of 48.</t>
        </is>
      </c>
    </row>
    <row r="17" ht="15" customHeight="1" s="58">
      <c r="A17" s="61" t="inlineStr">
        <is>
          <t>area_occupancy</t>
        </is>
      </c>
      <c r="B17" s="61" t="inlineStr">
        <is>
          <t>0.9123</t>
        </is>
      </c>
      <c r="C17" s="61" t="inlineStr">
        <is>
          <t>0.9375</t>
        </is>
      </c>
      <c r="D17" s="62" t="inlineStr">
        <is>
          <t>+0.0252</t>
        </is>
      </c>
      <c r="E17" s="67" t="inlineStr">
        <is>
          <t>Now equal to unit occupancy: 15 of each plan occupied.</t>
        </is>
      </c>
    </row>
    <row r="18" ht="15" customHeight="1" s="58">
      <c r="A18" s="61" t="inlineStr">
        <is>
          <t>type_c_occupied</t>
        </is>
      </c>
      <c r="B18" s="61" t="inlineStr">
        <is>
          <t>14</t>
        </is>
      </c>
      <c r="C18" s="61" t="inlineStr">
        <is>
          <t>15</t>
        </is>
      </c>
      <c r="D18" s="62" t="inlineStr">
        <is>
          <t>+1</t>
        </is>
      </c>
      <c r="E18" s="67" t="inlineStr">
        <is>
          <t>Suite 045 is a 2BR.</t>
        </is>
      </c>
    </row>
    <row r="19" ht="15" customHeight="1" s="58">
      <c r="A19" s="61" t="inlineStr">
        <is>
          <t>annual_in_place_rent</t>
        </is>
      </c>
      <c r="B19" s="61" t="inlineStr">
        <is>
          <t>$894,600</t>
        </is>
      </c>
      <c r="C19" s="61" t="inlineStr">
        <is>
          <t>$920,400</t>
        </is>
      </c>
      <c r="D19" s="62" t="inlineStr">
        <is>
          <t>+$25,800</t>
        </is>
      </c>
      <c r="E19" s="67" t="inlineStr">
        <is>
          <t>Suite 045 added at $2,150 x 12, plus its $225 increase.</t>
        </is>
      </c>
    </row>
    <row r="20" ht="23.85" customHeight="1" s="58">
      <c r="A20" s="61" t="inlineStr">
        <is>
          <t>gross_potential_rent</t>
        </is>
      </c>
      <c r="B20" s="61" t="inlineStr">
        <is>
          <t>$974,400</t>
        </is>
      </c>
      <c r="C20" s="61" t="inlineStr">
        <is>
          <t>$977,100</t>
        </is>
      </c>
      <c r="D20" s="62" t="inlineStr">
        <is>
          <t>+$2,700</t>
        </is>
      </c>
      <c r="E20" s="67" t="inlineStr">
        <is>
          <t>Suite 045 rent increase x 12. Possession does not affect GPR, which credits all 48 either way.</t>
        </is>
      </c>
    </row>
    <row r="21" ht="15" customHeight="1" s="58">
      <c r="A21" s="61" t="inlineStr">
        <is>
          <t>uw_egi</t>
        </is>
      </c>
      <c r="B21" s="61" t="inlineStr">
        <is>
          <t>$942,480</t>
        </is>
      </c>
      <c r="C21" s="61" t="inlineStr">
        <is>
          <t>$945,045</t>
        </is>
      </c>
      <c r="D21" s="62" t="inlineStr">
        <is>
          <t>+$2,565</t>
        </is>
      </c>
      <c r="E21" s="67" t="inlineStr">
        <is>
          <t>GPR uplift net of the 5% loss factor.</t>
        </is>
      </c>
    </row>
    <row r="22" ht="15" customHeight="1" s="58">
      <c r="A22" s="61" t="inlineStr">
        <is>
          <t>uw_operating_expenses</t>
        </is>
      </c>
      <c r="B22" s="61" t="inlineStr">
        <is>
          <t>$301,106.40</t>
        </is>
      </c>
      <c r="C22" s="61" t="inlineStr">
        <is>
          <t>$301,183.35</t>
        </is>
      </c>
      <c r="D22" s="62" t="inlineStr">
        <is>
          <t>+$76.95</t>
        </is>
      </c>
      <c r="E22" s="67" t="inlineStr">
        <is>
          <t>Only the 3% management fee moved.</t>
        </is>
      </c>
    </row>
    <row r="23" ht="15" customHeight="1" s="58">
      <c r="A23" s="61" t="inlineStr">
        <is>
          <t>uw_noi</t>
        </is>
      </c>
      <c r="B23" s="61" t="inlineStr">
        <is>
          <t>$641,373.60</t>
        </is>
      </c>
      <c r="C23" s="61" t="inlineStr">
        <is>
          <t>$643,861.65</t>
        </is>
      </c>
      <c r="D23" s="62" t="inlineStr">
        <is>
          <t>+$2,488.05</t>
        </is>
      </c>
      <c r="E23" s="67" t="inlineStr">
        <is>
          <t>EGI uplift less the management fee increment.</t>
        </is>
      </c>
    </row>
    <row r="24" ht="15" customHeight="1" s="58">
      <c r="A24" s="61" t="inlineStr">
        <is>
          <t>uw_ncf</t>
        </is>
      </c>
      <c r="B24" s="61" t="inlineStr">
        <is>
          <t>$626,973.60</t>
        </is>
      </c>
      <c r="C24" s="61" t="inlineStr">
        <is>
          <t>$629,461.65</t>
        </is>
      </c>
      <c r="D24" s="62" t="inlineStr">
        <is>
          <t>+$2,488.05</t>
        </is>
      </c>
      <c r="E24" s="67" t="inlineStr">
        <is>
          <t>Reserves unchanged at $14,400.</t>
        </is>
      </c>
    </row>
    <row r="25" ht="15" customHeight="1" s="58">
      <c r="A25" s="61" t="inlineStr">
        <is>
          <t>capitalization_value</t>
        </is>
      </c>
      <c r="B25" s="61" t="inlineStr">
        <is>
          <t>$11,154,323.48</t>
        </is>
      </c>
      <c r="C25" s="61" t="inlineStr">
        <is>
          <t>$10,731,027.50</t>
        </is>
      </c>
      <c r="D25" s="62" t="inlineStr">
        <is>
          <t>-$423,295.98</t>
        </is>
      </c>
      <c r="E25" s="67" t="inlineStr">
        <is>
          <t>Higher NOI, more than offset by the 25 bp wider cap rate.</t>
        </is>
      </c>
    </row>
    <row r="26" ht="15" customHeight="1" s="58">
      <c r="A26" s="61" t="inlineStr">
        <is>
          <t>Annuity factor</t>
        </is>
      </c>
      <c r="B26" s="61" t="inlineStr">
        <is>
          <t>162.4122</t>
        </is>
      </c>
      <c r="C26" s="61" t="inlineStr">
        <is>
          <t>150.3076</t>
        </is>
      </c>
      <c r="D26" s="62" t="inlineStr">
        <is>
          <t>-12.1046</t>
        </is>
      </c>
      <c r="E26" s="67" t="inlineStr">
        <is>
          <t>75 bp higher sizing rate over 360 monthly periods.</t>
        </is>
      </c>
    </row>
    <row r="27" ht="15" customHeight="1" s="58">
      <c r="A27" s="61" t="inlineStr">
        <is>
          <t>maximum_loan</t>
        </is>
      </c>
      <c r="B27" s="61" t="inlineStr">
        <is>
          <t>$6,788,545.13</t>
        </is>
      </c>
      <c r="C27" s="61" t="inlineStr">
        <is>
          <t>$6,307,523.32</t>
        </is>
      </c>
      <c r="D27" s="62" t="inlineStr">
        <is>
          <t>-$481,021.81</t>
        </is>
      </c>
      <c r="E27" s="67" t="inlineStr">
        <is>
          <t>DSCR still binds; the shorter annuity factor is the whole driver.</t>
        </is>
      </c>
    </row>
    <row r="28" ht="15" customHeight="1" s="58">
      <c r="A28" s="61" t="inlineStr">
        <is>
          <t>Origination fee</t>
        </is>
      </c>
      <c r="B28" s="61" t="inlineStr">
        <is>
          <t>$67,885.45</t>
        </is>
      </c>
      <c r="C28" s="61" t="inlineStr">
        <is>
          <t>$63,075.23</t>
        </is>
      </c>
      <c r="D28" s="62" t="inlineStr">
        <is>
          <t>-$4,810.22</t>
        </is>
      </c>
      <c r="E28" s="67" t="inlineStr">
        <is>
          <t>1% of a smaller loan.</t>
        </is>
      </c>
    </row>
    <row r="29" ht="15" customHeight="1" s="58">
      <c r="A29" s="61" t="inlineStr">
        <is>
          <t>net_cash_out</t>
        </is>
      </c>
      <c r="B29" s="61" t="inlineStr">
        <is>
          <t>$2,475,659.67</t>
        </is>
      </c>
      <c r="C29" s="61" t="inlineStr">
        <is>
          <t>$1,999,448.08</t>
        </is>
      </c>
      <c r="D29" s="62" t="inlineStr">
        <is>
          <t>-$476,211.59</t>
        </is>
      </c>
      <c r="E29" s="67" t="inlineStr">
        <is>
          <t>Smaller loan against an unchanged payoff and closing cost.</t>
        </is>
      </c>
    </row>
    <row r="30" ht="15" customHeight="1" s="58">
      <c r="A30" s="61" t="inlineStr">
        <is>
          <t>Achieved LTV</t>
        </is>
      </c>
      <c r="B30" s="61" t="inlineStr">
        <is>
          <t>60.86%</t>
        </is>
      </c>
      <c r="C30" s="61" t="inlineStr">
        <is>
          <t>58.78%</t>
        </is>
      </c>
      <c r="D30" s="62" t="inlineStr">
        <is>
          <t>-2.08 pts</t>
        </is>
      </c>
      <c r="E30" s="67" t="inlineStr">
        <is>
          <t>Loan falls faster than value.</t>
        </is>
      </c>
    </row>
    <row r="31" ht="15" customHeight="1" s="58">
      <c r="A31" s="61" t="inlineStr">
        <is>
          <t>Achieved NCF debt yield</t>
        </is>
      </c>
      <c r="B31" s="61" t="inlineStr">
        <is>
          <t>9.24%</t>
        </is>
      </c>
      <c r="C31" s="61" t="inlineStr">
        <is>
          <t>9.98%</t>
        </is>
      </c>
      <c r="D31" s="62" t="inlineStr">
        <is>
          <t>+0.74 pts</t>
        </is>
      </c>
      <c r="E31" s="67" t="inlineStr">
        <is>
          <t>Higher NCF on a smaller loan.</t>
        </is>
      </c>
    </row>
    <row r="32" ht="15" customHeight="1" s="58">
      <c r="A32" s="61" t="inlineStr">
        <is>
          <t>risk_pending_in_occupancy</t>
        </is>
      </c>
      <c r="B32" s="61" t="inlineStr">
        <is>
          <t>present</t>
        </is>
      </c>
      <c r="C32" s="61" t="inlineStr">
        <is>
          <t>absent</t>
        </is>
      </c>
      <c r="D32" s="62" t="inlineStr">
        <is>
          <t>Resolved</t>
        </is>
      </c>
      <c r="E32" s="67" t="inlineStr">
        <is>
          <t>No pending suite remains to be miscounted.</t>
        </is>
      </c>
    </row>
    <row r="33" ht="15" customHeight="1" s="58">
      <c r="A33" s="61" t="n"/>
      <c r="B33" s="61" t="n"/>
      <c r="C33" s="61" t="n"/>
      <c r="D33" s="61" t="n"/>
      <c r="E33" s="67" t="n"/>
    </row>
    <row r="34" ht="15" customHeight="1" s="58">
      <c r="A34" s="64" t="inlineStr">
        <is>
          <t>EXPRESSLY UNCHANGED</t>
        </is>
      </c>
      <c r="B34" s="65" t="n"/>
      <c r="C34" s="65" t="n"/>
      <c r="D34" s="65" t="n"/>
      <c r="E34" s="66" t="n"/>
    </row>
    <row r="35" ht="23.85" customHeight="1" s="58">
      <c r="A35" s="61" t="inlineStr">
        <is>
          <t>unit_001_monthly_rent</t>
        </is>
      </c>
      <c r="B35" s="61" t="inlineStr">
        <is>
          <t>$1,850</t>
        </is>
      </c>
      <c r="C35" s="61" t="inlineStr">
        <is>
          <t>$1,850</t>
        </is>
      </c>
      <c r="D35" s="61" t="inlineStr">
        <is>
          <t>None</t>
        </is>
      </c>
      <c r="E35" s="67" t="inlineStr">
        <is>
          <t>Revision notice states prior executed Suite 001 amendments continue to apply.</t>
        </is>
      </c>
    </row>
    <row r="36" ht="15" customHeight="1" s="58">
      <c r="A36" s="61" t="inlineStr">
        <is>
          <t>total_units / total_area_sf</t>
        </is>
      </c>
      <c r="B36" s="61" t="inlineStr">
        <is>
          <t>48 / 40,800</t>
        </is>
      </c>
      <c r="C36" s="61" t="inlineStr">
        <is>
          <t>48 / 40,800</t>
        </is>
      </c>
      <c r="D36" s="61" t="inlineStr">
        <is>
          <t>None</t>
        </is>
      </c>
      <c r="E36" s="67" t="inlineStr">
        <is>
          <t>No suite added or removed.</t>
        </is>
      </c>
    </row>
    <row r="37" ht="15" customHeight="1" s="58">
      <c r="A37" s="61" t="inlineStr">
        <is>
          <t>type_a/b/c_units</t>
        </is>
      </c>
      <c r="B37" s="61" t="inlineStr">
        <is>
          <t>16 / 16 / 16</t>
        </is>
      </c>
      <c r="C37" s="61" t="inlineStr">
        <is>
          <t>16 / 16 / 16</t>
        </is>
      </c>
      <c r="D37" s="61" t="inlineStr">
        <is>
          <t>None</t>
        </is>
      </c>
      <c r="E37" s="67" t="inlineStr">
        <is>
          <t>Mix unchanged.</t>
        </is>
      </c>
    </row>
    <row r="38" ht="15" customHeight="1" s="58">
      <c r="A38" s="61" t="inlineStr">
        <is>
          <t>type_a_occupied / type_b_occupied</t>
        </is>
      </c>
      <c r="B38" s="61" t="inlineStr">
        <is>
          <t>15 / 15</t>
        </is>
      </c>
      <c r="C38" s="61" t="inlineStr">
        <is>
          <t>15 / 15</t>
        </is>
      </c>
      <c r="D38" s="61" t="inlineStr">
        <is>
          <t>None</t>
        </is>
      </c>
      <c r="E38" s="67" t="inlineStr">
        <is>
          <t>Only a 2BR changed status.</t>
        </is>
      </c>
    </row>
    <row r="39" ht="15" customHeight="1" s="58">
      <c r="A39" s="61" t="inlineStr">
        <is>
          <t>uw_tax / uw_insurance</t>
        </is>
      </c>
      <c r="B39" s="61" t="inlineStr">
        <is>
          <t>$102,312 / $34,104</t>
        </is>
      </c>
      <c r="C39" s="61" t="inlineStr">
        <is>
          <t>$102,312 / $34,104</t>
        </is>
      </c>
      <c r="D39" s="61" t="inlineStr">
        <is>
          <t>None</t>
        </is>
      </c>
      <c r="E39" s="67" t="inlineStr">
        <is>
          <t>All other underwriting rules unchanged.</t>
        </is>
      </c>
    </row>
    <row r="40" ht="15" customHeight="1" s="58">
      <c r="A40" s="61" t="inlineStr">
        <is>
          <t>Other recurring expenses</t>
        </is>
      </c>
      <c r="B40" s="61" t="inlineStr">
        <is>
          <t>$136,416</t>
        </is>
      </c>
      <c r="C40" s="61" t="inlineStr">
        <is>
          <t>$136,416</t>
        </is>
      </c>
      <c r="D40" s="61" t="inlineStr">
        <is>
          <t>None</t>
        </is>
      </c>
      <c r="E40" s="67" t="inlineStr">
        <is>
          <t>Unchanged.</t>
        </is>
      </c>
    </row>
    <row r="41" ht="15" customHeight="1" s="58">
      <c r="A41" s="61" t="inlineStr">
        <is>
          <t>Reserves per unit</t>
        </is>
      </c>
      <c r="B41" s="61" t="inlineStr">
        <is>
          <t>$300</t>
        </is>
      </c>
      <c r="C41" s="61" t="inlineStr">
        <is>
          <t>$300</t>
        </is>
      </c>
      <c r="D41" s="61" t="inlineStr">
        <is>
          <t>None</t>
        </is>
      </c>
      <c r="E41" s="67" t="inlineStr">
        <is>
          <t>Unchanged.</t>
        </is>
      </c>
    </row>
    <row r="42" ht="15" customHeight="1" s="58">
      <c r="A42" s="61" t="inlineStr">
        <is>
          <t>ltv_limit / dscr_limit / debt_yield_limit</t>
        </is>
      </c>
      <c r="B42" s="61" t="inlineStr">
        <is>
          <t>0.65 / 1.25 / 0.09</t>
        </is>
      </c>
      <c r="C42" s="61" t="inlineStr">
        <is>
          <t>0.65 / 1.25 / 0.09</t>
        </is>
      </c>
      <c r="D42" s="61" t="inlineStr">
        <is>
          <t>None</t>
        </is>
      </c>
      <c r="E42" s="67" t="inlineStr">
        <is>
          <t>Loan constraints unchanged.</t>
        </is>
      </c>
    </row>
    <row r="43" ht="15" customHeight="1" s="58">
      <c r="A43" s="61" t="inlineStr">
        <is>
          <t>Note rate (original) / floor</t>
        </is>
      </c>
      <c r="B43" s="61" t="inlineStr">
        <is>
          <t>6.2500% / 6.0000%</t>
        </is>
      </c>
      <c r="C43" s="61" t="inlineStr">
        <is>
          <t>6.2500% / 6.0000%</t>
        </is>
      </c>
      <c r="D43" s="61" t="inlineStr">
        <is>
          <t>None</t>
        </is>
      </c>
      <c r="E43" s="67" t="inlineStr">
        <is>
          <t>Retained for the floor-binding test, which uses the ORIGINAL note rate.</t>
        </is>
      </c>
    </row>
    <row r="44" ht="15" customHeight="1" s="58">
      <c r="A44" s="61" t="inlineStr">
        <is>
          <t>Existing payoff / closing costs</t>
        </is>
      </c>
      <c r="B44" s="61" t="inlineStr">
        <is>
          <t>$4,200,000 / $45,000</t>
        </is>
      </c>
      <c r="C44" s="61" t="inlineStr">
        <is>
          <t>$4,200,000 / $45,000</t>
        </is>
      </c>
      <c r="D44" s="61" t="inlineStr">
        <is>
          <t>None</t>
        </is>
      </c>
      <c r="E44" s="67" t="inlineStr">
        <is>
          <t>Revision states payoff remains unchanged.</t>
        </is>
      </c>
    </row>
    <row r="45" ht="15" customHeight="1" s="58">
      <c r="A45" s="61" t="inlineStr">
        <is>
          <t>reported_t12_noi</t>
        </is>
      </c>
      <c r="B45" s="61" t="inlineStr">
        <is>
          <t>$604,128</t>
        </is>
      </c>
      <c r="C45" s="61" t="inlineStr">
        <is>
          <t>$604,128</t>
        </is>
      </c>
      <c r="D45" s="61" t="inlineStr">
        <is>
          <t>None</t>
        </is>
      </c>
      <c r="E45" s="67" t="inlineStr">
        <is>
          <t>No revised operating statement supplied.</t>
        </is>
      </c>
    </row>
    <row r="46" ht="15" customHeight="1" s="58">
      <c r="A46" s="61" t="inlineStr">
        <is>
          <t>insurance_policy_limit</t>
        </is>
      </c>
      <c r="B46" s="61" t="inlineStr">
        <is>
          <t>$2,000,000</t>
        </is>
      </c>
      <c r="C46" s="61" t="inlineStr">
        <is>
          <t>$2,000,000</t>
        </is>
      </c>
      <c r="D46" s="61" t="inlineStr">
        <is>
          <t>None</t>
        </is>
      </c>
      <c r="E46" s="67" t="inlineStr">
        <is>
          <t>No revised insurance record supplied.</t>
        </is>
      </c>
    </row>
    <row r="47" ht="15" customHeight="1" s="58">
      <c r="A47" s="61" t="inlineStr">
        <is>
          <t>Lease expirations</t>
        </is>
      </c>
      <c r="B47" s="61" t="inlineStr">
        <is>
          <t>2029-08-31</t>
        </is>
      </c>
      <c r="C47" s="61" t="inlineStr">
        <is>
          <t>2029-08-31</t>
        </is>
      </c>
      <c r="D47" s="61" t="inlineStr">
        <is>
          <t>None</t>
        </is>
      </c>
      <c r="E47" s="67" t="inlineStr">
        <is>
          <t>All other lease details remain unchanged.</t>
        </is>
      </c>
    </row>
    <row r="48" ht="23.85" customHeight="1" s="58">
      <c r="A48" s="61" t="inlineStr">
        <is>
          <t>Seven other risk fields</t>
        </is>
      </c>
      <c r="B48" s="61" t="inlineStr">
        <is>
          <t>absent</t>
        </is>
      </c>
      <c r="C48" s="61" t="inlineStr">
        <is>
          <t>absent</t>
        </is>
      </c>
      <c r="D48" s="61" t="inlineStr">
        <is>
          <t>None</t>
        </is>
      </c>
      <c r="E48" s="67" t="inlineStr">
        <is>
          <t>Each re-tested against the revised packet, not carried forward by assumption.</t>
        </is>
      </c>
    </row>
    <row r="49" ht="23.85" customHeight="1" s="58">
      <c r="A49" s="61" t="inlineStr">
        <is>
          <t>Missing diligence items</t>
        </is>
      </c>
      <c r="B49" s="61" t="inlineStr">
        <is>
          <t>All open</t>
        </is>
      </c>
      <c r="C49" s="61" t="inlineStr">
        <is>
          <t>All open</t>
        </is>
      </c>
      <c r="D49" s="61" t="inlineStr">
        <is>
          <t>None</t>
        </is>
      </c>
      <c r="E49" s="67" t="inlineStr">
        <is>
          <t>No photos, price, comps, sponsor history, or completed legal/environmental/PCA/title work was supplied with the revision.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E42"/>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0" customWidth="1" style="57" min="1" max="1"/>
    <col width="16" customWidth="1" style="57" min="2" max="2"/>
    <col width="12" customWidth="1" style="57" min="3" max="3"/>
    <col width="42" customWidth="1" style="57" min="4" max="4"/>
    <col width="62" customWidth="1" style="57" min="5" max="5"/>
  </cols>
  <sheetData>
    <row r="1" ht="17.35" customHeight="1" s="58">
      <c r="A1" s="59" t="inlineStr">
        <is>
          <t>Underwriting Inputs &amp; Assumptions</t>
        </is>
      </c>
    </row>
    <row r="2" ht="15" customHeight="1" s="58">
      <c r="A2" s="60" t="inlineStr">
        <is>
          <t>Every figure below is traceable to a packet document. No market comps, asking price, sponsor history or photos are supplied or assumed.</t>
        </is>
      </c>
    </row>
    <row r="4" ht="15" customHeight="1" s="58">
      <c r="A4" s="63" t="inlineStr">
        <is>
          <t>Assumption</t>
        </is>
      </c>
      <c r="B4" s="63" t="inlineStr">
        <is>
          <t>Value</t>
        </is>
      </c>
      <c r="C4" s="63" t="inlineStr">
        <is>
          <t>Unit</t>
        </is>
      </c>
      <c r="D4" s="63" t="inlineStr">
        <is>
          <t>Source (file / location)</t>
        </is>
      </c>
      <c r="E4" s="63" t="inlineStr">
        <is>
          <t>Note</t>
        </is>
      </c>
    </row>
    <row r="5" ht="23.85" customHeight="1" s="58">
      <c r="A5" s="68" t="inlineStr">
        <is>
          <t>gross_potential_rent (all-suite scheduled rent x 12)</t>
        </is>
      </c>
      <c r="B5" s="69" t="n">
        <v>928245</v>
      </c>
      <c r="C5" s="70" t="inlineStr">
        <is>
          <t>USD/yr</t>
        </is>
      </c>
      <c r="D5" s="68" t="inlineStr">
        <is>
          <t>revision-notice.pdf p.1; rent-roll-revised.xlsx E5:E52</t>
        </is>
      </c>
      <c r="E5" s="68" t="inlineStr">
        <is>
          <t>REVISED. All 48 suites on the new roll, BEFORE the Suite 001 amendment: ($24,000 + $26,400 + $28,875 + $2,150) = $81,425 x 12. Was $974,400.</t>
        </is>
      </c>
    </row>
    <row r="6" ht="15" customHeight="1" s="58">
      <c r="A6" s="68" t="inlineStr">
        <is>
          <t>Economic loss (vacancy + credit)</t>
        </is>
      </c>
      <c r="B6" s="71" t="n">
        <v>0.05</v>
      </c>
      <c r="C6" s="70" t="inlineStr">
        <is>
          <t>of GPR</t>
        </is>
      </c>
      <c r="D6" s="68" t="inlineStr">
        <is>
          <t>underwriting-instructions.pdf p.1</t>
        </is>
      </c>
      <c r="E6" s="68" t="inlineStr">
        <is>
          <t>Prescribed 5%.</t>
        </is>
      </c>
    </row>
    <row r="7" ht="15" customHeight="1" s="58">
      <c r="A7" s="68" t="inlineStr">
        <is>
          <t>Other income per unit/suite</t>
        </is>
      </c>
      <c r="B7" s="72" t="n">
        <v>350</v>
      </c>
      <c r="C7" s="70" t="inlineStr">
        <is>
          <t>USD/yr</t>
        </is>
      </c>
      <c r="D7" s="68" t="inlineStr">
        <is>
          <t>underwriting-instructions.pdf p.1</t>
        </is>
      </c>
      <c r="E7" s="68" t="inlineStr">
        <is>
          <t>Reimbursement income already inside GPR; not added twice.</t>
        </is>
      </c>
    </row>
    <row r="8" ht="15" customHeight="1" s="58">
      <c r="A8" s="68" t="inlineStr">
        <is>
          <t>Unit / suite count</t>
        </is>
      </c>
      <c r="B8" s="73" t="n">
        <v>48</v>
      </c>
      <c r="C8" s="70" t="inlineStr">
        <is>
          <t>units</t>
        </is>
      </c>
      <c r="D8" s="68" t="inlineStr">
        <is>
          <t>rent-roll-certified.xlsx A5:A52</t>
        </is>
      </c>
      <c r="E8" s="68" t="inlineStr">
        <is>
          <t>48 suites on the certified roll.</t>
        </is>
      </c>
    </row>
    <row r="9" ht="23.85" customHeight="1" s="58">
      <c r="A9" s="68" t="inlineStr">
        <is>
          <t>uw_tax — real estate tax</t>
        </is>
      </c>
      <c r="B9" s="72" t="n">
        <v>102312</v>
      </c>
      <c r="C9" s="70" t="inlineStr">
        <is>
          <t>USD/yr</t>
        </is>
      </c>
      <c r="D9" s="68" t="inlineStr">
        <is>
          <t>underwriting-instructions.pdf p.1; operating-statement.pdf p.1</t>
        </is>
      </c>
      <c r="E9" s="68" t="inlineStr">
        <is>
          <t>Prescribed; equals T-12 actual.</t>
        </is>
      </c>
    </row>
    <row r="10" ht="23.85" customHeight="1" s="58">
      <c r="A10" s="68" t="inlineStr">
        <is>
          <t>uw_insurance — insurance expense</t>
        </is>
      </c>
      <c r="B10" s="72" t="n">
        <v>34104</v>
      </c>
      <c r="C10" s="70" t="inlineStr">
        <is>
          <t>USD/yr</t>
        </is>
      </c>
      <c r="D10" s="68" t="inlineStr">
        <is>
          <t>underwriting-instructions.pdf p.1; operating-statement.pdf p.1</t>
        </is>
      </c>
      <c r="E10" s="68" t="inlineStr">
        <is>
          <t>Expense, NOT the $2,000,000 policy limit.</t>
        </is>
      </c>
    </row>
    <row r="11" ht="23.85" customHeight="1" s="58">
      <c r="A11" s="68" t="inlineStr">
        <is>
          <t>Other recurring operating expenses</t>
        </is>
      </c>
      <c r="B11" s="72" t="n">
        <v>136416</v>
      </c>
      <c r="C11" s="70" t="inlineStr">
        <is>
          <t>USD/yr</t>
        </is>
      </c>
      <c r="D11" s="68" t="inlineStr">
        <is>
          <t>underwriting-instructions.pdf p.1; operating-statement.pdf p.1</t>
        </is>
      </c>
      <c r="E11" s="68" t="inlineStr">
        <is>
          <t>Prescribed; equals T-12 actual.</t>
        </is>
      </c>
    </row>
    <row r="12" ht="15" customHeight="1" s="58">
      <c r="A12" s="68" t="inlineStr">
        <is>
          <t>Management fee</t>
        </is>
      </c>
      <c r="B12" s="71" t="n">
        <v>0.03</v>
      </c>
      <c r="C12" s="70" t="inlineStr">
        <is>
          <t>of EGI</t>
        </is>
      </c>
      <c r="D12" s="68" t="inlineStr">
        <is>
          <t>underwriting-instructions.pdf p.1</t>
        </is>
      </c>
      <c r="E12" s="68" t="inlineStr">
        <is>
          <t>3% of underwritten EGI.</t>
        </is>
      </c>
    </row>
    <row r="13" ht="15" customHeight="1" s="58">
      <c r="A13" s="68" t="inlineStr">
        <is>
          <t>Replacement reserve per unit/suite</t>
        </is>
      </c>
      <c r="B13" s="72" t="n">
        <v>300</v>
      </c>
      <c r="C13" s="70" t="inlineStr">
        <is>
          <t>USD/yr</t>
        </is>
      </c>
      <c r="D13" s="68" t="inlineStr">
        <is>
          <t>underwriting-instructions.pdf p.1</t>
        </is>
      </c>
      <c r="E13" s="68" t="inlineStr">
        <is>
          <t>Below the NOI line; NOI is capitalized BEFORE reserves.</t>
        </is>
      </c>
    </row>
    <row r="14" ht="15" customHeight="1" s="58">
      <c r="A14" s="68" t="inlineStr">
        <is>
          <t>cap_rate</t>
        </is>
      </c>
      <c r="B14" s="74" t="n">
        <v>0.06</v>
      </c>
      <c r="C14" s="70" t="inlineStr">
        <is>
          <t>decimal</t>
        </is>
      </c>
      <c r="D14" s="68" t="inlineStr">
        <is>
          <t>revision-notice.pdf p.1</t>
        </is>
      </c>
      <c r="E14" s="68" t="inlineStr">
        <is>
          <t>REVISED. Initial 5.7500% plus 25 bp. Applied to NOI before reserves.</t>
        </is>
      </c>
    </row>
    <row r="15" ht="23.85" customHeight="1" s="58">
      <c r="A15" s="68" t="inlineStr">
        <is>
          <t>Note rate (original, unchanged)</t>
        </is>
      </c>
      <c r="B15" s="75" t="n">
        <v>0.0625</v>
      </c>
      <c r="C15" s="70" t="inlineStr">
        <is>
          <t>decimal</t>
        </is>
      </c>
      <c r="D15" s="68" t="inlineStr">
        <is>
          <t>underwriting-instructions.pdf p.1</t>
        </is>
      </c>
      <c r="E15" s="68" t="inlineStr">
        <is>
          <t>6.2500%. Retained for the risk_sizing_floor_binding test, which compares the ORIGINAL note rate against the floor.</t>
        </is>
      </c>
    </row>
    <row r="16" ht="15" customHeight="1" s="58">
      <c r="A16" s="68" t="inlineStr">
        <is>
          <t>Underwriting rate floor</t>
        </is>
      </c>
      <c r="B16" s="75" t="n">
        <v>0.06</v>
      </c>
      <c r="C16" s="70" t="inlineStr">
        <is>
          <t>decimal</t>
        </is>
      </c>
      <c r="D16" s="68" t="inlineStr">
        <is>
          <t>underwriting-instructions.pdf p.1</t>
        </is>
      </c>
      <c r="E16" s="68" t="inlineStr">
        <is>
          <t>6.0000%.</t>
        </is>
      </c>
    </row>
    <row r="17" ht="23.85" customHeight="1" s="58">
      <c r="A17" s="68" t="inlineStr">
        <is>
          <t>sizing_rate</t>
        </is>
      </c>
      <c r="B17" s="74" t="n">
        <v>0.07000000000000001</v>
      </c>
      <c r="C17" s="70" t="inlineStr">
        <is>
          <t>decimal</t>
        </is>
      </c>
      <c r="D17" s="68" t="inlineStr">
        <is>
          <t>revision-notice.pdf p.1</t>
        </is>
      </c>
      <c r="E17" s="68" t="inlineStr">
        <is>
          <t>REVISED. Initial sizing rate 6.2500% (greater of note and floor) plus 75 bp. Floor still NOT binding.</t>
        </is>
      </c>
    </row>
    <row r="18" ht="23.85" customHeight="1" s="58">
      <c r="A18" s="68" t="inlineStr">
        <is>
          <t>Amortization term</t>
        </is>
      </c>
      <c r="B18" s="73" t="n">
        <v>30</v>
      </c>
      <c r="C18" s="70" t="inlineStr">
        <is>
          <t>years</t>
        </is>
      </c>
      <c r="D18" s="68" t="inlineStr">
        <is>
          <t>underwriting-instructions.pdf p.1</t>
        </is>
      </c>
      <c r="E18" s="68" t="inlineStr">
        <is>
          <t>Sized on a fully amortizing payment even though months 1-24 are interest-only.</t>
        </is>
      </c>
    </row>
    <row r="19" ht="15" customHeight="1" s="58">
      <c r="A19" s="68" t="inlineStr">
        <is>
          <t>Payments per year</t>
        </is>
      </c>
      <c r="B19" s="73" t="n">
        <v>12</v>
      </c>
      <c r="C19" s="70" t="inlineStr">
        <is>
          <t>count</t>
        </is>
      </c>
      <c r="D19" s="68" t="inlineStr">
        <is>
          <t>underwriting-instructions.pdf p.1</t>
        </is>
      </c>
      <c r="E19" s="68" t="inlineStr">
        <is>
          <t>Monthly payments.</t>
        </is>
      </c>
    </row>
    <row r="20" ht="15" customHeight="1" s="58">
      <c r="A20" s="68" t="inlineStr">
        <is>
          <t>ltv_limit — maximum LTV</t>
        </is>
      </c>
      <c r="B20" s="71" t="n">
        <v>0.65</v>
      </c>
      <c r="C20" s="70" t="inlineStr">
        <is>
          <t>decimal</t>
        </is>
      </c>
      <c r="D20" s="68" t="inlineStr">
        <is>
          <t>underwriting-instructions.pdf p.1</t>
        </is>
      </c>
      <c r="E20" s="68" t="inlineStr">
        <is>
          <t>65.00% of capitalized value.</t>
        </is>
      </c>
    </row>
    <row r="21" ht="15" customHeight="1" s="58">
      <c r="A21" s="68" t="inlineStr">
        <is>
          <t>dscr_limit — minimum DSCR</t>
        </is>
      </c>
      <c r="B21" s="76" t="n">
        <v>1.25</v>
      </c>
      <c r="C21" s="70" t="inlineStr">
        <is>
          <t>ratio</t>
        </is>
      </c>
      <c r="D21" s="68" t="inlineStr">
        <is>
          <t>underwriting-instructions.pdf p.1</t>
        </is>
      </c>
      <c r="E21" s="68" t="inlineStr">
        <is>
          <t>Tested on NCF after reserves.</t>
        </is>
      </c>
    </row>
    <row r="22" ht="15" customHeight="1" s="58">
      <c r="A22" s="68" t="inlineStr">
        <is>
          <t>debt_yield_limit — minimum NCF debt yield</t>
        </is>
      </c>
      <c r="B22" s="71" t="n">
        <v>0.09</v>
      </c>
      <c r="C22" s="70" t="inlineStr">
        <is>
          <t>decimal</t>
        </is>
      </c>
      <c r="D22" s="68" t="inlineStr">
        <is>
          <t>underwriting-instructions.pdf p.1</t>
        </is>
      </c>
      <c r="E22" s="68" t="inlineStr">
        <is>
          <t>Tested on NCF after reserves.</t>
        </is>
      </c>
    </row>
    <row r="23" ht="15" customHeight="1" s="58">
      <c r="A23" s="68" t="inlineStr">
        <is>
          <t>Origination fee</t>
        </is>
      </c>
      <c r="B23" s="71" t="n">
        <v>0.01</v>
      </c>
      <c r="C23" s="70" t="inlineStr">
        <is>
          <t>of loan</t>
        </is>
      </c>
      <c r="D23" s="68" t="inlineStr">
        <is>
          <t>underwriting-instructions.pdf p.1</t>
        </is>
      </c>
      <c r="E23" s="68" t="inlineStr">
        <is>
          <t>1% of the sized loan.</t>
        </is>
      </c>
    </row>
    <row r="24" ht="15" customHeight="1" s="58">
      <c r="A24" s="68" t="inlineStr">
        <is>
          <t>Closing costs</t>
        </is>
      </c>
      <c r="B24" s="72" t="n">
        <v>45000</v>
      </c>
      <c r="C24" s="70" t="inlineStr">
        <is>
          <t>USD</t>
        </is>
      </c>
      <c r="D24" s="68" t="inlineStr">
        <is>
          <t>underwriting-instructions.pdf p.1</t>
        </is>
      </c>
      <c r="E24" s="68" t="inlineStr">
        <is>
          <t>Fixed.</t>
        </is>
      </c>
    </row>
    <row r="25" ht="15" customHeight="1" s="58">
      <c r="A25" s="68" t="inlineStr">
        <is>
          <t>Existing loan payoff</t>
        </is>
      </c>
      <c r="B25" s="72" t="n">
        <v>4200000</v>
      </c>
      <c r="C25" s="70" t="inlineStr">
        <is>
          <t>USD</t>
        </is>
      </c>
      <c r="D25" s="68" t="inlineStr">
        <is>
          <t>underwriting-instructions.pdf p.1</t>
        </is>
      </c>
      <c r="E25" s="68" t="inlineStr">
        <is>
          <t>Fixed.</t>
        </is>
      </c>
    </row>
    <row r="26" ht="15" customHeight="1" s="58">
      <c r="A26" s="68" t="inlineStr">
        <is>
          <t>Suite 001 amendment — monthly rent increase</t>
        </is>
      </c>
      <c r="B26" s="72" t="n">
        <v>350</v>
      </c>
      <c r="C26" s="70" t="inlineStr">
        <is>
          <t>USD/mo</t>
        </is>
      </c>
      <c r="D26" s="68" t="inlineStr">
        <is>
          <t>lease-correspondence.pdf p.1</t>
        </is>
      </c>
      <c r="E26" s="68" t="inlineStr">
        <is>
          <t>Signed 2026-07-20, effective 2026-08-01. In force at the as-of date.</t>
        </is>
      </c>
    </row>
    <row r="27" ht="23.85" customHeight="1" s="58">
      <c r="A27" s="68" t="inlineStr">
        <is>
          <t>Near-term rollover horizon (inclusive)</t>
        </is>
      </c>
      <c r="B27" s="77" t="inlineStr">
        <is>
          <t>2027-08-31</t>
        </is>
      </c>
      <c r="C27" s="70" t="inlineStr">
        <is>
          <t>date</t>
        </is>
      </c>
      <c r="D27" s="68" t="inlineStr">
        <is>
          <t>underwriting-instructions.pdf p.1</t>
        </is>
      </c>
      <c r="E27" s="68" t="inlineStr">
        <is>
          <t>Twelve months from the revised 2026-09-01 as-of date. Active suite expiry on or before this date is near-term.</t>
        </is>
      </c>
    </row>
    <row r="28" ht="15" customHeight="1" s="58">
      <c r="A28" s="68" t="inlineStr">
        <is>
          <t>Suite 045 scheduled rent increase (revision 2)</t>
        </is>
      </c>
      <c r="B28" s="72" t="n">
        <v>225</v>
      </c>
      <c r="C28" s="70" t="inlineStr">
        <is>
          <t>USD/mo</t>
        </is>
      </c>
      <c r="D28" s="68" t="inlineStr">
        <is>
          <t>revision-notice.pdf p.1; rent-roll-revised.xlsx E49</t>
        </is>
      </c>
      <c r="E28" s="68" t="inlineStr">
        <is>
          <t>$1,925 to $2,150. Suite 045 also moves from pending to active.</t>
        </is>
      </c>
    </row>
    <row r="30" ht="15" customHeight="1" s="58">
      <c r="A30" s="62" t="inlineStr">
        <is>
          <t>REVISION 2 RATE DERIVATION</t>
        </is>
      </c>
    </row>
    <row r="31" ht="15" customHeight="1" s="58">
      <c r="A31" s="61" t="inlineStr">
        <is>
          <t>Initial capitalization rate</t>
        </is>
      </c>
      <c r="B31" s="78" t="n">
        <v>0.0575</v>
      </c>
      <c r="D31" s="61" t="inlineStr">
        <is>
          <t>underwriting-instructions.pdf p.1</t>
        </is>
      </c>
    </row>
    <row r="32" ht="15" customHeight="1" s="58">
      <c r="A32" s="61" t="inlineStr">
        <is>
          <t>Revision adjustment</t>
        </is>
      </c>
      <c r="B32" s="78" t="n">
        <v>0.0025</v>
      </c>
      <c r="D32" s="61" t="inlineStr">
        <is>
          <t>revision-notice.pdf p.1 — plus 25 basis points</t>
        </is>
      </c>
    </row>
    <row r="33" ht="15" customHeight="1" s="58">
      <c r="A33" s="61" t="inlineStr">
        <is>
          <t>Revised cap_rate (ties to B14)</t>
        </is>
      </c>
      <c r="B33" s="79">
        <f>B31+B32</f>
        <v/>
      </c>
      <c r="C33" s="62">
        <f>IF(B33=B14,"OK","CHECK")</f>
        <v/>
      </c>
      <c r="D33" s="61" t="inlineStr">
        <is>
          <t>Check in C33</t>
        </is>
      </c>
    </row>
    <row r="34" ht="15" customHeight="1" s="58">
      <c r="A34" s="61" t="inlineStr">
        <is>
          <t>Initial sizing rate (greater of note and floor)</t>
        </is>
      </c>
      <c r="B34" s="79">
        <f>MAX(B15,B16)</f>
        <v/>
      </c>
      <c r="D34" s="61" t="inlineStr">
        <is>
          <t>6.2500%</t>
        </is>
      </c>
    </row>
    <row r="35" ht="15" customHeight="1" s="58">
      <c r="A35" s="61" t="inlineStr">
        <is>
          <t>Revision adjustment</t>
        </is>
      </c>
      <c r="B35" s="78" t="n">
        <v>0.0075</v>
      </c>
      <c r="D35" s="61" t="inlineStr">
        <is>
          <t>revision-notice.pdf p.1 — plus 75 basis points</t>
        </is>
      </c>
    </row>
    <row r="36" ht="15" customHeight="1" s="58">
      <c r="A36" s="61" t="inlineStr">
        <is>
          <t>Revised sizing_rate (ties to B17)</t>
        </is>
      </c>
      <c r="B36" s="79">
        <f>B34+B35</f>
        <v/>
      </c>
      <c r="C36" s="62">
        <f>IF(B36=B17,"OK","CHECK")</f>
        <v/>
      </c>
      <c r="D36" s="61" t="inlineStr">
        <is>
          <t>Check in C36</t>
        </is>
      </c>
    </row>
    <row r="38" ht="15" customHeight="1" s="58">
      <c r="A38" s="62" t="inlineStr">
        <is>
          <t>INTERNAL CHECKS</t>
        </is>
      </c>
    </row>
    <row r="39" ht="15" customHeight="1" s="58">
      <c r="A39" s="61" t="inlineStr">
        <is>
          <t>sizing_rate still exceeds the rate floor</t>
        </is>
      </c>
      <c r="B39" s="80">
        <f>IF(B17&gt;=MAX(B15,B16),"OK","CHECK")</f>
        <v/>
      </c>
    </row>
    <row r="40" ht="15" customHeight="1" s="58">
      <c r="A40" s="61" t="inlineStr">
        <is>
          <t>gross_potential_rent ties to revised roll x 12 (pre-amendment)</t>
        </is>
      </c>
      <c r="B40" s="80">
        <f>IF(B5='Rent Roll'!H55*12,"OK","CHECK")</f>
        <v/>
      </c>
    </row>
    <row r="41" ht="15" customHeight="1" s="58">
      <c r="A41" s="61" t="inlineStr">
        <is>
          <t>Suite count ties to revised roll</t>
        </is>
      </c>
      <c r="B41" s="80">
        <f>IF(B8=COUNTA('Rent Roll'!A5:A52),"OK","CHECK")</f>
        <v/>
      </c>
    </row>
    <row r="42" ht="15" customHeight="1" s="58">
      <c r="A42" s="61" t="inlineStr">
        <is>
          <t>Pending suites now zero (a true zero, not unknown)</t>
        </is>
      </c>
      <c r="B42" s="80">
        <f>IF('Rent Roll'!H61=0,"OK","CHECK")</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K75"/>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7" min="1" max="1"/>
    <col width="11" customWidth="1" style="57" min="2" max="2"/>
    <col width="8" customWidth="1" style="57" min="3" max="3"/>
    <col width="10" customWidth="1" style="57" min="4" max="4"/>
    <col width="12" customWidth="1" style="57" min="5" max="5"/>
    <col width="13" customWidth="1" style="57" min="6" max="8"/>
    <col width="14" customWidth="1" style="57" min="9" max="9"/>
    <col width="12" customWidth="1" style="57" min="10" max="10"/>
    <col width="34" customWidth="1" style="57" min="11" max="11"/>
  </cols>
  <sheetData>
    <row r="1" ht="17.35" customHeight="1" s="58">
      <c r="A1" s="59" t="inlineStr">
        <is>
          <t>Controlling Rent Roll — REVISED Certified, as of 2026-09-01</t>
        </is>
      </c>
    </row>
    <row r="2" ht="15" customHeight="1" s="58">
      <c r="A2" s="60" t="inlineStr">
        <is>
          <t>Source: rent-roll-revised.xlsx (selected, 2026-09-01). It SUPERSEDES rent-roll-certified.xlsx (2026-08-31), which in turn superseded rent-roll-archive.xlsx (2026-06-30). Both prior rolls are excluded. Certified detail controls physical occupancy (manager-cover.pdf p.1).</t>
        </is>
      </c>
    </row>
    <row r="4" ht="23.85" customHeight="1" s="58">
      <c r="A4" s="81" t="inlineStr">
        <is>
          <t>Suite</t>
        </is>
      </c>
      <c r="B4" s="81" t="inlineStr">
        <is>
          <t>Unit type</t>
        </is>
      </c>
      <c r="C4" s="81" t="inlineStr">
        <is>
          <t>Group</t>
        </is>
      </c>
      <c r="D4" s="81" t="inlineStr">
        <is>
          <t>Area SF</t>
        </is>
      </c>
      <c r="E4" s="81" t="inlineStr">
        <is>
          <t>Possession</t>
        </is>
      </c>
      <c r="F4" s="81" t="inlineStr">
        <is>
          <t>Certified monthly rent</t>
        </is>
      </c>
      <c r="G4" s="81" t="inlineStr">
        <is>
          <t>Executed amendment</t>
        </is>
      </c>
      <c r="H4" s="81" t="inlineStr">
        <is>
          <t>Controlling monthly rent</t>
        </is>
      </c>
      <c r="I4" s="81" t="inlineStr">
        <is>
          <t>Lease expiration</t>
        </is>
      </c>
      <c r="J4" s="81" t="inlineStr">
        <is>
          <t>Near-term rollover?</t>
        </is>
      </c>
      <c r="K4" s="81" t="inlineStr">
        <is>
          <t>Note</t>
        </is>
      </c>
    </row>
    <row r="5" ht="15" customHeight="1" s="58">
      <c r="A5" s="82" t="inlineStr">
        <is>
          <t>001</t>
        </is>
      </c>
      <c r="B5" s="82" t="inlineStr">
        <is>
          <t>Studio</t>
        </is>
      </c>
      <c r="C5" s="83" t="inlineStr">
        <is>
          <t>A</t>
        </is>
      </c>
      <c r="D5" s="84" t="n">
        <v>700</v>
      </c>
      <c r="E5" s="82" t="inlineStr">
        <is>
          <t>active</t>
        </is>
      </c>
      <c r="F5" s="85" t="n">
        <v>1500</v>
      </c>
      <c r="G5" s="86">
        <f>Inputs!B26</f>
        <v/>
      </c>
      <c r="H5" s="87">
        <f>F5+G5</f>
        <v/>
      </c>
      <c r="I5" s="82" t="inlineStr">
        <is>
          <t>2029-08-31</t>
        </is>
      </c>
      <c r="J5" s="88">
        <f>IF(AND(E5="active",I5&lt;=Inputs!$B$27),"Yes","No")</f>
        <v/>
      </c>
      <c r="K5" s="83" t="inlineStr">
        <is>
          <t>Executed amendment +$350/mo effective 2026-08-01</t>
        </is>
      </c>
    </row>
    <row r="6" ht="15" customHeight="1" s="58">
      <c r="A6" s="82" t="inlineStr">
        <is>
          <t>002</t>
        </is>
      </c>
      <c r="B6" s="82" t="inlineStr">
        <is>
          <t>1BR</t>
        </is>
      </c>
      <c r="C6" s="83" t="inlineStr">
        <is>
          <t>B</t>
        </is>
      </c>
      <c r="D6" s="84" t="n">
        <v>820</v>
      </c>
      <c r="E6" s="82" t="inlineStr">
        <is>
          <t>active</t>
        </is>
      </c>
      <c r="F6" s="85" t="n">
        <v>1650</v>
      </c>
      <c r="G6" s="85" t="n">
        <v>0</v>
      </c>
      <c r="H6" s="87">
        <f>F6+G6</f>
        <v/>
      </c>
      <c r="I6" s="82" t="inlineStr">
        <is>
          <t>2029-08-31</t>
        </is>
      </c>
      <c r="J6" s="88">
        <f>IF(AND(E6="active",I6&lt;=Inputs!$B$27),"Yes","No")</f>
        <v/>
      </c>
      <c r="K6" s="83" t="n"/>
    </row>
    <row r="7" ht="15" customHeight="1" s="58">
      <c r="A7" s="82" t="inlineStr">
        <is>
          <t>003</t>
        </is>
      </c>
      <c r="B7" s="82" t="inlineStr">
        <is>
          <t>2BR</t>
        </is>
      </c>
      <c r="C7" s="83" t="inlineStr">
        <is>
          <t>C</t>
        </is>
      </c>
      <c r="D7" s="84" t="n">
        <v>1030</v>
      </c>
      <c r="E7" s="82" t="inlineStr">
        <is>
          <t>active</t>
        </is>
      </c>
      <c r="F7" s="85" t="n">
        <v>1925</v>
      </c>
      <c r="G7" s="85" t="n">
        <v>0</v>
      </c>
      <c r="H7" s="87">
        <f>F7+G7</f>
        <v/>
      </c>
      <c r="I7" s="82" t="inlineStr">
        <is>
          <t>2029-08-31</t>
        </is>
      </c>
      <c r="J7" s="88">
        <f>IF(AND(E7="active",I7&lt;=Inputs!$B$27),"Yes","No")</f>
        <v/>
      </c>
      <c r="K7" s="83" t="n"/>
    </row>
    <row r="8" ht="15" customHeight="1" s="58">
      <c r="A8" s="82" t="inlineStr">
        <is>
          <t>004</t>
        </is>
      </c>
      <c r="B8" s="82" t="inlineStr">
        <is>
          <t>Studio</t>
        </is>
      </c>
      <c r="C8" s="83" t="inlineStr">
        <is>
          <t>A</t>
        </is>
      </c>
      <c r="D8" s="84" t="n">
        <v>700</v>
      </c>
      <c r="E8" s="82" t="inlineStr">
        <is>
          <t>active</t>
        </is>
      </c>
      <c r="F8" s="85" t="n">
        <v>1500</v>
      </c>
      <c r="G8" s="85" t="n">
        <v>0</v>
      </c>
      <c r="H8" s="87">
        <f>F8+G8</f>
        <v/>
      </c>
      <c r="I8" s="82" t="inlineStr">
        <is>
          <t>2029-08-31</t>
        </is>
      </c>
      <c r="J8" s="88">
        <f>IF(AND(E8="active",I8&lt;=Inputs!$B$27),"Yes","No")</f>
        <v/>
      </c>
      <c r="K8" s="83" t="n"/>
    </row>
    <row r="9" ht="15" customHeight="1" s="58">
      <c r="A9" s="82" t="inlineStr">
        <is>
          <t>005</t>
        </is>
      </c>
      <c r="B9" s="82" t="inlineStr">
        <is>
          <t>1BR</t>
        </is>
      </c>
      <c r="C9" s="83" t="inlineStr">
        <is>
          <t>B</t>
        </is>
      </c>
      <c r="D9" s="84" t="n">
        <v>820</v>
      </c>
      <c r="E9" s="82" t="inlineStr">
        <is>
          <t>active</t>
        </is>
      </c>
      <c r="F9" s="85" t="n">
        <v>1650</v>
      </c>
      <c r="G9" s="85" t="n">
        <v>0</v>
      </c>
      <c r="H9" s="87">
        <f>F9+G9</f>
        <v/>
      </c>
      <c r="I9" s="82" t="inlineStr">
        <is>
          <t>2029-08-31</t>
        </is>
      </c>
      <c r="J9" s="88">
        <f>IF(AND(E9="active",I9&lt;=Inputs!$B$27),"Yes","No")</f>
        <v/>
      </c>
      <c r="K9" s="83" t="n"/>
    </row>
    <row r="10" ht="15" customHeight="1" s="58">
      <c r="A10" s="82" t="inlineStr">
        <is>
          <t>006</t>
        </is>
      </c>
      <c r="B10" s="82" t="inlineStr">
        <is>
          <t>2BR</t>
        </is>
      </c>
      <c r="C10" s="83" t="inlineStr">
        <is>
          <t>C</t>
        </is>
      </c>
      <c r="D10" s="84" t="n">
        <v>1030</v>
      </c>
      <c r="E10" s="82" t="inlineStr">
        <is>
          <t>active</t>
        </is>
      </c>
      <c r="F10" s="85" t="n">
        <v>1925</v>
      </c>
      <c r="G10" s="85" t="n">
        <v>0</v>
      </c>
      <c r="H10" s="87">
        <f>F10+G10</f>
        <v/>
      </c>
      <c r="I10" s="82" t="inlineStr">
        <is>
          <t>2029-08-31</t>
        </is>
      </c>
      <c r="J10" s="88">
        <f>IF(AND(E10="active",I10&lt;=Inputs!$B$27),"Yes","No")</f>
        <v/>
      </c>
      <c r="K10" s="83" t="n"/>
    </row>
    <row r="11" ht="15" customHeight="1" s="58">
      <c r="A11" s="82" t="inlineStr">
        <is>
          <t>007</t>
        </is>
      </c>
      <c r="B11" s="82" t="inlineStr">
        <is>
          <t>Studio</t>
        </is>
      </c>
      <c r="C11" s="83" t="inlineStr">
        <is>
          <t>A</t>
        </is>
      </c>
      <c r="D11" s="84" t="n">
        <v>700</v>
      </c>
      <c r="E11" s="82" t="inlineStr">
        <is>
          <t>active</t>
        </is>
      </c>
      <c r="F11" s="85" t="n">
        <v>1500</v>
      </c>
      <c r="G11" s="85" t="n">
        <v>0</v>
      </c>
      <c r="H11" s="87">
        <f>F11+G11</f>
        <v/>
      </c>
      <c r="I11" s="82" t="inlineStr">
        <is>
          <t>2029-08-31</t>
        </is>
      </c>
      <c r="J11" s="88">
        <f>IF(AND(E11="active",I11&lt;=Inputs!$B$27),"Yes","No")</f>
        <v/>
      </c>
      <c r="K11" s="83" t="n"/>
    </row>
    <row r="12" ht="15" customHeight="1" s="58">
      <c r="A12" s="82" t="inlineStr">
        <is>
          <t>008</t>
        </is>
      </c>
      <c r="B12" s="82" t="inlineStr">
        <is>
          <t>1BR</t>
        </is>
      </c>
      <c r="C12" s="83" t="inlineStr">
        <is>
          <t>B</t>
        </is>
      </c>
      <c r="D12" s="84" t="n">
        <v>820</v>
      </c>
      <c r="E12" s="82" t="inlineStr">
        <is>
          <t>active</t>
        </is>
      </c>
      <c r="F12" s="85" t="n">
        <v>1650</v>
      </c>
      <c r="G12" s="85" t="n">
        <v>0</v>
      </c>
      <c r="H12" s="87">
        <f>F12+G12</f>
        <v/>
      </c>
      <c r="I12" s="82" t="inlineStr">
        <is>
          <t>2029-08-31</t>
        </is>
      </c>
      <c r="J12" s="88">
        <f>IF(AND(E12="active",I12&lt;=Inputs!$B$27),"Yes","No")</f>
        <v/>
      </c>
      <c r="K12" s="83" t="n"/>
    </row>
    <row r="13" ht="15" customHeight="1" s="58">
      <c r="A13" s="82" t="inlineStr">
        <is>
          <t>009</t>
        </is>
      </c>
      <c r="B13" s="82" t="inlineStr">
        <is>
          <t>2BR</t>
        </is>
      </c>
      <c r="C13" s="83" t="inlineStr">
        <is>
          <t>C</t>
        </is>
      </c>
      <c r="D13" s="84" t="n">
        <v>1030</v>
      </c>
      <c r="E13" s="82" t="inlineStr">
        <is>
          <t>active</t>
        </is>
      </c>
      <c r="F13" s="85" t="n">
        <v>1925</v>
      </c>
      <c r="G13" s="85" t="n">
        <v>0</v>
      </c>
      <c r="H13" s="87">
        <f>F13+G13</f>
        <v/>
      </c>
      <c r="I13" s="82" t="inlineStr">
        <is>
          <t>2029-08-31</t>
        </is>
      </c>
      <c r="J13" s="88">
        <f>IF(AND(E13="active",I13&lt;=Inputs!$B$27),"Yes","No")</f>
        <v/>
      </c>
      <c r="K13" s="83" t="n"/>
    </row>
    <row r="14" ht="15" customHeight="1" s="58">
      <c r="A14" s="82" t="inlineStr">
        <is>
          <t>010</t>
        </is>
      </c>
      <c r="B14" s="82" t="inlineStr">
        <is>
          <t>Studio</t>
        </is>
      </c>
      <c r="C14" s="83" t="inlineStr">
        <is>
          <t>A</t>
        </is>
      </c>
      <c r="D14" s="84" t="n">
        <v>700</v>
      </c>
      <c r="E14" s="82" t="inlineStr">
        <is>
          <t>active</t>
        </is>
      </c>
      <c r="F14" s="85" t="n">
        <v>1500</v>
      </c>
      <c r="G14" s="85" t="n">
        <v>0</v>
      </c>
      <c r="H14" s="87">
        <f>F14+G14</f>
        <v/>
      </c>
      <c r="I14" s="82" t="inlineStr">
        <is>
          <t>2029-08-31</t>
        </is>
      </c>
      <c r="J14" s="88">
        <f>IF(AND(E14="active",I14&lt;=Inputs!$B$27),"Yes","No")</f>
        <v/>
      </c>
      <c r="K14" s="83" t="n"/>
    </row>
    <row r="15" ht="15" customHeight="1" s="58">
      <c r="A15" s="82" t="inlineStr">
        <is>
          <t>011</t>
        </is>
      </c>
      <c r="B15" s="82" t="inlineStr">
        <is>
          <t>1BR</t>
        </is>
      </c>
      <c r="C15" s="83" t="inlineStr">
        <is>
          <t>B</t>
        </is>
      </c>
      <c r="D15" s="84" t="n">
        <v>820</v>
      </c>
      <c r="E15" s="82" t="inlineStr">
        <is>
          <t>active</t>
        </is>
      </c>
      <c r="F15" s="85" t="n">
        <v>1650</v>
      </c>
      <c r="G15" s="85" t="n">
        <v>0</v>
      </c>
      <c r="H15" s="87">
        <f>F15+G15</f>
        <v/>
      </c>
      <c r="I15" s="82" t="inlineStr">
        <is>
          <t>2029-08-31</t>
        </is>
      </c>
      <c r="J15" s="88">
        <f>IF(AND(E15="active",I15&lt;=Inputs!$B$27),"Yes","No")</f>
        <v/>
      </c>
      <c r="K15" s="83" t="n"/>
    </row>
    <row r="16" ht="15" customHeight="1" s="58">
      <c r="A16" s="82" t="inlineStr">
        <is>
          <t>012</t>
        </is>
      </c>
      <c r="B16" s="82" t="inlineStr">
        <is>
          <t>2BR</t>
        </is>
      </c>
      <c r="C16" s="83" t="inlineStr">
        <is>
          <t>C</t>
        </is>
      </c>
      <c r="D16" s="84" t="n">
        <v>1030</v>
      </c>
      <c r="E16" s="82" t="inlineStr">
        <is>
          <t>active</t>
        </is>
      </c>
      <c r="F16" s="85" t="n">
        <v>1925</v>
      </c>
      <c r="G16" s="85" t="n">
        <v>0</v>
      </c>
      <c r="H16" s="87">
        <f>F16+G16</f>
        <v/>
      </c>
      <c r="I16" s="82" t="inlineStr">
        <is>
          <t>2029-08-31</t>
        </is>
      </c>
      <c r="J16" s="88">
        <f>IF(AND(E16="active",I16&lt;=Inputs!$B$27),"Yes","No")</f>
        <v/>
      </c>
      <c r="K16" s="83" t="n"/>
    </row>
    <row r="17" ht="15" customHeight="1" s="58">
      <c r="A17" s="82" t="inlineStr">
        <is>
          <t>013</t>
        </is>
      </c>
      <c r="B17" s="82" t="inlineStr">
        <is>
          <t>Studio</t>
        </is>
      </c>
      <c r="C17" s="83" t="inlineStr">
        <is>
          <t>A</t>
        </is>
      </c>
      <c r="D17" s="84" t="n">
        <v>700</v>
      </c>
      <c r="E17" s="82" t="inlineStr">
        <is>
          <t>active</t>
        </is>
      </c>
      <c r="F17" s="85" t="n">
        <v>1500</v>
      </c>
      <c r="G17" s="85" t="n">
        <v>0</v>
      </c>
      <c r="H17" s="87">
        <f>F17+G17</f>
        <v/>
      </c>
      <c r="I17" s="82" t="inlineStr">
        <is>
          <t>2029-08-31</t>
        </is>
      </c>
      <c r="J17" s="88">
        <f>IF(AND(E17="active",I17&lt;=Inputs!$B$27),"Yes","No")</f>
        <v/>
      </c>
      <c r="K17" s="83" t="n"/>
    </row>
    <row r="18" ht="15" customHeight="1" s="58">
      <c r="A18" s="82" t="inlineStr">
        <is>
          <t>014</t>
        </is>
      </c>
      <c r="B18" s="82" t="inlineStr">
        <is>
          <t>1BR</t>
        </is>
      </c>
      <c r="C18" s="83" t="inlineStr">
        <is>
          <t>B</t>
        </is>
      </c>
      <c r="D18" s="84" t="n">
        <v>820</v>
      </c>
      <c r="E18" s="82" t="inlineStr">
        <is>
          <t>active</t>
        </is>
      </c>
      <c r="F18" s="85" t="n">
        <v>1650</v>
      </c>
      <c r="G18" s="85" t="n">
        <v>0</v>
      </c>
      <c r="H18" s="87">
        <f>F18+G18</f>
        <v/>
      </c>
      <c r="I18" s="82" t="inlineStr">
        <is>
          <t>2029-08-31</t>
        </is>
      </c>
      <c r="J18" s="88">
        <f>IF(AND(E18="active",I18&lt;=Inputs!$B$27),"Yes","No")</f>
        <v/>
      </c>
      <c r="K18" s="83" t="n"/>
    </row>
    <row r="19" ht="15" customHeight="1" s="58">
      <c r="A19" s="82" t="inlineStr">
        <is>
          <t>015</t>
        </is>
      </c>
      <c r="B19" s="82" t="inlineStr">
        <is>
          <t>2BR</t>
        </is>
      </c>
      <c r="C19" s="83" t="inlineStr">
        <is>
          <t>C</t>
        </is>
      </c>
      <c r="D19" s="84" t="n">
        <v>1030</v>
      </c>
      <c r="E19" s="82" t="inlineStr">
        <is>
          <t>active</t>
        </is>
      </c>
      <c r="F19" s="85" t="n">
        <v>1925</v>
      </c>
      <c r="G19" s="85" t="n">
        <v>0</v>
      </c>
      <c r="H19" s="87">
        <f>F19+G19</f>
        <v/>
      </c>
      <c r="I19" s="82" t="inlineStr">
        <is>
          <t>2029-08-31</t>
        </is>
      </c>
      <c r="J19" s="88">
        <f>IF(AND(E19="active",I19&lt;=Inputs!$B$27),"Yes","No")</f>
        <v/>
      </c>
      <c r="K19" s="83" t="n"/>
    </row>
    <row r="20" ht="15" customHeight="1" s="58">
      <c r="A20" s="82" t="inlineStr">
        <is>
          <t>016</t>
        </is>
      </c>
      <c r="B20" s="82" t="inlineStr">
        <is>
          <t>Studio</t>
        </is>
      </c>
      <c r="C20" s="83" t="inlineStr">
        <is>
          <t>A</t>
        </is>
      </c>
      <c r="D20" s="84" t="n">
        <v>700</v>
      </c>
      <c r="E20" s="82" t="inlineStr">
        <is>
          <t>active</t>
        </is>
      </c>
      <c r="F20" s="85" t="n">
        <v>1500</v>
      </c>
      <c r="G20" s="85" t="n">
        <v>0</v>
      </c>
      <c r="H20" s="87">
        <f>F20+G20</f>
        <v/>
      </c>
      <c r="I20" s="82" t="inlineStr">
        <is>
          <t>2029-08-31</t>
        </is>
      </c>
      <c r="J20" s="88">
        <f>IF(AND(E20="active",I20&lt;=Inputs!$B$27),"Yes","No")</f>
        <v/>
      </c>
      <c r="K20" s="83" t="n"/>
    </row>
    <row r="21" ht="15" customHeight="1" s="58">
      <c r="A21" s="82" t="inlineStr">
        <is>
          <t>017</t>
        </is>
      </c>
      <c r="B21" s="82" t="inlineStr">
        <is>
          <t>1BR</t>
        </is>
      </c>
      <c r="C21" s="83" t="inlineStr">
        <is>
          <t>B</t>
        </is>
      </c>
      <c r="D21" s="84" t="n">
        <v>820</v>
      </c>
      <c r="E21" s="82" t="inlineStr">
        <is>
          <t>active</t>
        </is>
      </c>
      <c r="F21" s="85" t="n">
        <v>1650</v>
      </c>
      <c r="G21" s="85" t="n">
        <v>0</v>
      </c>
      <c r="H21" s="87">
        <f>F21+G21</f>
        <v/>
      </c>
      <c r="I21" s="82" t="inlineStr">
        <is>
          <t>2029-08-31</t>
        </is>
      </c>
      <c r="J21" s="88">
        <f>IF(AND(E21="active",I21&lt;=Inputs!$B$27),"Yes","No")</f>
        <v/>
      </c>
      <c r="K21" s="83" t="n"/>
    </row>
    <row r="22" ht="15" customHeight="1" s="58">
      <c r="A22" s="82" t="inlineStr">
        <is>
          <t>018</t>
        </is>
      </c>
      <c r="B22" s="82" t="inlineStr">
        <is>
          <t>2BR</t>
        </is>
      </c>
      <c r="C22" s="83" t="inlineStr">
        <is>
          <t>C</t>
        </is>
      </c>
      <c r="D22" s="84" t="n">
        <v>1030</v>
      </c>
      <c r="E22" s="82" t="inlineStr">
        <is>
          <t>active</t>
        </is>
      </c>
      <c r="F22" s="85" t="n">
        <v>1925</v>
      </c>
      <c r="G22" s="85" t="n">
        <v>0</v>
      </c>
      <c r="H22" s="87">
        <f>F22+G22</f>
        <v/>
      </c>
      <c r="I22" s="82" t="inlineStr">
        <is>
          <t>2029-08-31</t>
        </is>
      </c>
      <c r="J22" s="88">
        <f>IF(AND(E22="active",I22&lt;=Inputs!$B$27),"Yes","No")</f>
        <v/>
      </c>
      <c r="K22" s="83" t="n"/>
    </row>
    <row r="23" ht="15" customHeight="1" s="58">
      <c r="A23" s="82" t="inlineStr">
        <is>
          <t>019</t>
        </is>
      </c>
      <c r="B23" s="82" t="inlineStr">
        <is>
          <t>Studio</t>
        </is>
      </c>
      <c r="C23" s="83" t="inlineStr">
        <is>
          <t>A</t>
        </is>
      </c>
      <c r="D23" s="84" t="n">
        <v>700</v>
      </c>
      <c r="E23" s="82" t="inlineStr">
        <is>
          <t>active</t>
        </is>
      </c>
      <c r="F23" s="85" t="n">
        <v>1500</v>
      </c>
      <c r="G23" s="85" t="n">
        <v>0</v>
      </c>
      <c r="H23" s="87">
        <f>F23+G23</f>
        <v/>
      </c>
      <c r="I23" s="82" t="inlineStr">
        <is>
          <t>2029-08-31</t>
        </is>
      </c>
      <c r="J23" s="88">
        <f>IF(AND(E23="active",I23&lt;=Inputs!$B$27),"Yes","No")</f>
        <v/>
      </c>
      <c r="K23" s="83" t="n"/>
    </row>
    <row r="24" ht="15" customHeight="1" s="58">
      <c r="A24" s="82" t="inlineStr">
        <is>
          <t>020</t>
        </is>
      </c>
      <c r="B24" s="82" t="inlineStr">
        <is>
          <t>1BR</t>
        </is>
      </c>
      <c r="C24" s="83" t="inlineStr">
        <is>
          <t>B</t>
        </is>
      </c>
      <c r="D24" s="84" t="n">
        <v>820</v>
      </c>
      <c r="E24" s="82" t="inlineStr">
        <is>
          <t>active</t>
        </is>
      </c>
      <c r="F24" s="85" t="n">
        <v>1650</v>
      </c>
      <c r="G24" s="85" t="n">
        <v>0</v>
      </c>
      <c r="H24" s="87">
        <f>F24+G24</f>
        <v/>
      </c>
      <c r="I24" s="82" t="inlineStr">
        <is>
          <t>2029-08-31</t>
        </is>
      </c>
      <c r="J24" s="88">
        <f>IF(AND(E24="active",I24&lt;=Inputs!$B$27),"Yes","No")</f>
        <v/>
      </c>
      <c r="K24" s="83" t="n"/>
    </row>
    <row r="25" ht="15" customHeight="1" s="58">
      <c r="A25" s="82" t="inlineStr">
        <is>
          <t>021</t>
        </is>
      </c>
      <c r="B25" s="82" t="inlineStr">
        <is>
          <t>2BR</t>
        </is>
      </c>
      <c r="C25" s="83" t="inlineStr">
        <is>
          <t>C</t>
        </is>
      </c>
      <c r="D25" s="84" t="n">
        <v>1030</v>
      </c>
      <c r="E25" s="82" t="inlineStr">
        <is>
          <t>active</t>
        </is>
      </c>
      <c r="F25" s="85" t="n">
        <v>1925</v>
      </c>
      <c r="G25" s="85" t="n">
        <v>0</v>
      </c>
      <c r="H25" s="87">
        <f>F25+G25</f>
        <v/>
      </c>
      <c r="I25" s="82" t="inlineStr">
        <is>
          <t>2029-08-31</t>
        </is>
      </c>
      <c r="J25" s="88">
        <f>IF(AND(E25="active",I25&lt;=Inputs!$B$27),"Yes","No")</f>
        <v/>
      </c>
      <c r="K25" s="83" t="n"/>
    </row>
    <row r="26" ht="15" customHeight="1" s="58">
      <c r="A26" s="82" t="inlineStr">
        <is>
          <t>022</t>
        </is>
      </c>
      <c r="B26" s="82" t="inlineStr">
        <is>
          <t>Studio</t>
        </is>
      </c>
      <c r="C26" s="83" t="inlineStr">
        <is>
          <t>A</t>
        </is>
      </c>
      <c r="D26" s="84" t="n">
        <v>700</v>
      </c>
      <c r="E26" s="82" t="inlineStr">
        <is>
          <t>active</t>
        </is>
      </c>
      <c r="F26" s="85" t="n">
        <v>1500</v>
      </c>
      <c r="G26" s="85" t="n">
        <v>0</v>
      </c>
      <c r="H26" s="87">
        <f>F26+G26</f>
        <v/>
      </c>
      <c r="I26" s="82" t="inlineStr">
        <is>
          <t>2029-08-31</t>
        </is>
      </c>
      <c r="J26" s="88">
        <f>IF(AND(E26="active",I26&lt;=Inputs!$B$27),"Yes","No")</f>
        <v/>
      </c>
      <c r="K26" s="83" t="n"/>
    </row>
    <row r="27" ht="15" customHeight="1" s="58">
      <c r="A27" s="82" t="inlineStr">
        <is>
          <t>023</t>
        </is>
      </c>
      <c r="B27" s="82" t="inlineStr">
        <is>
          <t>1BR</t>
        </is>
      </c>
      <c r="C27" s="83" t="inlineStr">
        <is>
          <t>B</t>
        </is>
      </c>
      <c r="D27" s="84" t="n">
        <v>820</v>
      </c>
      <c r="E27" s="82" t="inlineStr">
        <is>
          <t>active</t>
        </is>
      </c>
      <c r="F27" s="85" t="n">
        <v>1650</v>
      </c>
      <c r="G27" s="85" t="n">
        <v>0</v>
      </c>
      <c r="H27" s="87">
        <f>F27+G27</f>
        <v/>
      </c>
      <c r="I27" s="82" t="inlineStr">
        <is>
          <t>2029-08-31</t>
        </is>
      </c>
      <c r="J27" s="88">
        <f>IF(AND(E27="active",I27&lt;=Inputs!$B$27),"Yes","No")</f>
        <v/>
      </c>
      <c r="K27" s="83" t="n"/>
    </row>
    <row r="28" ht="15" customHeight="1" s="58">
      <c r="A28" s="82" t="inlineStr">
        <is>
          <t>024</t>
        </is>
      </c>
      <c r="B28" s="82" t="inlineStr">
        <is>
          <t>2BR</t>
        </is>
      </c>
      <c r="C28" s="83" t="inlineStr">
        <is>
          <t>C</t>
        </is>
      </c>
      <c r="D28" s="84" t="n">
        <v>1030</v>
      </c>
      <c r="E28" s="82" t="inlineStr">
        <is>
          <t>active</t>
        </is>
      </c>
      <c r="F28" s="85" t="n">
        <v>1925</v>
      </c>
      <c r="G28" s="85" t="n">
        <v>0</v>
      </c>
      <c r="H28" s="87">
        <f>F28+G28</f>
        <v/>
      </c>
      <c r="I28" s="82" t="inlineStr">
        <is>
          <t>2029-08-31</t>
        </is>
      </c>
      <c r="J28" s="88">
        <f>IF(AND(E28="active",I28&lt;=Inputs!$B$27),"Yes","No")</f>
        <v/>
      </c>
      <c r="K28" s="83" t="n"/>
    </row>
    <row r="29" ht="15" customHeight="1" s="58">
      <c r="A29" s="82" t="inlineStr">
        <is>
          <t>025</t>
        </is>
      </c>
      <c r="B29" s="82" t="inlineStr">
        <is>
          <t>Studio</t>
        </is>
      </c>
      <c r="C29" s="83" t="inlineStr">
        <is>
          <t>A</t>
        </is>
      </c>
      <c r="D29" s="84" t="n">
        <v>700</v>
      </c>
      <c r="E29" s="82" t="inlineStr">
        <is>
          <t>active</t>
        </is>
      </c>
      <c r="F29" s="85" t="n">
        <v>1500</v>
      </c>
      <c r="G29" s="85" t="n">
        <v>0</v>
      </c>
      <c r="H29" s="87">
        <f>F29+G29</f>
        <v/>
      </c>
      <c r="I29" s="82" t="inlineStr">
        <is>
          <t>2029-08-31</t>
        </is>
      </c>
      <c r="J29" s="88">
        <f>IF(AND(E29="active",I29&lt;=Inputs!$B$27),"Yes","No")</f>
        <v/>
      </c>
      <c r="K29" s="83" t="n"/>
    </row>
    <row r="30" ht="15" customHeight="1" s="58">
      <c r="A30" s="82" t="inlineStr">
        <is>
          <t>026</t>
        </is>
      </c>
      <c r="B30" s="82" t="inlineStr">
        <is>
          <t>1BR</t>
        </is>
      </c>
      <c r="C30" s="83" t="inlineStr">
        <is>
          <t>B</t>
        </is>
      </c>
      <c r="D30" s="84" t="n">
        <v>820</v>
      </c>
      <c r="E30" s="82" t="inlineStr">
        <is>
          <t>active</t>
        </is>
      </c>
      <c r="F30" s="85" t="n">
        <v>1650</v>
      </c>
      <c r="G30" s="85" t="n">
        <v>0</v>
      </c>
      <c r="H30" s="87">
        <f>F30+G30</f>
        <v/>
      </c>
      <c r="I30" s="82" t="inlineStr">
        <is>
          <t>2029-08-31</t>
        </is>
      </c>
      <c r="J30" s="88">
        <f>IF(AND(E30="active",I30&lt;=Inputs!$B$27),"Yes","No")</f>
        <v/>
      </c>
      <c r="K30" s="83" t="n"/>
    </row>
    <row r="31" ht="15" customHeight="1" s="58">
      <c r="A31" s="82" t="inlineStr">
        <is>
          <t>027</t>
        </is>
      </c>
      <c r="B31" s="82" t="inlineStr">
        <is>
          <t>2BR</t>
        </is>
      </c>
      <c r="C31" s="83" t="inlineStr">
        <is>
          <t>C</t>
        </is>
      </c>
      <c r="D31" s="84" t="n">
        <v>1030</v>
      </c>
      <c r="E31" s="82" t="inlineStr">
        <is>
          <t>active</t>
        </is>
      </c>
      <c r="F31" s="85" t="n">
        <v>1925</v>
      </c>
      <c r="G31" s="85" t="n">
        <v>0</v>
      </c>
      <c r="H31" s="87">
        <f>F31+G31</f>
        <v/>
      </c>
      <c r="I31" s="82" t="inlineStr">
        <is>
          <t>2029-08-31</t>
        </is>
      </c>
      <c r="J31" s="88">
        <f>IF(AND(E31="active",I31&lt;=Inputs!$B$27),"Yes","No")</f>
        <v/>
      </c>
      <c r="K31" s="83" t="n"/>
    </row>
    <row r="32" ht="15" customHeight="1" s="58">
      <c r="A32" s="82" t="inlineStr">
        <is>
          <t>028</t>
        </is>
      </c>
      <c r="B32" s="82" t="inlineStr">
        <is>
          <t>Studio</t>
        </is>
      </c>
      <c r="C32" s="83" t="inlineStr">
        <is>
          <t>A</t>
        </is>
      </c>
      <c r="D32" s="84" t="n">
        <v>700</v>
      </c>
      <c r="E32" s="82" t="inlineStr">
        <is>
          <t>active</t>
        </is>
      </c>
      <c r="F32" s="85" t="n">
        <v>1500</v>
      </c>
      <c r="G32" s="85" t="n">
        <v>0</v>
      </c>
      <c r="H32" s="87">
        <f>F32+G32</f>
        <v/>
      </c>
      <c r="I32" s="82" t="inlineStr">
        <is>
          <t>2029-08-31</t>
        </is>
      </c>
      <c r="J32" s="88">
        <f>IF(AND(E32="active",I32&lt;=Inputs!$B$27),"Yes","No")</f>
        <v/>
      </c>
      <c r="K32" s="83" t="n"/>
    </row>
    <row r="33" ht="15" customHeight="1" s="58">
      <c r="A33" s="82" t="inlineStr">
        <is>
          <t>029</t>
        </is>
      </c>
      <c r="B33" s="82" t="inlineStr">
        <is>
          <t>1BR</t>
        </is>
      </c>
      <c r="C33" s="83" t="inlineStr">
        <is>
          <t>B</t>
        </is>
      </c>
      <c r="D33" s="84" t="n">
        <v>820</v>
      </c>
      <c r="E33" s="82" t="inlineStr">
        <is>
          <t>active</t>
        </is>
      </c>
      <c r="F33" s="85" t="n">
        <v>1650</v>
      </c>
      <c r="G33" s="85" t="n">
        <v>0</v>
      </c>
      <c r="H33" s="87">
        <f>F33+G33</f>
        <v/>
      </c>
      <c r="I33" s="82" t="inlineStr">
        <is>
          <t>2029-08-31</t>
        </is>
      </c>
      <c r="J33" s="88">
        <f>IF(AND(E33="active",I33&lt;=Inputs!$B$27),"Yes","No")</f>
        <v/>
      </c>
      <c r="K33" s="83" t="n"/>
    </row>
    <row r="34" ht="15" customHeight="1" s="58">
      <c r="A34" s="82" t="inlineStr">
        <is>
          <t>030</t>
        </is>
      </c>
      <c r="B34" s="82" t="inlineStr">
        <is>
          <t>2BR</t>
        </is>
      </c>
      <c r="C34" s="83" t="inlineStr">
        <is>
          <t>C</t>
        </is>
      </c>
      <c r="D34" s="84" t="n">
        <v>1030</v>
      </c>
      <c r="E34" s="82" t="inlineStr">
        <is>
          <t>active</t>
        </is>
      </c>
      <c r="F34" s="85" t="n">
        <v>1925</v>
      </c>
      <c r="G34" s="85" t="n">
        <v>0</v>
      </c>
      <c r="H34" s="87">
        <f>F34+G34</f>
        <v/>
      </c>
      <c r="I34" s="82" t="inlineStr">
        <is>
          <t>2029-08-31</t>
        </is>
      </c>
      <c r="J34" s="88">
        <f>IF(AND(E34="active",I34&lt;=Inputs!$B$27),"Yes","No")</f>
        <v/>
      </c>
      <c r="K34" s="83" t="n"/>
    </row>
    <row r="35" ht="15" customHeight="1" s="58">
      <c r="A35" s="82" t="inlineStr">
        <is>
          <t>031</t>
        </is>
      </c>
      <c r="B35" s="82" t="inlineStr">
        <is>
          <t>Studio</t>
        </is>
      </c>
      <c r="C35" s="83" t="inlineStr">
        <is>
          <t>A</t>
        </is>
      </c>
      <c r="D35" s="84" t="n">
        <v>700</v>
      </c>
      <c r="E35" s="82" t="inlineStr">
        <is>
          <t>active</t>
        </is>
      </c>
      <c r="F35" s="85" t="n">
        <v>1500</v>
      </c>
      <c r="G35" s="85" t="n">
        <v>0</v>
      </c>
      <c r="H35" s="87">
        <f>F35+G35</f>
        <v/>
      </c>
      <c r="I35" s="82" t="inlineStr">
        <is>
          <t>2029-08-31</t>
        </is>
      </c>
      <c r="J35" s="88">
        <f>IF(AND(E35="active",I35&lt;=Inputs!$B$27),"Yes","No")</f>
        <v/>
      </c>
      <c r="K35" s="83" t="n"/>
    </row>
    <row r="36" ht="15" customHeight="1" s="58">
      <c r="A36" s="82" t="inlineStr">
        <is>
          <t>032</t>
        </is>
      </c>
      <c r="B36" s="82" t="inlineStr">
        <is>
          <t>1BR</t>
        </is>
      </c>
      <c r="C36" s="83" t="inlineStr">
        <is>
          <t>B</t>
        </is>
      </c>
      <c r="D36" s="84" t="n">
        <v>820</v>
      </c>
      <c r="E36" s="82" t="inlineStr">
        <is>
          <t>active</t>
        </is>
      </c>
      <c r="F36" s="85" t="n">
        <v>1650</v>
      </c>
      <c r="G36" s="85" t="n">
        <v>0</v>
      </c>
      <c r="H36" s="87">
        <f>F36+G36</f>
        <v/>
      </c>
      <c r="I36" s="82" t="inlineStr">
        <is>
          <t>2029-08-31</t>
        </is>
      </c>
      <c r="J36" s="88">
        <f>IF(AND(E36="active",I36&lt;=Inputs!$B$27),"Yes","No")</f>
        <v/>
      </c>
      <c r="K36" s="83" t="n"/>
    </row>
    <row r="37" ht="15" customHeight="1" s="58">
      <c r="A37" s="82" t="inlineStr">
        <is>
          <t>033</t>
        </is>
      </c>
      <c r="B37" s="82" t="inlineStr">
        <is>
          <t>2BR</t>
        </is>
      </c>
      <c r="C37" s="83" t="inlineStr">
        <is>
          <t>C</t>
        </is>
      </c>
      <c r="D37" s="84" t="n">
        <v>1030</v>
      </c>
      <c r="E37" s="82" t="inlineStr">
        <is>
          <t>active</t>
        </is>
      </c>
      <c r="F37" s="85" t="n">
        <v>1925</v>
      </c>
      <c r="G37" s="85" t="n">
        <v>0</v>
      </c>
      <c r="H37" s="87">
        <f>F37+G37</f>
        <v/>
      </c>
      <c r="I37" s="82" t="inlineStr">
        <is>
          <t>2029-08-31</t>
        </is>
      </c>
      <c r="J37" s="88">
        <f>IF(AND(E37="active",I37&lt;=Inputs!$B$27),"Yes","No")</f>
        <v/>
      </c>
      <c r="K37" s="83" t="n"/>
    </row>
    <row r="38" ht="15" customHeight="1" s="58">
      <c r="A38" s="82" t="inlineStr">
        <is>
          <t>034</t>
        </is>
      </c>
      <c r="B38" s="82" t="inlineStr">
        <is>
          <t>Studio</t>
        </is>
      </c>
      <c r="C38" s="83" t="inlineStr">
        <is>
          <t>A</t>
        </is>
      </c>
      <c r="D38" s="84" t="n">
        <v>700</v>
      </c>
      <c r="E38" s="82" t="inlineStr">
        <is>
          <t>active</t>
        </is>
      </c>
      <c r="F38" s="85" t="n">
        <v>1500</v>
      </c>
      <c r="G38" s="85" t="n">
        <v>0</v>
      </c>
      <c r="H38" s="87">
        <f>F38+G38</f>
        <v/>
      </c>
      <c r="I38" s="82" t="inlineStr">
        <is>
          <t>2029-08-31</t>
        </is>
      </c>
      <c r="J38" s="88">
        <f>IF(AND(E38="active",I38&lt;=Inputs!$B$27),"Yes","No")</f>
        <v/>
      </c>
      <c r="K38" s="83" t="n"/>
    </row>
    <row r="39" ht="15" customHeight="1" s="58">
      <c r="A39" s="82" t="inlineStr">
        <is>
          <t>035</t>
        </is>
      </c>
      <c r="B39" s="82" t="inlineStr">
        <is>
          <t>1BR</t>
        </is>
      </c>
      <c r="C39" s="83" t="inlineStr">
        <is>
          <t>B</t>
        </is>
      </c>
      <c r="D39" s="84" t="n">
        <v>820</v>
      </c>
      <c r="E39" s="82" t="inlineStr">
        <is>
          <t>active</t>
        </is>
      </c>
      <c r="F39" s="85" t="n">
        <v>1650</v>
      </c>
      <c r="G39" s="85" t="n">
        <v>0</v>
      </c>
      <c r="H39" s="87">
        <f>F39+G39</f>
        <v/>
      </c>
      <c r="I39" s="82" t="inlineStr">
        <is>
          <t>2029-08-31</t>
        </is>
      </c>
      <c r="J39" s="88">
        <f>IF(AND(E39="active",I39&lt;=Inputs!$B$27),"Yes","No")</f>
        <v/>
      </c>
      <c r="K39" s="83" t="n"/>
    </row>
    <row r="40" ht="15" customHeight="1" s="58">
      <c r="A40" s="82" t="inlineStr">
        <is>
          <t>036</t>
        </is>
      </c>
      <c r="B40" s="82" t="inlineStr">
        <is>
          <t>2BR</t>
        </is>
      </c>
      <c r="C40" s="83" t="inlineStr">
        <is>
          <t>C</t>
        </is>
      </c>
      <c r="D40" s="84" t="n">
        <v>1030</v>
      </c>
      <c r="E40" s="82" t="inlineStr">
        <is>
          <t>active</t>
        </is>
      </c>
      <c r="F40" s="85" t="n">
        <v>1925</v>
      </c>
      <c r="G40" s="85" t="n">
        <v>0</v>
      </c>
      <c r="H40" s="87">
        <f>F40+G40</f>
        <v/>
      </c>
      <c r="I40" s="82" t="inlineStr">
        <is>
          <t>2029-08-31</t>
        </is>
      </c>
      <c r="J40" s="88">
        <f>IF(AND(E40="active",I40&lt;=Inputs!$B$27),"Yes","No")</f>
        <v/>
      </c>
      <c r="K40" s="83" t="n"/>
    </row>
    <row r="41" ht="15" customHeight="1" s="58">
      <c r="A41" s="82" t="inlineStr">
        <is>
          <t>037</t>
        </is>
      </c>
      <c r="B41" s="82" t="inlineStr">
        <is>
          <t>Studio</t>
        </is>
      </c>
      <c r="C41" s="83" t="inlineStr">
        <is>
          <t>A</t>
        </is>
      </c>
      <c r="D41" s="84" t="n">
        <v>700</v>
      </c>
      <c r="E41" s="82" t="inlineStr">
        <is>
          <t>active</t>
        </is>
      </c>
      <c r="F41" s="85" t="n">
        <v>1500</v>
      </c>
      <c r="G41" s="85" t="n">
        <v>0</v>
      </c>
      <c r="H41" s="87">
        <f>F41+G41</f>
        <v/>
      </c>
      <c r="I41" s="82" t="inlineStr">
        <is>
          <t>2029-08-31</t>
        </is>
      </c>
      <c r="J41" s="88">
        <f>IF(AND(E41="active",I41&lt;=Inputs!$B$27),"Yes","No")</f>
        <v/>
      </c>
      <c r="K41" s="83" t="n"/>
    </row>
    <row r="42" ht="15" customHeight="1" s="58">
      <c r="A42" s="82" t="inlineStr">
        <is>
          <t>038</t>
        </is>
      </c>
      <c r="B42" s="82" t="inlineStr">
        <is>
          <t>1BR</t>
        </is>
      </c>
      <c r="C42" s="83" t="inlineStr">
        <is>
          <t>B</t>
        </is>
      </c>
      <c r="D42" s="84" t="n">
        <v>820</v>
      </c>
      <c r="E42" s="82" t="inlineStr">
        <is>
          <t>active</t>
        </is>
      </c>
      <c r="F42" s="85" t="n">
        <v>1650</v>
      </c>
      <c r="G42" s="85" t="n">
        <v>0</v>
      </c>
      <c r="H42" s="87">
        <f>F42+G42</f>
        <v/>
      </c>
      <c r="I42" s="82" t="inlineStr">
        <is>
          <t>2029-08-31</t>
        </is>
      </c>
      <c r="J42" s="88">
        <f>IF(AND(E42="active",I42&lt;=Inputs!$B$27),"Yes","No")</f>
        <v/>
      </c>
      <c r="K42" s="83" t="n"/>
    </row>
    <row r="43" ht="15" customHeight="1" s="58">
      <c r="A43" s="82" t="inlineStr">
        <is>
          <t>039</t>
        </is>
      </c>
      <c r="B43" s="82" t="inlineStr">
        <is>
          <t>2BR</t>
        </is>
      </c>
      <c r="C43" s="83" t="inlineStr">
        <is>
          <t>C</t>
        </is>
      </c>
      <c r="D43" s="84" t="n">
        <v>1030</v>
      </c>
      <c r="E43" s="82" t="inlineStr">
        <is>
          <t>active</t>
        </is>
      </c>
      <c r="F43" s="85" t="n">
        <v>1925</v>
      </c>
      <c r="G43" s="85" t="n">
        <v>0</v>
      </c>
      <c r="H43" s="87">
        <f>F43+G43</f>
        <v/>
      </c>
      <c r="I43" s="82" t="inlineStr">
        <is>
          <t>2029-08-31</t>
        </is>
      </c>
      <c r="J43" s="88">
        <f>IF(AND(E43="active",I43&lt;=Inputs!$B$27),"Yes","No")</f>
        <v/>
      </c>
      <c r="K43" s="83" t="n"/>
    </row>
    <row r="44" ht="15" customHeight="1" s="58">
      <c r="A44" s="82" t="inlineStr">
        <is>
          <t>040</t>
        </is>
      </c>
      <c r="B44" s="82" t="inlineStr">
        <is>
          <t>Studio</t>
        </is>
      </c>
      <c r="C44" s="83" t="inlineStr">
        <is>
          <t>A</t>
        </is>
      </c>
      <c r="D44" s="84" t="n">
        <v>700</v>
      </c>
      <c r="E44" s="82" t="inlineStr">
        <is>
          <t>active</t>
        </is>
      </c>
      <c r="F44" s="85" t="n">
        <v>1500</v>
      </c>
      <c r="G44" s="85" t="n">
        <v>0</v>
      </c>
      <c r="H44" s="87">
        <f>F44+G44</f>
        <v/>
      </c>
      <c r="I44" s="82" t="inlineStr">
        <is>
          <t>2029-08-31</t>
        </is>
      </c>
      <c r="J44" s="88">
        <f>IF(AND(E44="active",I44&lt;=Inputs!$B$27),"Yes","No")</f>
        <v/>
      </c>
      <c r="K44" s="83" t="n"/>
    </row>
    <row r="45" ht="15" customHeight="1" s="58">
      <c r="A45" s="82" t="inlineStr">
        <is>
          <t>041</t>
        </is>
      </c>
      <c r="B45" s="82" t="inlineStr">
        <is>
          <t>1BR</t>
        </is>
      </c>
      <c r="C45" s="83" t="inlineStr">
        <is>
          <t>B</t>
        </is>
      </c>
      <c r="D45" s="84" t="n">
        <v>820</v>
      </c>
      <c r="E45" s="82" t="inlineStr">
        <is>
          <t>active</t>
        </is>
      </c>
      <c r="F45" s="85" t="n">
        <v>1650</v>
      </c>
      <c r="G45" s="85" t="n">
        <v>0</v>
      </c>
      <c r="H45" s="87">
        <f>F45+G45</f>
        <v/>
      </c>
      <c r="I45" s="82" t="inlineStr">
        <is>
          <t>2029-08-31</t>
        </is>
      </c>
      <c r="J45" s="88">
        <f>IF(AND(E45="active",I45&lt;=Inputs!$B$27),"Yes","No")</f>
        <v/>
      </c>
      <c r="K45" s="83" t="n"/>
    </row>
    <row r="46" ht="15" customHeight="1" s="58">
      <c r="A46" s="82" t="inlineStr">
        <is>
          <t>042</t>
        </is>
      </c>
      <c r="B46" s="82" t="inlineStr">
        <is>
          <t>2BR</t>
        </is>
      </c>
      <c r="C46" s="83" t="inlineStr">
        <is>
          <t>C</t>
        </is>
      </c>
      <c r="D46" s="84" t="n">
        <v>1030</v>
      </c>
      <c r="E46" s="82" t="inlineStr">
        <is>
          <t>active</t>
        </is>
      </c>
      <c r="F46" s="85" t="n">
        <v>1925</v>
      </c>
      <c r="G46" s="85" t="n">
        <v>0</v>
      </c>
      <c r="H46" s="87">
        <f>F46+G46</f>
        <v/>
      </c>
      <c r="I46" s="82" t="inlineStr">
        <is>
          <t>2029-08-31</t>
        </is>
      </c>
      <c r="J46" s="88">
        <f>IF(AND(E46="active",I46&lt;=Inputs!$B$27),"Yes","No")</f>
        <v/>
      </c>
      <c r="K46" s="83" t="n"/>
    </row>
    <row r="47" ht="15" customHeight="1" s="58">
      <c r="A47" s="82" t="inlineStr">
        <is>
          <t>043</t>
        </is>
      </c>
      <c r="B47" s="82" t="inlineStr">
        <is>
          <t>Studio</t>
        </is>
      </c>
      <c r="C47" s="83" t="inlineStr">
        <is>
          <t>A</t>
        </is>
      </c>
      <c r="D47" s="84" t="n">
        <v>700</v>
      </c>
      <c r="E47" s="82" t="inlineStr">
        <is>
          <t>active</t>
        </is>
      </c>
      <c r="F47" s="85" t="n">
        <v>1500</v>
      </c>
      <c r="G47" s="85" t="n">
        <v>0</v>
      </c>
      <c r="H47" s="87">
        <f>F47+G47</f>
        <v/>
      </c>
      <c r="I47" s="82" t="inlineStr">
        <is>
          <t>2029-08-31</t>
        </is>
      </c>
      <c r="J47" s="88">
        <f>IF(AND(E47="active",I47&lt;=Inputs!$B$27),"Yes","No")</f>
        <v/>
      </c>
      <c r="K47" s="83" t="n"/>
    </row>
    <row r="48" ht="15" customHeight="1" s="58">
      <c r="A48" s="82" t="inlineStr">
        <is>
          <t>044</t>
        </is>
      </c>
      <c r="B48" s="82" t="inlineStr">
        <is>
          <t>1BR</t>
        </is>
      </c>
      <c r="C48" s="83" t="inlineStr">
        <is>
          <t>B</t>
        </is>
      </c>
      <c r="D48" s="84" t="n">
        <v>820</v>
      </c>
      <c r="E48" s="82" t="inlineStr">
        <is>
          <t>active</t>
        </is>
      </c>
      <c r="F48" s="85" t="n">
        <v>1650</v>
      </c>
      <c r="G48" s="85" t="n">
        <v>0</v>
      </c>
      <c r="H48" s="87">
        <f>F48+G48</f>
        <v/>
      </c>
      <c r="I48" s="82" t="inlineStr">
        <is>
          <t>2029-08-31</t>
        </is>
      </c>
      <c r="J48" s="88">
        <f>IF(AND(E48="active",I48&lt;=Inputs!$B$27),"Yes","No")</f>
        <v/>
      </c>
      <c r="K48" s="83" t="n"/>
    </row>
    <row r="49" ht="15" customHeight="1" s="58">
      <c r="A49" s="82" t="inlineStr">
        <is>
          <t>045</t>
        </is>
      </c>
      <c r="B49" s="82" t="inlineStr">
        <is>
          <t>2BR</t>
        </is>
      </c>
      <c r="C49" s="83" t="inlineStr">
        <is>
          <t>C</t>
        </is>
      </c>
      <c r="D49" s="84" t="n">
        <v>1030</v>
      </c>
      <c r="E49" s="82" t="inlineStr">
        <is>
          <t>active</t>
        </is>
      </c>
      <c r="F49" s="85" t="n">
        <v>2150</v>
      </c>
      <c r="G49" s="85" t="n">
        <v>0</v>
      </c>
      <c r="H49" s="87">
        <f>F49+G49</f>
        <v/>
      </c>
      <c r="I49" s="82" t="inlineStr">
        <is>
          <t>2029-08-31</t>
        </is>
      </c>
      <c r="J49" s="88">
        <f>IF(AND(E49="active",I49&lt;=Inputs!$B$27),"Yes","No")</f>
        <v/>
      </c>
      <c r="K49" s="83" t="inlineStr">
        <is>
          <t>REVISION 2: now active; scheduled rent +$225 to $2,150</t>
        </is>
      </c>
    </row>
    <row r="50" ht="15" customHeight="1" s="58">
      <c r="A50" s="82" t="inlineStr">
        <is>
          <t>046</t>
        </is>
      </c>
      <c r="B50" s="82" t="inlineStr">
        <is>
          <t>Studio</t>
        </is>
      </c>
      <c r="C50" s="83" t="inlineStr">
        <is>
          <t>A</t>
        </is>
      </c>
      <c r="D50" s="84" t="n">
        <v>700</v>
      </c>
      <c r="E50" s="82" t="inlineStr">
        <is>
          <t>vacant</t>
        </is>
      </c>
      <c r="F50" s="85" t="n">
        <v>1500</v>
      </c>
      <c r="G50" s="85" t="n">
        <v>0</v>
      </c>
      <c r="H50" s="87">
        <f>F50+G50</f>
        <v/>
      </c>
      <c r="I50" s="82" t="inlineStr">
        <is>
          <t>2029-08-31</t>
        </is>
      </c>
      <c r="J50" s="88">
        <f>IF(AND(E50="active",I50&lt;=Inputs!$B$27),"Yes","No")</f>
        <v/>
      </c>
      <c r="K50" s="83" t="n"/>
    </row>
    <row r="51" ht="15" customHeight="1" s="58">
      <c r="A51" s="82" t="inlineStr">
        <is>
          <t>047</t>
        </is>
      </c>
      <c r="B51" s="82" t="inlineStr">
        <is>
          <t>1BR</t>
        </is>
      </c>
      <c r="C51" s="83" t="inlineStr">
        <is>
          <t>B</t>
        </is>
      </c>
      <c r="D51" s="84" t="n">
        <v>820</v>
      </c>
      <c r="E51" s="82" t="inlineStr">
        <is>
          <t>vacant</t>
        </is>
      </c>
      <c r="F51" s="85" t="n">
        <v>1650</v>
      </c>
      <c r="G51" s="85" t="n">
        <v>0</v>
      </c>
      <c r="H51" s="87">
        <f>F51+G51</f>
        <v/>
      </c>
      <c r="I51" s="82" t="inlineStr">
        <is>
          <t>2029-08-31</t>
        </is>
      </c>
      <c r="J51" s="88">
        <f>IF(AND(E51="active",I51&lt;=Inputs!$B$27),"Yes","No")</f>
        <v/>
      </c>
      <c r="K51" s="83" t="n"/>
    </row>
    <row r="52" ht="15" customHeight="1" s="58">
      <c r="A52" s="82" t="inlineStr">
        <is>
          <t>048</t>
        </is>
      </c>
      <c r="B52" s="82" t="inlineStr">
        <is>
          <t>2BR</t>
        </is>
      </c>
      <c r="C52" s="83" t="inlineStr">
        <is>
          <t>C</t>
        </is>
      </c>
      <c r="D52" s="84" t="n">
        <v>1030</v>
      </c>
      <c r="E52" s="82" t="inlineStr">
        <is>
          <t>vacant</t>
        </is>
      </c>
      <c r="F52" s="85" t="n">
        <v>1925</v>
      </c>
      <c r="G52" s="85" t="n">
        <v>0</v>
      </c>
      <c r="H52" s="87">
        <f>F52+G52</f>
        <v/>
      </c>
      <c r="I52" s="82" t="inlineStr">
        <is>
          <t>2029-08-31</t>
        </is>
      </c>
      <c r="J52" s="88">
        <f>IF(AND(E52="active",I52&lt;=Inputs!$B$27),"Yes","No")</f>
        <v/>
      </c>
      <c r="K52" s="83" t="n"/>
    </row>
    <row r="54" ht="15" customHeight="1" s="58">
      <c r="A54" s="62" t="inlineStr">
        <is>
          <t>TOTALS / COUNTS</t>
        </is>
      </c>
    </row>
    <row r="55" ht="15" customHeight="1" s="58">
      <c r="A55" s="62" t="inlineStr">
        <is>
          <t>Scheduled rent, ALL 48 suites, certified (pre-amendment)</t>
        </is>
      </c>
      <c r="H55" s="89">
        <f>SUM(F5:F52)</f>
        <v/>
      </c>
      <c r="K55" s="61" t="inlineStr">
        <is>
          <t>gross_potential_rent basis / 12</t>
        </is>
      </c>
    </row>
    <row r="56" ht="15" customHeight="1" s="58">
      <c r="A56" s="62" t="inlineStr">
        <is>
          <t>Controlling monthly rent, ALL 48 suites (post-amendment)</t>
        </is>
      </c>
      <c r="H56" s="89">
        <f>SUM(H5:H52)</f>
        <v/>
      </c>
      <c r="K56" s="61" t="inlineStr">
        <is>
          <t>Not the underwriting GPR basis</t>
        </is>
      </c>
    </row>
    <row r="57" ht="15" customHeight="1" s="58">
      <c r="A57" s="62" t="inlineStr">
        <is>
          <t>In-place monthly rent, ACTIVE suites only (post-amendment)</t>
        </is>
      </c>
      <c r="H57" s="89">
        <f>SUMIF($E$5:$E$52,"active",H5:H52)</f>
        <v/>
      </c>
      <c r="K57" s="61" t="inlineStr">
        <is>
          <t>annual_in_place_rent / 12</t>
        </is>
      </c>
    </row>
    <row r="58" ht="15" customHeight="1" s="58">
      <c r="A58" s="62" t="inlineStr">
        <is>
          <t>annual_in_place_rent</t>
        </is>
      </c>
      <c r="H58" s="89">
        <f>H57*12</f>
        <v/>
      </c>
      <c r="K58" s="61" t="inlineStr">
        <is>
          <t>Active suites, executed amendment applied</t>
        </is>
      </c>
    </row>
    <row r="59" ht="15" customHeight="1" s="58">
      <c r="A59" s="62" t="inlineStr">
        <is>
          <t>total_units</t>
        </is>
      </c>
      <c r="H59" s="90">
        <f>COUNTA(A5:A52)</f>
        <v/>
      </c>
      <c r="K59" s="61" t="n"/>
    </row>
    <row r="60" ht="15" customHeight="1" s="58">
      <c r="A60" s="62" t="inlineStr">
        <is>
          <t>occupied_units (active possession)</t>
        </is>
      </c>
      <c r="H60" s="90">
        <f>COUNTIF($E$5:$E$52,"active")</f>
        <v/>
      </c>
      <c r="K60" s="61" t="inlineStr">
        <is>
          <t>Physical occupancy</t>
        </is>
      </c>
    </row>
    <row r="61" ht="15" customHeight="1" s="58">
      <c r="A61" s="62" t="inlineStr">
        <is>
          <t>pending_units (not in possession)</t>
        </is>
      </c>
      <c r="H61" s="90">
        <f>COUNTIF($E$5:$E$52,"pending")</f>
        <v/>
      </c>
      <c r="K61" s="61" t="inlineStr">
        <is>
          <t>Zero after revision 2 — a true zero, not unknown</t>
        </is>
      </c>
    </row>
    <row r="62" ht="15" customHeight="1" s="58">
      <c r="A62" s="62" t="inlineStr">
        <is>
          <t>vacant_units</t>
        </is>
      </c>
      <c r="H62" s="90">
        <f>COUNTIF($E$5:$E$52,"vacant")</f>
        <v/>
      </c>
      <c r="K62" s="61" t="n"/>
    </row>
    <row r="63" ht="15" customHeight="1" s="58">
      <c r="A63" s="62" t="inlineStr">
        <is>
          <t>total_area_sf</t>
        </is>
      </c>
      <c r="H63" s="90">
        <f>SUM(D5:D52)</f>
        <v/>
      </c>
      <c r="K63" s="61" t="n"/>
    </row>
    <row r="64" ht="15" customHeight="1" s="58">
      <c r="A64" s="62" t="inlineStr">
        <is>
          <t>occupied_area_sf</t>
        </is>
      </c>
      <c r="H64" s="90">
        <f>SUMIF($E$5:$E$52,"active",D5:D52)</f>
        <v/>
      </c>
      <c r="K64" s="61" t="inlineStr">
        <is>
          <t>Active suites only</t>
        </is>
      </c>
    </row>
    <row r="65" ht="15" customHeight="1" s="58">
      <c r="A65" s="62" t="inlineStr">
        <is>
          <t>unit_occupancy</t>
        </is>
      </c>
      <c r="H65" s="91">
        <f>H60/H59</f>
        <v/>
      </c>
      <c r="K65" s="61" t="inlineStr">
        <is>
          <t>Decimal</t>
        </is>
      </c>
    </row>
    <row r="66" ht="15" customHeight="1" s="58">
      <c r="A66" s="62" t="inlineStr">
        <is>
          <t>area_occupancy</t>
        </is>
      </c>
      <c r="H66" s="91">
        <f>H64/H63</f>
        <v/>
      </c>
      <c r="K66" s="61" t="inlineStr">
        <is>
          <t>Decimal</t>
        </is>
      </c>
    </row>
    <row r="67" ht="15" customHeight="1" s="58">
      <c r="A67" s="62" t="inlineStr">
        <is>
          <t>Manager headline leased count (occupied + pending)</t>
        </is>
      </c>
      <c r="H67" s="90">
        <f>H60+H61</f>
        <v/>
      </c>
      <c r="K67" s="61" t="inlineStr">
        <is>
          <t>Now 45 = 45 occupied + 0 pending. The manager headline and physical occupancy have converged</t>
        </is>
      </c>
    </row>
    <row r="68" ht="15" customHeight="1" s="58">
      <c r="A68" s="62" t="inlineStr">
        <is>
          <t>Active suites expiring on or before 2027-08-31</t>
        </is>
      </c>
      <c r="H68" s="90">
        <f>COUNTIF(J5:J52,"Yes")</f>
        <v/>
      </c>
      <c r="K68" s="61" t="inlineStr">
        <is>
          <t>Near-term rollover exposure</t>
        </is>
      </c>
    </row>
    <row r="70" ht="15" customHeight="1" s="58">
      <c r="A70" s="62" t="inlineStr">
        <is>
          <t>UNIT / SUITE MIX BY MANAGER GROUP  (manager-cover.pdf: groups A/B/C = Studio, 1BR, 2BR in order)</t>
        </is>
      </c>
    </row>
    <row r="71" ht="15" customHeight="1" s="58">
      <c r="A71" s="92" t="inlineStr">
        <is>
          <t>Group</t>
        </is>
      </c>
      <c r="B71" s="92" t="inlineStr">
        <is>
          <t>Unit type</t>
        </is>
      </c>
      <c r="C71" s="92" t="inlineStr">
        <is>
          <t>Area SF</t>
        </is>
      </c>
      <c r="D71" s="92" t="inlineStr">
        <is>
          <t>Total units</t>
        </is>
      </c>
      <c r="E71" s="92" t="inlineStr">
        <is>
          <t>Occupied</t>
        </is>
      </c>
      <c r="F71" s="92" t="inlineStr">
        <is>
          <t>Pending</t>
        </is>
      </c>
      <c r="G71" s="92" t="inlineStr">
        <is>
          <t>Vacant</t>
        </is>
      </c>
      <c r="H71" s="92" t="inlineStr">
        <is>
          <t>Scheduled rent/mo</t>
        </is>
      </c>
    </row>
    <row r="72" ht="15" customHeight="1" s="58">
      <c r="A72" s="61" t="inlineStr">
        <is>
          <t>A</t>
        </is>
      </c>
      <c r="B72" s="61" t="inlineStr">
        <is>
          <t>Studio</t>
        </is>
      </c>
      <c r="C72" s="90" t="n">
        <v>700</v>
      </c>
      <c r="D72" s="61">
        <f>COUNTIF($B$5:$B$52,B72)</f>
        <v/>
      </c>
      <c r="E72" s="61">
        <f>COUNTIFS($B$5:$B$52,B72,$E$5:$E$52,"active")</f>
        <v/>
      </c>
      <c r="F72" s="61">
        <f>COUNTIFS($B$5:$B$52,B72,$E$5:$E$52,"pending")</f>
        <v/>
      </c>
      <c r="G72" s="61">
        <f>COUNTIFS($B$5:$B$52,B72,$E$5:$E$52,"vacant")</f>
        <v/>
      </c>
      <c r="H72" s="89">
        <f>SUMIF($B$5:$B$52,B72,$F$5:$F$52)</f>
        <v/>
      </c>
    </row>
    <row r="73" ht="15" customHeight="1" s="58">
      <c r="A73" s="61" t="inlineStr">
        <is>
          <t>B</t>
        </is>
      </c>
      <c r="B73" s="61" t="inlineStr">
        <is>
          <t>1BR</t>
        </is>
      </c>
      <c r="C73" s="90" t="n">
        <v>820</v>
      </c>
      <c r="D73" s="61">
        <f>COUNTIF($B$5:$B$52,B73)</f>
        <v/>
      </c>
      <c r="E73" s="61">
        <f>COUNTIFS($B$5:$B$52,B73,$E$5:$E$52,"active")</f>
        <v/>
      </c>
      <c r="F73" s="61">
        <f>COUNTIFS($B$5:$B$52,B73,$E$5:$E$52,"pending")</f>
        <v/>
      </c>
      <c r="G73" s="61">
        <f>COUNTIFS($B$5:$B$52,B73,$E$5:$E$52,"vacant")</f>
        <v/>
      </c>
      <c r="H73" s="89">
        <f>SUMIF($B$5:$B$52,B73,$F$5:$F$52)</f>
        <v/>
      </c>
    </row>
    <row r="74" ht="15" customHeight="1" s="58">
      <c r="A74" s="61" t="inlineStr">
        <is>
          <t>C</t>
        </is>
      </c>
      <c r="B74" s="61" t="inlineStr">
        <is>
          <t>2BR</t>
        </is>
      </c>
      <c r="C74" s="90" t="n">
        <v>1030</v>
      </c>
      <c r="D74" s="61">
        <f>COUNTIF($B$5:$B$52,B74)</f>
        <v/>
      </c>
      <c r="E74" s="61">
        <f>COUNTIFS($B$5:$B$52,B74,$E$5:$E$52,"active")</f>
        <v/>
      </c>
      <c r="F74" s="61">
        <f>COUNTIFS($B$5:$B$52,B74,$E$5:$E$52,"pending")</f>
        <v/>
      </c>
      <c r="G74" s="61">
        <f>COUNTIFS($B$5:$B$52,B74,$E$5:$E$52,"vacant")</f>
        <v/>
      </c>
      <c r="H74" s="89">
        <f>SUMIF($B$5:$B$52,B74,$F$5:$F$52)</f>
        <v/>
      </c>
    </row>
    <row r="75" ht="15" customHeight="1" s="58">
      <c r="A75" s="62" t="inlineStr">
        <is>
          <t>Total</t>
        </is>
      </c>
      <c r="D75" s="62">
        <f>SUM(D72:D74)</f>
        <v/>
      </c>
      <c r="E75" s="62">
        <f>SUM(E72:E74)</f>
        <v/>
      </c>
      <c r="F75" s="62">
        <f>SUM(F72:F74)</f>
        <v/>
      </c>
      <c r="G75" s="62">
        <f>SUM(G72:G74)</f>
        <v/>
      </c>
      <c r="H75" s="93">
        <f>SUM(H72:H74)</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D32"/>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6" customWidth="1" style="57" min="1" max="1"/>
    <col width="16" customWidth="1" style="57" min="2" max="2"/>
    <col width="10" customWidth="1" style="57" min="3" max="3"/>
    <col width="66" customWidth="1" style="57" min="4" max="4"/>
  </cols>
  <sheetData>
    <row r="1" ht="17.35" customHeight="1" s="58">
      <c r="A1" s="59" t="inlineStr">
        <is>
          <t>Underwritten Cash Flow &amp; Direct Capitalization</t>
        </is>
      </c>
    </row>
    <row r="2" ht="15" customHeight="1" s="58">
      <c r="A2" s="60" t="inlineStr">
        <is>
          <t>Prescribed stabilized underwriting per underwriting-instructions.pdf p.1 as amended by revision-notice.pdf p.1. This is NOT the historical T-12 result — see the Historical sheet.</t>
        </is>
      </c>
    </row>
    <row r="4" ht="15" customHeight="1" s="58">
      <c r="A4" s="63" t="inlineStr">
        <is>
          <t>Line</t>
        </is>
      </c>
      <c r="B4" s="63" t="inlineStr">
        <is>
          <t>Amount</t>
        </is>
      </c>
      <c r="C4" s="63" t="inlineStr">
        <is>
          <t>Unit</t>
        </is>
      </c>
      <c r="D4" s="63" t="inlineStr">
        <is>
          <t>Basis / formula in words</t>
        </is>
      </c>
    </row>
    <row r="5" ht="23.85" customHeight="1" s="58">
      <c r="A5" s="61" t="inlineStr">
        <is>
          <t>Gross potential rent (gross_potential_rent)</t>
        </is>
      </c>
      <c r="B5" s="94">
        <f>Inputs!B5</f>
        <v/>
      </c>
      <c r="C5" s="61" t="inlineStr">
        <is>
          <t>USD/yr</t>
        </is>
      </c>
      <c r="D5" s="67" t="inlineStr">
        <is>
          <t>All 48 suites on the REVISED roll, scheduled rent x 12, before the Suite 001 amendment</t>
        </is>
      </c>
    </row>
    <row r="6" ht="15" customHeight="1" s="58">
      <c r="A6" s="61" t="inlineStr">
        <is>
          <t>Less: economic loss @ 5%</t>
        </is>
      </c>
      <c r="B6" s="89">
        <f>-B5*Inputs!B6</f>
        <v/>
      </c>
      <c r="C6" s="61" t="inlineStr">
        <is>
          <t>USD/yr</t>
        </is>
      </c>
      <c r="D6" s="67" t="inlineStr">
        <is>
          <t>Vacancy and credit loss</t>
        </is>
      </c>
    </row>
    <row r="7" ht="15" customHeight="1" s="58">
      <c r="A7" s="61" t="inlineStr">
        <is>
          <t>Plus: other income</t>
        </is>
      </c>
      <c r="B7" s="89">
        <f>Inputs!B7*Inputs!B8</f>
        <v/>
      </c>
      <c r="C7" s="61" t="inlineStr">
        <is>
          <t>USD/yr</t>
        </is>
      </c>
      <c r="D7" s="67" t="inlineStr">
        <is>
          <t>$350 per unit/suite x 48. Reimbursements already in GPR — not double counted</t>
        </is>
      </c>
    </row>
    <row r="8" ht="15" customHeight="1" s="58">
      <c r="A8" s="64" t="inlineStr">
        <is>
          <t>uw_egi — Effective gross income</t>
        </is>
      </c>
      <c r="B8" s="95">
        <f>B5+B6+B7</f>
        <v/>
      </c>
      <c r="C8" s="65" t="inlineStr">
        <is>
          <t>USD/yr</t>
        </is>
      </c>
      <c r="D8" s="66" t="inlineStr">
        <is>
          <t>GPR less economic loss plus other income</t>
        </is>
      </c>
    </row>
    <row r="10" ht="15" customHeight="1" s="58">
      <c r="A10" s="61" t="inlineStr">
        <is>
          <t>Less: uw_tax — real estate tax</t>
        </is>
      </c>
      <c r="B10" s="94">
        <f>-Inputs!B9</f>
        <v/>
      </c>
      <c r="C10" s="61" t="inlineStr">
        <is>
          <t>USD/yr</t>
        </is>
      </c>
      <c r="D10" s="67" t="inlineStr">
        <is>
          <t>Prescribed $102,312</t>
        </is>
      </c>
    </row>
    <row r="11" ht="15" customHeight="1" s="58">
      <c r="A11" s="61" t="inlineStr">
        <is>
          <t>Less: uw_insurance — insurance expense</t>
        </is>
      </c>
      <c r="B11" s="94">
        <f>-Inputs!B10</f>
        <v/>
      </c>
      <c r="C11" s="61" t="inlineStr">
        <is>
          <t>USD/yr</t>
        </is>
      </c>
      <c r="D11" s="67" t="inlineStr">
        <is>
          <t>Prescribed $34,104. Expense, not the policy limit</t>
        </is>
      </c>
    </row>
    <row r="12" ht="15" customHeight="1" s="58">
      <c r="A12" s="61" t="inlineStr">
        <is>
          <t>Less: other recurring operating expenses</t>
        </is>
      </c>
      <c r="B12" s="94">
        <f>-Inputs!B11</f>
        <v/>
      </c>
      <c r="C12" s="61" t="inlineStr">
        <is>
          <t>USD/yr</t>
        </is>
      </c>
      <c r="D12" s="67" t="inlineStr">
        <is>
          <t>Prescribed $136,416</t>
        </is>
      </c>
    </row>
    <row r="13" ht="15" customHeight="1" s="58">
      <c r="A13" s="61" t="inlineStr">
        <is>
          <t>Less: management fee @ 3% of EGI</t>
        </is>
      </c>
      <c r="B13" s="89">
        <f>-B8*Inputs!B12</f>
        <v/>
      </c>
      <c r="C13" s="61" t="inlineStr">
        <is>
          <t>USD/yr</t>
        </is>
      </c>
      <c r="D13" s="67" t="inlineStr">
        <is>
          <t>3% x uw_egi</t>
        </is>
      </c>
    </row>
    <row r="14" ht="15" customHeight="1" s="58">
      <c r="A14" s="62" t="inlineStr">
        <is>
          <t>uw_operating_expenses — total (before reserves)</t>
        </is>
      </c>
      <c r="B14" s="93">
        <f>-SUM(B10:B13)</f>
        <v/>
      </c>
      <c r="C14" s="61" t="inlineStr">
        <is>
          <t>USD/yr</t>
        </is>
      </c>
      <c r="D14" s="67" t="inlineStr">
        <is>
          <t>Tax + insurance + other recurring + management. Excludes reserves by definition</t>
        </is>
      </c>
    </row>
    <row r="15" ht="15" customHeight="1" s="58">
      <c r="A15" s="64" t="inlineStr">
        <is>
          <t>uw_noi — Net operating income (before reserves)</t>
        </is>
      </c>
      <c r="B15" s="95">
        <f>B8-B14</f>
        <v/>
      </c>
      <c r="C15" s="65" t="inlineStr">
        <is>
          <t>USD/yr</t>
        </is>
      </c>
      <c r="D15" s="66" t="inlineStr">
        <is>
          <t>uw_egi less uw_operating_expenses. This is the capitalized figure</t>
        </is>
      </c>
    </row>
    <row r="16" ht="15" customHeight="1" s="58">
      <c r="A16" s="61" t="inlineStr">
        <is>
          <t>Less: replacement reserves</t>
        </is>
      </c>
      <c r="B16" s="89">
        <f>-Inputs!B13*Inputs!B8</f>
        <v/>
      </c>
      <c r="C16" s="61" t="inlineStr">
        <is>
          <t>USD/yr</t>
        </is>
      </c>
      <c r="D16" s="67" t="inlineStr">
        <is>
          <t>$300 per unit/suite x 48</t>
        </is>
      </c>
    </row>
    <row r="17" ht="15" customHeight="1" s="58">
      <c r="A17" s="64" t="inlineStr">
        <is>
          <t>uw_ncf — Net cash flow (after reserves)</t>
        </is>
      </c>
      <c r="B17" s="95">
        <f>B15+B16</f>
        <v/>
      </c>
      <c r="C17" s="65" t="inlineStr">
        <is>
          <t>USD/yr</t>
        </is>
      </c>
      <c r="D17" s="66" t="inlineStr">
        <is>
          <t>uw_noi less reserves. DSCR and debt yield are sized on this</t>
        </is>
      </c>
    </row>
    <row r="19" ht="15" customHeight="1" s="58">
      <c r="A19" s="61" t="inlineStr">
        <is>
          <t>cap_rate</t>
        </is>
      </c>
      <c r="B19" s="96">
        <f>Inputs!B14</f>
        <v/>
      </c>
      <c r="C19" s="61" t="inlineStr">
        <is>
          <t>decimal</t>
        </is>
      </c>
      <c r="D19" s="67" t="inlineStr">
        <is>
          <t>Revised: 5.7500% initial plus 25 bp</t>
        </is>
      </c>
    </row>
    <row r="20" ht="15" customHeight="1" s="58">
      <c r="A20" s="64" t="inlineStr">
        <is>
          <t>capitalization_value</t>
        </is>
      </c>
      <c r="B20" s="95">
        <f>B15/B19</f>
        <v/>
      </c>
      <c r="C20" s="65" t="inlineStr">
        <is>
          <t>USD</t>
        </is>
      </c>
      <c r="D20" s="66" t="inlineStr">
        <is>
          <t>uw_noi (before reserves) / cap_rate</t>
        </is>
      </c>
    </row>
    <row r="22" ht="15" customHeight="1" s="58">
      <c r="A22" s="61" t="inlineStr">
        <is>
          <t>Implied value per unit/suite</t>
        </is>
      </c>
      <c r="B22" s="89">
        <f>B20/Inputs!B8</f>
        <v/>
      </c>
      <c r="C22" s="61" t="inlineStr">
        <is>
          <t>USD/unit</t>
        </is>
      </c>
      <c r="D22" s="67" t="inlineStr">
        <is>
          <t>Derived</t>
        </is>
      </c>
    </row>
    <row r="23" ht="15" customHeight="1" s="58">
      <c r="A23" s="61" t="inlineStr">
        <is>
          <t>Implied value per SF</t>
        </is>
      </c>
      <c r="B23" s="97">
        <f>B20/'Rent Roll'!H63</f>
        <v/>
      </c>
      <c r="C23" s="61" t="inlineStr">
        <is>
          <t>USD/SF</t>
        </is>
      </c>
      <c r="D23" s="67" t="inlineStr">
        <is>
          <t>Derived on 40,800 SF total area</t>
        </is>
      </c>
    </row>
    <row r="24" ht="15" customHeight="1" s="58">
      <c r="A24" s="61" t="inlineStr">
        <is>
          <t>uw_noi margin on uw_egi</t>
        </is>
      </c>
      <c r="B24" s="98">
        <f>B15/B8</f>
        <v/>
      </c>
      <c r="C24" s="61" t="inlineStr">
        <is>
          <t>decimal</t>
        </is>
      </c>
      <c r="D24" s="67" t="inlineStr">
        <is>
          <t>Derived</t>
        </is>
      </c>
    </row>
    <row r="25" ht="15" customHeight="1" s="58">
      <c r="A25" s="61" t="inlineStr">
        <is>
          <t>Expense ratio (before reserves)</t>
        </is>
      </c>
      <c r="B25" s="98">
        <f>B14/B8</f>
        <v/>
      </c>
      <c r="C25" s="61" t="inlineStr">
        <is>
          <t>decimal</t>
        </is>
      </c>
      <c r="D25" s="67" t="inlineStr">
        <is>
          <t>Derived</t>
        </is>
      </c>
    </row>
    <row r="27" ht="15" customHeight="1" s="58">
      <c r="A27" s="62" t="inlineStr">
        <is>
          <t>RECONCILIATION TO IN-PLACE RENT</t>
        </is>
      </c>
    </row>
    <row r="28" ht="15" customHeight="1" s="58">
      <c r="A28" s="61" t="inlineStr">
        <is>
          <t>annual_in_place_rent (active suites, amendment applied)</t>
        </is>
      </c>
      <c r="B28" s="89">
        <f>'Rent Roll'!H58</f>
        <v/>
      </c>
      <c r="D28" s="67" t="inlineStr">
        <is>
          <t>Contractual, occupied suites only</t>
        </is>
      </c>
    </row>
    <row r="29" ht="15" customHeight="1" s="58">
      <c r="A29" s="61" t="inlineStr">
        <is>
          <t>gross_potential_rent (prescribed underwriting basis)</t>
        </is>
      </c>
      <c r="B29" s="89">
        <f>B5</f>
        <v/>
      </c>
      <c r="D29" s="67" t="inlineStr">
        <is>
          <t>All 48 suites on the revised roll, pre-amendment</t>
        </is>
      </c>
    </row>
    <row r="30" ht="23.85" customHeight="1" s="58">
      <c r="A30" s="61" t="inlineStr">
        <is>
          <t>Difference</t>
        </is>
      </c>
      <c r="B30" s="89">
        <f>B29-B28</f>
        <v/>
      </c>
      <c r="D30" s="67" t="inlineStr">
        <is>
          <t>Upside of the 3 vacant suites, less the Suite 001 amendment excluded by the prescribed basis</t>
        </is>
      </c>
    </row>
    <row r="32" ht="15" customHeight="1" s="58">
      <c r="A32" s="60" t="inlineStr">
        <is>
          <t>Note: the executed Suite 001 amendment raises in-place rent but is deliberately excluded from gross_potential_rent, because the instructions prescribe the pre-amendment certified roll as the stabilized GPR assumption. These are two separate measures, not a conflict.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D36"/>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6" customWidth="1" style="57" min="1" max="1"/>
    <col width="18" customWidth="1" style="57" min="2" max="2"/>
    <col width="10" customWidth="1" style="57" min="3" max="3"/>
    <col width="62" customWidth="1" style="57" min="4" max="4"/>
  </cols>
  <sheetData>
    <row r="1" ht="17.35" customHeight="1" s="58">
      <c r="A1" s="59" t="inlineStr">
        <is>
          <t>Debt Sizing and Sources &amp; Uses</t>
        </is>
      </c>
    </row>
    <row r="2" ht="15" customHeight="1" s="58">
      <c r="A2" s="60" t="inlineStr">
        <is>
          <t>Sized on the REVISED sizing rate of 7.0000%, fully amortizing, notwithstanding the first 24 months of interest-only. Loan constraints, payoff and fees are unchanged.</t>
        </is>
      </c>
    </row>
    <row r="4" ht="15" customHeight="1" s="58">
      <c r="A4" s="63" t="inlineStr">
        <is>
          <t>Line</t>
        </is>
      </c>
      <c r="B4" s="63" t="inlineStr">
        <is>
          <t>Amount</t>
        </is>
      </c>
      <c r="C4" s="63" t="inlineStr">
        <is>
          <t>Unit</t>
        </is>
      </c>
      <c r="D4" s="63" t="inlineStr">
        <is>
          <t>Basis</t>
        </is>
      </c>
    </row>
    <row r="5" ht="23.85" customHeight="1" s="58">
      <c r="A5" s="61" t="inlineStr">
        <is>
          <t>sizing_rate</t>
        </is>
      </c>
      <c r="B5" s="96">
        <f>Inputs!B17</f>
        <v/>
      </c>
      <c r="C5" s="61" t="inlineStr">
        <is>
          <t>decimal</t>
        </is>
      </c>
      <c r="D5" s="67" t="inlineStr">
        <is>
          <t>Initial 6.2500% (greater of note and floor) plus 75 bp per revision notice = 7.0000%</t>
        </is>
      </c>
    </row>
    <row r="6" ht="15" customHeight="1" s="58">
      <c r="A6" s="61" t="inlineStr">
        <is>
          <t>Periodic (monthly) rate</t>
        </is>
      </c>
      <c r="B6" s="99">
        <f>B5/Inputs!B19</f>
        <v/>
      </c>
      <c r="C6" s="61" t="inlineStr">
        <is>
          <t>decimal</t>
        </is>
      </c>
      <c r="D6" s="67" t="inlineStr">
        <is>
          <t>sizing_rate / 12</t>
        </is>
      </c>
    </row>
    <row r="7" ht="15" customHeight="1" s="58">
      <c r="A7" s="61" t="inlineStr">
        <is>
          <t>Amortization periods</t>
        </is>
      </c>
      <c r="B7" s="90">
        <f>Inputs!B18*Inputs!B19</f>
        <v/>
      </c>
      <c r="C7" s="61" t="inlineStr">
        <is>
          <t>months</t>
        </is>
      </c>
      <c r="D7" s="67" t="inlineStr">
        <is>
          <t>30 years x 12</t>
        </is>
      </c>
    </row>
    <row r="8" ht="15" customHeight="1" s="58">
      <c r="A8" s="61" t="inlineStr">
        <is>
          <t>Annuity factor</t>
        </is>
      </c>
      <c r="B8" s="91">
        <f>(1-(1+B6)^-B7)/B6</f>
        <v/>
      </c>
      <c r="C8" s="61" t="inlineStr">
        <is>
          <t>x</t>
        </is>
      </c>
      <c r="D8" s="67" t="inlineStr">
        <is>
          <t>Present value of $1 per month</t>
        </is>
      </c>
    </row>
    <row r="10" ht="15" customHeight="1" s="58">
      <c r="A10" s="61" t="inlineStr">
        <is>
          <t>Constraint 1 — LTV @ 65.00%</t>
        </is>
      </c>
      <c r="B10" s="89">
        <f>Inputs!B20*Underwriting!B20</f>
        <v/>
      </c>
      <c r="C10" s="61" t="inlineStr">
        <is>
          <t>USD</t>
        </is>
      </c>
      <c r="D10" s="67" t="inlineStr">
        <is>
          <t>ltv_limit x capitalization_value</t>
        </is>
      </c>
    </row>
    <row r="11" ht="15" customHeight="1" s="58">
      <c r="A11" s="61" t="inlineStr">
        <is>
          <t>Constraint 2 — DSCR @ 1.25x on NCF</t>
        </is>
      </c>
      <c r="B11" s="89">
        <f>(Underwriting!B17/Inputs!B21/Inputs!B19)*B8</f>
        <v/>
      </c>
      <c r="C11" s="61" t="inlineStr">
        <is>
          <t>USD</t>
        </is>
      </c>
      <c r="D11" s="67" t="inlineStr">
        <is>
          <t>(uw_ncf / dscr_limit / 12) x annuity factor</t>
        </is>
      </c>
    </row>
    <row r="12" ht="15" customHeight="1" s="58">
      <c r="A12" s="61" t="inlineStr">
        <is>
          <t>Constraint 3 — NCF debt yield @ 9.00%</t>
        </is>
      </c>
      <c r="B12" s="89">
        <f>Underwriting!B17/Inputs!B22</f>
        <v/>
      </c>
      <c r="C12" s="61" t="inlineStr">
        <is>
          <t>USD</t>
        </is>
      </c>
      <c r="D12" s="67" t="inlineStr">
        <is>
          <t>uw_ncf / debt_yield_limit</t>
        </is>
      </c>
    </row>
    <row r="13" ht="15" customHeight="1" s="58">
      <c r="A13" s="64" t="inlineStr">
        <is>
          <t>maximum_loan</t>
        </is>
      </c>
      <c r="B13" s="95">
        <f>MIN(B10:B12)</f>
        <v/>
      </c>
      <c r="C13" s="65" t="inlineStr">
        <is>
          <t>USD</t>
        </is>
      </c>
      <c r="D13" s="66" t="inlineStr">
        <is>
          <t>Most restrictive of the three constraints</t>
        </is>
      </c>
    </row>
    <row r="14" ht="15" customHeight="1" s="58">
      <c r="A14" s="62" t="inlineStr">
        <is>
          <t>Binding constraint</t>
        </is>
      </c>
      <c r="B14" s="62">
        <f>INDEX(A10:A12,MATCH(B13,B10:B12,0))</f>
        <v/>
      </c>
      <c r="C14" s="61" t="inlineStr">
        <is>
          <t>text</t>
        </is>
      </c>
      <c r="D14" s="67" t="inlineStr">
        <is>
          <t>Which test governs</t>
        </is>
      </c>
    </row>
    <row r="16" ht="15" customHeight="1" s="58">
      <c r="A16" s="61" t="inlineStr">
        <is>
          <t>Monthly principal &amp; interest at sized loan</t>
        </is>
      </c>
      <c r="B16" s="97">
        <f>B13*B6/(1-(1+B6)^-B7)</f>
        <v/>
      </c>
      <c r="C16" s="61" t="inlineStr">
        <is>
          <t>USD/mo</t>
        </is>
      </c>
      <c r="D16" s="67" t="inlineStr">
        <is>
          <t>Fully amortizing at sizing_rate</t>
        </is>
      </c>
    </row>
    <row r="17" ht="15" customHeight="1" s="58">
      <c r="A17" s="61" t="inlineStr">
        <is>
          <t>Annual debt service</t>
        </is>
      </c>
      <c r="B17" s="89">
        <f>B16*Inputs!B19</f>
        <v/>
      </c>
      <c r="C17" s="61" t="inlineStr">
        <is>
          <t>USD/yr</t>
        </is>
      </c>
      <c r="D17" s="67" t="inlineStr">
        <is>
          <t>Monthly P&amp;I x 12</t>
        </is>
      </c>
    </row>
    <row r="18" ht="15" customHeight="1" s="58">
      <c r="A18" s="62" t="inlineStr">
        <is>
          <t>Achieved DSCR on uw_ncf</t>
        </is>
      </c>
      <c r="B18" s="100">
        <f>Underwriting!B17/B17</f>
        <v/>
      </c>
      <c r="C18" s="61" t="inlineStr">
        <is>
          <t>ratio</t>
        </is>
      </c>
      <c r="D18" s="67" t="inlineStr">
        <is>
          <t>At the constraint minimum of 1.25 — still the binding test</t>
        </is>
      </c>
    </row>
    <row r="19" ht="15" customHeight="1" s="58">
      <c r="A19" s="61" t="inlineStr">
        <is>
          <t>Achieved NCF debt yield</t>
        </is>
      </c>
      <c r="B19" s="98">
        <f>Underwriting!B17/B13</f>
        <v/>
      </c>
      <c r="C19" s="61" t="inlineStr">
        <is>
          <t>decimal</t>
        </is>
      </c>
      <c r="D19" s="67" t="inlineStr">
        <is>
          <t>Cushion above the 9.00% floor</t>
        </is>
      </c>
    </row>
    <row r="20" ht="15" customHeight="1" s="58">
      <c r="A20" s="61" t="inlineStr">
        <is>
          <t>Achieved LTV</t>
        </is>
      </c>
      <c r="B20" s="98">
        <f>B13/Underwriting!B20</f>
        <v/>
      </c>
      <c r="C20" s="61" t="inlineStr">
        <is>
          <t>decimal</t>
        </is>
      </c>
      <c r="D20" s="67" t="inlineStr">
        <is>
          <t>Cushion below the 65.00% cap</t>
        </is>
      </c>
    </row>
    <row r="21" ht="15" customHeight="1" s="58">
      <c r="A21" s="61" t="inlineStr">
        <is>
          <t>Interest-only annual payment (months 1-24, sizing rate)</t>
        </is>
      </c>
      <c r="B21" s="89">
        <f>B13*B5</f>
        <v/>
      </c>
      <c r="C21" s="61" t="inlineStr">
        <is>
          <t>USD/yr</t>
        </is>
      </c>
      <c r="D21" s="67" t="inlineStr">
        <is>
          <t>Actual year 1-2 cash cost at the revised rate; NOT used for sizing</t>
        </is>
      </c>
    </row>
    <row r="22" ht="15" customHeight="1" s="58">
      <c r="A22" s="61" t="inlineStr">
        <is>
          <t>DSCR during interest-only period</t>
        </is>
      </c>
      <c r="B22" s="91">
        <f>Underwriting!B17/B21</f>
        <v/>
      </c>
      <c r="C22" s="61" t="inlineStr">
        <is>
          <t>ratio</t>
        </is>
      </c>
      <c r="D22" s="67" t="inlineStr">
        <is>
          <t>Informational cushion in the IO window</t>
        </is>
      </c>
    </row>
    <row r="25" ht="15" customHeight="1" s="58">
      <c r="A25" s="62" t="inlineStr">
        <is>
          <t>SOURCES &amp; USES</t>
        </is>
      </c>
    </row>
    <row r="26" ht="15" customHeight="1" s="58">
      <c r="A26" s="62" t="inlineStr">
        <is>
          <t>SOURCES</t>
        </is>
      </c>
      <c r="D26" s="67" t="n"/>
    </row>
    <row r="27" ht="15" customHeight="1" s="58">
      <c r="A27" s="61" t="inlineStr">
        <is>
          <t>New sized loan (maximum_loan)</t>
        </is>
      </c>
      <c r="B27" s="89">
        <f>B13</f>
        <v/>
      </c>
      <c r="D27" s="67" t="inlineStr">
        <is>
          <t>Proceeds at the binding constraint</t>
        </is>
      </c>
    </row>
    <row r="28" ht="15" customHeight="1" s="58">
      <c r="A28" s="61" t="inlineStr">
        <is>
          <t>Additional sponsor equity required</t>
        </is>
      </c>
      <c r="B28" s="89">
        <f>MAX(0,-B34)</f>
        <v/>
      </c>
      <c r="D28" s="67" t="inlineStr">
        <is>
          <t>Zero unless net cash-out is negative</t>
        </is>
      </c>
    </row>
    <row r="29" ht="15" customHeight="1" s="58">
      <c r="A29" s="61" t="inlineStr">
        <is>
          <t>Total sources</t>
        </is>
      </c>
      <c r="B29" s="89">
        <f>B27+B28</f>
        <v/>
      </c>
      <c r="D29" s="67" t="n"/>
    </row>
    <row r="30" ht="15" customHeight="1" s="58">
      <c r="A30" s="62" t="inlineStr">
        <is>
          <t>USES</t>
        </is>
      </c>
      <c r="D30" s="67" t="n"/>
    </row>
    <row r="31" ht="15" customHeight="1" s="58">
      <c r="A31" s="61" t="inlineStr">
        <is>
          <t>Existing loan payoff</t>
        </is>
      </c>
      <c r="B31" s="89">
        <f>Inputs!B25</f>
        <v/>
      </c>
      <c r="D31" s="67" t="inlineStr">
        <is>
          <t>Prescribed $4,200,000</t>
        </is>
      </c>
    </row>
    <row r="32" ht="15" customHeight="1" s="58">
      <c r="A32" s="61" t="inlineStr">
        <is>
          <t>Origination fee @ 1.00% of sized loan</t>
        </is>
      </c>
      <c r="B32" s="89">
        <f>B13*Inputs!B23</f>
        <v/>
      </c>
      <c r="D32" s="67" t="inlineStr">
        <is>
          <t>1% x maximum_loan</t>
        </is>
      </c>
    </row>
    <row r="33" ht="15" customHeight="1" s="58">
      <c r="A33" s="61" t="inlineStr">
        <is>
          <t>Closing costs</t>
        </is>
      </c>
      <c r="B33" s="89">
        <f>Inputs!B24</f>
        <v/>
      </c>
      <c r="D33" s="67" t="inlineStr">
        <is>
          <t>Prescribed $45,000</t>
        </is>
      </c>
    </row>
    <row r="34" ht="15" customHeight="1" s="58">
      <c r="A34" s="64" t="inlineStr">
        <is>
          <t>net_cash_out — proceeds to sponsor</t>
        </is>
      </c>
      <c r="B34" s="95">
        <f>B27-B31-B32-B33</f>
        <v/>
      </c>
      <c r="C34" s="101" t="n"/>
      <c r="D34" s="66" t="inlineStr">
        <is>
          <t>Positive = cash out. Negative = additional equity required</t>
        </is>
      </c>
    </row>
    <row r="35" ht="15" customHeight="1" s="58">
      <c r="A35" s="61" t="inlineStr">
        <is>
          <t>Total uses</t>
        </is>
      </c>
      <c r="B35" s="89">
        <f>B31+B32+B33+MAX(0,B34)</f>
        <v/>
      </c>
      <c r="D35" s="67" t="n"/>
    </row>
    <row r="36" ht="15" customHeight="1" s="58">
      <c r="A36" s="61" t="inlineStr">
        <is>
          <t>Check: sources less uses</t>
        </is>
      </c>
      <c r="B36" s="89">
        <f>B29-B35</f>
        <v/>
      </c>
      <c r="D36" s="67" t="inlineStr">
        <is>
          <t>Must be zero</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E18"/>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4" customWidth="1" style="57" min="1" max="1"/>
    <col width="17" customWidth="1" style="57" min="2" max="3"/>
    <col width="15" customWidth="1" style="57" min="4" max="4"/>
    <col width="60" customWidth="1" style="57" min="5" max="5"/>
  </cols>
  <sheetData>
    <row r="1" ht="17.35" customHeight="1" s="58">
      <c r="A1" s="59" t="inlineStr">
        <is>
          <t>Historical T-12 (as reported) vs Underwritten</t>
        </is>
      </c>
    </row>
    <row r="2" ht="15" customHeight="1" s="58">
      <c r="A2" s="60" t="inlineStr">
        <is>
          <t>Source: operating-statement.pdf p.1, UNCHANGED by revision 2. Period 2025-09-01 through 2026-08-31. Cash basis. Amounts in USD, not thousands. Reported T-12 NOI, uw_noi and uw_ncf are three distinct measures. Only the underwritten column moves in this revision.</t>
        </is>
      </c>
    </row>
    <row r="4" ht="15" customHeight="1" s="58">
      <c r="A4" s="63" t="inlineStr">
        <is>
          <t>Account</t>
        </is>
      </c>
      <c r="B4" s="63" t="inlineStr">
        <is>
          <t>T-12 actual (USD)</t>
        </is>
      </c>
      <c r="C4" s="63" t="inlineStr">
        <is>
          <t>Underwritten (USD)</t>
        </is>
      </c>
      <c r="D4" s="63" t="inlineStr">
        <is>
          <t>Variance</t>
        </is>
      </c>
      <c r="E4" s="63" t="inlineStr">
        <is>
          <t>Comment</t>
        </is>
      </c>
    </row>
    <row r="5" ht="23.85" customHeight="1" s="58">
      <c r="A5" s="61" t="inlineStr">
        <is>
          <t>Rental and ancillary collections / EGI</t>
        </is>
      </c>
      <c r="B5" s="102" t="n">
        <v>876960</v>
      </c>
      <c r="C5" s="89">
        <f>Underwriting!B8</f>
        <v/>
      </c>
      <c r="D5" s="89">
        <f>C5-B5</f>
        <v/>
      </c>
      <c r="E5" s="67" t="inlineStr">
        <is>
          <t>Historical collections are cash received; not an annualized rent-roll total. Underwritten EGI is the prescribed forward assumption.</t>
        </is>
      </c>
    </row>
    <row r="6" ht="15" customHeight="1" s="58">
      <c r="A6" s="61" t="inlineStr">
        <is>
          <t>Real estate tax expense</t>
        </is>
      </c>
      <c r="B6" s="102" t="n">
        <v>-102312</v>
      </c>
      <c r="C6" s="89">
        <f>-Inputs!B9</f>
        <v/>
      </c>
      <c r="D6" s="89">
        <f>C6-B6</f>
        <v/>
      </c>
      <c r="E6" s="67" t="inlineStr">
        <is>
          <t>Underwritten at actual.</t>
        </is>
      </c>
    </row>
    <row r="7" ht="15" customHeight="1" s="58">
      <c r="A7" s="61" t="inlineStr">
        <is>
          <t>Insurance expense</t>
        </is>
      </c>
      <c r="B7" s="102" t="n">
        <v>-34104</v>
      </c>
      <c r="C7" s="89">
        <f>-Inputs!B10</f>
        <v/>
      </c>
      <c r="D7" s="89">
        <f>C7-B7</f>
        <v/>
      </c>
      <c r="E7" s="67" t="inlineStr">
        <is>
          <t>Underwritten at actual. Distinct from the $2,000,000 GL aggregate limit.</t>
        </is>
      </c>
    </row>
    <row r="8" ht="15" customHeight="1" s="58">
      <c r="A8" s="61" t="inlineStr">
        <is>
          <t>Other recurring operating expenses</t>
        </is>
      </c>
      <c r="B8" s="102" t="n">
        <v>-136416</v>
      </c>
      <c r="C8" s="89">
        <f>-Inputs!B11</f>
        <v/>
      </c>
      <c r="D8" s="89">
        <f>C8-B8</f>
        <v/>
      </c>
      <c r="E8" s="67" t="inlineStr">
        <is>
          <t>Underwritten at actual.</t>
        </is>
      </c>
    </row>
    <row r="9" ht="23.85" customHeight="1" s="58">
      <c r="A9" s="61" t="inlineStr">
        <is>
          <t>Management fee</t>
        </is>
      </c>
      <c r="B9" s="102" t="n">
        <v>0</v>
      </c>
      <c r="C9" s="89">
        <f>-Underwriting!B8*Inputs!B12</f>
        <v/>
      </c>
      <c r="D9" s="89">
        <f>C9-B9</f>
        <v/>
      </c>
      <c r="E9" s="67" t="inlineStr">
        <is>
          <t>Not a separate line in the T-12; underwriting adds 3% of EGI. A real economic add, not a reclassification.</t>
        </is>
      </c>
    </row>
    <row r="10" ht="35.05" customHeight="1" s="58">
      <c r="A10" s="61" t="inlineStr">
        <is>
          <t>Roof replacement booked in repairs</t>
        </is>
      </c>
      <c r="B10" s="102" t="n">
        <v>0</v>
      </c>
      <c r="C10" s="89" t="n">
        <v>0</v>
      </c>
      <c r="D10" s="89">
        <f>C10-B10</f>
        <v/>
      </c>
      <c r="E10" s="67" t="inlineStr">
        <is>
          <t>Reported as $0 in the repairs line. The roof replacement is capital and no recurring repair component is included, so no add-back or scrub is required.</t>
        </is>
      </c>
    </row>
    <row r="11" ht="15" customHeight="1" s="58">
      <c r="A11" s="62" t="inlineStr">
        <is>
          <t>Total operating expenses</t>
        </is>
      </c>
      <c r="B11" s="93">
        <f>SUM(B6:B10)</f>
        <v/>
      </c>
      <c r="C11" s="93">
        <f>-Underwriting!B14</f>
        <v/>
      </c>
      <c r="D11" s="93">
        <f>C11-B11</f>
        <v/>
      </c>
      <c r="E11" s="67" t="n"/>
    </row>
    <row r="12" ht="23.85" customHeight="1" s="58">
      <c r="A12" s="62" t="inlineStr">
        <is>
          <t>reported_t12_noi / uw_noi (before reserves)</t>
        </is>
      </c>
      <c r="B12" s="93">
        <f>B5+B11</f>
        <v/>
      </c>
      <c r="C12" s="93">
        <f>Underwriting!B15</f>
        <v/>
      </c>
      <c r="D12" s="93">
        <f>C12-B12</f>
        <v/>
      </c>
      <c r="E12" s="67" t="inlineStr">
        <is>
          <t>Reported NOI of $604,128 ties to the statement. The underwritten figure is higher, driven by the prescribed GPR and other-income assumptions.</t>
        </is>
      </c>
    </row>
    <row r="13" ht="15" customHeight="1" s="58">
      <c r="A13" s="61" t="inlineStr">
        <is>
          <t>Replacement reserves</t>
        </is>
      </c>
      <c r="B13" s="102" t="n">
        <v>0</v>
      </c>
      <c r="C13" s="89">
        <f>-Inputs!B13*Inputs!B8</f>
        <v/>
      </c>
      <c r="D13" s="89">
        <f>C13-B13</f>
        <v/>
      </c>
      <c r="E13" s="67" t="inlineStr">
        <is>
          <t>Not a cash line in the T-12; underwriting deducts $300/unit below NOI.</t>
        </is>
      </c>
    </row>
    <row r="14" ht="15" customHeight="1" s="58">
      <c r="A14" s="62" t="inlineStr">
        <is>
          <t>uw_ncf (after reserves)</t>
        </is>
      </c>
      <c r="B14" s="89" t="inlineStr">
        <is>
          <t>n/a</t>
        </is>
      </c>
      <c r="C14" s="93">
        <f>Underwriting!B17</f>
        <v/>
      </c>
      <c r="E14" s="67" t="inlineStr">
        <is>
          <t>No historical equivalent is reported.</t>
        </is>
      </c>
    </row>
    <row r="16" ht="15" customHeight="1" s="58">
      <c r="A16" s="62" t="inlineStr">
        <is>
          <t>Tie-out check: reported NOI stated on the operating statement</t>
        </is>
      </c>
      <c r="B16" s="102" t="n">
        <v>604128</v>
      </c>
    </row>
    <row r="17" ht="15" customHeight="1" s="58">
      <c r="A17" s="62" t="inlineStr">
        <is>
          <t>Recomputed from the reported accounts</t>
        </is>
      </c>
      <c r="B17" s="89">
        <f>B12</f>
        <v/>
      </c>
    </row>
    <row r="18" ht="15" customHeight="1" s="58">
      <c r="A18" s="62" t="inlineStr">
        <is>
          <t>Difference</t>
        </is>
      </c>
      <c r="B18" s="89">
        <f>B17-B16</f>
        <v/>
      </c>
      <c r="C18" s="62">
        <f>IF(B18=0,"OK — ties","CHECK")</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F3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4" customWidth="1" style="57" min="1" max="1"/>
    <col width="18" customWidth="1" style="57" min="2" max="6"/>
  </cols>
  <sheetData>
    <row r="1" ht="17.35" customHeight="1" s="58">
      <c r="A1" s="59" t="inlineStr">
        <is>
          <t>Sensitivity — Capitalization Value and Maximum Loan</t>
        </is>
      </c>
    </row>
    <row r="2" ht="15" customHeight="1" s="58">
      <c r="A2" s="60" t="inlineStr">
        <is>
          <t>Cap rate varies down the rows; sizing rate varies across the columns. Blue cells are levers. All results recalculate from Inputs.</t>
        </is>
      </c>
    </row>
    <row r="4" ht="15" customHeight="1" s="58">
      <c r="A4" s="62" t="inlineStr">
        <is>
          <t>TABLE 1 — capitalization_value by cap rate (uw_noi is unaffected by sizing rate)</t>
        </is>
      </c>
    </row>
    <row r="5" ht="15" customHeight="1" s="58">
      <c r="A5" s="92" t="inlineStr">
        <is>
          <t>cap_rate</t>
        </is>
      </c>
      <c r="B5" s="92" t="inlineStr">
        <is>
          <t>capitalization_value</t>
        </is>
      </c>
      <c r="C5" s="92" t="inlineStr">
        <is>
          <t>LTV constraint @ 65%</t>
        </is>
      </c>
      <c r="D5" s="92" t="inlineStr">
        <is>
          <t>Value per unit</t>
        </is>
      </c>
    </row>
    <row r="6" ht="15" customHeight="1" s="58">
      <c r="A6" s="78" t="n">
        <v>0.055</v>
      </c>
      <c r="B6" s="89">
        <f>Underwriting!$B$15/A6</f>
        <v/>
      </c>
      <c r="C6" s="89">
        <f>Inputs!$B$20*B6</f>
        <v/>
      </c>
      <c r="D6" s="89">
        <f>B6/Inputs!$B$8</f>
        <v/>
      </c>
    </row>
    <row r="7" ht="15" customHeight="1" s="58">
      <c r="A7" s="78" t="n">
        <v>0.0575</v>
      </c>
      <c r="B7" s="89">
        <f>Underwriting!$B$15/A7</f>
        <v/>
      </c>
      <c r="C7" s="89">
        <f>Inputs!$B$20*B7</f>
        <v/>
      </c>
      <c r="D7" s="89">
        <f>B7/Inputs!$B$8</f>
        <v/>
      </c>
    </row>
    <row r="8" ht="15" customHeight="1" s="58">
      <c r="A8" s="103" t="n">
        <v>0.06</v>
      </c>
      <c r="B8" s="89">
        <f>Underwriting!$B$15/A8</f>
        <v/>
      </c>
      <c r="C8" s="89">
        <f>Inputs!$B$20*B8</f>
        <v/>
      </c>
      <c r="D8" s="89">
        <f>B8/Inputs!$B$8</f>
        <v/>
      </c>
    </row>
    <row r="9" ht="15" customHeight="1" s="58">
      <c r="A9" s="78" t="n">
        <v>0.0625</v>
      </c>
      <c r="B9" s="89">
        <f>Underwriting!$B$15/A9</f>
        <v/>
      </c>
      <c r="C9" s="89">
        <f>Inputs!$B$20*B9</f>
        <v/>
      </c>
      <c r="D9" s="89">
        <f>B9/Inputs!$B$8</f>
        <v/>
      </c>
    </row>
    <row r="10" ht="15" customHeight="1" s="58">
      <c r="A10" s="78" t="n">
        <v>0.065</v>
      </c>
      <c r="B10" s="89">
        <f>Underwriting!$B$15/A10</f>
        <v/>
      </c>
      <c r="C10" s="89">
        <f>Inputs!$B$20*B10</f>
        <v/>
      </c>
      <c r="D10" s="89">
        <f>B10/Inputs!$B$8</f>
        <v/>
      </c>
    </row>
    <row r="13" ht="15" customHeight="1" s="58">
      <c r="A13" s="62" t="inlineStr">
        <is>
          <t>TABLE 2 — maximum_loan by cap rate (rows) and sizing_rate (columns)</t>
        </is>
      </c>
    </row>
    <row r="14" ht="15" customHeight="1" s="58">
      <c r="A14" s="104" t="inlineStr">
        <is>
          <t>cap_rate \ sizing_rate</t>
        </is>
      </c>
      <c r="B14" s="105" t="n">
        <v>0.065</v>
      </c>
      <c r="C14" s="105" t="n">
        <v>0.0675</v>
      </c>
      <c r="D14" s="103" t="n">
        <v>0.07000000000000001</v>
      </c>
      <c r="E14" s="105" t="n">
        <v>0.0725</v>
      </c>
      <c r="F14" s="105" t="n">
        <v>0.075</v>
      </c>
    </row>
    <row r="15" ht="15" customHeight="1" s="58">
      <c r="A15" s="78" t="n">
        <v>0.055</v>
      </c>
      <c r="B15" s="89">
        <f>MIN(Inputs!$B$20*(Underwriting!$B$15/$A15),(Underwriting!$B$17/Inputs!$B$21/Inputs!$B$19)*((1-(1+B$14/Inputs!$B$19)^-(Inputs!$B$18*Inputs!$B$19))/(B$14/Inputs!$B$19)),Underwriting!$B$17/Inputs!$B$22)</f>
        <v/>
      </c>
      <c r="C15" s="89">
        <f>MIN(Inputs!$B$20*(Underwriting!$B$15/$A15),(Underwriting!$B$17/Inputs!$B$21/Inputs!$B$19)*((1-(1+C$14/Inputs!$B$19)^-(Inputs!$B$18*Inputs!$B$19))/(C$14/Inputs!$B$19)),Underwriting!$B$17/Inputs!$B$22)</f>
        <v/>
      </c>
      <c r="D15" s="89">
        <f>MIN(Inputs!$B$20*(Underwriting!$B$15/$A15),(Underwriting!$B$17/Inputs!$B$21/Inputs!$B$19)*((1-(1+D$14/Inputs!$B$19)^-(Inputs!$B$18*Inputs!$B$19))/(D$14/Inputs!$B$19)),Underwriting!$B$17/Inputs!$B$22)</f>
        <v/>
      </c>
      <c r="E15" s="89">
        <f>MIN(Inputs!$B$20*(Underwriting!$B$15/$A15),(Underwriting!$B$17/Inputs!$B$21/Inputs!$B$19)*((1-(1+E$14/Inputs!$B$19)^-(Inputs!$B$18*Inputs!$B$19))/(E$14/Inputs!$B$19)),Underwriting!$B$17/Inputs!$B$22)</f>
        <v/>
      </c>
      <c r="F15" s="89">
        <f>MIN(Inputs!$B$20*(Underwriting!$B$15/$A15),(Underwriting!$B$17/Inputs!$B$21/Inputs!$B$19)*((1-(1+F$14/Inputs!$B$19)^-(Inputs!$B$18*Inputs!$B$19))/(F$14/Inputs!$B$19)),Underwriting!$B$17/Inputs!$B$22)</f>
        <v/>
      </c>
    </row>
    <row r="16" ht="15" customHeight="1" s="58">
      <c r="A16" s="78" t="n">
        <v>0.0575</v>
      </c>
      <c r="B16" s="89">
        <f>MIN(Inputs!$B$20*(Underwriting!$B$15/$A16),(Underwriting!$B$17/Inputs!$B$21/Inputs!$B$19)*((1-(1+B$14/Inputs!$B$19)^-(Inputs!$B$18*Inputs!$B$19))/(B$14/Inputs!$B$19)),Underwriting!$B$17/Inputs!$B$22)</f>
        <v/>
      </c>
      <c r="C16" s="89">
        <f>MIN(Inputs!$B$20*(Underwriting!$B$15/$A16),(Underwriting!$B$17/Inputs!$B$21/Inputs!$B$19)*((1-(1+C$14/Inputs!$B$19)^-(Inputs!$B$18*Inputs!$B$19))/(C$14/Inputs!$B$19)),Underwriting!$B$17/Inputs!$B$22)</f>
        <v/>
      </c>
      <c r="D16" s="89">
        <f>MIN(Inputs!$B$20*(Underwriting!$B$15/$A16),(Underwriting!$B$17/Inputs!$B$21/Inputs!$B$19)*((1-(1+D$14/Inputs!$B$19)^-(Inputs!$B$18*Inputs!$B$19))/(D$14/Inputs!$B$19)),Underwriting!$B$17/Inputs!$B$22)</f>
        <v/>
      </c>
      <c r="E16" s="89">
        <f>MIN(Inputs!$B$20*(Underwriting!$B$15/$A16),(Underwriting!$B$17/Inputs!$B$21/Inputs!$B$19)*((1-(1+E$14/Inputs!$B$19)^-(Inputs!$B$18*Inputs!$B$19))/(E$14/Inputs!$B$19)),Underwriting!$B$17/Inputs!$B$22)</f>
        <v/>
      </c>
      <c r="F16" s="89">
        <f>MIN(Inputs!$B$20*(Underwriting!$B$15/$A16),(Underwriting!$B$17/Inputs!$B$21/Inputs!$B$19)*((1-(1+F$14/Inputs!$B$19)^-(Inputs!$B$18*Inputs!$B$19))/(F$14/Inputs!$B$19)),Underwriting!$B$17/Inputs!$B$22)</f>
        <v/>
      </c>
    </row>
    <row r="17" ht="15" customHeight="1" s="58">
      <c r="A17" s="103" t="n">
        <v>0.06</v>
      </c>
      <c r="B17" s="89">
        <f>MIN(Inputs!$B$20*(Underwriting!$B$15/$A17),(Underwriting!$B$17/Inputs!$B$21/Inputs!$B$19)*((1-(1+B$14/Inputs!$B$19)^-(Inputs!$B$18*Inputs!$B$19))/(B$14/Inputs!$B$19)),Underwriting!$B$17/Inputs!$B$22)</f>
        <v/>
      </c>
      <c r="C17" s="89">
        <f>MIN(Inputs!$B$20*(Underwriting!$B$15/$A17),(Underwriting!$B$17/Inputs!$B$21/Inputs!$B$19)*((1-(1+C$14/Inputs!$B$19)^-(Inputs!$B$18*Inputs!$B$19))/(C$14/Inputs!$B$19)),Underwriting!$B$17/Inputs!$B$22)</f>
        <v/>
      </c>
      <c r="D17" s="89">
        <f>MIN(Inputs!$B$20*(Underwriting!$B$15/$A17),(Underwriting!$B$17/Inputs!$B$21/Inputs!$B$19)*((1-(1+D$14/Inputs!$B$19)^-(Inputs!$B$18*Inputs!$B$19))/(D$14/Inputs!$B$19)),Underwriting!$B$17/Inputs!$B$22)</f>
        <v/>
      </c>
      <c r="E17" s="89">
        <f>MIN(Inputs!$B$20*(Underwriting!$B$15/$A17),(Underwriting!$B$17/Inputs!$B$21/Inputs!$B$19)*((1-(1+E$14/Inputs!$B$19)^-(Inputs!$B$18*Inputs!$B$19))/(E$14/Inputs!$B$19)),Underwriting!$B$17/Inputs!$B$22)</f>
        <v/>
      </c>
      <c r="F17" s="89">
        <f>MIN(Inputs!$B$20*(Underwriting!$B$15/$A17),(Underwriting!$B$17/Inputs!$B$21/Inputs!$B$19)*((1-(1+F$14/Inputs!$B$19)^-(Inputs!$B$18*Inputs!$B$19))/(F$14/Inputs!$B$19)),Underwriting!$B$17/Inputs!$B$22)</f>
        <v/>
      </c>
    </row>
    <row r="18" ht="15" customHeight="1" s="58">
      <c r="A18" s="78" t="n">
        <v>0.0625</v>
      </c>
      <c r="B18" s="89">
        <f>MIN(Inputs!$B$20*(Underwriting!$B$15/$A18),(Underwriting!$B$17/Inputs!$B$21/Inputs!$B$19)*((1-(1+B$14/Inputs!$B$19)^-(Inputs!$B$18*Inputs!$B$19))/(B$14/Inputs!$B$19)),Underwriting!$B$17/Inputs!$B$22)</f>
        <v/>
      </c>
      <c r="C18" s="89">
        <f>MIN(Inputs!$B$20*(Underwriting!$B$15/$A18),(Underwriting!$B$17/Inputs!$B$21/Inputs!$B$19)*((1-(1+C$14/Inputs!$B$19)^-(Inputs!$B$18*Inputs!$B$19))/(C$14/Inputs!$B$19)),Underwriting!$B$17/Inputs!$B$22)</f>
        <v/>
      </c>
      <c r="D18" s="89">
        <f>MIN(Inputs!$B$20*(Underwriting!$B$15/$A18),(Underwriting!$B$17/Inputs!$B$21/Inputs!$B$19)*((1-(1+D$14/Inputs!$B$19)^-(Inputs!$B$18*Inputs!$B$19))/(D$14/Inputs!$B$19)),Underwriting!$B$17/Inputs!$B$22)</f>
        <v/>
      </c>
      <c r="E18" s="89">
        <f>MIN(Inputs!$B$20*(Underwriting!$B$15/$A18),(Underwriting!$B$17/Inputs!$B$21/Inputs!$B$19)*((1-(1+E$14/Inputs!$B$19)^-(Inputs!$B$18*Inputs!$B$19))/(E$14/Inputs!$B$19)),Underwriting!$B$17/Inputs!$B$22)</f>
        <v/>
      </c>
      <c r="F18" s="89">
        <f>MIN(Inputs!$B$20*(Underwriting!$B$15/$A18),(Underwriting!$B$17/Inputs!$B$21/Inputs!$B$19)*((1-(1+F$14/Inputs!$B$19)^-(Inputs!$B$18*Inputs!$B$19))/(F$14/Inputs!$B$19)),Underwriting!$B$17/Inputs!$B$22)</f>
        <v/>
      </c>
    </row>
    <row r="19" ht="15" customHeight="1" s="58">
      <c r="A19" s="78" t="n">
        <v>0.065</v>
      </c>
      <c r="B19" s="89">
        <f>MIN(Inputs!$B$20*(Underwriting!$B$15/$A19),(Underwriting!$B$17/Inputs!$B$21/Inputs!$B$19)*((1-(1+B$14/Inputs!$B$19)^-(Inputs!$B$18*Inputs!$B$19))/(B$14/Inputs!$B$19)),Underwriting!$B$17/Inputs!$B$22)</f>
        <v/>
      </c>
      <c r="C19" s="89">
        <f>MIN(Inputs!$B$20*(Underwriting!$B$15/$A19),(Underwriting!$B$17/Inputs!$B$21/Inputs!$B$19)*((1-(1+C$14/Inputs!$B$19)^-(Inputs!$B$18*Inputs!$B$19))/(C$14/Inputs!$B$19)),Underwriting!$B$17/Inputs!$B$22)</f>
        <v/>
      </c>
      <c r="D19" s="89">
        <f>MIN(Inputs!$B$20*(Underwriting!$B$15/$A19),(Underwriting!$B$17/Inputs!$B$21/Inputs!$B$19)*((1-(1+D$14/Inputs!$B$19)^-(Inputs!$B$18*Inputs!$B$19))/(D$14/Inputs!$B$19)),Underwriting!$B$17/Inputs!$B$22)</f>
        <v/>
      </c>
      <c r="E19" s="89">
        <f>MIN(Inputs!$B$20*(Underwriting!$B$15/$A19),(Underwriting!$B$17/Inputs!$B$21/Inputs!$B$19)*((1-(1+E$14/Inputs!$B$19)^-(Inputs!$B$18*Inputs!$B$19))/(E$14/Inputs!$B$19)),Underwriting!$B$17/Inputs!$B$22)</f>
        <v/>
      </c>
      <c r="F19" s="89">
        <f>MIN(Inputs!$B$20*(Underwriting!$B$15/$A19),(Underwriting!$B$17/Inputs!$B$21/Inputs!$B$19)*((1-(1+F$14/Inputs!$B$19)^-(Inputs!$B$18*Inputs!$B$19))/(F$14/Inputs!$B$19)),Underwriting!$B$17/Inputs!$B$22)</f>
        <v/>
      </c>
    </row>
    <row r="21" ht="15" customHeight="1" s="58">
      <c r="A21" s="62" t="inlineStr">
        <is>
          <t>TABLE 3 — net_cash_out by cap rate (rows) and sizing_rate (columns)</t>
        </is>
      </c>
    </row>
    <row r="22" ht="15" customHeight="1" s="58">
      <c r="A22" s="104" t="inlineStr">
        <is>
          <t>cap_rate \ sizing_rate</t>
        </is>
      </c>
      <c r="B22" s="106">
        <f>B14</f>
        <v/>
      </c>
      <c r="C22" s="106">
        <f>C14</f>
        <v/>
      </c>
      <c r="D22" s="106">
        <f>D14</f>
        <v/>
      </c>
      <c r="E22" s="106">
        <f>E14</f>
        <v/>
      </c>
      <c r="F22" s="106">
        <f>F14</f>
        <v/>
      </c>
    </row>
    <row r="23" ht="15" customHeight="1" s="58">
      <c r="A23" s="79">
        <f>A15</f>
        <v/>
      </c>
      <c r="B23" s="89">
        <f>B15-Inputs!$B$25-B15*Inputs!$B$23-Inputs!$B$24</f>
        <v/>
      </c>
      <c r="C23" s="89">
        <f>C15-Inputs!$B$25-C15*Inputs!$B$23-Inputs!$B$24</f>
        <v/>
      </c>
      <c r="D23" s="89">
        <f>D15-Inputs!$B$25-D15*Inputs!$B$23-Inputs!$B$24</f>
        <v/>
      </c>
      <c r="E23" s="89">
        <f>E15-Inputs!$B$25-E15*Inputs!$B$23-Inputs!$B$24</f>
        <v/>
      </c>
      <c r="F23" s="89">
        <f>F15-Inputs!$B$25-F15*Inputs!$B$23-Inputs!$B$24</f>
        <v/>
      </c>
    </row>
    <row r="24" ht="15" customHeight="1" s="58">
      <c r="A24" s="79">
        <f>A16</f>
        <v/>
      </c>
      <c r="B24" s="89">
        <f>B16-Inputs!$B$25-B16*Inputs!$B$23-Inputs!$B$24</f>
        <v/>
      </c>
      <c r="C24" s="89">
        <f>C16-Inputs!$B$25-C16*Inputs!$B$23-Inputs!$B$24</f>
        <v/>
      </c>
      <c r="D24" s="89">
        <f>D16-Inputs!$B$25-D16*Inputs!$B$23-Inputs!$B$24</f>
        <v/>
      </c>
      <c r="E24" s="89">
        <f>E16-Inputs!$B$25-E16*Inputs!$B$23-Inputs!$B$24</f>
        <v/>
      </c>
      <c r="F24" s="89">
        <f>F16-Inputs!$B$25-F16*Inputs!$B$23-Inputs!$B$24</f>
        <v/>
      </c>
    </row>
    <row r="25" ht="15" customHeight="1" s="58">
      <c r="A25" s="79">
        <f>A17</f>
        <v/>
      </c>
      <c r="B25" s="89">
        <f>B17-Inputs!$B$25-B17*Inputs!$B$23-Inputs!$B$24</f>
        <v/>
      </c>
      <c r="C25" s="89">
        <f>C17-Inputs!$B$25-C17*Inputs!$B$23-Inputs!$B$24</f>
        <v/>
      </c>
      <c r="D25" s="89">
        <f>D17-Inputs!$B$25-D17*Inputs!$B$23-Inputs!$B$24</f>
        <v/>
      </c>
      <c r="E25" s="89">
        <f>E17-Inputs!$B$25-E17*Inputs!$B$23-Inputs!$B$24</f>
        <v/>
      </c>
      <c r="F25" s="89">
        <f>F17-Inputs!$B$25-F17*Inputs!$B$23-Inputs!$B$24</f>
        <v/>
      </c>
    </row>
    <row r="26" ht="15" customHeight="1" s="58">
      <c r="A26" s="79">
        <f>A18</f>
        <v/>
      </c>
      <c r="B26" s="89">
        <f>B18-Inputs!$B$25-B18*Inputs!$B$23-Inputs!$B$24</f>
        <v/>
      </c>
      <c r="C26" s="89">
        <f>C18-Inputs!$B$25-C18*Inputs!$B$23-Inputs!$B$24</f>
        <v/>
      </c>
      <c r="D26" s="89">
        <f>D18-Inputs!$B$25-D18*Inputs!$B$23-Inputs!$B$24</f>
        <v/>
      </c>
      <c r="E26" s="89">
        <f>E18-Inputs!$B$25-E18*Inputs!$B$23-Inputs!$B$24</f>
        <v/>
      </c>
      <c r="F26" s="89">
        <f>F18-Inputs!$B$25-F18*Inputs!$B$23-Inputs!$B$24</f>
        <v/>
      </c>
    </row>
    <row r="27" ht="15" customHeight="1" s="58">
      <c r="A27" s="79">
        <f>A19</f>
        <v/>
      </c>
      <c r="B27" s="89">
        <f>B19-Inputs!$B$25-B19*Inputs!$B$23-Inputs!$B$24</f>
        <v/>
      </c>
      <c r="C27" s="89">
        <f>C19-Inputs!$B$25-C19*Inputs!$B$23-Inputs!$B$24</f>
        <v/>
      </c>
      <c r="D27" s="89">
        <f>D19-Inputs!$B$25-D19*Inputs!$B$23-Inputs!$B$24</f>
        <v/>
      </c>
      <c r="E27" s="89">
        <f>E19-Inputs!$B$25-E19*Inputs!$B$23-Inputs!$B$24</f>
        <v/>
      </c>
      <c r="F27" s="89">
        <f>F19-Inputs!$B$25-F19*Inputs!$B$23-Inputs!$B$24</f>
        <v/>
      </c>
    </row>
    <row r="29" ht="15" customHeight="1" s="58">
      <c r="A29" s="107" t="inlineStr">
        <is>
          <t>Reading the tables: at the revised 6.0000% cap rate and 7.0000% sizing rate the DSCR test still binds, and it now binds harder. The 75 bp rate increase shortens the annuity factor from 162.4122 to 150.3076, which is what removes roughly $481,000 of proceeds. The 25 bp cap rate increase cuts value by about $423,000 but costs nothing in loan capacity, because LTV was never the binding test and now has even more headroom. Proceeds stay flat across cap rates in this range and fall only with the sizing rate.</t>
        </is>
      </c>
    </row>
    <row r="30" ht="15" customHeight="1" s="58"/>
    <row r="31" ht="15" customHeight="1" s="58"/>
    <row r="32" ht="15" customHeight="1" s="58"/>
  </sheetData>
  <mergeCells count="1">
    <mergeCell ref="A29:F3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E45"/>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7" min="1" max="1"/>
    <col width="18" customWidth="1" style="57" min="2" max="2"/>
    <col width="12" customWidth="1" style="57" min="3" max="3"/>
    <col width="52" customWidth="1" style="57" min="4" max="4"/>
    <col width="74" customWidth="1" style="57" min="5" max="5"/>
  </cols>
  <sheetData>
    <row r="1" ht="17.35" customHeight="1" s="58">
      <c r="A1" s="59" t="inlineStr">
        <is>
          <t>Named Field Register — 41 reported fields — REVISION 2</t>
        </is>
      </c>
    </row>
    <row r="2" ht="15" customHeight="1" s="58">
      <c r="A2" s="60" t="inlineStr">
        <is>
          <t>Revision 2, as of 2026-09-01. Ratios are decimal. Missing information is stated as unknown, which is distinct from zero — pending_units is now a TRUE ZERO, not unknown. Risk fields use present / absent / unresolved.</t>
        </is>
      </c>
    </row>
    <row r="4" ht="15" customHeight="1" s="58">
      <c r="A4" s="63" t="inlineStr">
        <is>
          <t>id</t>
        </is>
      </c>
      <c r="B4" s="63" t="inlineStr">
        <is>
          <t>Value</t>
        </is>
      </c>
      <c r="C4" s="63" t="inlineStr">
        <is>
          <t>Unit</t>
        </is>
      </c>
      <c r="D4" s="63" t="inlineStr">
        <is>
          <t>Evidence (file / location)</t>
        </is>
      </c>
      <c r="E4" s="63" t="inlineStr">
        <is>
          <t>Calculation / reasoning</t>
        </is>
      </c>
    </row>
    <row r="5" ht="15" customHeight="1" s="58">
      <c r="A5" s="108" t="inlineStr">
        <is>
          <t>total_units</t>
        </is>
      </c>
      <c r="B5" s="109">
        <f>'Rent Roll'!H59</f>
        <v/>
      </c>
      <c r="C5" s="70" t="inlineStr">
        <is>
          <t>units</t>
        </is>
      </c>
      <c r="D5" s="68" t="inlineStr">
        <is>
          <t>rent-roll-revised.xlsx, Rent Roll!A5:A52</t>
        </is>
      </c>
      <c r="E5" s="68" t="inlineStr">
        <is>
          <t>Count of suites on the revised roll. Unchanged at 48.</t>
        </is>
      </c>
    </row>
    <row r="6" ht="15" customHeight="1" s="58">
      <c r="A6" s="108" t="inlineStr">
        <is>
          <t>occupied_units</t>
        </is>
      </c>
      <c r="B6" s="109">
        <f>'Rent Roll'!H60</f>
        <v/>
      </c>
      <c r="C6" s="70" t="inlineStr">
        <is>
          <t>units</t>
        </is>
      </c>
      <c r="D6" s="68" t="inlineStr">
        <is>
          <t>rent-roll-revised.xlsx, Rent Roll!D5:D52</t>
        </is>
      </c>
      <c r="E6" s="68" t="inlineStr">
        <is>
          <t>REVISED 44 to 45. Suite 045 moved from pending to active. Excludes 3 vacant.</t>
        </is>
      </c>
    </row>
    <row r="7" ht="23.85" customHeight="1" s="58">
      <c r="A7" s="108" t="inlineStr">
        <is>
          <t>pending_units</t>
        </is>
      </c>
      <c r="B7" s="109">
        <f>'Rent Roll'!H61</f>
        <v/>
      </c>
      <c r="C7" s="70" t="inlineStr">
        <is>
          <t>units</t>
        </is>
      </c>
      <c r="D7" s="68" t="inlineStr">
        <is>
          <t>revision-notice.pdf p.1; rent-roll-revised.xlsx, Rent Roll!D49</t>
        </is>
      </c>
      <c r="E7" s="68" t="inlineStr">
        <is>
          <t>REVISED 1 to 0. Suite 045 is now active. This is a true zero — no suite is pending — not an unknown.</t>
        </is>
      </c>
    </row>
    <row r="8" ht="15" customHeight="1" s="58">
      <c r="A8" s="108" t="inlineStr">
        <is>
          <t>total_area_sf</t>
        </is>
      </c>
      <c r="B8" s="109">
        <f>'Rent Roll'!H63</f>
        <v/>
      </c>
      <c r="C8" s="70" t="inlineStr">
        <is>
          <t>SF</t>
        </is>
      </c>
      <c r="D8" s="68" t="inlineStr">
        <is>
          <t>rent-roll-revised.xlsx, Rent Roll!C5:C52</t>
        </is>
      </c>
      <c r="E8" s="68" t="inlineStr">
        <is>
          <t>Unchanged: 16 x 700 + 16 x 820 + 16 x 1,030.</t>
        </is>
      </c>
    </row>
    <row r="9" ht="15" customHeight="1" s="58">
      <c r="A9" s="108" t="inlineStr">
        <is>
          <t>occupied_area_sf</t>
        </is>
      </c>
      <c r="B9" s="109">
        <f>'Rent Roll'!H64</f>
        <v/>
      </c>
      <c r="C9" s="70" t="inlineStr">
        <is>
          <t>SF</t>
        </is>
      </c>
      <c r="D9" s="68" t="inlineStr">
        <is>
          <t>rent-roll-revised.xlsx, Rent Roll!C5:C49</t>
        </is>
      </c>
      <c r="E9" s="68" t="inlineStr">
        <is>
          <t>REVISED 37,220 to 38,250. The 45 active suites: 15 x 700 + 15 x 820 + 15 x 1,030.</t>
        </is>
      </c>
    </row>
    <row r="10" ht="15" customHeight="1" s="58">
      <c r="A10" s="108" t="inlineStr">
        <is>
          <t>unit_occupancy</t>
        </is>
      </c>
      <c r="B10" s="110">
        <f>'Rent Roll'!H65</f>
        <v/>
      </c>
      <c r="C10" s="70" t="inlineStr">
        <is>
          <t>decimal</t>
        </is>
      </c>
      <c r="D10" s="68" t="inlineStr">
        <is>
          <t>rent-roll-revised.xlsx, Rent Roll!D5:D52</t>
        </is>
      </c>
      <c r="E10" s="68" t="inlineStr">
        <is>
          <t>REVISED 0.9167 to 0.9375. 45 / 48. No pending suites remain to exclude.</t>
        </is>
      </c>
    </row>
    <row r="11" ht="23.85" customHeight="1" s="58">
      <c r="A11" s="108" t="inlineStr">
        <is>
          <t>area_occupancy</t>
        </is>
      </c>
      <c r="B11" s="110">
        <f>'Rent Roll'!H66</f>
        <v/>
      </c>
      <c r="C11" s="70" t="inlineStr">
        <is>
          <t>decimal</t>
        </is>
      </c>
      <c r="D11" s="68" t="inlineStr">
        <is>
          <t>rent-roll-revised.xlsx, Rent Roll!C5:C52 and D5:D52</t>
        </is>
      </c>
      <c r="E11" s="68" t="inlineStr">
        <is>
          <t>REVISED 0.9123 to 0.9375. 38,250 / 40,800. Now equal to unit occupancy, because 15 of each plan are occupied.</t>
        </is>
      </c>
    </row>
    <row r="12" ht="23.85" customHeight="1" s="58">
      <c r="A12" s="108" t="inlineStr">
        <is>
          <t>annual_in_place_rent</t>
        </is>
      </c>
      <c r="B12" s="111">
        <f>'Rent Roll'!H58</f>
        <v/>
      </c>
      <c r="C12" s="70" t="inlineStr">
        <is>
          <t>USD/yr</t>
        </is>
      </c>
      <c r="D12" s="68" t="inlineStr">
        <is>
          <t>rent-roll-revised.xlsx E5:E49; lease-correspondence.pdf p.1</t>
        </is>
      </c>
      <c r="E12" s="68" t="inlineStr">
        <is>
          <t>REVISED $894,600 to $920,400. 45 active suites, amendment applied: ($76,350 + $350) x 12.</t>
        </is>
      </c>
    </row>
    <row r="13" ht="23.85" customHeight="1" s="58">
      <c r="A13" s="108" t="inlineStr">
        <is>
          <t>unit_001_monthly_rent</t>
        </is>
      </c>
      <c r="B13" s="111">
        <f>'Rent Roll'!H5</f>
        <v/>
      </c>
      <c r="C13" s="70" t="inlineStr">
        <is>
          <t>USD/mo</t>
        </is>
      </c>
      <c r="D13" s="68" t="inlineStr">
        <is>
          <t>lease-001.pdf p.1; lease-correspondence.pdf p.1; rent-roll-revised.xlsx E5</t>
        </is>
      </c>
      <c r="E13" s="68" t="inlineStr">
        <is>
          <t>UNCHANGED at $1,850. Base $1,500 plus the $350 amendment, which the revision notice expressly continues.</t>
        </is>
      </c>
    </row>
    <row r="14" ht="23.85" customHeight="1" s="58">
      <c r="A14" s="108" t="inlineStr">
        <is>
          <t>gross_potential_rent</t>
        </is>
      </c>
      <c r="B14" s="111">
        <f>Inputs!B5</f>
        <v/>
      </c>
      <c r="C14" s="70" t="inlineStr">
        <is>
          <t>USD/yr</t>
        </is>
      </c>
      <c r="D14" s="68" t="inlineStr">
        <is>
          <t>revision-notice.pdf p.1; rent-roll-revised.xlsx E5:E52</t>
        </is>
      </c>
      <c r="E14" s="68" t="inlineStr">
        <is>
          <t>REVISED $974,400 to $977,100. All 48 suites on the new roll, pre-amendment: $81,425 x 12. The $2,700 uplift is the Suite 045 increase x 12.</t>
        </is>
      </c>
    </row>
    <row r="15" ht="23.85" customHeight="1" s="58">
      <c r="A15" s="108" t="inlineStr">
        <is>
          <t>uw_egi</t>
        </is>
      </c>
      <c r="B15" s="111">
        <f>Underwriting!B8</f>
        <v/>
      </c>
      <c r="C15" s="70" t="inlineStr">
        <is>
          <t>USD/yr</t>
        </is>
      </c>
      <c r="D15" s="68" t="inlineStr">
        <is>
          <t>underwriting-instructions.pdf p.1; revision-notice.pdf p.1</t>
        </is>
      </c>
      <c r="E15" s="68" t="inlineStr">
        <is>
          <t>REVISED $942,480 to $945,045. $977,100 x 0.95 + $350 x 48. Loss factor and other income unchanged.</t>
        </is>
      </c>
    </row>
    <row r="16" ht="15" customHeight="1" s="58">
      <c r="A16" s="108" t="inlineStr">
        <is>
          <t>uw_tax</t>
        </is>
      </c>
      <c r="B16" s="111">
        <f>Inputs!B9</f>
        <v/>
      </c>
      <c r="C16" s="70" t="inlineStr">
        <is>
          <t>USD/yr</t>
        </is>
      </c>
      <c r="D16" s="68" t="inlineStr">
        <is>
          <t>underwriting-instructions.pdf p.1; operating-statement.pdf p.1</t>
        </is>
      </c>
      <c r="E16" s="68" t="inlineStr">
        <is>
          <t>UNCHANGED at $102,312. Prescribed at the T-12 actual.</t>
        </is>
      </c>
    </row>
    <row r="17" ht="15" customHeight="1" s="58">
      <c r="A17" s="108" t="inlineStr">
        <is>
          <t>uw_insurance</t>
        </is>
      </c>
      <c r="B17" s="111">
        <f>Inputs!B10</f>
        <v/>
      </c>
      <c r="C17" s="70" t="inlineStr">
        <is>
          <t>USD/yr</t>
        </is>
      </c>
      <c r="D17" s="68" t="inlineStr">
        <is>
          <t>underwriting-instructions.pdf p.1; operating-statement.pdf p.1</t>
        </is>
      </c>
      <c r="E17" s="68" t="inlineStr">
        <is>
          <t>UNCHANGED at $34,104. Prescribed expense; not the policy limit.</t>
        </is>
      </c>
    </row>
    <row r="18" ht="23.85" customHeight="1" s="58">
      <c r="A18" s="108" t="inlineStr">
        <is>
          <t>uw_operating_expenses</t>
        </is>
      </c>
      <c r="B18" s="111">
        <f>Underwriting!B14</f>
        <v/>
      </c>
      <c r="C18" s="70" t="inlineStr">
        <is>
          <t>USD/yr</t>
        </is>
      </c>
      <c r="D18" s="68" t="inlineStr">
        <is>
          <t>underwriting-instructions.pdf p.1</t>
        </is>
      </c>
      <c r="E18" s="68" t="inlineStr">
        <is>
          <t>REVISED $301,106.40 to $301,183.35. Only the 3% management fee moved, because EGI rose. Before reserves.</t>
        </is>
      </c>
    </row>
    <row r="19" ht="23.85" customHeight="1" s="58">
      <c r="A19" s="108" t="inlineStr">
        <is>
          <t>uw_noi</t>
        </is>
      </c>
      <c r="B19" s="111">
        <f>Underwriting!B15</f>
        <v/>
      </c>
      <c r="C19" s="70" t="inlineStr">
        <is>
          <t>USD/yr</t>
        </is>
      </c>
      <c r="D19" s="68" t="inlineStr">
        <is>
          <t>underwriting-instructions.pdf p.1</t>
        </is>
      </c>
      <c r="E19" s="68" t="inlineStr">
        <is>
          <t>REVISED $641,373.60 to $643,861.65. uw_egi less uw_operating_expenses; before reserves.</t>
        </is>
      </c>
    </row>
    <row r="20" ht="23.85" customHeight="1" s="58">
      <c r="A20" s="108" t="inlineStr">
        <is>
          <t>uw_ncf</t>
        </is>
      </c>
      <c r="B20" s="111">
        <f>Underwriting!B17</f>
        <v/>
      </c>
      <c r="C20" s="70" t="inlineStr">
        <is>
          <t>USD/yr</t>
        </is>
      </c>
      <c r="D20" s="68" t="inlineStr">
        <is>
          <t>underwriting-instructions.pdf p.1</t>
        </is>
      </c>
      <c r="E20" s="68" t="inlineStr">
        <is>
          <t>REVISED $626,973.60 to $629,461.65. uw_noi less $300 x 48 reserves, which are unchanged.</t>
        </is>
      </c>
    </row>
    <row r="21" ht="15" customHeight="1" s="58">
      <c r="A21" s="108" t="inlineStr">
        <is>
          <t>sizing_rate</t>
        </is>
      </c>
      <c r="B21" s="112">
        <f>Inputs!B17</f>
        <v/>
      </c>
      <c r="C21" s="70" t="inlineStr">
        <is>
          <t>decimal</t>
        </is>
      </c>
      <c r="D21" s="68" t="inlineStr">
        <is>
          <t>revision-notice.pdf p.1</t>
        </is>
      </c>
      <c r="E21" s="68" t="inlineStr">
        <is>
          <t>REVISED 0.0625 to 0.0700. Initial sizing rate of 6.2500% plus 75 bp.</t>
        </is>
      </c>
    </row>
    <row r="22" ht="15" customHeight="1" s="58">
      <c r="A22" s="108" t="inlineStr">
        <is>
          <t>cap_rate</t>
        </is>
      </c>
      <c r="B22" s="112">
        <f>Inputs!B14</f>
        <v/>
      </c>
      <c r="C22" s="70" t="inlineStr">
        <is>
          <t>decimal</t>
        </is>
      </c>
      <c r="D22" s="68" t="inlineStr">
        <is>
          <t>revision-notice.pdf p.1</t>
        </is>
      </c>
      <c r="E22" s="68" t="inlineStr">
        <is>
          <t>REVISED 0.0575 to 0.0600. Initial 5.7500% plus 25 bp.</t>
        </is>
      </c>
    </row>
    <row r="23" ht="23.85" customHeight="1" s="58">
      <c r="A23" s="108" t="inlineStr">
        <is>
          <t>capitalization_value</t>
        </is>
      </c>
      <c r="B23" s="111">
        <f>Underwriting!B20</f>
        <v/>
      </c>
      <c r="C23" s="70" t="inlineStr">
        <is>
          <t>USD</t>
        </is>
      </c>
      <c r="D23" s="68" t="inlineStr">
        <is>
          <t>revision-notice.pdf p.1</t>
        </is>
      </c>
      <c r="E23" s="68" t="inlineStr">
        <is>
          <t>REVISED $11,154,323.48 to $10,731,027.50. uw_noi before reserves / 6.0000%. Higher NOI, more than offset by the wider cap rate.</t>
        </is>
      </c>
    </row>
    <row r="24" ht="15" customHeight="1" s="58">
      <c r="A24" s="108" t="inlineStr">
        <is>
          <t>ltv_limit</t>
        </is>
      </c>
      <c r="B24" s="113">
        <f>Inputs!B20</f>
        <v/>
      </c>
      <c r="C24" s="70" t="inlineStr">
        <is>
          <t>decimal</t>
        </is>
      </c>
      <c r="D24" s="68" t="inlineStr">
        <is>
          <t>underwriting-instructions.pdf p.1</t>
        </is>
      </c>
      <c r="E24" s="68" t="inlineStr">
        <is>
          <t>UNCHANGED at 0.65.</t>
        </is>
      </c>
    </row>
    <row r="25" ht="15" customHeight="1" s="58">
      <c r="A25" s="108" t="inlineStr">
        <is>
          <t>dscr_limit</t>
        </is>
      </c>
      <c r="B25" s="113">
        <f>Inputs!B21</f>
        <v/>
      </c>
      <c r="C25" s="70" t="inlineStr">
        <is>
          <t>ratio</t>
        </is>
      </c>
      <c r="D25" s="68" t="inlineStr">
        <is>
          <t>underwriting-instructions.pdf p.1</t>
        </is>
      </c>
      <c r="E25" s="68" t="inlineStr">
        <is>
          <t>UNCHANGED at 1.25 on NCF after reserves.</t>
        </is>
      </c>
    </row>
    <row r="26" ht="15" customHeight="1" s="58">
      <c r="A26" s="108" t="inlineStr">
        <is>
          <t>debt_yield_limit</t>
        </is>
      </c>
      <c r="B26" s="113">
        <f>Inputs!B22</f>
        <v/>
      </c>
      <c r="C26" s="70" t="inlineStr">
        <is>
          <t>decimal</t>
        </is>
      </c>
      <c r="D26" s="68" t="inlineStr">
        <is>
          <t>underwriting-instructions.pdf p.1</t>
        </is>
      </c>
      <c r="E26" s="68" t="inlineStr">
        <is>
          <t>UNCHANGED at 0.09 on NCF after reserves.</t>
        </is>
      </c>
    </row>
    <row r="27" ht="23.85" customHeight="1" s="58">
      <c r="A27" s="108" t="inlineStr">
        <is>
          <t>maximum_loan</t>
        </is>
      </c>
      <c r="B27" s="111">
        <f>Debt!B13</f>
        <v/>
      </c>
      <c r="C27" s="70" t="inlineStr">
        <is>
          <t>USD</t>
        </is>
      </c>
      <c r="D27" s="68" t="inlineStr">
        <is>
          <t>underwriting-instructions.pdf p.1; revision-notice.pdf p.1</t>
        </is>
      </c>
      <c r="E27" s="68" t="inlineStr">
        <is>
          <t>REVISED $6,788,545.13 to $6,307,523.32. Minimum of the three constraints; DSCR still binds, driven by the 7.0000% sizing rate.</t>
        </is>
      </c>
    </row>
    <row r="28" ht="23.85" customHeight="1" s="58">
      <c r="A28" s="108" t="inlineStr">
        <is>
          <t>net_cash_out</t>
        </is>
      </c>
      <c r="B28" s="111">
        <f>Debt!B34</f>
        <v/>
      </c>
      <c r="C28" s="70" t="inlineStr">
        <is>
          <t>USD</t>
        </is>
      </c>
      <c r="D28" s="68" t="inlineStr">
        <is>
          <t>underwriting-instructions.pdf p.1</t>
        </is>
      </c>
      <c r="E28" s="68" t="inlineStr">
        <is>
          <t>REVISED $2,475,659.67 to $1,999,448.08. maximum_loan less the unchanged $4,200,000 payoff, 1% origination fee and $45,000 closing costs. Still positive.</t>
        </is>
      </c>
    </row>
    <row r="29" ht="23.85" customHeight="1" s="58">
      <c r="A29" s="108" t="inlineStr">
        <is>
          <t>insurance_policy_limit</t>
        </is>
      </c>
      <c r="B29" s="72" t="n">
        <v>2000000</v>
      </c>
      <c r="C29" s="70" t="inlineStr">
        <is>
          <t>USD</t>
        </is>
      </c>
      <c r="D29" s="68" t="inlineStr">
        <is>
          <t>insurance.pdf p.1</t>
        </is>
      </c>
      <c r="E29" s="68" t="inlineStr">
        <is>
          <t>UNCHANGED at $2,000,000. General liability aggregate limit, effective 2026-07-01 to 2027-06-30. Distinct from uw_insurance expense.</t>
        </is>
      </c>
    </row>
    <row r="30" ht="23.85" customHeight="1" s="58">
      <c r="A30" s="108" t="inlineStr">
        <is>
          <t>selected_roll_date</t>
        </is>
      </c>
      <c r="B30" s="77" t="inlineStr">
        <is>
          <t>2026-09-01</t>
        </is>
      </c>
      <c r="C30" s="70" t="inlineStr">
        <is>
          <t>date</t>
        </is>
      </c>
      <c r="D30" s="68" t="inlineStr">
        <is>
          <t>rent-roll-revised.xlsx, Rent Roll!B2; revision-notice.pdf p.1</t>
        </is>
      </c>
      <c r="E30" s="68" t="inlineStr">
        <is>
          <t>REVISED from 2026-08-31. The revised roll supersedes both the 2026-08-31 certified roll and the 2026-06-30 archive.</t>
        </is>
      </c>
    </row>
    <row r="31" ht="23.85" customHeight="1" s="58">
      <c r="A31" s="108" t="inlineStr">
        <is>
          <t>reported_t12_noi</t>
        </is>
      </c>
      <c r="B31" s="111">
        <f>Historical!B12</f>
        <v/>
      </c>
      <c r="C31" s="70" t="inlineStr">
        <is>
          <t>USD/yr</t>
        </is>
      </c>
      <c r="D31" s="68" t="inlineStr">
        <is>
          <t>operating-statement.pdf p.1</t>
        </is>
      </c>
      <c r="E31" s="68" t="inlineStr">
        <is>
          <t>UNCHANGED at $604,128. No revised operating statement was supplied; the T-12 period 2025-09-01 to 2026-08-31 still stands.</t>
        </is>
      </c>
    </row>
    <row r="32" ht="15" customHeight="1" s="58">
      <c r="A32" s="108" t="inlineStr">
        <is>
          <t>type_a_units</t>
        </is>
      </c>
      <c r="B32" s="109">
        <f>'Rent Roll'!D72</f>
        <v/>
      </c>
      <c r="C32" s="70" t="inlineStr">
        <is>
          <t>units</t>
        </is>
      </c>
      <c r="D32" s="68" t="inlineStr">
        <is>
          <t>manager-cover.pdf p.1; rent-roll-certified.xlsx B5:B52</t>
        </is>
      </c>
      <c r="E32" s="68" t="inlineStr">
        <is>
          <t>Group A = Studio.</t>
        </is>
      </c>
    </row>
    <row r="33" ht="15" customHeight="1" s="58">
      <c r="A33" s="108" t="inlineStr">
        <is>
          <t>type_a_occupied</t>
        </is>
      </c>
      <c r="B33" s="109">
        <f>'Rent Roll'!E72</f>
        <v/>
      </c>
      <c r="C33" s="70" t="inlineStr">
        <is>
          <t>units</t>
        </is>
      </c>
      <c r="D33" s="68" t="inlineStr">
        <is>
          <t>rent-roll-certified.xlsx B5:B52 and D5:D52</t>
        </is>
      </c>
      <c r="E33" s="68" t="inlineStr">
        <is>
          <t>Studios with active possession.</t>
        </is>
      </c>
    </row>
    <row r="34" ht="15" customHeight="1" s="58">
      <c r="A34" s="108" t="inlineStr">
        <is>
          <t>type_b_units</t>
        </is>
      </c>
      <c r="B34" s="109">
        <f>'Rent Roll'!D73</f>
        <v/>
      </c>
      <c r="C34" s="70" t="inlineStr">
        <is>
          <t>units</t>
        </is>
      </c>
      <c r="D34" s="68" t="inlineStr">
        <is>
          <t>manager-cover.pdf p.1; rent-roll-certified.xlsx B5:B52</t>
        </is>
      </c>
      <c r="E34" s="68" t="inlineStr">
        <is>
          <t>Group B = 1BR.</t>
        </is>
      </c>
    </row>
    <row r="35" ht="15" customHeight="1" s="58">
      <c r="A35" s="108" t="inlineStr">
        <is>
          <t>type_b_occupied</t>
        </is>
      </c>
      <c r="B35" s="109">
        <f>'Rent Roll'!E73</f>
        <v/>
      </c>
      <c r="C35" s="70" t="inlineStr">
        <is>
          <t>units</t>
        </is>
      </c>
      <c r="D35" s="68" t="inlineStr">
        <is>
          <t>rent-roll-certified.xlsx B5:B52 and D5:D52</t>
        </is>
      </c>
      <c r="E35" s="68" t="inlineStr">
        <is>
          <t>1BRs with active possession.</t>
        </is>
      </c>
    </row>
    <row r="36" ht="15" customHeight="1" s="58">
      <c r="A36" s="108" t="inlineStr">
        <is>
          <t>type_c_units</t>
        </is>
      </c>
      <c r="B36" s="109">
        <f>'Rent Roll'!D74</f>
        <v/>
      </c>
      <c r="C36" s="70" t="inlineStr">
        <is>
          <t>units</t>
        </is>
      </c>
      <c r="D36" s="68" t="inlineStr">
        <is>
          <t>manager-cover.pdf p.1; rent-roll-certified.xlsx B5:B52</t>
        </is>
      </c>
      <c r="E36" s="68" t="inlineStr">
        <is>
          <t>Group C = 2BR.</t>
        </is>
      </c>
    </row>
    <row r="37" ht="15" customHeight="1" s="58">
      <c r="A37" s="108" t="inlineStr">
        <is>
          <t>type_c_occupied</t>
        </is>
      </c>
      <c r="B37" s="109">
        <f>'Rent Roll'!E74</f>
        <v/>
      </c>
      <c r="C37" s="70" t="inlineStr">
        <is>
          <t>units</t>
        </is>
      </c>
      <c r="D37" s="68" t="inlineStr">
        <is>
          <t>rent-roll-revised.xlsx B5:B52 and D5:D52</t>
        </is>
      </c>
      <c r="E37" s="68" t="inlineStr">
        <is>
          <t>REVISED 14 to 15. Suite 045 is a 2BR and is now active, so 15 of 16.</t>
        </is>
      </c>
    </row>
    <row r="38" ht="35.05" customHeight="1" s="58">
      <c r="A38" s="108" t="inlineStr">
        <is>
          <t>risk_pending_in_occupancy</t>
        </is>
      </c>
      <c r="B38" s="77" t="inlineStr">
        <is>
          <t>absent</t>
        </is>
      </c>
      <c r="C38" s="70" t="inlineStr">
        <is>
          <t>flag</t>
        </is>
      </c>
      <c r="D38" s="68" t="inlineStr">
        <is>
          <t>revision-notice.pdf p.1; rent-roll-revised.xlsx D5:D52</t>
        </is>
      </c>
      <c r="E38" s="68" t="inlineStr">
        <is>
          <t>REVISED present to absent. Suite 045 has taken possession, so no pending suite exists to be miscounted. The manager's 45-of-48 headline is now correct on its face and equals physical occupancy.</t>
        </is>
      </c>
    </row>
    <row r="39" ht="23.85" customHeight="1" s="58">
      <c r="A39" s="108" t="inlineStr">
        <is>
          <t>risk_near_term_rollover</t>
        </is>
      </c>
      <c r="B39" s="77" t="inlineStr">
        <is>
          <t>absent</t>
        </is>
      </c>
      <c r="C39" s="70" t="inlineStr">
        <is>
          <t>flag</t>
        </is>
      </c>
      <c r="D39" s="68" t="inlineStr">
        <is>
          <t>rent-roll-revised.xlsx F5:F52</t>
        </is>
      </c>
      <c r="E39" s="68" t="inlineStr">
        <is>
          <t>UNCHANGED. All 45 active expiries remain 2029-08-31, beyond the 2027-08-31 horizon. Zero near-term expiries.</t>
        </is>
      </c>
    </row>
    <row r="40" ht="15" customHeight="1" s="58">
      <c r="A40" s="108" t="inlineStr">
        <is>
          <t>risk_missing_insurance</t>
        </is>
      </c>
      <c r="B40" s="77" t="inlineStr">
        <is>
          <t>absent</t>
        </is>
      </c>
      <c r="C40" s="70" t="inlineStr">
        <is>
          <t>flag</t>
        </is>
      </c>
      <c r="D40" s="68" t="inlineStr">
        <is>
          <t>insurance.pdf p.1</t>
        </is>
      </c>
      <c r="E40" s="68" t="inlineStr">
        <is>
          <t>UNCHANGED. The declaration remains in force at the revised 2026-09-01 as-of date.</t>
        </is>
      </c>
    </row>
    <row r="41" ht="23.85" customHeight="1" s="58">
      <c r="A41" s="108" t="inlineStr">
        <is>
          <t>risk_capital_in_opex</t>
        </is>
      </c>
      <c r="B41" s="77" t="inlineStr">
        <is>
          <t>absent</t>
        </is>
      </c>
      <c r="C41" s="70" t="inlineStr">
        <is>
          <t>flag</t>
        </is>
      </c>
      <c r="D41" s="68" t="inlineStr">
        <is>
          <t>operating-statement.pdf p.1</t>
        </is>
      </c>
      <c r="E41" s="68" t="inlineStr">
        <is>
          <t>UNCHANGED. Assessed on the reported historical ledger, which the revision does not touch: roof replacement booked in repairs at $0, no recurring repair component.</t>
        </is>
      </c>
    </row>
    <row r="42" ht="35.05" customHeight="1" s="58">
      <c r="A42" s="108" t="inlineStr">
        <is>
          <t>risk_unsigned_rent_change</t>
        </is>
      </c>
      <c r="B42" s="77" t="inlineStr">
        <is>
          <t>absent</t>
        </is>
      </c>
      <c r="C42" s="70" t="inlineStr">
        <is>
          <t>flag</t>
        </is>
      </c>
      <c r="D42" s="68" t="inlineStr">
        <is>
          <t>lease-001.pdf p.1; lease-correspondence.pdf p.1; revision-notice.pdf p.1</t>
        </is>
      </c>
      <c r="E42" s="68" t="inlineStr">
        <is>
          <t>UNCHANGED. No unsigned rent proposal exists. The Suite 001 change is a signed amendment; the Suite 045 change comes from a manager revision instruction reflected on the certified roll itself.</t>
        </is>
      </c>
    </row>
    <row r="43" ht="23.85" customHeight="1" s="58">
      <c r="A43" s="108" t="inlineStr">
        <is>
          <t>risk_temporary_free_rent</t>
        </is>
      </c>
      <c r="B43" s="77" t="inlineStr">
        <is>
          <t>absent</t>
        </is>
      </c>
      <c r="C43" s="70" t="inlineStr">
        <is>
          <t>flag</t>
        </is>
      </c>
      <c r="D43" s="68" t="inlineStr">
        <is>
          <t>lease-001.pdf p.1; revision-notice.pdf p.1</t>
        </is>
      </c>
      <c r="E43" s="68" t="inlineStr">
        <is>
          <t>UNCHANGED. The lease rules out free rent, and the revision states all other lease details remain unchanged. No concession appears for newly active Suite 045.</t>
        </is>
      </c>
    </row>
    <row r="44" ht="35.05" customHeight="1" s="58">
      <c r="A44" s="108" t="inlineStr">
        <is>
          <t>risk_sizing_floor_binding</t>
        </is>
      </c>
      <c r="B44" s="77" t="inlineStr">
        <is>
          <t>absent</t>
        </is>
      </c>
      <c r="C44" s="70" t="inlineStr">
        <is>
          <t>flag</t>
        </is>
      </c>
      <c r="D44" s="68" t="inlineStr">
        <is>
          <t>underwriting-instructions.pdf p.1</t>
        </is>
      </c>
      <c r="E44" s="68" t="inlineStr">
        <is>
          <t>UNCHANGED. The test compares the ORIGINAL note rate of 6.2500% against the 6.0000% floor; the note rate is higher, so the floor does not bind. The 75 bp revision widens the gap further.</t>
        </is>
      </c>
    </row>
    <row r="45" ht="23.85" customHeight="1" s="58">
      <c r="A45" s="108" t="inlineStr">
        <is>
          <t>risk_refinance_shortfall</t>
        </is>
      </c>
      <c r="B45" s="77" t="inlineStr">
        <is>
          <t>absent</t>
        </is>
      </c>
      <c r="C45" s="70" t="inlineStr">
        <is>
          <t>flag</t>
        </is>
      </c>
      <c r="D45" s="68" t="inlineStr">
        <is>
          <t>Debt!B34</t>
        </is>
      </c>
      <c r="E45" s="68" t="inlineStr">
        <is>
          <t>UNCHANGED. net_cash_out of $1,999,448.08 remains positive, so no additional equity is required. Cushion narrowed by $476,211.59.</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E29"/>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7" min="1" max="1"/>
    <col width="16" customWidth="1" style="57" min="2" max="2"/>
    <col width="20" customWidth="1" style="57" min="3" max="3"/>
    <col width="52" customWidth="1" style="57" min="4" max="5"/>
  </cols>
  <sheetData>
    <row r="1" ht="17.35" customHeight="1" s="58">
      <c r="A1" s="59" t="inlineStr">
        <is>
          <t>Source Register</t>
        </is>
      </c>
    </row>
    <row r="2" ht="15" customHeight="1" s="58">
      <c r="A2" s="60" t="inlineStr">
        <is>
          <t>Eleven documents supplied across both rounds. No external research, outreach or market data was used.</t>
        </is>
      </c>
    </row>
    <row r="4" ht="15" customHeight="1" s="58">
      <c r="A4" s="63" t="inlineStr">
        <is>
          <t>File</t>
        </is>
      </c>
      <c r="B4" s="63" t="inlineStr">
        <is>
          <t>Location</t>
        </is>
      </c>
      <c r="C4" s="63" t="inlineStr">
        <is>
          <t>Status</t>
        </is>
      </c>
      <c r="D4" s="63" t="inlineStr">
        <is>
          <t>What it governs</t>
        </is>
      </c>
      <c r="E4" s="63" t="inlineStr">
        <is>
          <t>What it does NOT establish</t>
        </is>
      </c>
    </row>
    <row r="5" ht="35.05" customHeight="1" s="58">
      <c r="A5" s="108" t="inlineStr">
        <is>
          <t>revision-notice.pdf</t>
        </is>
      </c>
      <c r="B5" s="70" t="inlineStr">
        <is>
          <t>p.1</t>
        </is>
      </c>
      <c r="C5" s="114" t="inlineStr">
        <is>
          <t>CONTROLLING (prescriptive)</t>
        </is>
      </c>
      <c r="D5" s="68" t="inlineStr">
        <is>
          <t>Effective 2026-09-01: the revised roll supersedes the prior roll; Suite 045 now active with rent up $225; sizing rate +75 bp; cap rate +25 bp; new roll used for all-unit scheduled gross potential.</t>
        </is>
      </c>
      <c r="E5" s="68" t="inlineStr">
        <is>
          <t>Does not change any expense input, loan constraint, payoff, fee, reserve, or the Suite 001 amendment, which it expressly continues.</t>
        </is>
      </c>
    </row>
    <row r="6" ht="23.85" customHeight="1" s="58">
      <c r="A6" s="108" t="inlineStr">
        <is>
          <t>rent-roll-revised.xlsx</t>
        </is>
      </c>
      <c r="B6" s="70" t="inlineStr">
        <is>
          <t>Rent Roll!A1:G52</t>
        </is>
      </c>
      <c r="C6" s="114" t="inlineStr">
        <is>
          <t>CONTROLLING</t>
        </is>
      </c>
      <c r="D6" s="68" t="inlineStr">
        <is>
          <t>As-of 2026-09-01. Unit count, type, area, possession status, scheduled rent, expirations. Controls physical occupancy.</t>
        </is>
      </c>
      <c r="E6" s="68" t="inlineStr">
        <is>
          <t>Does not reflect the Suite 001 amendment in its rent column, which still shows $1,500.</t>
        </is>
      </c>
    </row>
    <row r="7" ht="23.85" customHeight="1" s="58">
      <c r="A7" s="108" t="inlineStr">
        <is>
          <t>rent-roll-certified.xlsx</t>
        </is>
      </c>
      <c r="B7" s="70" t="inlineStr">
        <is>
          <t>Rent Roll!A1:G52</t>
        </is>
      </c>
      <c r="C7" s="114" t="inlineStr">
        <is>
          <t>SUPERSEDED — EXCLUDED</t>
        </is>
      </c>
      <c r="D7" s="68" t="inlineStr">
        <is>
          <t>Nothing now. Dated 2026-08-31, superseded by the revised roll. Retained in the audit archive as the revision 1 basis.</t>
        </is>
      </c>
      <c r="E7" s="68" t="inlineStr">
        <is>
          <t>Its Suite 045 pending status and $1,925 rent are no longer current.</t>
        </is>
      </c>
    </row>
    <row r="8" ht="23.85" customHeight="1" s="58">
      <c r="A8" s="108" t="inlineStr">
        <is>
          <t>rent-roll-archive.xlsx</t>
        </is>
      </c>
      <c r="B8" s="70" t="inlineStr">
        <is>
          <t>Rent Roll!A1:G52</t>
        </is>
      </c>
      <c r="C8" s="114" t="inlineStr">
        <is>
          <t>STALE — EXCLUDED</t>
        </is>
      </c>
      <c r="D8" s="68" t="inlineStr">
        <is>
          <t>Nothing. Dated 2026-06-30, superseded twice over.</t>
        </is>
      </c>
      <c r="E8" s="68" t="inlineStr">
        <is>
          <t>Its lower rents ($1,425 / $1,575 / $1,850) are not current and were not used anywhere.</t>
        </is>
      </c>
    </row>
    <row r="9" ht="23.85" customHeight="1" s="58">
      <c r="A9" s="108" t="inlineStr">
        <is>
          <t>lease-001.pdf</t>
        </is>
      </c>
      <c r="B9" s="70" t="inlineStr">
        <is>
          <t>p.1</t>
        </is>
      </c>
      <c r="C9" s="114" t="inlineStr">
        <is>
          <t>CONTROLLING (as amended)</t>
        </is>
      </c>
      <c r="D9" s="68" t="inlineStr">
        <is>
          <t>Suite 001 base terms: $1,500/mo, 700 SF, expiry 2029-08-31, $3,000 deposit. Confirms no free-rent concession applies.</t>
        </is>
      </c>
      <c r="E9" s="68" t="inlineStr">
        <is>
          <t>Its $1,500 rent is superseded by the signed amendment.</t>
        </is>
      </c>
    </row>
    <row r="10" ht="23.85" customHeight="1" s="58">
      <c r="A10" s="108" t="inlineStr">
        <is>
          <t>lease-correspondence.pdf</t>
        </is>
      </c>
      <c r="B10" s="70" t="inlineStr">
        <is>
          <t>p.1</t>
        </is>
      </c>
      <c r="C10" s="114" t="inlineStr">
        <is>
          <t>CONTROLLING</t>
        </is>
      </c>
      <c r="D10" s="68" t="inlineStr">
        <is>
          <t>Signed amendment, executed 2026-07-20, effective 2026-08-01: +$350/mo on Suite 001. All other terms unchanged.</t>
        </is>
      </c>
      <c r="E10" s="68" t="inlineStr">
        <is>
          <t>Does not change the prescribed pre-amendment GPR assumption.</t>
        </is>
      </c>
    </row>
    <row r="11" ht="35.05" customHeight="1" s="58">
      <c r="A11" s="108" t="inlineStr">
        <is>
          <t>manager-cover.pdf</t>
        </is>
      </c>
      <c r="B11" s="70" t="inlineStr">
        <is>
          <t>p.1</t>
        </is>
      </c>
      <c r="C11" s="114" t="inlineStr">
        <is>
          <t>CONTEXT + MAPPING</t>
        </is>
      </c>
      <c r="D11" s="68" t="inlineStr">
        <is>
          <t>Property identity (Magnolia Terrace, Raleigh NC multifamily). Group A/B/C = Studio/1BR/2BR. Required approved copy, preserved verbatim.</t>
        </is>
      </c>
      <c r="E11" s="68" t="inlineStr">
        <is>
          <t>Its 45-of-48 headline now coincides with physical occupancy, but only because possession changed — certified detail still controls.</t>
        </is>
      </c>
    </row>
    <row r="12" ht="23.85" customHeight="1" s="58">
      <c r="A12" s="108" t="inlineStr">
        <is>
          <t>operating-statement.pdf</t>
        </is>
      </c>
      <c r="B12" s="70" t="inlineStr">
        <is>
          <t>p.1</t>
        </is>
      </c>
      <c r="C12" s="114" t="inlineStr">
        <is>
          <t>CONTROLLING (historical)</t>
        </is>
      </c>
      <c r="D12" s="68" t="inlineStr">
        <is>
          <t>T-12 cash results 2025-09-01 to 2026-08-31. Reported NOI $604,128. Roof replacement booked at $0 in repairs.</t>
        </is>
      </c>
      <c r="E12" s="68" t="inlineStr">
        <is>
          <t>Historical collections are not an annualized rent-roll total and are not the underwritten EGI.</t>
        </is>
      </c>
    </row>
    <row r="13" ht="23.85" customHeight="1" s="58">
      <c r="A13" s="108" t="inlineStr">
        <is>
          <t>insurance.pdf</t>
        </is>
      </c>
      <c r="B13" s="70" t="inlineStr">
        <is>
          <t>p.1</t>
        </is>
      </c>
      <c r="C13" s="114" t="inlineStr">
        <is>
          <t>CONTROLLING</t>
        </is>
      </c>
      <c r="D13" s="68" t="inlineStr">
        <is>
          <t>GL aggregate limit $2,000,000; effective 2026-07-01 to 2026-06-30 term end 2027-06-30.</t>
        </is>
      </c>
      <c r="E13" s="68" t="inlineStr">
        <is>
          <t>The limit is not the insurance expense; the expense is $34,104.</t>
        </is>
      </c>
    </row>
    <row r="14" ht="35.05" customHeight="1" s="58">
      <c r="A14" s="108" t="inlineStr">
        <is>
          <t>underwriting-instructions.pdf</t>
        </is>
      </c>
      <c r="B14" s="70" t="inlineStr">
        <is>
          <t>p.1</t>
        </is>
      </c>
      <c r="C14" s="114" t="inlineStr">
        <is>
          <t>CONTROLLING as amended</t>
        </is>
      </c>
      <c r="D14" s="68" t="inlineStr">
        <is>
          <t>All underwriting assumptions, loan constraints, sizing conventions and risk definitions, except the cap rate, sizing rate and roll selection amended by the revision notice.</t>
        </is>
      </c>
      <c r="E14" s="68" t="inlineStr">
        <is>
          <t>Does not supply photos, asking price, market comps or sponsor history.</t>
        </is>
      </c>
    </row>
    <row r="15" ht="23.85" customHeight="1" s="58">
      <c r="A15" s="108" t="inlineStr">
        <is>
          <t>diligence-status.pdf</t>
        </is>
      </c>
      <c r="B15" s="70" t="inlineStr">
        <is>
          <t>p.1</t>
        </is>
      </c>
      <c r="C15" s="114" t="inlineStr">
        <is>
          <t>SCOPE LIMITATION</t>
        </is>
      </c>
      <c r="D15" s="68" t="inlineStr">
        <is>
          <t>States legal, environmental, property condition and title reviews are not complete — routine pending diligence.</t>
        </is>
      </c>
      <c r="E15" s="68" t="inlineStr">
        <is>
          <t>Supplies no evidence of contamination, litigation, fraud or structural failure; none is asserted.</t>
        </is>
      </c>
    </row>
    <row r="16" ht="15" customHeight="1" s="58">
      <c r="A16" s="62" t="inlineStr">
        <is>
          <t>NOT SUPPLIED — EXPLICITLY UNKNOWN (not zero)</t>
        </is>
      </c>
    </row>
    <row r="17" ht="15" customHeight="1" s="58">
      <c r="A17" s="61" t="inlineStr">
        <is>
          <t>Photographs / imagery</t>
        </is>
      </c>
      <c r="D17" s="67" t="inlineStr">
        <is>
          <t>Not supplied. Not invented.</t>
        </is>
      </c>
    </row>
    <row r="18" ht="23.85" customHeight="1" s="58">
      <c r="A18" s="61" t="inlineStr">
        <is>
          <t>Asking price / guidance</t>
        </is>
      </c>
      <c r="D18" s="67" t="inlineStr">
        <is>
          <t>Not supplied. No price expectation is stated anywhere in this package.</t>
        </is>
      </c>
    </row>
    <row r="19" ht="23.85" customHeight="1" s="58">
      <c r="A19" s="61" t="inlineStr">
        <is>
          <t>Market sales comparables</t>
        </is>
      </c>
      <c r="D19" s="67" t="inlineStr">
        <is>
          <t>Not supplied. The 5.7500% cap rate is a prescribed instruction, not a market-derived conclusion.</t>
        </is>
      </c>
    </row>
    <row r="20" ht="23.85" customHeight="1" s="58">
      <c r="A20" s="61" t="inlineStr">
        <is>
          <t>Market rent comparables</t>
        </is>
      </c>
      <c r="D20" s="67" t="inlineStr">
        <is>
          <t>Not supplied. No mark-to-market or loss-to-lease conclusion can be drawn.</t>
        </is>
      </c>
    </row>
    <row r="21" ht="15" customHeight="1" s="58">
      <c r="A21" s="61" t="inlineStr">
        <is>
          <t>Sponsor / borrower history</t>
        </is>
      </c>
      <c r="D21" s="67" t="inlineStr">
        <is>
          <t>Not supplied. No track record, credentials or net worth.</t>
        </is>
      </c>
    </row>
    <row r="22" ht="15" customHeight="1" s="58">
      <c r="A22" s="61" t="inlineStr">
        <is>
          <t>Legal review</t>
        </is>
      </c>
      <c r="D22" s="67" t="inlineStr">
        <is>
          <t>Not complete — routine pending diligence.</t>
        </is>
      </c>
    </row>
    <row r="23" ht="15" customHeight="1" s="58">
      <c r="A23" s="61" t="inlineStr">
        <is>
          <t>Environmental review</t>
        </is>
      </c>
      <c r="D23" s="67" t="inlineStr">
        <is>
          <t>Not complete — routine pending diligence.</t>
        </is>
      </c>
    </row>
    <row r="24" ht="23.85" customHeight="1" s="58">
      <c r="A24" s="61" t="inlineStr">
        <is>
          <t>Property condition assessment</t>
        </is>
      </c>
      <c r="D24" s="67" t="inlineStr">
        <is>
          <t>Not complete — routine pending diligence. Roof replacement scope and warranty unverified.</t>
        </is>
      </c>
    </row>
    <row r="25" ht="15" customHeight="1" s="58">
      <c r="A25" s="61" t="inlineStr">
        <is>
          <t>Title review</t>
        </is>
      </c>
      <c r="D25" s="67" t="inlineStr">
        <is>
          <t>Not complete — routine pending diligence.</t>
        </is>
      </c>
    </row>
    <row r="26" ht="15" customHeight="1" s="58">
      <c r="A26" s="61" t="inlineStr">
        <is>
          <t>Property address</t>
        </is>
      </c>
      <c r="D26" s="67" t="inlineStr">
        <is>
          <t>Not represented; original fictional evaluation property.</t>
        </is>
      </c>
    </row>
    <row r="27" ht="15" customHeight="1" s="58">
      <c r="A27" s="61" t="inlineStr">
        <is>
          <t>Historical occupancy trend</t>
        </is>
      </c>
      <c r="D27" s="67" t="inlineStr">
        <is>
          <t>Only a single point-in-time certified roll is supplied.</t>
        </is>
      </c>
    </row>
    <row r="28" ht="15" customHeight="1" s="58">
      <c r="A28" s="61" t="inlineStr">
        <is>
          <t>Tax reassessment outlook</t>
        </is>
      </c>
      <c r="D28" s="67" t="inlineStr">
        <is>
          <t>Not supplied. Tax is held flat at the T-12 actual per instruction.</t>
        </is>
      </c>
    </row>
    <row r="29" ht="23.85" customHeight="1" s="58">
      <c r="A29" s="61" t="inlineStr">
        <is>
          <t>Capital budget / roof cost</t>
        </is>
      </c>
      <c r="D29" s="67" t="inlineStr">
        <is>
          <t>The roof replacement is described as capital but no dollar amount is supplied.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2026-09-07T13:13:56Z</dcterms:created>
  <dcterms:modified xmlns:dcterms="http://purl.org/dc/terms/" xmlns:xsi="http://www.w3.org/2001/XMLSchema-instance" xsi:type="dcterms:W3CDTF">2026-09-07T13:28:35Z</dcterms:modified>
  <cp:revision>0</cp:revision>
</cp:coreProperties>
</file>