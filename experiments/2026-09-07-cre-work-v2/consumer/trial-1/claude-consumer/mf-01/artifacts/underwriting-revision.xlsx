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vision Log" sheetId="2" state="visible" r:id="rId4"/>
    <sheet name="Inputs" sheetId="3" state="visible" r:id="rId5"/>
    <sheet name="Rent Roll" sheetId="4" state="visible" r:id="rId6"/>
    <sheet name="Underwriting" sheetId="5" state="visible" r:id="rId7"/>
    <sheet name="Debt" sheetId="6" state="visible" r:id="rId8"/>
    <sheet name="Historical" sheetId="7" state="visible" r:id="rId9"/>
    <sheet name="Sensitivity" sheetId="8" state="visible" r:id="rId10"/>
    <sheet name="Field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<sst xmlns="http://schemas.openxmlformats.org/spreadsheetml/2006/main" count="1150" uniqueCount="705">
  <si>
    <t xml:space="preserve">Magnolia Terrace — Reconciled Underwriting Model — REVISION 2</t>
  </si>
  <si>
    <t xml:space="preserve">Original fictional evaluation material. No real transaction. As-of date: 2026-09-01. Supersedes the 2026-08-31 revision 1 model, which is retained unchanged in the audit archive.</t>
  </si>
  <si>
    <t xml:space="preserve">HOW TO USE THIS WORKBOOK</t>
  </si>
  <si>
    <t xml:space="preserve">Blue text</t>
  </si>
  <si>
    <t xml:space="preserve">Hardcoded input / scenario lever. Edit these.</t>
  </si>
  <si>
    <t xml:space="preserve">Yellow fill</t>
  </si>
  <si>
    <t xml:space="preserve">The three designated input cells named in the request.</t>
  </si>
  <si>
    <t xml:space="preserve">Black text</t>
  </si>
  <si>
    <t xml:space="preserve">Formula on the same sheet. Do not overwrite.</t>
  </si>
  <si>
    <t xml:space="preserve">Green text</t>
  </si>
  <si>
    <t xml:space="preserve">Link to another sheet in this workbook. Do not overwrite.</t>
  </si>
  <si>
    <t xml:space="preserve">DESIGNATED INPUT CELLS</t>
  </si>
  <si>
    <t xml:space="preserve">Location</t>
  </si>
  <si>
    <t xml:space="preserve">gross_potential_rent</t>
  </si>
  <si>
    <t xml:space="preserve">Inputs!B5</t>
  </si>
  <si>
    <t xml:space="preserve">cap_rate</t>
  </si>
  <si>
    <t xml:space="preserve">Inputs!B14</t>
  </si>
  <si>
    <t xml:space="preserve">sizing_rate</t>
  </si>
  <si>
    <t xml:space="preserve">Inputs!B17</t>
  </si>
  <si>
    <t xml:space="preserve">DESIGNATED OUTPUT CELLS</t>
  </si>
  <si>
    <t xml:space="preserve">uw_egi</t>
  </si>
  <si>
    <t xml:space="preserve">Underwriting!B8</t>
  </si>
  <si>
    <t xml:space="preserve">uw_noi</t>
  </si>
  <si>
    <t xml:space="preserve">Underwriting!B15</t>
  </si>
  <si>
    <t xml:space="preserve">uw_ncf</t>
  </si>
  <si>
    <t xml:space="preserve">Underwriting!B17</t>
  </si>
  <si>
    <t xml:space="preserve">capitalization_value</t>
  </si>
  <si>
    <t xml:space="preserve">Underwriting!B20</t>
  </si>
  <si>
    <t xml:space="preserve">maximum_loan</t>
  </si>
  <si>
    <t xml:space="preserve">Debt!B13</t>
  </si>
  <si>
    <t xml:space="preserve">net_cash_out</t>
  </si>
  <si>
    <t xml:space="preserve">Debt!B30</t>
  </si>
  <si>
    <t xml:space="preserve">SHEETS</t>
  </si>
  <si>
    <t xml:space="preserve">Revision Log</t>
  </si>
  <si>
    <t xml:space="preserve">What changed in revision 2, what did not, and why.</t>
  </si>
  <si>
    <t xml:space="preserve">Inputs</t>
  </si>
  <si>
    <t xml:space="preserve">All assumptions, each in its own labeled cell, with source.</t>
  </si>
  <si>
    <t xml:space="preserve">Rent Roll</t>
  </si>
  <si>
    <t xml:space="preserve">REVISED certified roll as of 2026-09-01 with the executed Suite 001 amendment.</t>
  </si>
  <si>
    <t xml:space="preserve">Underwriting</t>
  </si>
  <si>
    <t xml:space="preserve">EGI / NOI / NCF bridge and direct capitalization.</t>
  </si>
  <si>
    <t xml:space="preserve">Debt</t>
  </si>
  <si>
    <t xml:space="preserve">Three-constraint loan sizing and sources &amp; uses.</t>
  </si>
  <si>
    <t xml:space="preserve">Historical</t>
  </si>
  <si>
    <t xml:space="preserve">T-12 cash operating statement as reported, vs underwritten.</t>
  </si>
  <si>
    <t xml:space="preserve">Sensitivity</t>
  </si>
  <si>
    <t xml:space="preserve">Value and maximum loan across cap rate and sizing rate.</t>
  </si>
  <si>
    <t xml:space="preserve">Fields</t>
  </si>
  <si>
    <t xml:space="preserve">The 38 named reporting fields with evidence locations.</t>
  </si>
  <si>
    <t xml:space="preserve">Sources</t>
  </si>
  <si>
    <t xml:space="preserve">Source register — every document, what it governs, what it does not.</t>
  </si>
  <si>
    <t xml:space="preserve">REVISION 2 SUMMARY</t>
  </si>
  <si>
    <t xml:space="preserve">Per revision-notice.pdf</t>
  </si>
  <si>
    <t xml:space="preserve">Roll superseded</t>
  </si>
  <si>
    <t xml:space="preserve">rent-roll-revised.xlsx (2026-09-01) replaces rent-roll-certified.xlsx (2026-08-31).</t>
  </si>
  <si>
    <t xml:space="preserve">Suite 045</t>
  </si>
  <si>
    <t xml:space="preserve">Now active. Scheduled rent up $225 to $2,150. Pending count falls to zero.</t>
  </si>
  <si>
    <t xml:space="preserve">5.7500% + 25 bp = 6.0000%.</t>
  </si>
  <si>
    <t xml:space="preserve">Initial 6.2500% + 75 bp = 7.0000%.</t>
  </si>
  <si>
    <t xml:space="preserve">Unchanged</t>
  </si>
  <si>
    <t xml:space="preserve">Suite 001 amendment, all expense inputs, all loan constraints, payoff, fees, reserves.</t>
  </si>
  <si>
    <t xml:space="preserve">DEFINITIONAL NOTE</t>
  </si>
  <si>
    <t xml:space="preserve">Reported T-12 NOI, underwritten NOI and NCF are three different</t>
  </si>
  <si>
    <t xml:space="preserve">measures and are labeled separately throughout. Reported T-12 NOI is a</t>
  </si>
  <si>
    <t xml:space="preserve">historical cash result; underwritten NOI is a forward prescribed</t>
  </si>
  <si>
    <t xml:space="preserve">assumption before reserves; NCF is underwritten NOI after reserves.</t>
  </si>
  <si>
    <t xml:space="preserve">Revision 2 Change Log</t>
  </si>
  <si>
    <t xml:space="preserve">Source: revision-notice.pdf p.1 and rent-roll-revised.xlsx, both effective 2026-09-01. The revision 1 model dated 2026-08-31 is retained unchanged in the audit archive and is not overwritten.</t>
  </si>
  <si>
    <t xml:space="preserve">Field / item</t>
  </si>
  <si>
    <t xml:space="preserve">Revision 1 (2026-08-31)</t>
  </si>
  <si>
    <t xml:space="preserve">Revision 2 (2026-09-01)</t>
  </si>
  <si>
    <t xml:space="preserve">Change</t>
  </si>
  <si>
    <t xml:space="preserve">Driver</t>
  </si>
  <si>
    <t xml:space="preserve">INSTRUCTED CHANGES</t>
  </si>
  <si>
    <t xml:space="preserve">selected_roll_date</t>
  </si>
  <si>
    <t xml:space="preserve">2026-08-31</t>
  </si>
  <si>
    <t xml:space="preserve">2026-09-01</t>
  </si>
  <si>
    <t xml:space="preserve">Superseded</t>
  </si>
  <si>
    <t xml:space="preserve">Revised roll supersedes the prior certified roll.</t>
  </si>
  <si>
    <t xml:space="preserve">0.0575</t>
  </si>
  <si>
    <t xml:space="preserve">0.0600</t>
  </si>
  <si>
    <t xml:space="preserve">+25 bp</t>
  </si>
  <si>
    <t xml:space="preserve">Directly instructed.</t>
  </si>
  <si>
    <t xml:space="preserve">0.0625</t>
  </si>
  <si>
    <t xml:space="preserve">0.0700</t>
  </si>
  <si>
    <t xml:space="preserve">+75 bp</t>
  </si>
  <si>
    <t xml:space="preserve">Initial sizing rate plus 75 bp, as instructed.</t>
  </si>
  <si>
    <t xml:space="preserve">Suite 045 possession</t>
  </si>
  <si>
    <t xml:space="preserve">pending</t>
  </si>
  <si>
    <t xml:space="preserve">active</t>
  </si>
  <si>
    <t xml:space="preserve">Took possession</t>
  </si>
  <si>
    <t xml:space="preserve">Suite 045 monthly rent</t>
  </si>
  <si>
    <t xml:space="preserve">$1,925</t>
  </si>
  <si>
    <t xml:space="preserve">$2,150</t>
  </si>
  <si>
    <t xml:space="preserve">+$225</t>
  </si>
  <si>
    <t xml:space="preserve">CONSEQUENTIAL CHANGES</t>
  </si>
  <si>
    <t xml:space="preserve">occupied_units</t>
  </si>
  <si>
    <t xml:space="preserve">44</t>
  </si>
  <si>
    <t xml:space="preserve">45</t>
  </si>
  <si>
    <t xml:space="preserve">+1</t>
  </si>
  <si>
    <t xml:space="preserve">Suite 045 possession.</t>
  </si>
  <si>
    <t xml:space="preserve">pending_units</t>
  </si>
  <si>
    <t xml:space="preserve">1</t>
  </si>
  <si>
    <t xml:space="preserve">0</t>
  </si>
  <si>
    <t xml:space="preserve">-1</t>
  </si>
  <si>
    <t xml:space="preserve">Suite 045 possession. A true zero, not unknown.</t>
  </si>
  <si>
    <t xml:space="preserve">occupied_area_sf</t>
  </si>
  <si>
    <t xml:space="preserve">37,220</t>
  </si>
  <si>
    <t xml:space="preserve">38,250</t>
  </si>
  <si>
    <t xml:space="preserve">+1,030</t>
  </si>
  <si>
    <t xml:space="preserve">The 1,030 SF of Suite 045.</t>
  </si>
  <si>
    <t xml:space="preserve">unit_occupancy</t>
  </si>
  <si>
    <t xml:space="preserve">0.9167</t>
  </si>
  <si>
    <t xml:space="preserve">0.9375</t>
  </si>
  <si>
    <t xml:space="preserve">+0.0208</t>
  </si>
  <si>
    <t xml:space="preserve">45 of 48.</t>
  </si>
  <si>
    <t xml:space="preserve">area_occupancy</t>
  </si>
  <si>
    <t xml:space="preserve">0.9123</t>
  </si>
  <si>
    <t xml:space="preserve">+0.0252</t>
  </si>
  <si>
    <t xml:space="preserve">Now equal to unit occupancy: 15 of each plan occupied.</t>
  </si>
  <si>
    <t xml:space="preserve">type_c_occupied</t>
  </si>
  <si>
    <t xml:space="preserve">14</t>
  </si>
  <si>
    <t xml:space="preserve">15</t>
  </si>
  <si>
    <t xml:space="preserve">Suite 045 is a 2BR.</t>
  </si>
  <si>
    <t xml:space="preserve">annual_in_place_rent</t>
  </si>
  <si>
    <t xml:space="preserve">$894,600</t>
  </si>
  <si>
    <t xml:space="preserve">$920,400</t>
  </si>
  <si>
    <t xml:space="preserve">+$25,800</t>
  </si>
  <si>
    <t xml:space="preserve">Suite 045 added at $2,150 x 12, plus its $225 increase.</t>
  </si>
  <si>
    <t xml:space="preserve">$974,400</t>
  </si>
  <si>
    <t xml:space="preserve">$977,100</t>
  </si>
  <si>
    <t xml:space="preserve">+$2,700</t>
  </si>
  <si>
    <t xml:space="preserve">Suite 045 rent increase x 12. Possession does not affect GPR, which credits all 48 either way.</t>
  </si>
  <si>
    <t xml:space="preserve">$942,480</t>
  </si>
  <si>
    <t xml:space="preserve">$945,045</t>
  </si>
  <si>
    <t xml:space="preserve">+$2,565</t>
  </si>
  <si>
    <t xml:space="preserve">GPR uplift net of the 5% loss factor.</t>
  </si>
  <si>
    <t xml:space="preserve">uw_operating_expenses</t>
  </si>
  <si>
    <t xml:space="preserve">$301,106.40</t>
  </si>
  <si>
    <t xml:space="preserve">$301,183.35</t>
  </si>
  <si>
    <t xml:space="preserve">+$76.95</t>
  </si>
  <si>
    <t xml:space="preserve">Only the 3% management fee moved.</t>
  </si>
  <si>
    <t xml:space="preserve">$641,373.60</t>
  </si>
  <si>
    <t xml:space="preserve">$643,861.65</t>
  </si>
  <si>
    <t xml:space="preserve">+$2,488.05</t>
  </si>
  <si>
    <t xml:space="preserve">EGI uplift less the management fee increment.</t>
  </si>
  <si>
    <t xml:space="preserve">$626,973.60</t>
  </si>
  <si>
    <t xml:space="preserve">$629,461.65</t>
  </si>
  <si>
    <t xml:space="preserve">Reserves unchanged at $14,400.</t>
  </si>
  <si>
    <t xml:space="preserve">$11,154,323.48</t>
  </si>
  <si>
    <t xml:space="preserve">$10,731,027.50</t>
  </si>
  <si>
    <t xml:space="preserve">-$423,295.98</t>
  </si>
  <si>
    <t xml:space="preserve">Higher NOI, more than offset by the 25 bp wider cap rate.</t>
  </si>
  <si>
    <t xml:space="preserve">Annuity factor</t>
  </si>
  <si>
    <t xml:space="preserve">162.4122</t>
  </si>
  <si>
    <t xml:space="preserve">150.3076</t>
  </si>
  <si>
    <t xml:space="preserve">-12.1046</t>
  </si>
  <si>
    <t xml:space="preserve">75 bp higher sizing rate over 360 monthly periods.</t>
  </si>
  <si>
    <t xml:space="preserve">$6,788,545.13</t>
  </si>
  <si>
    <t xml:space="preserve">$6,307,523.32</t>
  </si>
  <si>
    <t xml:space="preserve">-$481,021.81</t>
  </si>
  <si>
    <t xml:space="preserve">DSCR still binds; the shorter annuity factor is the whole driver.</t>
  </si>
  <si>
    <t xml:space="preserve">Origination fee</t>
  </si>
  <si>
    <t xml:space="preserve">$67,885.45</t>
  </si>
  <si>
    <t xml:space="preserve">$63,075.23</t>
  </si>
  <si>
    <t xml:space="preserve">-$4,810.22</t>
  </si>
  <si>
    <t xml:space="preserve">1% of a smaller loan.</t>
  </si>
  <si>
    <t xml:space="preserve">$2,475,659.67</t>
  </si>
  <si>
    <t xml:space="preserve">$1,999,448.08</t>
  </si>
  <si>
    <t xml:space="preserve">-$476,211.59</t>
  </si>
  <si>
    <t xml:space="preserve">Smaller loan against an unchanged payoff and closing cost.</t>
  </si>
  <si>
    <t xml:space="preserve">Achieved LTV</t>
  </si>
  <si>
    <t xml:space="preserve">60.86%</t>
  </si>
  <si>
    <t xml:space="preserve">58.78%</t>
  </si>
  <si>
    <t xml:space="preserve">-2.08 pts</t>
  </si>
  <si>
    <t xml:space="preserve">Loan falls faster than value.</t>
  </si>
  <si>
    <t xml:space="preserve">Achieved NCF debt yield</t>
  </si>
  <si>
    <t xml:space="preserve">9.24%</t>
  </si>
  <si>
    <t xml:space="preserve">9.98%</t>
  </si>
  <si>
    <t xml:space="preserve">+0.74 pts</t>
  </si>
  <si>
    <t xml:space="preserve">Higher NCF on a smaller loan.</t>
  </si>
  <si>
    <t xml:space="preserve">risk_pending_in_occupancy</t>
  </si>
  <si>
    <t xml:space="preserve">present</t>
  </si>
  <si>
    <t xml:space="preserve">absent</t>
  </si>
  <si>
    <t xml:space="preserve">Resolved</t>
  </si>
  <si>
    <t xml:space="preserve">No pending suite remains to be miscounted.</t>
  </si>
  <si>
    <t xml:space="preserve">EXPRESSLY UNCHANGED</t>
  </si>
  <si>
    <t xml:space="preserve">unit_001_monthly_rent</t>
  </si>
  <si>
    <t xml:space="preserve">$1,850</t>
  </si>
  <si>
    <t xml:space="preserve">None</t>
  </si>
  <si>
    <t xml:space="preserve">Revision notice states prior executed Suite 001 amendments continue to apply.</t>
  </si>
  <si>
    <t xml:space="preserve">total_units / total_area_sf</t>
  </si>
  <si>
    <t xml:space="preserve">48 / 40,800</t>
  </si>
  <si>
    <t xml:space="preserve">No suite added or removed.</t>
  </si>
  <si>
    <t xml:space="preserve">type_a/b/c_units</t>
  </si>
  <si>
    <t xml:space="preserve">16 / 16 / 16</t>
  </si>
  <si>
    <t xml:space="preserve">Mix unchanged.</t>
  </si>
  <si>
    <t xml:space="preserve">type_a_occupied / type_b_occupied</t>
  </si>
  <si>
    <t xml:space="preserve">15 / 15</t>
  </si>
  <si>
    <t xml:space="preserve">Only a 2BR changed status.</t>
  </si>
  <si>
    <t xml:space="preserve">uw_tax / uw_insurance</t>
  </si>
  <si>
    <t xml:space="preserve">$102,312 / $34,104</t>
  </si>
  <si>
    <t xml:space="preserve">All other underwriting rules unchanged.</t>
  </si>
  <si>
    <t xml:space="preserve">Other recurring expenses</t>
  </si>
  <si>
    <t xml:space="preserve">$136,416</t>
  </si>
  <si>
    <t xml:space="preserve">Unchanged.</t>
  </si>
  <si>
    <t xml:space="preserve">Reserves per unit</t>
  </si>
  <si>
    <t xml:space="preserve">$300</t>
  </si>
  <si>
    <t xml:space="preserve">ltv_limit / dscr_limit / debt_yield_limit</t>
  </si>
  <si>
    <t xml:space="preserve">0.65 / 1.25 / 0.09</t>
  </si>
  <si>
    <t xml:space="preserve">Loan constraints unchanged.</t>
  </si>
  <si>
    <t xml:space="preserve">Note rate (original) / floor</t>
  </si>
  <si>
    <t xml:space="preserve">6.2500% / 6.0000%</t>
  </si>
  <si>
    <t xml:space="preserve">Retained for the floor-binding test, which uses the ORIGINAL note rate.</t>
  </si>
  <si>
    <t xml:space="preserve">Existing payoff / closing costs</t>
  </si>
  <si>
    <t xml:space="preserve">$4,200,000 / $45,000</t>
  </si>
  <si>
    <t xml:space="preserve">Revision states payoff remains unchanged.</t>
  </si>
  <si>
    <t xml:space="preserve">reported_t12_noi</t>
  </si>
  <si>
    <t xml:space="preserve">$604,128</t>
  </si>
  <si>
    <t xml:space="preserve">No revised operating statement supplied.</t>
  </si>
  <si>
    <t xml:space="preserve">insurance_policy_limit</t>
  </si>
  <si>
    <t xml:space="preserve">$2,000,000</t>
  </si>
  <si>
    <t xml:space="preserve">No revised insurance record supplied.</t>
  </si>
  <si>
    <t xml:space="preserve">Lease expirations</t>
  </si>
  <si>
    <t xml:space="preserve">2029-08-31</t>
  </si>
  <si>
    <t xml:space="preserve">All other lease details remain unchanged.</t>
  </si>
  <si>
    <t xml:space="preserve">Seven other risk fields</t>
  </si>
  <si>
    <t xml:space="preserve">Each re-tested against the revised packet, not carried forward by assumption.</t>
  </si>
  <si>
    <t xml:space="preserve">Missing diligence items</t>
  </si>
  <si>
    <t xml:space="preserve">All open</t>
  </si>
  <si>
    <t xml:space="preserve">No photos, price, comps, sponsor history, or completed legal/environmental/PCA/title work was supplied with the revision.</t>
  </si>
  <si>
    <t xml:space="preserve">Underwriting Inputs &amp; Assumptions</t>
  </si>
  <si>
    <t xml:space="preserve">Every figure below is traceable to a packet document. No market comps, asking price, sponsor history or photos are supplied or assumed.</t>
  </si>
  <si>
    <t xml:space="preserve">Assumption</t>
  </si>
  <si>
    <t xml:space="preserve">Value</t>
  </si>
  <si>
    <t xml:space="preserve">Unit</t>
  </si>
  <si>
    <t xml:space="preserve">Source (file / location)</t>
  </si>
  <si>
    <t xml:space="preserve">Note</t>
  </si>
  <si>
    <t xml:space="preserve">gross_potential_rent (all-suite scheduled rent x 12)</t>
  </si>
  <si>
    <t xml:space="preserve">USD/yr</t>
  </si>
  <si>
    <t xml:space="preserve">revision-notice.pdf p.1; rent-roll-revised.xlsx E5:E52</t>
  </si>
  <si>
    <t xml:space="preserve">REVISED. All 48 suites on the new roll, BEFORE the Suite 001 amendment: ($24,000 + $26,400 + $28,875 + $2,150) = $81,425 x 12. Was $974,400.</t>
  </si>
  <si>
    <t xml:space="preserve">Economic loss (vacancy + credit)</t>
  </si>
  <si>
    <t xml:space="preserve">of GPR</t>
  </si>
  <si>
    <t xml:space="preserve">underwriting-instructions.pdf p.1</t>
  </si>
  <si>
    <t xml:space="preserve">Prescribed 5%.</t>
  </si>
  <si>
    <t xml:space="preserve">Other income per unit/suite</t>
  </si>
  <si>
    <t xml:space="preserve">Reimbursement income already inside GPR; not added twice.</t>
  </si>
  <si>
    <t xml:space="preserve">Unit / suite count</t>
  </si>
  <si>
    <t xml:space="preserve">units</t>
  </si>
  <si>
    <t xml:space="preserve">rent-roll-certified.xlsx A5:A52</t>
  </si>
  <si>
    <t xml:space="preserve">48 suites on the certified roll.</t>
  </si>
  <si>
    <t xml:space="preserve">uw_tax — real estate tax</t>
  </si>
  <si>
    <t xml:space="preserve">underwriting-instructions.pdf p.1; operating-statement.pdf p.1</t>
  </si>
  <si>
    <t xml:space="preserve">Prescribed; equals T-12 actual.</t>
  </si>
  <si>
    <t xml:space="preserve">uw_insurance — insurance expense</t>
  </si>
  <si>
    <t xml:space="preserve">Expense, NOT the $2,000,000 policy limit.</t>
  </si>
  <si>
    <t xml:space="preserve">Other recurring operating expenses</t>
  </si>
  <si>
    <t xml:space="preserve">Management fee</t>
  </si>
  <si>
    <t xml:space="preserve">of EGI</t>
  </si>
  <si>
    <t xml:space="preserve">3% of underwritten EGI.</t>
  </si>
  <si>
    <t xml:space="preserve">Replacement reserve per unit/suite</t>
  </si>
  <si>
    <t xml:space="preserve">Below the NOI line; NOI is capitalized BEFORE reserves.</t>
  </si>
  <si>
    <t xml:space="preserve">decimal</t>
  </si>
  <si>
    <t xml:space="preserve">revision-notice.pdf p.1</t>
  </si>
  <si>
    <t xml:space="preserve">REVISED. Initial 5.7500% plus 25 bp. Applied to NOI before reserves.</t>
  </si>
  <si>
    <t xml:space="preserve">Note rate (original, unchanged)</t>
  </si>
  <si>
    <t xml:space="preserve">6.2500%. Retained for the risk_sizing_floor_binding test, which compares the ORIGINAL note rate against the floor.</t>
  </si>
  <si>
    <t xml:space="preserve">Underwriting rate floor</t>
  </si>
  <si>
    <t xml:space="preserve">6.0000%.</t>
  </si>
  <si>
    <t xml:space="preserve">REVISED. Initial sizing rate 6.2500% (greater of note and floor) plus 75 bp. Floor still NOT binding.</t>
  </si>
  <si>
    <t xml:space="preserve">Amortization term</t>
  </si>
  <si>
    <t xml:space="preserve">years</t>
  </si>
  <si>
    <t xml:space="preserve">Sized on a fully amortizing payment even though months 1-24 are interest-only.</t>
  </si>
  <si>
    <t xml:space="preserve">Payments per year</t>
  </si>
  <si>
    <t xml:space="preserve">count</t>
  </si>
  <si>
    <t xml:space="preserve">Monthly payments.</t>
  </si>
  <si>
    <t xml:space="preserve">ltv_limit — maximum LTV</t>
  </si>
  <si>
    <t xml:space="preserve">65.00% of capitalized value.</t>
  </si>
  <si>
    <t xml:space="preserve">dscr_limit — minimum DSCR</t>
  </si>
  <si>
    <t xml:space="preserve">ratio</t>
  </si>
  <si>
    <t xml:space="preserve">Tested on NCF after reserves.</t>
  </si>
  <si>
    <t xml:space="preserve">debt_yield_limit — minimum NCF debt yield</t>
  </si>
  <si>
    <t xml:space="preserve">of loan</t>
  </si>
  <si>
    <t xml:space="preserve">1% of the sized loan.</t>
  </si>
  <si>
    <t xml:space="preserve">Closing costs</t>
  </si>
  <si>
    <t xml:space="preserve">USD</t>
  </si>
  <si>
    <t xml:space="preserve">Fixed.</t>
  </si>
  <si>
    <t xml:space="preserve">Existing loan payoff</t>
  </si>
  <si>
    <t xml:space="preserve">Suite 001 amendment — monthly rent increase</t>
  </si>
  <si>
    <t xml:space="preserve">USD/mo</t>
  </si>
  <si>
    <t xml:space="preserve">lease-correspondence.pdf p.1</t>
  </si>
  <si>
    <t xml:space="preserve">Signed 2026-07-20, effective 2026-08-01. In force at the as-of date.</t>
  </si>
  <si>
    <t xml:space="preserve">Near-term rollover horizon (inclusive)</t>
  </si>
  <si>
    <t xml:space="preserve">2027-08-31</t>
  </si>
  <si>
    <t xml:space="preserve">date</t>
  </si>
  <si>
    <t xml:space="preserve">Twelve months from the revised 2026-09-01 as-of date. Active suite expiry on or before this date is near-term.</t>
  </si>
  <si>
    <t xml:space="preserve">Suite 045 scheduled rent increase (revision 2)</t>
  </si>
  <si>
    <t xml:space="preserve">revision-notice.pdf p.1; rent-roll-revised.xlsx E49</t>
  </si>
  <si>
    <t xml:space="preserve">$1,925 to $2,150. Suite 045 also moves from pending to active.</t>
  </si>
  <si>
    <t xml:space="preserve">REVISION 2 RATE DERIVATION</t>
  </si>
  <si>
    <t xml:space="preserve">Initial capitalization rate</t>
  </si>
  <si>
    <t xml:space="preserve">Revision adjustment</t>
  </si>
  <si>
    <t xml:space="preserve">revision-notice.pdf p.1 — plus 25 basis points</t>
  </si>
  <si>
    <t xml:space="preserve">Revised cap_rate (ties to B14)</t>
  </si>
  <si>
    <t xml:space="preserve">Check in C33</t>
  </si>
  <si>
    <t xml:space="preserve">Initial sizing rate (greater of note and floor)</t>
  </si>
  <si>
    <t xml:space="preserve">6.2500%</t>
  </si>
  <si>
    <t xml:space="preserve">revision-notice.pdf p.1 — plus 75 basis points</t>
  </si>
  <si>
    <t xml:space="preserve">Revised sizing_rate (ties to B17)</t>
  </si>
  <si>
    <t xml:space="preserve">Check in C36</t>
  </si>
  <si>
    <t xml:space="preserve">INTERNAL CHECKS</t>
  </si>
  <si>
    <t xml:space="preserve">sizing_rate still exceeds the rate floor</t>
  </si>
  <si>
    <t xml:space="preserve">gross_potential_rent ties to revised roll x 12 (pre-amendment)</t>
  </si>
  <si>
    <t xml:space="preserve">Suite count ties to revised roll</t>
  </si>
  <si>
    <t xml:space="preserve">Pending suites now zero (a true zero, not unknown)</t>
  </si>
  <si>
    <t xml:space="preserve">Controlling Rent Roll — REVISED Certified, as of 2026-09-01</t>
  </si>
  <si>
    <t xml:space="preserve">Source: rent-roll-revised.xlsx (selected, 2026-09-01). It SUPERSEDES rent-roll-certified.xlsx (2026-08-31), which in turn superseded rent-roll-archive.xlsx (2026-06-30). Both prior rolls are excluded. Certified detail controls physical occupancy (manager-cover.pdf p.1).</t>
  </si>
  <si>
    <t xml:space="preserve">Suite</t>
  </si>
  <si>
    <t xml:space="preserve">Unit type</t>
  </si>
  <si>
    <t xml:space="preserve">Group</t>
  </si>
  <si>
    <t xml:space="preserve">Area SF</t>
  </si>
  <si>
    <t xml:space="preserve">Possession</t>
  </si>
  <si>
    <t xml:space="preserve">Certified monthly rent</t>
  </si>
  <si>
    <t xml:space="preserve">Executed amendment</t>
  </si>
  <si>
    <t xml:space="preserve">Controlling monthly rent</t>
  </si>
  <si>
    <t xml:space="preserve">Lease expiration</t>
  </si>
  <si>
    <t xml:space="preserve">Near-term rollover?</t>
  </si>
  <si>
    <t xml:space="preserve">001</t>
  </si>
  <si>
    <t xml:space="preserve">Studio</t>
  </si>
  <si>
    <t xml:space="preserve">A</t>
  </si>
  <si>
    <t xml:space="preserve">Executed amendment +$350/mo effective 2026-08-01</t>
  </si>
  <si>
    <t xml:space="preserve">002</t>
  </si>
  <si>
    <t xml:space="preserve">1BR</t>
  </si>
  <si>
    <t xml:space="preserve">B</t>
  </si>
  <si>
    <t xml:space="preserve">003</t>
  </si>
  <si>
    <t xml:space="preserve">2BR</t>
  </si>
  <si>
    <t xml:space="preserve">C</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</si>
  <si>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</si>
  <si>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</si>
  <si>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</si>
  <si>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</si>
  <si>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</si>
  <si>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</si>
  <si>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</si>
  <si>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</si>
  <si>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</si>
  <si>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</si>
  <si>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</si>
  <si>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</si>
  <si>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</si>
  <si>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</si>
  <si>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</si>
  <si>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</si>
  <si>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</si>
  <si>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</si>
  <si>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</si>
  <si>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</si>
  <si>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</si>
  <si>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</si>
  <si>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</si>
  <si>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</si>
  <si>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</si>
  <si>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</si>
  <si>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</si>
  <si>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</si>
  <si>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</si>
  <si>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</si>
  <si>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</si>
  <si>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</si>
  <si>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</si>
  <si>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</si>
  <si>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</si>
  <si>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</si>
  <si>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</si>
  <si>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</si>
  <si>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</si>
  <si>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</si>
  <si>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</si>
  <si>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</si>
  <si>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REVISION 2: now active; scheduled rent +$225 to $2,150</t>
  </si>
  <si>
    <t xml:space="preserve">046</t>
  </si>
  <si>
    <t xml:space="preserve">vacant</t>
  </si>
  <si>
    <t xml:space="preserve">047</t>
  </si>
  <si>
    <t xml:space="preserve">048</t>
  </si>
  <si>
    <t xml:space="preserve">TOTALS / COUNTS</t>
  </si>
  <si>
    <t xml:space="preserve">Scheduled rent, ALL 48 suites, certified (pre-amendment)</t>
  </si>
  <si>
    <t xml:space="preserve">gross_potential_rent basis / 12</t>
  </si>
  <si>
    <t xml:space="preserve">Controlling monthly rent, ALL 48 suites (post-amendment)</t>
  </si>
  <si>
    <t xml:space="preserve">Not the underwriting GPR basis</t>
  </si>
  <si>
    <t xml:space="preserve">In-place monthly rent, ACTIVE suites only (post-amendment)</t>
  </si>
  <si>
    <t xml:space="preserve">annual_in_place_rent / 12</t>
  </si>
  <si>
    <t xml:space="preserve">Active suites, executed amendment applied</t>
  </si>
  <si>
    <t xml:space="preserve">total_units</t>
  </si>
  <si>
    <t xml:space="preserve">occupied_units (active possession)</t>
  </si>
  <si>
    <t xml:space="preserve">Physical occupancy</t>
  </si>
  <si>
    <t xml:space="preserve">pending_units (not in possession)</t>
  </si>
  <si>
    <t xml:space="preserve">Zero after revision 2 — a true zero, not unknown</t>
  </si>
  <si>
    <t xml:space="preserve">vacant_units</t>
  </si>
  <si>
    <t xml:space="preserve">total_area_sf</t>
  </si>
  <si>
    <t xml:space="preserve">Active suites only</t>
  </si>
  <si>
    <t xml:space="preserve">Decimal</t>
  </si>
  <si>
    <t xml:space="preserve">Manager headline leased count (occupied + pending)</t>
  </si>
  <si>
    <t xml:space="preserve">Now 45 = 45 occupied + 0 pending. The manager headline and physical occupancy have converged</t>
  </si>
  <si>
    <t xml:space="preserve">Active suites expiring on or before 2027-08-31</t>
  </si>
  <si>
    <t xml:space="preserve">Near-term rollover exposure</t>
  </si>
  <si>
    <t xml:space="preserve">UNIT / SUITE MIX BY MANAGER GROUP  (manager-cover.pdf: groups A/B/C = Studio, 1BR, 2BR in order)</t>
  </si>
  <si>
    <t xml:space="preserve">Total units</t>
  </si>
  <si>
    <t xml:space="preserve">Occupied</t>
  </si>
  <si>
    <t xml:space="preserve">Pending</t>
  </si>
  <si>
    <t xml:space="preserve">Vacant</t>
  </si>
  <si>
    <t xml:space="preserve">Scheduled rent/mo</t>
  </si>
  <si>
    <t xml:space="preserve">Total</t>
  </si>
  <si>
    <t xml:space="preserve">Underwritten Cash Flow &amp; Direct Capitalization</t>
  </si>
  <si>
    <t xml:space="preserve">Prescribed stabilized underwriting per underwriting-instructions.pdf p.1 as amended by revision-notice.pdf p.1. This is NOT the historical T-12 result — see the Historical sheet.</t>
  </si>
  <si>
    <t xml:space="preserve">Line</t>
  </si>
  <si>
    <t xml:space="preserve">Amount</t>
  </si>
  <si>
    <t xml:space="preserve">Basis / formula in words</t>
  </si>
  <si>
    <t xml:space="preserve">Gross potential rent (gross_potential_rent)</t>
  </si>
  <si>
    <t xml:space="preserve">All 48 suites on the REVISED roll, scheduled rent x 12, before the Suite 001 amendment</t>
  </si>
  <si>
    <t xml:space="preserve">Less: economic loss @ 5%</t>
  </si>
  <si>
    <t xml:space="preserve">Vacancy and credit loss</t>
  </si>
  <si>
    <t xml:space="preserve">Plus: other income</t>
  </si>
  <si>
    <t xml:space="preserve">$350 per unit/suite x 48. Reimbursements already in GPR — not double counted</t>
  </si>
  <si>
    <t xml:space="preserve">uw_egi — Effective gross income</t>
  </si>
  <si>
    <t xml:space="preserve">GPR less economic loss plus other income</t>
  </si>
  <si>
    <t xml:space="preserve">Less: uw_tax — real estate tax</t>
  </si>
  <si>
    <t xml:space="preserve">Prescribed $102,312</t>
  </si>
  <si>
    <t xml:space="preserve">Less: uw_insurance — insurance expense</t>
  </si>
  <si>
    <t xml:space="preserve">Prescribed $34,104. Expense, not the policy limit</t>
  </si>
  <si>
    <t xml:space="preserve">Less: other recurring operating expenses</t>
  </si>
  <si>
    <t xml:space="preserve">Prescribed $136,416</t>
  </si>
  <si>
    <t xml:space="preserve">Less: management fee @ 3% of EGI</t>
  </si>
  <si>
    <t xml:space="preserve">3% x uw_egi</t>
  </si>
  <si>
    <t xml:space="preserve">uw_operating_expenses — total (before reserves)</t>
  </si>
  <si>
    <t xml:space="preserve">Tax + insurance + other recurring + management. Excludes reserves by definition</t>
  </si>
  <si>
    <t xml:space="preserve">uw_noi — Net operating income (before reserves)</t>
  </si>
  <si>
    <t xml:space="preserve">uw_egi less uw_operating_expenses. This is the capitalized figure</t>
  </si>
  <si>
    <t xml:space="preserve">Less: replacement reserves</t>
  </si>
  <si>
    <t xml:space="preserve">$300 per unit/suite x 48</t>
  </si>
  <si>
    <t xml:space="preserve">uw_ncf — Net cash flow (after reserves)</t>
  </si>
  <si>
    <t xml:space="preserve">uw_noi less reserves. DSCR and debt yield are sized on this</t>
  </si>
  <si>
    <t xml:space="preserve">Revised: 5.7500% initial plus 25 bp</t>
  </si>
  <si>
    <t xml:space="preserve">uw_noi (before reserves) / cap_rate</t>
  </si>
  <si>
    <t xml:space="preserve">Implied value per unit/suite</t>
  </si>
  <si>
    <t xml:space="preserve">USD/unit</t>
  </si>
  <si>
    <t xml:space="preserve">Derived</t>
  </si>
  <si>
    <t xml:space="preserve">Implied value per SF</t>
  </si>
  <si>
    <t xml:space="preserve">USD/SF</t>
  </si>
  <si>
    <t xml:space="preserve">Derived on 40,800 SF total area</t>
  </si>
  <si>
    <t xml:space="preserve">uw_noi margin on uw_egi</t>
  </si>
  <si>
    <t xml:space="preserve">Expense ratio (before reserves)</t>
  </si>
  <si>
    <t xml:space="preserve">RECONCILIATION TO IN-PLACE RENT</t>
  </si>
  <si>
    <t xml:space="preserve">annual_in_place_rent (active suites, amendment applied)</t>
  </si>
  <si>
    <t xml:space="preserve">Contractual, occupied suites only</t>
  </si>
  <si>
    <t xml:space="preserve">gross_potential_rent (prescribed underwriting basis)</t>
  </si>
  <si>
    <t xml:space="preserve">All 48 suites on the revised roll, pre-amendment</t>
  </si>
  <si>
    <t xml:space="preserve">Difference</t>
  </si>
  <si>
    <t xml:space="preserve">Upside of the 3 vacant suites, less the Suite 001 amendment excluded by the prescribed basis</t>
  </si>
  <si>
    <t xml:space="preserve">Note: the executed Suite 001 amendment raises in-place rent but is deliberately excluded from gross_potential_rent, because the instructions prescribe the pre-amendment certified roll as the stabilized GPR assumption. These are two separate measures, not a conflict.</t>
  </si>
  <si>
    <t xml:space="preserve">Debt Sizing and Sources &amp; Uses</t>
  </si>
  <si>
    <t xml:space="preserve">Sized on the REVISED sizing rate of 7.0000%, fully amortizing, notwithstanding the first 24 months of interest-only. Loan constraints, payoff and fees are unchanged.</t>
  </si>
  <si>
    <t xml:space="preserve">Basis</t>
  </si>
  <si>
    <t xml:space="preserve">Initial 6.2500% (greater of note and floor) plus 75 bp per revision notice = 7.0000%</t>
  </si>
  <si>
    <t xml:space="preserve">Periodic (monthly) rate</t>
  </si>
  <si>
    <t xml:space="preserve">sizing_rate / 12</t>
  </si>
  <si>
    <t xml:space="preserve">Amortization periods</t>
  </si>
  <si>
    <t xml:space="preserve">months</t>
  </si>
  <si>
    <t xml:space="preserve">30 years x 12</t>
  </si>
  <si>
    <t xml:space="preserve">x</t>
  </si>
  <si>
    <t xml:space="preserve">Present value of $1 per month</t>
  </si>
  <si>
    <t xml:space="preserve">Constraint 1 — LTV @ 65.00%</t>
  </si>
  <si>
    <t xml:space="preserve">ltv_limit x capitalization_value</t>
  </si>
  <si>
    <t xml:space="preserve">Constraint 2 — DSCR @ 1.25x on NCF</t>
  </si>
  <si>
    <t xml:space="preserve">(uw_ncf / dscr_limit / 12) x annuity factor</t>
  </si>
  <si>
    <t xml:space="preserve">Constraint 3 — NCF debt yield @ 9.00%</t>
  </si>
  <si>
    <t xml:space="preserve">uw_ncf / debt_yield_limit</t>
  </si>
  <si>
    <t xml:space="preserve">Most restrictive of the three constraints</t>
  </si>
  <si>
    <t xml:space="preserve">Binding constraint</t>
  </si>
  <si>
    <t xml:space="preserve">text</t>
  </si>
  <si>
    <t xml:space="preserve">Which test governs</t>
  </si>
  <si>
    <t xml:space="preserve">Monthly principal &amp; interest at sized loan</t>
  </si>
  <si>
    <t xml:space="preserve">Fully amortizing at sizing_rate</t>
  </si>
  <si>
    <t xml:space="preserve">Annual debt service</t>
  </si>
  <si>
    <t xml:space="preserve">Monthly P&amp;I x 12</t>
  </si>
  <si>
    <t xml:space="preserve">Achieved DSCR on uw_ncf</t>
  </si>
  <si>
    <t xml:space="preserve">At the constraint minimum of 1.25 — still the binding test</t>
  </si>
  <si>
    <t xml:space="preserve">Cushion above the 9.00% floor</t>
  </si>
  <si>
    <t xml:space="preserve">Cushion below the 65.00% cap</t>
  </si>
  <si>
    <t xml:space="preserve">Interest-only annual payment (months 1-24, sizing rate)</t>
  </si>
  <si>
    <t xml:space="preserve">Actual year 1-2 cash cost at the revised rate; NOT used for sizing</t>
  </si>
  <si>
    <t xml:space="preserve">DSCR during interest-only period</t>
  </si>
  <si>
    <t xml:space="preserve">Informational cushion in the IO window</t>
  </si>
  <si>
    <t xml:space="preserve">SOURCES &amp; USES</t>
  </si>
  <si>
    <t xml:space="preserve">SOURCES</t>
  </si>
  <si>
    <t xml:space="preserve">New sized loan (maximum_loan)</t>
  </si>
  <si>
    <t xml:space="preserve">Proceeds at the binding constraint</t>
  </si>
  <si>
    <t xml:space="preserve">Additional sponsor equity required</t>
  </si>
  <si>
    <t xml:space="preserve">Zero unless net cash-out is negative</t>
  </si>
  <si>
    <t xml:space="preserve">Total sources</t>
  </si>
  <si>
    <t xml:space="preserve">USES</t>
  </si>
  <si>
    <t xml:space="preserve">Prescribed $4,200,000</t>
  </si>
  <si>
    <t xml:space="preserve">Origination fee @ 1.00% of sized loan</t>
  </si>
  <si>
    <t xml:space="preserve">1% x maximum_loan</t>
  </si>
  <si>
    <t xml:space="preserve">Prescribed $45,000</t>
  </si>
  <si>
    <t xml:space="preserve">net_cash_out — proceeds to sponsor</t>
  </si>
  <si>
    <t xml:space="preserve">Positive = cash out. Negative = additional equity required</t>
  </si>
  <si>
    <t xml:space="preserve">Total uses</t>
  </si>
  <si>
    <t xml:space="preserve">Check: sources less uses</t>
  </si>
  <si>
    <t xml:space="preserve">Must be zero</t>
  </si>
  <si>
    <t xml:space="preserve">Historical T-12 (as reported) vs Underwritten</t>
  </si>
  <si>
    <t xml:space="preserve">Source: operating-statement.pdf p.1, UNCHANGED by revision 2. Period 2025-09-01 through 2026-08-31. Cash basis. Amounts in USD, not thousands. Reported T-12 NOI, uw_noi and uw_ncf are three distinct measures. Only the underwritten column moves in this revision.</t>
  </si>
  <si>
    <t xml:space="preserve">Account</t>
  </si>
  <si>
    <t xml:space="preserve">T-12 actual (USD)</t>
  </si>
  <si>
    <t xml:space="preserve">Underwritten (USD)</t>
  </si>
  <si>
    <t xml:space="preserve">Variance</t>
  </si>
  <si>
    <t xml:space="preserve">Comment</t>
  </si>
  <si>
    <t xml:space="preserve">Rental and ancillary collections / EGI</t>
  </si>
  <si>
    <t xml:space="preserve">Historical collections are cash received; not an annualized rent-roll total. Underwritten EGI is the prescribed forward assumption.</t>
  </si>
  <si>
    <t xml:space="preserve">Real estate tax expense</t>
  </si>
  <si>
    <t xml:space="preserve">Underwritten at actual.</t>
  </si>
  <si>
    <t xml:space="preserve">Insurance expense</t>
  </si>
  <si>
    <t xml:space="preserve">Underwritten at actual. Distinct from the $2,000,000 GL aggregate limit.</t>
  </si>
  <si>
    <t xml:space="preserve">Not a separate line in the T-12; underwriting adds 3% of EGI. A real economic add, not a reclassification.</t>
  </si>
  <si>
    <t xml:space="preserve">Roof replacement booked in repairs</t>
  </si>
  <si>
    <t xml:space="preserve">Reported as $0 in the repairs line. The roof replacement is capital and no recurring repair component is included, so no add-back or scrub is required.</t>
  </si>
  <si>
    <t xml:space="preserve">Total operating expenses</t>
  </si>
  <si>
    <t xml:space="preserve">reported_t12_noi / uw_noi (before reserves)</t>
  </si>
  <si>
    <t xml:space="preserve">Reported NOI of $604,128 ties to the statement. The underwritten figure is higher, driven by the prescribed GPR and other-income assumptions.</t>
  </si>
  <si>
    <t xml:space="preserve">Replacement reserves</t>
  </si>
  <si>
    <t xml:space="preserve">Not a cash line in the T-12; underwriting deducts $300/unit below NOI.</t>
  </si>
  <si>
    <t xml:space="preserve">uw_ncf (after reserves)</t>
  </si>
  <si>
    <t xml:space="preserve">n/a</t>
  </si>
  <si>
    <t xml:space="preserve">No historical equivalent is reported.</t>
  </si>
  <si>
    <t xml:space="preserve">Tie-out check: reported NOI stated on the operating statement</t>
  </si>
  <si>
    <t xml:space="preserve">Recomputed from the reported accounts</t>
  </si>
  <si>
    <t xml:space="preserve">Sensitivity — Capitalization Value and Maximum Loan</t>
  </si>
  <si>
    <t xml:space="preserve">Cap rate varies down the rows; sizing rate varies across the columns. Blue cells are levers. All results recalculate from Inputs.</t>
  </si>
  <si>
    <t xml:space="preserve">TABLE 1 — capitalization_value by cap rate (uw_noi is unaffected by sizing rate)</t>
  </si>
  <si>
    <t xml:space="preserve">LTV constraint @ 65%</t>
  </si>
  <si>
    <t xml:space="preserve">Value per unit</t>
  </si>
  <si>
    <t xml:space="preserve">TABLE 2 — maximum_loan by cap rate (rows) and sizing_rate (columns)</t>
  </si>
  <si>
    <t xml:space="preserve">cap_rate \ sizing_rate</t>
  </si>
  <si>
    <t xml:space="preserve">TABLE 3 — net_cash_out by cap rate (rows) and sizing_rate (columns)</t>
  </si>
  <si>
    <t xml:space="preserve">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</si>
  <si>
    <t xml:space="preserve">Named Field Register — 41 reported fields — REVISION 2</t>
  </si>
  <si>
    <t xml:space="preserve">Revision 2, as of 2026-09-01. Ratios are decimal. Missing information is stated as unknown, which is distinct from zero — pending_units is now a TRUE ZERO, not unknown. Risk fields use present / absent / unresolved.</t>
  </si>
  <si>
    <t xml:space="preserve">id</t>
  </si>
  <si>
    <t xml:space="preserve">Evidence (file / location)</t>
  </si>
  <si>
    <t xml:space="preserve">Calculation / reasoning</t>
  </si>
  <si>
    <t xml:space="preserve">rent-roll-revised.xlsx, Rent Roll!A5:A52</t>
  </si>
  <si>
    <t xml:space="preserve">Count of suites on the revised roll. Unchanged at 48.</t>
  </si>
  <si>
    <t xml:space="preserve">rent-roll-revised.xlsx, Rent Roll!D5:D52</t>
  </si>
  <si>
    <t xml:space="preserve">REVISED 44 to 45. Suite 045 moved from pending to active. Excludes 3 vacant.</t>
  </si>
  <si>
    <t xml:space="preserve">revision-notice.pdf p.1; rent-roll-revised.xlsx, Rent Roll!D49</t>
  </si>
  <si>
    <t xml:space="preserve">REVISED 1 to 0. Suite 045 is now active. This is a true zero — no suite is pending — not an unknown.</t>
  </si>
  <si>
    <t xml:space="preserve">SF</t>
  </si>
  <si>
    <t xml:space="preserve">rent-roll-revised.xlsx, Rent Roll!C5:C52</t>
  </si>
  <si>
    <t xml:space="preserve">Unchanged: 16 x 700 + 16 x 820 + 16 x 1,030.</t>
  </si>
  <si>
    <t xml:space="preserve">rent-roll-revised.xlsx, Rent Roll!C5:C49</t>
  </si>
  <si>
    <t xml:space="preserve">REVISED 37,220 to 38,250. The 45 active suites: 15 x 700 + 15 x 820 + 15 x 1,030.</t>
  </si>
  <si>
    <t xml:space="preserve">REVISED 0.9167 to 0.9375. 45 / 48. No pending suites remain to exclude.</t>
  </si>
  <si>
    <t xml:space="preserve">rent-roll-revised.xlsx, Rent Roll!C5:C52 and D5:D52</t>
  </si>
  <si>
    <t xml:space="preserve">REVISED 0.9123 to 0.9375. 38,250 / 40,800. Now equal to unit occupancy, because 15 of each plan are occupied.</t>
  </si>
  <si>
    <t xml:space="preserve">rent-roll-revised.xlsx E5:E49; lease-correspondence.pdf p.1</t>
  </si>
  <si>
    <t xml:space="preserve">REVISED $894,600 to $920,400. 45 active suites, amendment applied: ($76,350 + $350) x 12.</t>
  </si>
  <si>
    <t xml:space="preserve">lease-001.pdf p.1; lease-correspondence.pdf p.1; rent-roll-revised.xlsx E5</t>
  </si>
  <si>
    <t xml:space="preserve">UNCHANGED at $1,850. Base $1,500 plus the $350 amendment, which the revision notice expressly continues.</t>
  </si>
  <si>
    <t xml:space="preserve">REVISED $974,400 to $977,100. All 48 suites on the new roll, pre-amendment: $81,425 x 12. The $2,700 uplift is the Suite 045 increase x 12.</t>
  </si>
  <si>
    <t xml:space="preserve">underwriting-instructions.pdf p.1; revision-notice.pdf p.1</t>
  </si>
  <si>
    <t xml:space="preserve">REVISED $942,480 to $945,045. $977,100 x 0.95 + $350 x 48. Loss factor and other income unchanged.</t>
  </si>
  <si>
    <t xml:space="preserve">uw_tax</t>
  </si>
  <si>
    <t xml:space="preserve">UNCHANGED at $102,312. Prescribed at the T-12 actual.</t>
  </si>
  <si>
    <t xml:space="preserve">uw_insurance</t>
  </si>
  <si>
    <t xml:space="preserve">UNCHANGED at $34,104. Prescribed expense; not the policy limit.</t>
  </si>
  <si>
    <t xml:space="preserve">REVISED $301,106.40 to $301,183.35. Only the 3% management fee moved, because EGI rose. Before reserves.</t>
  </si>
  <si>
    <t xml:space="preserve">REVISED $641,373.60 to $643,861.65. uw_egi less uw_operating_expenses; before reserves.</t>
  </si>
  <si>
    <t xml:space="preserve">REVISED $626,973.60 to $629,461.65. uw_noi less $300 x 48 reserves, which are unchanged.</t>
  </si>
  <si>
    <t xml:space="preserve">REVISED 0.0625 to 0.0700. Initial sizing rate of 6.2500% plus 75 bp.</t>
  </si>
  <si>
    <t xml:space="preserve">REVISED 0.0575 to 0.0600. Initial 5.7500% plus 25 bp.</t>
  </si>
  <si>
    <t xml:space="preserve">REVISED $11,154,323.48 to $10,731,027.50. uw_noi before reserves / 6.0000%. Higher NOI, more than offset by the wider cap rate.</t>
  </si>
  <si>
    <t xml:space="preserve">ltv_limit</t>
  </si>
  <si>
    <t xml:space="preserve">UNCHANGED at 0.65.</t>
  </si>
  <si>
    <t xml:space="preserve">dscr_limit</t>
  </si>
  <si>
    <t xml:space="preserve">UNCHANGED at 1.25 on NCF after reserves.</t>
  </si>
  <si>
    <t xml:space="preserve">debt_yield_limit</t>
  </si>
  <si>
    <t xml:space="preserve">UNCHANGED at 0.09 on NCF after reserves.</t>
  </si>
  <si>
    <t xml:space="preserve">REVISED $6,788,545.13 to $6,307,523.32. Minimum of the three constraints; DSCR still binds, driven by the 7.0000% sizing rate.</t>
  </si>
  <si>
    <t xml:space="preserve">REVISED $2,475,659.67 to $1,999,448.08. maximum_loan less the unchanged $4,200,000 payoff, 1% origination fee and $45,000 closing costs. Still positive.</t>
  </si>
  <si>
    <t xml:space="preserve">insurance.pdf p.1</t>
  </si>
  <si>
    <t xml:space="preserve">UNCHANGED at $2,000,000. General liability aggregate limit, effective 2026-07-01 to 2027-06-30. Distinct from uw_insurance expense.</t>
  </si>
  <si>
    <t xml:space="preserve">rent-roll-revised.xlsx, Rent Roll!B2; revision-notice.pdf p.1</t>
  </si>
  <si>
    <t xml:space="preserve">REVISED from 2026-08-31. The revised roll supersedes both the 2026-08-31 certified roll and the 2026-06-30 archive.</t>
  </si>
  <si>
    <t xml:space="preserve">operating-statement.pdf p.1</t>
  </si>
  <si>
    <t xml:space="preserve">UNCHANGED at $604,128. No revised operating statement was supplied; the T-12 period 2025-09-01 to 2026-08-31 still stands.</t>
  </si>
  <si>
    <t xml:space="preserve">type_a_units</t>
  </si>
  <si>
    <t xml:space="preserve">manager-cover.pdf p.1; rent-roll-certified.xlsx B5:B52</t>
  </si>
  <si>
    <t xml:space="preserve">Group A = Studio.</t>
  </si>
  <si>
    <t xml:space="preserve">type_a_occupied</t>
  </si>
  <si>
    <t xml:space="preserve">rent-roll-certified.xlsx B5:B52 and D5:D52</t>
  </si>
  <si>
    <t xml:space="preserve">Studios with active possession.</t>
  </si>
  <si>
    <t xml:space="preserve">type_b_units</t>
  </si>
  <si>
    <t xml:space="preserve">Group B = 1BR.</t>
  </si>
  <si>
    <t xml:space="preserve">type_b_occupied</t>
  </si>
  <si>
    <t xml:space="preserve">1BRs with active possession.</t>
  </si>
  <si>
    <t xml:space="preserve">type_c_units</t>
  </si>
  <si>
    <t xml:space="preserve">Group C = 2BR.</t>
  </si>
  <si>
    <t xml:space="preserve">rent-roll-revised.xlsx B5:B52 and D5:D52</t>
  </si>
  <si>
    <t xml:space="preserve">REVISED 14 to 15. Suite 045 is a 2BR and is now active, so 15 of 16.</t>
  </si>
  <si>
    <t xml:space="preserve">flag</t>
  </si>
  <si>
    <t xml:space="preserve">revision-notice.pdf p.1; rent-roll-revised.xlsx D5:D52</t>
  </si>
  <si>
    <t xml:space="preserve">REVISED present to absent. Suite 045 has taken possession, so no pending suite exists to be miscounted. The manager's 45-of-48 headline is now correct on its face and equals physical occupancy.</t>
  </si>
  <si>
    <t xml:space="preserve">risk_near_term_rollover</t>
  </si>
  <si>
    <t xml:space="preserve">rent-roll-revised.xlsx F5:F52</t>
  </si>
  <si>
    <t xml:space="preserve">UNCHANGED. All 45 active expiries remain 2029-08-31, beyond the 2027-08-31 horizon. Zero near-term expiries.</t>
  </si>
  <si>
    <t xml:space="preserve">risk_missing_insurance</t>
  </si>
  <si>
    <t xml:space="preserve">UNCHANGED. The declaration remains in force at the revised 2026-09-01 as-of date.</t>
  </si>
  <si>
    <t xml:space="preserve">risk_capital_in_opex</t>
  </si>
  <si>
    <t xml:space="preserve">UNCHANGED. Assessed on the reported historical ledger, which the revision does not touch: roof replacement booked in repairs at $0, no recurring repair component.</t>
  </si>
  <si>
    <t xml:space="preserve">risk_unsigned_rent_change</t>
  </si>
  <si>
    <t xml:space="preserve">lease-001.pdf p.1; lease-correspondence.pdf p.1; revision-notice.pdf p.1</t>
  </si>
  <si>
    <t xml:space="preserve">UNCHANGED. No unsigned rent proposal exists. The Suite 001 change is a signed amendment; the Suite 045 change comes from a manager revision instruction reflected on the certified roll itself.</t>
  </si>
  <si>
    <t xml:space="preserve">risk_temporary_free_rent</t>
  </si>
  <si>
    <t xml:space="preserve">lease-001.pdf p.1; revision-notice.pdf p.1</t>
  </si>
  <si>
    <t xml:space="preserve">UNCHANGED. The lease rules out free rent, and the revision states all other lease details remain unchanged. No concession appears for newly active Suite 045.</t>
  </si>
  <si>
    <t xml:space="preserve">risk_sizing_floor_binding</t>
  </si>
  <si>
    <t xml:space="preserve">UNCHANGED. The test compares the ORIGINAL note rate of 6.2500% against the 6.0000% floor; the note rate is higher, so the floor does not bind. The 75 bp revision widens the gap further.</t>
  </si>
  <si>
    <t xml:space="preserve">risk_refinance_shortfall</t>
  </si>
  <si>
    <t xml:space="preserve">Debt!B34</t>
  </si>
  <si>
    <t xml:space="preserve">UNCHANGED. net_cash_out of $1,999,448.08 remains positive, so no additional equity is required. Cushion narrowed by $476,211.59.</t>
  </si>
  <si>
    <t xml:space="preserve">Source Register</t>
  </si>
  <si>
    <t xml:space="preserve">Eleven documents supplied across both rounds. No external research, outreach or market data was used.</t>
  </si>
  <si>
    <t xml:space="preserve">File</t>
  </si>
  <si>
    <t xml:space="preserve">Status</t>
  </si>
  <si>
    <t xml:space="preserve">What it governs</t>
  </si>
  <si>
    <t xml:space="preserve">What it does NOT establish</t>
  </si>
  <si>
    <t xml:space="preserve">revision-notice.pdf</t>
  </si>
  <si>
    <t xml:space="preserve">p.1</t>
  </si>
  <si>
    <t xml:space="preserve">CONTROLLING (prescriptive)</t>
  </si>
  <si>
    <t xml:space="preserve">Effective 2026-09-01: the revised roll supersedes the prior roll; Suite 045 now active with rent up $225; sizing rate +75 bp; cap rate +25 bp; new roll used for all-unit scheduled gross potential.</t>
  </si>
  <si>
    <t xml:space="preserve">Does not change any expense input, loan constraint, payoff, fee, reserve, or the Suite 001 amendment, which it expressly continues.</t>
  </si>
  <si>
    <t xml:space="preserve">rent-roll-revised.xlsx</t>
  </si>
  <si>
    <t xml:space="preserve">Rent Roll!A1:G52</t>
  </si>
  <si>
    <t xml:space="preserve">CONTROLLING</t>
  </si>
  <si>
    <t xml:space="preserve">As-of 2026-09-01. Unit count, type, area, possession status, scheduled rent, expirations. Controls physical occupancy.</t>
  </si>
  <si>
    <t xml:space="preserve">Does not reflect the Suite 001 amendment in its rent column, which still shows $1,500.</t>
  </si>
  <si>
    <t xml:space="preserve">rent-roll-certified.xlsx</t>
  </si>
  <si>
    <t xml:space="preserve">SUPERSEDED — EXCLUDED</t>
  </si>
  <si>
    <t xml:space="preserve">Nothing now. Dated 2026-08-31, superseded by the revised roll. Retained in the audit archive as the revision 1 basis.</t>
  </si>
  <si>
    <t xml:space="preserve">Its Suite 045 pending status and $1,925 rent are no longer current.</t>
  </si>
  <si>
    <t xml:space="preserve">rent-roll-archive.xlsx</t>
  </si>
  <si>
    <t xml:space="preserve">STALE — EXCLUDED</t>
  </si>
  <si>
    <t xml:space="preserve">Nothing. Dated 2026-06-30, superseded twice over.</t>
  </si>
  <si>
    <t xml:space="preserve">Its lower rents ($1,425 / $1,575 / $1,850) are not current and were not used anywhere.</t>
  </si>
  <si>
    <t xml:space="preserve">lease-001.pdf</t>
  </si>
  <si>
    <t xml:space="preserve">CONTROLLING (as amended)</t>
  </si>
  <si>
    <t xml:space="preserve">Suite 001 base terms: $1,500/mo, 700 SF, expiry 2029-08-31, $3,000 deposit. Confirms no free-rent concession applies.</t>
  </si>
  <si>
    <t xml:space="preserve">Its $1,500 rent is superseded by the signed amendment.</t>
  </si>
  <si>
    <t xml:space="preserve">lease-correspondence.pdf</t>
  </si>
  <si>
    <t xml:space="preserve">Signed amendment, executed 2026-07-20, effective 2026-08-01: +$350/mo on Suite 001. All other terms unchanged.</t>
  </si>
  <si>
    <t xml:space="preserve">Does not change the prescribed pre-amendment GPR assumption.</t>
  </si>
  <si>
    <t xml:space="preserve">manager-cover.pdf</t>
  </si>
  <si>
    <t xml:space="preserve">CONTEXT + MAPPING</t>
  </si>
  <si>
    <t xml:space="preserve">Property identity (Magnolia Terrace, Raleigh NC multifamily). Group A/B/C = Studio/1BR/2BR. Required approved copy, preserved verbatim.</t>
  </si>
  <si>
    <t xml:space="preserve">Its 45-of-48 headline now coincides with physical occupancy, but only because possession changed — certified detail still controls.</t>
  </si>
  <si>
    <t xml:space="preserve">operating-statement.pdf</t>
  </si>
  <si>
    <t xml:space="preserve">CONTROLLING (historical)</t>
  </si>
  <si>
    <t xml:space="preserve">T-12 cash results 2025-09-01 to 2026-08-31. Reported NOI $604,128. Roof replacement booked at $0 in repairs.</t>
  </si>
  <si>
    <t xml:space="preserve">Historical collections are not an annualized rent-roll total and are not the underwritten EGI.</t>
  </si>
  <si>
    <t xml:space="preserve">insurance.pdf</t>
  </si>
  <si>
    <t xml:space="preserve">GL aggregate limit $2,000,000; effective 2026-07-01 to 2026-06-30 term end 2027-06-30.</t>
  </si>
  <si>
    <t xml:space="preserve">The limit is not the insurance expense; the expense is $34,104.</t>
  </si>
  <si>
    <t xml:space="preserve">underwriting-instructions.pdf</t>
  </si>
  <si>
    <t xml:space="preserve">CONTROLLING as amended</t>
  </si>
  <si>
    <t xml:space="preserve">All underwriting assumptions, loan constraints, sizing conventions and risk definitions, except the cap rate, sizing rate and roll selection amended by the revision notice.</t>
  </si>
  <si>
    <t xml:space="preserve">Does not supply photos, asking price, market comps or sponsor history.</t>
  </si>
  <si>
    <t xml:space="preserve">diligence-status.pdf</t>
  </si>
  <si>
    <t xml:space="preserve">SCOPE LIMITATION</t>
  </si>
  <si>
    <t xml:space="preserve">States legal, environmental, property condition and title reviews are not complete — routine pending diligence.</t>
  </si>
  <si>
    <t xml:space="preserve">Supplies no evidence of contamination, litigation, fraud or structural failure; none is asserted.</t>
  </si>
  <si>
    <t xml:space="preserve">NOT SUPPLIED — EXPLICITLY UNKNOWN (not zero)</t>
  </si>
  <si>
    <t xml:space="preserve">Photographs / imagery</t>
  </si>
  <si>
    <t xml:space="preserve">Not supplied. Not invented.</t>
  </si>
  <si>
    <t xml:space="preserve">Asking price / guidance</t>
  </si>
  <si>
    <t xml:space="preserve">Not supplied. No price expectation is stated anywhere in this package.</t>
  </si>
  <si>
    <t xml:space="preserve">Market sales comparables</t>
  </si>
  <si>
    <t xml:space="preserve">Not supplied. The 5.7500% cap rate is a prescribed instruction, not a market-derived conclusion.</t>
  </si>
  <si>
    <t xml:space="preserve">Market rent comparables</t>
  </si>
  <si>
    <t xml:space="preserve">Not supplied. No mark-to-market or loss-to-lease conclusion can be drawn.</t>
  </si>
  <si>
    <t xml:space="preserve">Sponsor / borrower history</t>
  </si>
  <si>
    <t xml:space="preserve">Not supplied. No track record, credentials or net worth.</t>
  </si>
  <si>
    <t xml:space="preserve">Legal review</t>
  </si>
  <si>
    <t xml:space="preserve">Not complete — routine pending diligence.</t>
  </si>
  <si>
    <t xml:space="preserve">Environmental review</t>
  </si>
  <si>
    <t xml:space="preserve">Property condition assessment</t>
  </si>
  <si>
    <t xml:space="preserve">Not complete — routine pending diligence. Roof replacement scope and warranty unverified.</t>
  </si>
  <si>
    <t xml:space="preserve">Title review</t>
  </si>
  <si>
    <t xml:space="preserve">Property address</t>
  </si>
  <si>
    <t xml:space="preserve">Not represented; original fictional evaluation property.</t>
  </si>
  <si>
    <t xml:space="preserve">Historical occupancy trend</t>
  </si>
  <si>
    <t xml:space="preserve">Only a single point-in-time certified roll is supplied.</t>
  </si>
  <si>
    <t xml:space="preserve">Tax reassessment outlook</t>
  </si>
  <si>
    <t xml:space="preserve">Not supplied. Tax is held flat at the T-12 actual per instruction.</t>
  </si>
  <si>
    <t xml:space="preserve">Capital budget / roof cost</t>
  </si>
  <si>
    <t xml:space="preserve">The roof replacement is described as capital but no dollar amount is supplied.</t>
  </si>
</sst>
</file>

<file path=xl/styles.xml><?xml version="1.0" encoding="utf-8"?>
<styleSheet xmlns="http://schemas.openxmlformats.org/spreadsheetml/2006/main">
  <numFmts count="9">
    <numFmt numFmtId="164" formatCode="General"/>
    <numFmt numFmtId="165" formatCode="\$#,##0;&quot;($&quot;#,##0\);\-"/>
    <numFmt numFmtId="166" formatCode="0.00%"/>
    <numFmt numFmtId="167" formatCode="#,##0"/>
    <numFmt numFmtId="168" formatCode="0.0000%"/>
    <numFmt numFmtId="169" formatCode="0.0000"/>
    <numFmt numFmtId="170" formatCode="\$#,##0.00;&quot;($&quot;#,##0.00\);\-"/>
    <numFmt numFmtId="171" formatCode="0.00000%"/>
    <numFmt numFmtId="172" formatCode="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8" fontId="11" fillId="2"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72"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3"/>
    </row>
    <row r="4" customFormat="false" ht="15" hidden="false" customHeight="false" outlineLevel="0" collapsed="false">
      <c r="A4" s="4" t="s">
        <v>2</v>
      </c>
      <c r="B4" s="4"/>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10</v>
      </c>
    </row>
    <row r="9" customFormat="false" ht="15" hidden="false" customHeight="false" outlineLevel="0" collapsed="false">
      <c r="A9" s="3"/>
      <c r="B9" s="3"/>
    </row>
    <row r="10" customFormat="false" ht="15" hidden="false" customHeight="false" outlineLevel="0" collapsed="false">
      <c r="A10" s="4" t="s">
        <v>11</v>
      </c>
      <c r="B10" s="4" t="s">
        <v>12</v>
      </c>
    </row>
    <row r="11" customFormat="false" ht="15" hidden="false" customHeight="false" outlineLevel="0" collapsed="false">
      <c r="A11" s="3" t="s">
        <v>13</v>
      </c>
      <c r="B11" s="3" t="s">
        <v>14</v>
      </c>
    </row>
    <row r="12" customFormat="false" ht="15" hidden="false" customHeight="false" outlineLevel="0" collapsed="false">
      <c r="A12" s="3" t="s">
        <v>15</v>
      </c>
      <c r="B12" s="3" t="s">
        <v>16</v>
      </c>
    </row>
    <row r="13" customFormat="false" ht="15" hidden="false" customHeight="false" outlineLevel="0" collapsed="false">
      <c r="A13" s="3" t="s">
        <v>17</v>
      </c>
      <c r="B13" s="3" t="s">
        <v>18</v>
      </c>
    </row>
    <row r="14" customFormat="false" ht="15" hidden="false" customHeight="false" outlineLevel="0" collapsed="false">
      <c r="A14" s="3"/>
      <c r="B14" s="3"/>
    </row>
    <row r="15" customFormat="false" ht="15" hidden="false" customHeight="false" outlineLevel="0" collapsed="false">
      <c r="A15" s="4" t="s">
        <v>19</v>
      </c>
      <c r="B15" s="4" t="s">
        <v>12</v>
      </c>
    </row>
    <row r="16" customFormat="false" ht="15" hidden="false" customHeight="false" outlineLevel="0" collapsed="false">
      <c r="A16" s="3" t="s">
        <v>20</v>
      </c>
      <c r="B16" s="3" t="s">
        <v>21</v>
      </c>
    </row>
    <row r="17" customFormat="false" ht="15" hidden="false" customHeight="false" outlineLevel="0" collapsed="false">
      <c r="A17" s="3" t="s">
        <v>22</v>
      </c>
      <c r="B17" s="3" t="s">
        <v>23</v>
      </c>
    </row>
    <row r="18" customFormat="false" ht="15" hidden="false" customHeight="false" outlineLevel="0" collapsed="false">
      <c r="A18" s="3" t="s">
        <v>24</v>
      </c>
      <c r="B18" s="3" t="s">
        <v>25</v>
      </c>
    </row>
    <row r="19" customFormat="false" ht="15" hidden="false" customHeight="false" outlineLevel="0" collapsed="false">
      <c r="A19" s="3" t="s">
        <v>26</v>
      </c>
      <c r="B19" s="3" t="s">
        <v>27</v>
      </c>
    </row>
    <row r="20" customFormat="false" ht="15" hidden="false" customHeight="false" outlineLevel="0" collapsed="false">
      <c r="A20" s="3" t="s">
        <v>28</v>
      </c>
      <c r="B20" s="3" t="s">
        <v>29</v>
      </c>
    </row>
    <row r="21" customFormat="false" ht="15" hidden="false" customHeight="false" outlineLevel="0" collapsed="false">
      <c r="A21" s="3" t="s">
        <v>30</v>
      </c>
      <c r="B21" s="3" t="s">
        <v>31</v>
      </c>
    </row>
    <row r="22" customFormat="false" ht="15" hidden="false" customHeight="false" outlineLevel="0" collapsed="false">
      <c r="A22" s="3"/>
      <c r="B22" s="3"/>
    </row>
    <row r="23" customFormat="false" ht="15" hidden="false" customHeight="false" outlineLevel="0" collapsed="false">
      <c r="A23" s="4" t="s">
        <v>32</v>
      </c>
      <c r="B23" s="4"/>
    </row>
    <row r="24" customFormat="false" ht="15" hidden="false" customHeight="false" outlineLevel="0" collapsed="false">
      <c r="A24" s="3" t="s">
        <v>33</v>
      </c>
      <c r="B24" s="3" t="s">
        <v>34</v>
      </c>
    </row>
    <row r="25" customFormat="false" ht="15" hidden="false" customHeight="false" outlineLevel="0" collapsed="false">
      <c r="A25" s="3" t="s">
        <v>35</v>
      </c>
      <c r="B25" s="3" t="s">
        <v>36</v>
      </c>
    </row>
    <row r="26" customFormat="false" ht="15" hidden="false" customHeight="false" outlineLevel="0" collapsed="false">
      <c r="A26" s="3" t="s">
        <v>37</v>
      </c>
      <c r="B26" s="3" t="s">
        <v>38</v>
      </c>
    </row>
    <row r="27" customFormat="false" ht="15" hidden="false" customHeight="false" outlineLevel="0" collapsed="false">
      <c r="A27" s="3" t="s">
        <v>39</v>
      </c>
      <c r="B27" s="3" t="s">
        <v>40</v>
      </c>
    </row>
    <row r="28" customFormat="false" ht="15" hidden="false" customHeight="false" outlineLevel="0" collapsed="false">
      <c r="A28" s="3" t="s">
        <v>41</v>
      </c>
      <c r="B28" s="3" t="s">
        <v>42</v>
      </c>
    </row>
    <row r="29" customFormat="false" ht="15" hidden="false" customHeight="false" outlineLevel="0" collapsed="false">
      <c r="A29" s="3" t="s">
        <v>43</v>
      </c>
      <c r="B29" s="3" t="s">
        <v>44</v>
      </c>
    </row>
    <row r="30" customFormat="false" ht="15" hidden="false" customHeight="false" outlineLevel="0" collapsed="false">
      <c r="A30" s="3" t="s">
        <v>45</v>
      </c>
      <c r="B30" s="3" t="s">
        <v>46</v>
      </c>
    </row>
    <row r="31" customFormat="false" ht="15" hidden="false" customHeight="false" outlineLevel="0" collapsed="false">
      <c r="A31" s="3" t="s">
        <v>47</v>
      </c>
      <c r="B31" s="3" t="s">
        <v>48</v>
      </c>
    </row>
    <row r="32" customFormat="false" ht="15" hidden="false" customHeight="false" outlineLevel="0" collapsed="false">
      <c r="A32" s="3" t="s">
        <v>49</v>
      </c>
      <c r="B32" s="3" t="s">
        <v>50</v>
      </c>
    </row>
    <row r="33" customFormat="false" ht="15" hidden="false" customHeight="false" outlineLevel="0" collapsed="false">
      <c r="A33" s="3"/>
      <c r="B33" s="3"/>
    </row>
    <row r="34" customFormat="false" ht="15" hidden="false" customHeight="false" outlineLevel="0" collapsed="false">
      <c r="A34" s="4" t="s">
        <v>51</v>
      </c>
      <c r="B34" s="4" t="s">
        <v>52</v>
      </c>
    </row>
    <row r="35" customFormat="false" ht="15" hidden="false" customHeight="false" outlineLevel="0" collapsed="false">
      <c r="A35" s="3" t="s">
        <v>53</v>
      </c>
      <c r="B35" s="3" t="s">
        <v>54</v>
      </c>
    </row>
    <row r="36" customFormat="false" ht="15" hidden="false" customHeight="false" outlineLevel="0" collapsed="false">
      <c r="A36" s="3" t="s">
        <v>55</v>
      </c>
      <c r="B36" s="3" t="s">
        <v>56</v>
      </c>
    </row>
    <row r="37" customFormat="false" ht="15" hidden="false" customHeight="false" outlineLevel="0" collapsed="false">
      <c r="A37" s="3" t="s">
        <v>15</v>
      </c>
      <c r="B37" s="3" t="s">
        <v>57</v>
      </c>
    </row>
    <row r="38" customFormat="false" ht="15" hidden="false" customHeight="false" outlineLevel="0" collapsed="false">
      <c r="A38" s="3" t="s">
        <v>17</v>
      </c>
      <c r="B38" s="3" t="s">
        <v>58</v>
      </c>
    </row>
    <row r="39" customFormat="false" ht="15" hidden="false" customHeight="false" outlineLevel="0" collapsed="false">
      <c r="A39" s="3" t="s">
        <v>59</v>
      </c>
      <c r="B39" s="3" t="s">
        <v>60</v>
      </c>
    </row>
    <row r="40" customFormat="false" ht="15" hidden="false" customHeight="false" outlineLevel="0" collapsed="false">
      <c r="A40" s="3"/>
      <c r="B40" s="3"/>
    </row>
    <row r="41" customFormat="false" ht="15" hidden="false" customHeight="false" outlineLevel="0" collapsed="false">
      <c r="A41" s="4" t="s">
        <v>61</v>
      </c>
      <c r="B41" s="4" t="s">
        <v>62</v>
      </c>
    </row>
    <row r="42" customFormat="false" ht="15" hidden="false" customHeight="false" outlineLevel="0" collapsed="false">
      <c r="A42" s="3"/>
      <c r="B42" s="3" t="s">
        <v>63</v>
      </c>
    </row>
    <row r="43" customFormat="false" ht="15" hidden="false" customHeight="false" outlineLevel="0" collapsed="false">
      <c r="A43" s="3"/>
      <c r="B43" s="3" t="s">
        <v>64</v>
      </c>
    </row>
    <row r="44" customFormat="false" ht="15" hidden="false" customHeight="false" outlineLevel="0" collapsed="false">
      <c r="A44" s="3"/>
      <c r="B44" s="3"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18"/>
    <col collapsed="false" customWidth="true" hidden="false" outlineLevel="0" max="5" min="5" style="0" width="60"/>
  </cols>
  <sheetData>
    <row r="1" customFormat="false" ht="17.35" hidden="false" customHeight="false" outlineLevel="0" collapsed="false">
      <c r="A1" s="1" t="s">
        <v>66</v>
      </c>
    </row>
    <row r="2" customFormat="false" ht="15" hidden="false" customHeight="false" outlineLevel="0" collapsed="false">
      <c r="A2" s="2" t="s">
        <v>67</v>
      </c>
    </row>
    <row r="4" customFormat="false" ht="15" hidden="false" customHeight="false" outlineLevel="0" collapsed="false">
      <c r="A4" s="5" t="s">
        <v>68</v>
      </c>
      <c r="B4" s="5" t="s">
        <v>69</v>
      </c>
      <c r="C4" s="5" t="s">
        <v>70</v>
      </c>
      <c r="D4" s="5" t="s">
        <v>71</v>
      </c>
      <c r="E4" s="5" t="s">
        <v>72</v>
      </c>
    </row>
    <row r="5" customFormat="false" ht="15" hidden="false" customHeight="false" outlineLevel="0" collapsed="false">
      <c r="A5" s="6" t="s">
        <v>73</v>
      </c>
      <c r="B5" s="7"/>
      <c r="C5" s="7"/>
      <c r="D5" s="7"/>
      <c r="E5" s="8"/>
    </row>
    <row r="6" customFormat="false" ht="15" hidden="false" customHeight="false" outlineLevel="0" collapsed="false">
      <c r="A6" s="3" t="s">
        <v>74</v>
      </c>
      <c r="B6" s="3" t="s">
        <v>75</v>
      </c>
      <c r="C6" s="3" t="s">
        <v>76</v>
      </c>
      <c r="D6" s="4" t="s">
        <v>77</v>
      </c>
      <c r="E6" s="9" t="s">
        <v>78</v>
      </c>
    </row>
    <row r="7" customFormat="false" ht="15" hidden="false" customHeight="false" outlineLevel="0" collapsed="false">
      <c r="A7" s="3" t="s">
        <v>15</v>
      </c>
      <c r="B7" s="3" t="s">
        <v>79</v>
      </c>
      <c r="C7" s="3" t="s">
        <v>80</v>
      </c>
      <c r="D7" s="4" t="s">
        <v>81</v>
      </c>
      <c r="E7" s="9" t="s">
        <v>82</v>
      </c>
    </row>
    <row r="8" customFormat="false" ht="15" hidden="false" customHeight="false" outlineLevel="0" collapsed="false">
      <c r="A8" s="3" t="s">
        <v>17</v>
      </c>
      <c r="B8" s="3" t="s">
        <v>83</v>
      </c>
      <c r="C8" s="3" t="s">
        <v>84</v>
      </c>
      <c r="D8" s="4" t="s">
        <v>85</v>
      </c>
      <c r="E8" s="9" t="s">
        <v>86</v>
      </c>
    </row>
    <row r="9" customFormat="false" ht="15" hidden="false" customHeight="false" outlineLevel="0" collapsed="false">
      <c r="A9" s="3" t="s">
        <v>87</v>
      </c>
      <c r="B9" s="3" t="s">
        <v>88</v>
      </c>
      <c r="C9" s="3" t="s">
        <v>89</v>
      </c>
      <c r="D9" s="4" t="s">
        <v>90</v>
      </c>
      <c r="E9" s="9" t="s">
        <v>82</v>
      </c>
    </row>
    <row r="10" customFormat="false" ht="15" hidden="false" customHeight="false" outlineLevel="0" collapsed="false">
      <c r="A10" s="3" t="s">
        <v>91</v>
      </c>
      <c r="B10" s="3" t="s">
        <v>92</v>
      </c>
      <c r="C10" s="3" t="s">
        <v>93</v>
      </c>
      <c r="D10" s="4" t="s">
        <v>94</v>
      </c>
      <c r="E10" s="9" t="s">
        <v>82</v>
      </c>
    </row>
    <row r="11" customFormat="false" ht="15" hidden="false" customHeight="false" outlineLevel="0" collapsed="false">
      <c r="A11" s="3"/>
      <c r="B11" s="3"/>
      <c r="C11" s="3"/>
      <c r="D11" s="3"/>
      <c r="E11" s="9"/>
    </row>
    <row r="12" customFormat="false" ht="15" hidden="false" customHeight="false" outlineLevel="0" collapsed="false">
      <c r="A12" s="6" t="s">
        <v>95</v>
      </c>
      <c r="B12" s="7"/>
      <c r="C12" s="7"/>
      <c r="D12" s="7"/>
      <c r="E12" s="8"/>
    </row>
    <row r="13" customFormat="false" ht="15" hidden="false" customHeight="false" outlineLevel="0" collapsed="false">
      <c r="A13" s="3" t="s">
        <v>96</v>
      </c>
      <c r="B13" s="3" t="s">
        <v>97</v>
      </c>
      <c r="C13" s="3" t="s">
        <v>98</v>
      </c>
      <c r="D13" s="4" t="s">
        <v>99</v>
      </c>
      <c r="E13" s="9" t="s">
        <v>100</v>
      </c>
    </row>
    <row r="14" customFormat="false" ht="15" hidden="false" customHeight="false" outlineLevel="0" collapsed="false">
      <c r="A14" s="3" t="s">
        <v>101</v>
      </c>
      <c r="B14" s="3" t="s">
        <v>102</v>
      </c>
      <c r="C14" s="3" t="s">
        <v>103</v>
      </c>
      <c r="D14" s="4" t="s">
        <v>104</v>
      </c>
      <c r="E14" s="9" t="s">
        <v>105</v>
      </c>
    </row>
    <row r="15" customFormat="false" ht="15" hidden="false" customHeight="false" outlineLevel="0" collapsed="false">
      <c r="A15" s="3" t="s">
        <v>106</v>
      </c>
      <c r="B15" s="3" t="s">
        <v>107</v>
      </c>
      <c r="C15" s="3" t="s">
        <v>108</v>
      </c>
      <c r="D15" s="4" t="s">
        <v>109</v>
      </c>
      <c r="E15" s="9" t="s">
        <v>110</v>
      </c>
    </row>
    <row r="16" customFormat="false" ht="15" hidden="false" customHeight="false" outlineLevel="0" collapsed="false">
      <c r="A16" s="3" t="s">
        <v>111</v>
      </c>
      <c r="B16" s="3" t="s">
        <v>112</v>
      </c>
      <c r="C16" s="3" t="s">
        <v>113</v>
      </c>
      <c r="D16" s="4" t="s">
        <v>114</v>
      </c>
      <c r="E16" s="9" t="s">
        <v>115</v>
      </c>
    </row>
    <row r="17" customFormat="false" ht="15" hidden="false" customHeight="false" outlineLevel="0" collapsed="false">
      <c r="A17" s="3" t="s">
        <v>116</v>
      </c>
      <c r="B17" s="3" t="s">
        <v>117</v>
      </c>
      <c r="C17" s="3" t="s">
        <v>113</v>
      </c>
      <c r="D17" s="4" t="s">
        <v>118</v>
      </c>
      <c r="E17" s="9" t="s">
        <v>119</v>
      </c>
    </row>
    <row r="18" customFormat="false" ht="15" hidden="false" customHeight="false" outlineLevel="0" collapsed="false">
      <c r="A18" s="3" t="s">
        <v>120</v>
      </c>
      <c r="B18" s="3" t="s">
        <v>121</v>
      </c>
      <c r="C18" s="3" t="s">
        <v>122</v>
      </c>
      <c r="D18" s="4" t="s">
        <v>99</v>
      </c>
      <c r="E18" s="9" t="s">
        <v>123</v>
      </c>
    </row>
    <row r="19" customFormat="false" ht="15" hidden="false" customHeight="false" outlineLevel="0" collapsed="false">
      <c r="A19" s="3" t="s">
        <v>124</v>
      </c>
      <c r="B19" s="3" t="s">
        <v>125</v>
      </c>
      <c r="C19" s="3" t="s">
        <v>126</v>
      </c>
      <c r="D19" s="4" t="s">
        <v>127</v>
      </c>
      <c r="E19" s="9" t="s">
        <v>128</v>
      </c>
    </row>
    <row r="20" customFormat="false" ht="23.85" hidden="false" customHeight="false" outlineLevel="0" collapsed="false">
      <c r="A20" s="3" t="s">
        <v>13</v>
      </c>
      <c r="B20" s="3" t="s">
        <v>129</v>
      </c>
      <c r="C20" s="3" t="s">
        <v>130</v>
      </c>
      <c r="D20" s="4" t="s">
        <v>131</v>
      </c>
      <c r="E20" s="9" t="s">
        <v>132</v>
      </c>
    </row>
    <row r="21" customFormat="false" ht="15" hidden="false" customHeight="false" outlineLevel="0" collapsed="false">
      <c r="A21" s="3" t="s">
        <v>20</v>
      </c>
      <c r="B21" s="3" t="s">
        <v>133</v>
      </c>
      <c r="C21" s="3" t="s">
        <v>134</v>
      </c>
      <c r="D21" s="4" t="s">
        <v>135</v>
      </c>
      <c r="E21" s="9" t="s">
        <v>136</v>
      </c>
    </row>
    <row r="22" customFormat="false" ht="15" hidden="false" customHeight="false" outlineLevel="0" collapsed="false">
      <c r="A22" s="3" t="s">
        <v>137</v>
      </c>
      <c r="B22" s="3" t="s">
        <v>138</v>
      </c>
      <c r="C22" s="3" t="s">
        <v>139</v>
      </c>
      <c r="D22" s="4" t="s">
        <v>140</v>
      </c>
      <c r="E22" s="9" t="s">
        <v>141</v>
      </c>
    </row>
    <row r="23" customFormat="false" ht="15" hidden="false" customHeight="false" outlineLevel="0" collapsed="false">
      <c r="A23" s="3" t="s">
        <v>22</v>
      </c>
      <c r="B23" s="3" t="s">
        <v>142</v>
      </c>
      <c r="C23" s="3" t="s">
        <v>143</v>
      </c>
      <c r="D23" s="4" t="s">
        <v>144</v>
      </c>
      <c r="E23" s="9" t="s">
        <v>145</v>
      </c>
    </row>
    <row r="24" customFormat="false" ht="15" hidden="false" customHeight="false" outlineLevel="0" collapsed="false">
      <c r="A24" s="3" t="s">
        <v>24</v>
      </c>
      <c r="B24" s="3" t="s">
        <v>146</v>
      </c>
      <c r="C24" s="3" t="s">
        <v>147</v>
      </c>
      <c r="D24" s="4" t="s">
        <v>144</v>
      </c>
      <c r="E24" s="9" t="s">
        <v>148</v>
      </c>
    </row>
    <row r="25" customFormat="false" ht="15" hidden="false" customHeight="false" outlineLevel="0" collapsed="false">
      <c r="A25" s="3" t="s">
        <v>26</v>
      </c>
      <c r="B25" s="3" t="s">
        <v>149</v>
      </c>
      <c r="C25" s="3" t="s">
        <v>150</v>
      </c>
      <c r="D25" s="4" t="s">
        <v>151</v>
      </c>
      <c r="E25" s="9" t="s">
        <v>152</v>
      </c>
    </row>
    <row r="26" customFormat="false" ht="15" hidden="false" customHeight="false" outlineLevel="0" collapsed="false">
      <c r="A26" s="3" t="s">
        <v>153</v>
      </c>
      <c r="B26" s="3" t="s">
        <v>154</v>
      </c>
      <c r="C26" s="3" t="s">
        <v>155</v>
      </c>
      <c r="D26" s="4" t="s">
        <v>156</v>
      </c>
      <c r="E26" s="9" t="s">
        <v>157</v>
      </c>
    </row>
    <row r="27" customFormat="false" ht="15" hidden="false" customHeight="false" outlineLevel="0" collapsed="false">
      <c r="A27" s="3" t="s">
        <v>28</v>
      </c>
      <c r="B27" s="3" t="s">
        <v>158</v>
      </c>
      <c r="C27" s="3" t="s">
        <v>159</v>
      </c>
      <c r="D27" s="4" t="s">
        <v>160</v>
      </c>
      <c r="E27" s="9" t="s">
        <v>161</v>
      </c>
    </row>
    <row r="28" customFormat="false" ht="15" hidden="false" customHeight="false" outlineLevel="0" collapsed="false">
      <c r="A28" s="3" t="s">
        <v>162</v>
      </c>
      <c r="B28" s="3" t="s">
        <v>163</v>
      </c>
      <c r="C28" s="3" t="s">
        <v>164</v>
      </c>
      <c r="D28" s="4" t="s">
        <v>165</v>
      </c>
      <c r="E28" s="9" t="s">
        <v>166</v>
      </c>
    </row>
    <row r="29" customFormat="false" ht="15" hidden="false" customHeight="false" outlineLevel="0" collapsed="false">
      <c r="A29" s="3" t="s">
        <v>30</v>
      </c>
      <c r="B29" s="3" t="s">
        <v>167</v>
      </c>
      <c r="C29" s="3" t="s">
        <v>168</v>
      </c>
      <c r="D29" s="4" t="s">
        <v>169</v>
      </c>
      <c r="E29" s="9" t="s">
        <v>170</v>
      </c>
    </row>
    <row r="30" customFormat="false" ht="15" hidden="false" customHeight="false" outlineLevel="0" collapsed="false">
      <c r="A30" s="3" t="s">
        <v>171</v>
      </c>
      <c r="B30" s="3" t="s">
        <v>172</v>
      </c>
      <c r="C30" s="3" t="s">
        <v>173</v>
      </c>
      <c r="D30" s="4" t="s">
        <v>174</v>
      </c>
      <c r="E30" s="9" t="s">
        <v>175</v>
      </c>
    </row>
    <row r="31" customFormat="false" ht="15" hidden="false" customHeight="false" outlineLevel="0" collapsed="false">
      <c r="A31" s="3" t="s">
        <v>176</v>
      </c>
      <c r="B31" s="3" t="s">
        <v>177</v>
      </c>
      <c r="C31" s="3" t="s">
        <v>178</v>
      </c>
      <c r="D31" s="4" t="s">
        <v>179</v>
      </c>
      <c r="E31" s="9" t="s">
        <v>180</v>
      </c>
    </row>
    <row r="32" customFormat="false" ht="15" hidden="false" customHeight="false" outlineLevel="0" collapsed="false">
      <c r="A32" s="3" t="s">
        <v>181</v>
      </c>
      <c r="B32" s="3" t="s">
        <v>182</v>
      </c>
      <c r="C32" s="3" t="s">
        <v>183</v>
      </c>
      <c r="D32" s="4" t="s">
        <v>184</v>
      </c>
      <c r="E32" s="9" t="s">
        <v>185</v>
      </c>
    </row>
    <row r="33" customFormat="false" ht="15" hidden="false" customHeight="false" outlineLevel="0" collapsed="false">
      <c r="A33" s="3"/>
      <c r="B33" s="3"/>
      <c r="C33" s="3"/>
      <c r="D33" s="3"/>
      <c r="E33" s="9"/>
    </row>
    <row r="34" customFormat="false" ht="15" hidden="false" customHeight="false" outlineLevel="0" collapsed="false">
      <c r="A34" s="6" t="s">
        <v>186</v>
      </c>
      <c r="B34" s="7"/>
      <c r="C34" s="7"/>
      <c r="D34" s="7"/>
      <c r="E34" s="8"/>
    </row>
    <row r="35" customFormat="false" ht="23.85" hidden="false" customHeight="false" outlineLevel="0" collapsed="false">
      <c r="A35" s="3" t="s">
        <v>187</v>
      </c>
      <c r="B35" s="3" t="s">
        <v>188</v>
      </c>
      <c r="C35" s="3" t="s">
        <v>188</v>
      </c>
      <c r="D35" s="3" t="s">
        <v>189</v>
      </c>
      <c r="E35" s="9" t="s">
        <v>190</v>
      </c>
    </row>
    <row r="36" customFormat="false" ht="15" hidden="false" customHeight="false" outlineLevel="0" collapsed="false">
      <c r="A36" s="3" t="s">
        <v>191</v>
      </c>
      <c r="B36" s="3" t="s">
        <v>192</v>
      </c>
      <c r="C36" s="3" t="s">
        <v>192</v>
      </c>
      <c r="D36" s="3" t="s">
        <v>189</v>
      </c>
      <c r="E36" s="9" t="s">
        <v>193</v>
      </c>
    </row>
    <row r="37" customFormat="false" ht="15" hidden="false" customHeight="false" outlineLevel="0" collapsed="false">
      <c r="A37" s="3" t="s">
        <v>194</v>
      </c>
      <c r="B37" s="3" t="s">
        <v>195</v>
      </c>
      <c r="C37" s="3" t="s">
        <v>195</v>
      </c>
      <c r="D37" s="3" t="s">
        <v>189</v>
      </c>
      <c r="E37" s="9" t="s">
        <v>196</v>
      </c>
    </row>
    <row r="38" customFormat="false" ht="15" hidden="false" customHeight="false" outlineLevel="0" collapsed="false">
      <c r="A38" s="3" t="s">
        <v>197</v>
      </c>
      <c r="B38" s="3" t="s">
        <v>198</v>
      </c>
      <c r="C38" s="3" t="s">
        <v>198</v>
      </c>
      <c r="D38" s="3" t="s">
        <v>189</v>
      </c>
      <c r="E38" s="9" t="s">
        <v>199</v>
      </c>
    </row>
    <row r="39" customFormat="false" ht="15" hidden="false" customHeight="false" outlineLevel="0" collapsed="false">
      <c r="A39" s="3" t="s">
        <v>200</v>
      </c>
      <c r="B39" s="3" t="s">
        <v>201</v>
      </c>
      <c r="C39" s="3" t="s">
        <v>201</v>
      </c>
      <c r="D39" s="3" t="s">
        <v>189</v>
      </c>
      <c r="E39" s="9" t="s">
        <v>202</v>
      </c>
    </row>
    <row r="40" customFormat="false" ht="15" hidden="false" customHeight="false" outlineLevel="0" collapsed="false">
      <c r="A40" s="3" t="s">
        <v>203</v>
      </c>
      <c r="B40" s="3" t="s">
        <v>204</v>
      </c>
      <c r="C40" s="3" t="s">
        <v>204</v>
      </c>
      <c r="D40" s="3" t="s">
        <v>189</v>
      </c>
      <c r="E40" s="9" t="s">
        <v>205</v>
      </c>
    </row>
    <row r="41" customFormat="false" ht="15" hidden="false" customHeight="false" outlineLevel="0" collapsed="false">
      <c r="A41" s="3" t="s">
        <v>206</v>
      </c>
      <c r="B41" s="3" t="s">
        <v>207</v>
      </c>
      <c r="C41" s="3" t="s">
        <v>207</v>
      </c>
      <c r="D41" s="3" t="s">
        <v>189</v>
      </c>
      <c r="E41" s="9" t="s">
        <v>205</v>
      </c>
    </row>
    <row r="42" customFormat="false" ht="15" hidden="false" customHeight="false" outlineLevel="0" collapsed="false">
      <c r="A42" s="3" t="s">
        <v>208</v>
      </c>
      <c r="B42" s="3" t="s">
        <v>209</v>
      </c>
      <c r="C42" s="3" t="s">
        <v>209</v>
      </c>
      <c r="D42" s="3" t="s">
        <v>189</v>
      </c>
      <c r="E42" s="9" t="s">
        <v>210</v>
      </c>
    </row>
    <row r="43" customFormat="false" ht="15" hidden="false" customHeight="false" outlineLevel="0" collapsed="false">
      <c r="A43" s="3" t="s">
        <v>211</v>
      </c>
      <c r="B43" s="3" t="s">
        <v>212</v>
      </c>
      <c r="C43" s="3" t="s">
        <v>212</v>
      </c>
      <c r="D43" s="3" t="s">
        <v>189</v>
      </c>
      <c r="E43" s="9" t="s">
        <v>213</v>
      </c>
    </row>
    <row r="44" customFormat="false" ht="15" hidden="false" customHeight="false" outlineLevel="0" collapsed="false">
      <c r="A44" s="3" t="s">
        <v>214</v>
      </c>
      <c r="B44" s="3" t="s">
        <v>215</v>
      </c>
      <c r="C44" s="3" t="s">
        <v>215</v>
      </c>
      <c r="D44" s="3" t="s">
        <v>189</v>
      </c>
      <c r="E44" s="9" t="s">
        <v>216</v>
      </c>
    </row>
    <row r="45" customFormat="false" ht="15" hidden="false" customHeight="false" outlineLevel="0" collapsed="false">
      <c r="A45" s="3" t="s">
        <v>217</v>
      </c>
      <c r="B45" s="3" t="s">
        <v>218</v>
      </c>
      <c r="C45" s="3" t="s">
        <v>218</v>
      </c>
      <c r="D45" s="3" t="s">
        <v>189</v>
      </c>
      <c r="E45" s="9" t="s">
        <v>219</v>
      </c>
    </row>
    <row r="46" customFormat="false" ht="15" hidden="false" customHeight="false" outlineLevel="0" collapsed="false">
      <c r="A46" s="3" t="s">
        <v>220</v>
      </c>
      <c r="B46" s="3" t="s">
        <v>221</v>
      </c>
      <c r="C46" s="3" t="s">
        <v>221</v>
      </c>
      <c r="D46" s="3" t="s">
        <v>189</v>
      </c>
      <c r="E46" s="9" t="s">
        <v>222</v>
      </c>
    </row>
    <row r="47" customFormat="false" ht="15" hidden="false" customHeight="false" outlineLevel="0" collapsed="false">
      <c r="A47" s="3" t="s">
        <v>223</v>
      </c>
      <c r="B47" s="3" t="s">
        <v>224</v>
      </c>
      <c r="C47" s="3" t="s">
        <v>224</v>
      </c>
      <c r="D47" s="3" t="s">
        <v>189</v>
      </c>
      <c r="E47" s="9" t="s">
        <v>225</v>
      </c>
    </row>
    <row r="48" customFormat="false" ht="23.85" hidden="false" customHeight="false" outlineLevel="0" collapsed="false">
      <c r="A48" s="3" t="s">
        <v>226</v>
      </c>
      <c r="B48" s="3" t="s">
        <v>183</v>
      </c>
      <c r="C48" s="3" t="s">
        <v>183</v>
      </c>
      <c r="D48" s="3" t="s">
        <v>189</v>
      </c>
      <c r="E48" s="9" t="s">
        <v>227</v>
      </c>
    </row>
    <row r="49" customFormat="false" ht="23.85" hidden="false" customHeight="false" outlineLevel="0" collapsed="false">
      <c r="A49" s="3" t="s">
        <v>228</v>
      </c>
      <c r="B49" s="3" t="s">
        <v>229</v>
      </c>
      <c r="C49" s="3" t="s">
        <v>229</v>
      </c>
      <c r="D49" s="3" t="s">
        <v>189</v>
      </c>
      <c r="E49" s="9"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4" min="4" style="0" width="42"/>
    <col collapsed="false" customWidth="true" hidden="false" outlineLevel="0" max="5" min="5" style="0" width="62"/>
  </cols>
  <sheetData>
    <row r="1" customFormat="false" ht="17.35" hidden="false" customHeight="false" outlineLevel="0" collapsed="false">
      <c r="A1" s="1" t="s">
        <v>231</v>
      </c>
    </row>
    <row r="2" customFormat="false" ht="15" hidden="false" customHeight="false" outlineLevel="0" collapsed="false">
      <c r="A2" s="2" t="s">
        <v>232</v>
      </c>
    </row>
    <row r="4" customFormat="false" ht="15" hidden="false" customHeight="false" outlineLevel="0" collapsed="false">
      <c r="A4" s="5" t="s">
        <v>233</v>
      </c>
      <c r="B4" s="5" t="s">
        <v>234</v>
      </c>
      <c r="C4" s="5" t="s">
        <v>235</v>
      </c>
      <c r="D4" s="5" t="s">
        <v>236</v>
      </c>
      <c r="E4" s="5" t="s">
        <v>237</v>
      </c>
    </row>
    <row r="5" customFormat="false" ht="23.85" hidden="false" customHeight="false" outlineLevel="0" collapsed="false">
      <c r="A5" s="10" t="s">
        <v>238</v>
      </c>
      <c r="B5" s="11" t="n">
        <v>977100</v>
      </c>
      <c r="C5" s="12" t="s">
        <v>239</v>
      </c>
      <c r="D5" s="10" t="s">
        <v>240</v>
      </c>
      <c r="E5" s="10" t="s">
        <v>241</v>
      </c>
    </row>
    <row r="6" customFormat="false" ht="15" hidden="false" customHeight="false" outlineLevel="0" collapsed="false">
      <c r="A6" s="10" t="s">
        <v>242</v>
      </c>
      <c r="B6" s="13" t="n">
        <v>0.05</v>
      </c>
      <c r="C6" s="12" t="s">
        <v>243</v>
      </c>
      <c r="D6" s="10" t="s">
        <v>244</v>
      </c>
      <c r="E6" s="10" t="s">
        <v>245</v>
      </c>
    </row>
    <row r="7" customFormat="false" ht="15" hidden="false" customHeight="false" outlineLevel="0" collapsed="false">
      <c r="A7" s="10" t="s">
        <v>246</v>
      </c>
      <c r="B7" s="14" t="n">
        <v>350</v>
      </c>
      <c r="C7" s="12" t="s">
        <v>239</v>
      </c>
      <c r="D7" s="10" t="s">
        <v>244</v>
      </c>
      <c r="E7" s="10" t="s">
        <v>247</v>
      </c>
    </row>
    <row r="8" customFormat="false" ht="15" hidden="false" customHeight="false" outlineLevel="0" collapsed="false">
      <c r="A8" s="10" t="s">
        <v>248</v>
      </c>
      <c r="B8" s="15" t="n">
        <v>48</v>
      </c>
      <c r="C8" s="12" t="s">
        <v>249</v>
      </c>
      <c r="D8" s="10" t="s">
        <v>250</v>
      </c>
      <c r="E8" s="10" t="s">
        <v>251</v>
      </c>
    </row>
    <row r="9" customFormat="false" ht="23.85" hidden="false" customHeight="false" outlineLevel="0" collapsed="false">
      <c r="A9" s="10" t="s">
        <v>252</v>
      </c>
      <c r="B9" s="14" t="n">
        <v>102312</v>
      </c>
      <c r="C9" s="12" t="s">
        <v>239</v>
      </c>
      <c r="D9" s="10" t="s">
        <v>253</v>
      </c>
      <c r="E9" s="10" t="s">
        <v>254</v>
      </c>
    </row>
    <row r="10" customFormat="false" ht="23.85" hidden="false" customHeight="false" outlineLevel="0" collapsed="false">
      <c r="A10" s="10" t="s">
        <v>255</v>
      </c>
      <c r="B10" s="14" t="n">
        <v>34104</v>
      </c>
      <c r="C10" s="12" t="s">
        <v>239</v>
      </c>
      <c r="D10" s="10" t="s">
        <v>253</v>
      </c>
      <c r="E10" s="10" t="s">
        <v>256</v>
      </c>
    </row>
    <row r="11" customFormat="false" ht="23.85" hidden="false" customHeight="false" outlineLevel="0" collapsed="false">
      <c r="A11" s="10" t="s">
        <v>257</v>
      </c>
      <c r="B11" s="14" t="n">
        <v>136416</v>
      </c>
      <c r="C11" s="12" t="s">
        <v>239</v>
      </c>
      <c r="D11" s="10" t="s">
        <v>253</v>
      </c>
      <c r="E11" s="10" t="s">
        <v>254</v>
      </c>
    </row>
    <row r="12" customFormat="false" ht="15" hidden="false" customHeight="false" outlineLevel="0" collapsed="false">
      <c r="A12" s="10" t="s">
        <v>258</v>
      </c>
      <c r="B12" s="13" t="n">
        <v>0.03</v>
      </c>
      <c r="C12" s="12" t="s">
        <v>259</v>
      </c>
      <c r="D12" s="10" t="s">
        <v>244</v>
      </c>
      <c r="E12" s="10" t="s">
        <v>260</v>
      </c>
    </row>
    <row r="13" customFormat="false" ht="15" hidden="false" customHeight="false" outlineLevel="0" collapsed="false">
      <c r="A13" s="10" t="s">
        <v>261</v>
      </c>
      <c r="B13" s="14" t="n">
        <v>300</v>
      </c>
      <c r="C13" s="12" t="s">
        <v>239</v>
      </c>
      <c r="D13" s="10" t="s">
        <v>244</v>
      </c>
      <c r="E13" s="10" t="s">
        <v>262</v>
      </c>
    </row>
    <row r="14" customFormat="false" ht="15" hidden="false" customHeight="false" outlineLevel="0" collapsed="false">
      <c r="A14" s="10" t="s">
        <v>15</v>
      </c>
      <c r="B14" s="16" t="n">
        <v>0.06</v>
      </c>
      <c r="C14" s="12" t="s">
        <v>263</v>
      </c>
      <c r="D14" s="10" t="s">
        <v>264</v>
      </c>
      <c r="E14" s="10" t="s">
        <v>265</v>
      </c>
    </row>
    <row r="15" customFormat="false" ht="23.85" hidden="false" customHeight="false" outlineLevel="0" collapsed="false">
      <c r="A15" s="10" t="s">
        <v>266</v>
      </c>
      <c r="B15" s="17" t="n">
        <v>0.0625</v>
      </c>
      <c r="C15" s="12" t="s">
        <v>263</v>
      </c>
      <c r="D15" s="10" t="s">
        <v>244</v>
      </c>
      <c r="E15" s="10" t="s">
        <v>267</v>
      </c>
    </row>
    <row r="16" customFormat="false" ht="15" hidden="false" customHeight="false" outlineLevel="0" collapsed="false">
      <c r="A16" s="10" t="s">
        <v>268</v>
      </c>
      <c r="B16" s="17" t="n">
        <v>0.06</v>
      </c>
      <c r="C16" s="12" t="s">
        <v>263</v>
      </c>
      <c r="D16" s="10" t="s">
        <v>244</v>
      </c>
      <c r="E16" s="10" t="s">
        <v>269</v>
      </c>
    </row>
    <row r="17" customFormat="false" ht="23.85" hidden="false" customHeight="false" outlineLevel="0" collapsed="false">
      <c r="A17" s="10" t="s">
        <v>17</v>
      </c>
      <c r="B17" s="16" t="n">
        <v>0.07</v>
      </c>
      <c r="C17" s="12" t="s">
        <v>263</v>
      </c>
      <c r="D17" s="10" t="s">
        <v>264</v>
      </c>
      <c r="E17" s="10" t="s">
        <v>270</v>
      </c>
    </row>
    <row r="18" customFormat="false" ht="23.85" hidden="false" customHeight="false" outlineLevel="0" collapsed="false">
      <c r="A18" s="10" t="s">
        <v>271</v>
      </c>
      <c r="B18" s="15" t="n">
        <v>30</v>
      </c>
      <c r="C18" s="12" t="s">
        <v>272</v>
      </c>
      <c r="D18" s="10" t="s">
        <v>244</v>
      </c>
      <c r="E18" s="10" t="s">
        <v>273</v>
      </c>
    </row>
    <row r="19" customFormat="false" ht="15" hidden="false" customHeight="false" outlineLevel="0" collapsed="false">
      <c r="A19" s="10" t="s">
        <v>274</v>
      </c>
      <c r="B19" s="15" t="n">
        <v>12</v>
      </c>
      <c r="C19" s="12" t="s">
        <v>275</v>
      </c>
      <c r="D19" s="10" t="s">
        <v>244</v>
      </c>
      <c r="E19" s="10" t="s">
        <v>276</v>
      </c>
    </row>
    <row r="20" customFormat="false" ht="15" hidden="false" customHeight="false" outlineLevel="0" collapsed="false">
      <c r="A20" s="10" t="s">
        <v>277</v>
      </c>
      <c r="B20" s="13" t="n">
        <v>0.65</v>
      </c>
      <c r="C20" s="12" t="s">
        <v>263</v>
      </c>
      <c r="D20" s="10" t="s">
        <v>244</v>
      </c>
      <c r="E20" s="10" t="s">
        <v>278</v>
      </c>
    </row>
    <row r="21" customFormat="false" ht="15" hidden="false" customHeight="false" outlineLevel="0" collapsed="false">
      <c r="A21" s="10" t="s">
        <v>279</v>
      </c>
      <c r="B21" s="18" t="n">
        <v>1.25</v>
      </c>
      <c r="C21" s="12" t="s">
        <v>280</v>
      </c>
      <c r="D21" s="10" t="s">
        <v>244</v>
      </c>
      <c r="E21" s="10" t="s">
        <v>281</v>
      </c>
    </row>
    <row r="22" customFormat="false" ht="15" hidden="false" customHeight="false" outlineLevel="0" collapsed="false">
      <c r="A22" s="10" t="s">
        <v>282</v>
      </c>
      <c r="B22" s="13" t="n">
        <v>0.09</v>
      </c>
      <c r="C22" s="12" t="s">
        <v>263</v>
      </c>
      <c r="D22" s="10" t="s">
        <v>244</v>
      </c>
      <c r="E22" s="10" t="s">
        <v>281</v>
      </c>
    </row>
    <row r="23" customFormat="false" ht="15" hidden="false" customHeight="false" outlineLevel="0" collapsed="false">
      <c r="A23" s="10" t="s">
        <v>162</v>
      </c>
      <c r="B23" s="13" t="n">
        <v>0.01</v>
      </c>
      <c r="C23" s="12" t="s">
        <v>283</v>
      </c>
      <c r="D23" s="10" t="s">
        <v>244</v>
      </c>
      <c r="E23" s="10" t="s">
        <v>284</v>
      </c>
    </row>
    <row r="24" customFormat="false" ht="15" hidden="false" customHeight="false" outlineLevel="0" collapsed="false">
      <c r="A24" s="10" t="s">
        <v>285</v>
      </c>
      <c r="B24" s="14" t="n">
        <v>45000</v>
      </c>
      <c r="C24" s="12" t="s">
        <v>286</v>
      </c>
      <c r="D24" s="10" t="s">
        <v>244</v>
      </c>
      <c r="E24" s="10" t="s">
        <v>287</v>
      </c>
    </row>
    <row r="25" customFormat="false" ht="15" hidden="false" customHeight="false" outlineLevel="0" collapsed="false">
      <c r="A25" s="10" t="s">
        <v>288</v>
      </c>
      <c r="B25" s="14" t="n">
        <v>4200000</v>
      </c>
      <c r="C25" s="12" t="s">
        <v>286</v>
      </c>
      <c r="D25" s="10" t="s">
        <v>244</v>
      </c>
      <c r="E25" s="10" t="s">
        <v>287</v>
      </c>
    </row>
    <row r="26" customFormat="false" ht="15" hidden="false" customHeight="false" outlineLevel="0" collapsed="false">
      <c r="A26" s="10" t="s">
        <v>289</v>
      </c>
      <c r="B26" s="14" t="n">
        <v>350</v>
      </c>
      <c r="C26" s="12" t="s">
        <v>290</v>
      </c>
      <c r="D26" s="10" t="s">
        <v>291</v>
      </c>
      <c r="E26" s="10" t="s">
        <v>292</v>
      </c>
    </row>
    <row r="27" customFormat="false" ht="23.85" hidden="false" customHeight="false" outlineLevel="0" collapsed="false">
      <c r="A27" s="10" t="s">
        <v>293</v>
      </c>
      <c r="B27" s="19" t="s">
        <v>294</v>
      </c>
      <c r="C27" s="12" t="s">
        <v>295</v>
      </c>
      <c r="D27" s="10" t="s">
        <v>244</v>
      </c>
      <c r="E27" s="10" t="s">
        <v>296</v>
      </c>
    </row>
    <row r="28" customFormat="false" ht="15" hidden="false" customHeight="false" outlineLevel="0" collapsed="false">
      <c r="A28" s="10" t="s">
        <v>297</v>
      </c>
      <c r="B28" s="14" t="n">
        <v>225</v>
      </c>
      <c r="C28" s="12" t="s">
        <v>290</v>
      </c>
      <c r="D28" s="10" t="s">
        <v>298</v>
      </c>
      <c r="E28" s="10" t="s">
        <v>299</v>
      </c>
    </row>
    <row r="30" customFormat="false" ht="15" hidden="false" customHeight="false" outlineLevel="0" collapsed="false">
      <c r="A30" s="4" t="s">
        <v>300</v>
      </c>
    </row>
    <row r="31" customFormat="false" ht="15" hidden="false" customHeight="false" outlineLevel="0" collapsed="false">
      <c r="A31" s="3" t="s">
        <v>301</v>
      </c>
      <c r="B31" s="20" t="n">
        <v>0.0575</v>
      </c>
      <c r="D31" s="3" t="s">
        <v>244</v>
      </c>
    </row>
    <row r="32" customFormat="false" ht="15" hidden="false" customHeight="false" outlineLevel="0" collapsed="false">
      <c r="A32" s="3" t="s">
        <v>302</v>
      </c>
      <c r="B32" s="20" t="n">
        <v>0.0025</v>
      </c>
      <c r="D32" s="3" t="s">
        <v>303</v>
      </c>
    </row>
    <row r="33" customFormat="false" ht="15" hidden="false" customHeight="false" outlineLevel="0" collapsed="false">
      <c r="A33" s="3" t="s">
        <v>304</v>
      </c>
      <c r="B33" s="21" t="n">
        <f aca="false">B31+B32</f>
        <v>0.06</v>
      </c>
      <c r="C33" s="4" t="str">
        <f aca="false">IF(B33=B14,"OK","CHECK")</f>
        <v>OK</v>
      </c>
      <c r="D33" s="3" t="s">
        <v>305</v>
      </c>
    </row>
    <row r="34" customFormat="false" ht="15" hidden="false" customHeight="false" outlineLevel="0" collapsed="false">
      <c r="A34" s="3" t="s">
        <v>306</v>
      </c>
      <c r="B34" s="21" t="n">
        <f aca="false">MAX(B15,B16)</f>
        <v>0.0625</v>
      </c>
      <c r="D34" s="3" t="s">
        <v>307</v>
      </c>
    </row>
    <row r="35" customFormat="false" ht="15" hidden="false" customHeight="false" outlineLevel="0" collapsed="false">
      <c r="A35" s="3" t="s">
        <v>302</v>
      </c>
      <c r="B35" s="20" t="n">
        <v>0.0075</v>
      </c>
      <c r="D35" s="3" t="s">
        <v>308</v>
      </c>
    </row>
    <row r="36" customFormat="false" ht="15" hidden="false" customHeight="false" outlineLevel="0" collapsed="false">
      <c r="A36" s="3" t="s">
        <v>309</v>
      </c>
      <c r="B36" s="21" t="n">
        <f aca="false">B34+B35</f>
        <v>0.07</v>
      </c>
      <c r="C36" s="4" t="str">
        <f aca="false">IF(B36=B17,"OK","CHECK")</f>
        <v>OK</v>
      </c>
      <c r="D36" s="3" t="s">
        <v>310</v>
      </c>
    </row>
    <row r="38" customFormat="false" ht="15" hidden="false" customHeight="false" outlineLevel="0" collapsed="false">
      <c r="A38" s="4" t="s">
        <v>311</v>
      </c>
    </row>
    <row r="39" customFormat="false" ht="15" hidden="false" customHeight="false" outlineLevel="0" collapsed="false">
      <c r="A39" s="3" t="s">
        <v>312</v>
      </c>
      <c r="B39" s="22" t="str">
        <f aca="false">IF(B17&gt;=MAX(B15,B16),"OK","CHECK")</f>
        <v>OK</v>
      </c>
    </row>
    <row r="40" customFormat="false" ht="15" hidden="false" customHeight="false" outlineLevel="0" collapsed="false">
      <c r="A40" s="3" t="s">
        <v>313</v>
      </c>
      <c r="B40" s="22" t="str">
        <f aca="false">IF(B5='Rent Roll'!H55*12,"OK","CHECK")</f>
        <v>OK</v>
      </c>
    </row>
    <row r="41" customFormat="false" ht="15" hidden="false" customHeight="false" outlineLevel="0" collapsed="false">
      <c r="A41" s="3" t="s">
        <v>314</v>
      </c>
      <c r="B41" s="22" t="str">
        <f aca="false">IF(B8=COUNTA('Rent Roll'!A5:A52),"OK","CHECK")</f>
        <v>OK</v>
      </c>
    </row>
    <row r="42" customFormat="false" ht="15" hidden="false" customHeight="false" outlineLevel="0" collapsed="false">
      <c r="A42" s="3" t="s">
        <v>315</v>
      </c>
      <c r="B42" s="22" t="str">
        <f aca="false">IF('Rent Roll'!H61=0,"OK","CHECK")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8"/>
    <col collapsed="false" customWidth="true" hidden="false" outlineLevel="0" max="4" min="4" style="0" width="10"/>
    <col collapsed="false" customWidth="true" hidden="false" outlineLevel="0" max="5" min="5" style="0" width="12"/>
    <col collapsed="false" customWidth="true" hidden="false" outlineLevel="0" max="8" min="6" style="0" width="13"/>
    <col collapsed="false" customWidth="true" hidden="false" outlineLevel="0" max="9" min="9" style="0" width="14"/>
    <col collapsed="false" customWidth="true" hidden="false" outlineLevel="0" max="10" min="10" style="0" width="12"/>
    <col collapsed="false" customWidth="true" hidden="false" outlineLevel="0" max="11" min="11" style="0" width="34"/>
  </cols>
  <sheetData>
    <row r="1" customFormat="false" ht="17.35" hidden="false" customHeight="false" outlineLevel="0" collapsed="false">
      <c r="A1" s="1" t="s">
        <v>316</v>
      </c>
    </row>
    <row r="2" customFormat="false" ht="15" hidden="false" customHeight="false" outlineLevel="0" collapsed="false">
      <c r="A2" s="2" t="s">
        <v>317</v>
      </c>
    </row>
    <row r="4" customFormat="false" ht="23.85" hidden="false" customHeight="false" outlineLevel="0" collapsed="false">
      <c r="A4" s="23" t="s">
        <v>318</v>
      </c>
      <c r="B4" s="23" t="s">
        <v>319</v>
      </c>
      <c r="C4" s="23" t="s">
        <v>320</v>
      </c>
      <c r="D4" s="23" t="s">
        <v>321</v>
      </c>
      <c r="E4" s="23" t="s">
        <v>322</v>
      </c>
      <c r="F4" s="23" t="s">
        <v>323</v>
      </c>
      <c r="G4" s="23" t="s">
        <v>324</v>
      </c>
      <c r="H4" s="23" t="s">
        <v>325</v>
      </c>
      <c r="I4" s="23" t="s">
        <v>326</v>
      </c>
      <c r="J4" s="23" t="s">
        <v>327</v>
      </c>
      <c r="K4" s="23" t="s">
        <v>237</v>
      </c>
    </row>
    <row r="5" customFormat="false" ht="15" hidden="false" customHeight="false" outlineLevel="0" collapsed="false">
      <c r="A5" s="24" t="s">
        <v>328</v>
      </c>
      <c r="B5" s="24" t="s">
        <v>329</v>
      </c>
      <c r="C5" s="25" t="s">
        <v>330</v>
      </c>
      <c r="D5" s="26" t="n">
        <v>700</v>
      </c>
      <c r="E5" s="24" t="s">
        <v>89</v>
      </c>
      <c r="F5" s="27" t="n">
        <v>1500</v>
      </c>
      <c r="G5" s="28" t="n">
        <f aca="false">Inputs!B26</f>
        <v>350</v>
      </c>
      <c r="H5" s="29" t="n">
        <f aca="false">F5+G5</f>
        <v>1850</v>
      </c>
      <c r="I5" s="24" t="s">
        <v>224</v>
      </c>
      <c r="J5" s="30" t="str">
        <f aca="false">IF(AND(E5="active",I5&lt;=Inputs!$B$27),"Yes","No")</f>
        <v>No</v>
      </c>
      <c r="K5" s="25" t="s">
        <v>331</v>
      </c>
    </row>
    <row r="6" customFormat="false" ht="15" hidden="false" customHeight="false" outlineLevel="0" collapsed="false">
      <c r="A6" s="24" t="s">
        <v>332</v>
      </c>
      <c r="B6" s="24" t="s">
        <v>333</v>
      </c>
      <c r="C6" s="25" t="s">
        <v>334</v>
      </c>
      <c r="D6" s="26" t="n">
        <v>820</v>
      </c>
      <c r="E6" s="24" t="s">
        <v>89</v>
      </c>
      <c r="F6" s="27" t="n">
        <v>1650</v>
      </c>
      <c r="G6" s="27" t="n">
        <v>0</v>
      </c>
      <c r="H6" s="29" t="n">
        <f aca="false">F6+G6</f>
        <v>1650</v>
      </c>
      <c r="I6" s="24" t="s">
        <v>224</v>
      </c>
      <c r="J6" s="30" t="str">
        <f aca="false">IF(AND(E6="active",I6&lt;=Inputs!$B$27),"Yes","No")</f>
        <v>No</v>
      </c>
      <c r="K6" s="25"/>
    </row>
    <row r="7" customFormat="false" ht="15" hidden="false" customHeight="false" outlineLevel="0" collapsed="false">
      <c r="A7" s="24" t="s">
        <v>335</v>
      </c>
      <c r="B7" s="24" t="s">
        <v>336</v>
      </c>
      <c r="C7" s="25" t="s">
        <v>337</v>
      </c>
      <c r="D7" s="26" t="n">
        <v>1030</v>
      </c>
      <c r="E7" s="24" t="s">
        <v>89</v>
      </c>
      <c r="F7" s="27" t="n">
        <v>1925</v>
      </c>
      <c r="G7" s="27" t="n">
        <v>0</v>
      </c>
      <c r="H7" s="29" t="n">
        <f aca="false">F7+G7</f>
        <v>1925</v>
      </c>
      <c r="I7" s="24" t="s">
        <v>224</v>
      </c>
      <c r="J7" s="30" t="str">
        <f aca="false">IF(AND(E7="active",I7&lt;=Inputs!$B$27),"Yes","No")</f>
        <v>No</v>
      </c>
      <c r="K7" s="25"/>
    </row>
    <row r="8" customFormat="false" ht="15" hidden="false" customHeight="false" outlineLevel="0" collapsed="false">
      <c r="A8" s="24" t="s">
        <v>338</v>
      </c>
      <c r="B8" s="24" t="s">
        <v>329</v>
      </c>
      <c r="C8" s="25" t="s">
        <v>330</v>
      </c>
      <c r="D8" s="26" t="n">
        <v>700</v>
      </c>
      <c r="E8" s="24" t="s">
        <v>89</v>
      </c>
      <c r="F8" s="27" t="n">
        <v>1500</v>
      </c>
      <c r="G8" s="27" t="n">
        <v>0</v>
      </c>
      <c r="H8" s="29" t="n">
        <f aca="false">F8+G8</f>
        <v>1500</v>
      </c>
      <c r="I8" s="24" t="s">
        <v>224</v>
      </c>
      <c r="J8" s="30" t="str">
        <f aca="false">IF(AND(E8="active",I8&lt;=Inputs!$B$27),"Yes","No")</f>
        <v>No</v>
      </c>
      <c r="K8" s="25"/>
    </row>
    <row r="9" customFormat="false" ht="15" hidden="false" customHeight="false" outlineLevel="0" collapsed="false">
      <c r="A9" s="24" t="s">
        <v>339</v>
      </c>
      <c r="B9" s="24" t="s">
        <v>333</v>
      </c>
      <c r="C9" s="25" t="s">
        <v>334</v>
      </c>
      <c r="D9" s="26" t="n">
        <v>820</v>
      </c>
      <c r="E9" s="24" t="s">
        <v>89</v>
      </c>
      <c r="F9" s="27" t="n">
        <v>1650</v>
      </c>
      <c r="G9" s="27" t="n">
        <v>0</v>
      </c>
      <c r="H9" s="29" t="n">
        <f aca="false">F9+G9</f>
        <v>1650</v>
      </c>
      <c r="I9" s="24" t="s">
        <v>224</v>
      </c>
      <c r="J9" s="30" t="str">
        <f aca="false">IF(AND(E9="active",I9&lt;=Inputs!$B$27),"Yes","No")</f>
        <v>No</v>
      </c>
      <c r="K9" s="25"/>
    </row>
    <row r="10" customFormat="false" ht="15" hidden="false" customHeight="false" outlineLevel="0" collapsed="false">
      <c r="A10" s="24" t="s">
        <v>340</v>
      </c>
      <c r="B10" s="24" t="s">
        <v>336</v>
      </c>
      <c r="C10" s="25" t="s">
        <v>337</v>
      </c>
      <c r="D10" s="26" t="n">
        <v>1030</v>
      </c>
      <c r="E10" s="24" t="s">
        <v>89</v>
      </c>
      <c r="F10" s="27" t="n">
        <v>1925</v>
      </c>
      <c r="G10" s="27" t="n">
        <v>0</v>
      </c>
      <c r="H10" s="29" t="n">
        <f aca="false">F10+G10</f>
        <v>1925</v>
      </c>
      <c r="I10" s="24" t="s">
        <v>224</v>
      </c>
      <c r="J10" s="30" t="str">
        <f aca="false">IF(AND(E10="active",I10&lt;=Inputs!$B$27),"Yes","No")</f>
        <v>No</v>
      </c>
      <c r="K10" s="25"/>
    </row>
    <row r="11" customFormat="false" ht="15" hidden="false" customHeight="false" outlineLevel="0" collapsed="false">
      <c r="A11" s="24" t="s">
        <v>341</v>
      </c>
      <c r="B11" s="24" t="s">
        <v>329</v>
      </c>
      <c r="C11" s="25" t="s">
        <v>330</v>
      </c>
      <c r="D11" s="26" t="n">
        <v>700</v>
      </c>
      <c r="E11" s="24" t="s">
        <v>89</v>
      </c>
      <c r="F11" s="27" t="n">
        <v>1500</v>
      </c>
      <c r="G11" s="27" t="n">
        <v>0</v>
      </c>
      <c r="H11" s="29" t="n">
        <f aca="false">F11+G11</f>
        <v>1500</v>
      </c>
      <c r="I11" s="24" t="s">
        <v>224</v>
      </c>
      <c r="J11" s="30" t="str">
        <f aca="false">IF(AND(E11="active",I11&lt;=Inputs!$B$27),"Yes","No")</f>
        <v>No</v>
      </c>
      <c r="K11" s="25"/>
    </row>
    <row r="12" customFormat="false" ht="15" hidden="false" customHeight="false" outlineLevel="0" collapsed="false">
      <c r="A12" s="24" t="s">
        <v>342</v>
      </c>
      <c r="B12" s="24" t="s">
        <v>333</v>
      </c>
      <c r="C12" s="25" t="s">
        <v>334</v>
      </c>
      <c r="D12" s="26" t="n">
        <v>820</v>
      </c>
      <c r="E12" s="24" t="s">
        <v>89</v>
      </c>
      <c r="F12" s="27" t="n">
        <v>1650</v>
      </c>
      <c r="G12" s="27" t="n">
        <v>0</v>
      </c>
      <c r="H12" s="29" t="n">
        <f aca="false">F12+G12</f>
        <v>1650</v>
      </c>
      <c r="I12" s="24" t="s">
        <v>224</v>
      </c>
      <c r="J12" s="30" t="str">
        <f aca="false">IF(AND(E12="active",I12&lt;=Inputs!$B$27),"Yes","No")</f>
        <v>No</v>
      </c>
      <c r="K12" s="25"/>
    </row>
    <row r="13" customFormat="false" ht="15" hidden="false" customHeight="false" outlineLevel="0" collapsed="false">
      <c r="A13" s="24" t="s">
        <v>343</v>
      </c>
      <c r="B13" s="24" t="s">
        <v>336</v>
      </c>
      <c r="C13" s="25" t="s">
        <v>337</v>
      </c>
      <c r="D13" s="26" t="n">
        <v>1030</v>
      </c>
      <c r="E13" s="24" t="s">
        <v>89</v>
      </c>
      <c r="F13" s="27" t="n">
        <v>1925</v>
      </c>
      <c r="G13" s="27" t="n">
        <v>0</v>
      </c>
      <c r="H13" s="29" t="n">
        <f aca="false">F13+G13</f>
        <v>1925</v>
      </c>
      <c r="I13" s="24" t="s">
        <v>224</v>
      </c>
      <c r="J13" s="30" t="str">
        <f aca="false">IF(AND(E13="active",I13&lt;=Inputs!$B$27),"Yes","No")</f>
        <v>No</v>
      </c>
      <c r="K13" s="25"/>
    </row>
    <row r="14" customFormat="false" ht="15" hidden="false" customHeight="false" outlineLevel="0" collapsed="false">
      <c r="A14" s="24" t="s">
        <v>344</v>
      </c>
      <c r="B14" s="24" t="s">
        <v>329</v>
      </c>
      <c r="C14" s="25" t="s">
        <v>330</v>
      </c>
      <c r="D14" s="26" t="n">
        <v>700</v>
      </c>
      <c r="E14" s="24" t="s">
        <v>89</v>
      </c>
      <c r="F14" s="27" t="n">
        <v>1500</v>
      </c>
      <c r="G14" s="27" t="n">
        <v>0</v>
      </c>
      <c r="H14" s="29" t="n">
        <f aca="false">F14+G14</f>
        <v>1500</v>
      </c>
      <c r="I14" s="24" t="s">
        <v>224</v>
      </c>
      <c r="J14" s="30" t="str">
        <f aca="false">IF(AND(E14="active",I14&lt;=Inputs!$B$27),"Yes","No")</f>
        <v>No</v>
      </c>
      <c r="K14" s="25"/>
    </row>
    <row r="15" customFormat="false" ht="15" hidden="false" customHeight="false" outlineLevel="0" collapsed="false">
      <c r="A15" s="24" t="s">
        <v>345</v>
      </c>
      <c r="B15" s="24" t="s">
        <v>333</v>
      </c>
      <c r="C15" s="25" t="s">
        <v>334</v>
      </c>
      <c r="D15" s="26" t="n">
        <v>820</v>
      </c>
      <c r="E15" s="24" t="s">
        <v>89</v>
      </c>
      <c r="F15" s="27" t="n">
        <v>1650</v>
      </c>
      <c r="G15" s="27" t="n">
        <v>0</v>
      </c>
      <c r="H15" s="29" t="n">
        <f aca="false">F15+G15</f>
        <v>1650</v>
      </c>
      <c r="I15" s="24" t="s">
        <v>224</v>
      </c>
      <c r="J15" s="30" t="str">
        <f aca="false">IF(AND(E15="active",I15&lt;=Inputs!$B$27),"Yes","No")</f>
        <v>No</v>
      </c>
      <c r="K15" s="25"/>
    </row>
    <row r="16" customFormat="false" ht="15" hidden="false" customHeight="false" outlineLevel="0" collapsed="false">
      <c r="A16" s="24" t="s">
        <v>346</v>
      </c>
      <c r="B16" s="24" t="s">
        <v>336</v>
      </c>
      <c r="C16" s="25" t="s">
        <v>337</v>
      </c>
      <c r="D16" s="26" t="n">
        <v>1030</v>
      </c>
      <c r="E16" s="24" t="s">
        <v>89</v>
      </c>
      <c r="F16" s="27" t="n">
        <v>1925</v>
      </c>
      <c r="G16" s="27" t="n">
        <v>0</v>
      </c>
      <c r="H16" s="29" t="n">
        <f aca="false">F16+G16</f>
        <v>1925</v>
      </c>
      <c r="I16" s="24" t="s">
        <v>224</v>
      </c>
      <c r="J16" s="30" t="str">
        <f aca="false">IF(AND(E16="active",I16&lt;=Inputs!$B$27),"Yes","No")</f>
        <v>No</v>
      </c>
      <c r="K16" s="25"/>
    </row>
    <row r="17" customFormat="false" ht="15" hidden="false" customHeight="false" outlineLevel="0" collapsed="false">
      <c r="A17" s="24" t="s">
        <v>347</v>
      </c>
      <c r="B17" s="24" t="s">
        <v>329</v>
      </c>
      <c r="C17" s="25" t="s">
        <v>330</v>
      </c>
      <c r="D17" s="26" t="n">
        <v>700</v>
      </c>
      <c r="E17" s="24" t="s">
        <v>89</v>
      </c>
      <c r="F17" s="27" t="n">
        <v>1500</v>
      </c>
      <c r="G17" s="27" t="n">
        <v>0</v>
      </c>
      <c r="H17" s="29" t="n">
        <f aca="false">F17+G17</f>
        <v>1500</v>
      </c>
      <c r="I17" s="24" t="s">
        <v>224</v>
      </c>
      <c r="J17" s="30" t="str">
        <f aca="false">IF(AND(E17="active",I17&lt;=Inputs!$B$27),"Yes","No")</f>
        <v>No</v>
      </c>
      <c r="K17" s="25"/>
    </row>
    <row r="18" customFormat="false" ht="15" hidden="false" customHeight="false" outlineLevel="0" collapsed="false">
      <c r="A18" s="24" t="s">
        <v>348</v>
      </c>
      <c r="B18" s="24" t="s">
        <v>333</v>
      </c>
      <c r="C18" s="25" t="s">
        <v>334</v>
      </c>
      <c r="D18" s="26" t="n">
        <v>820</v>
      </c>
      <c r="E18" s="24" t="s">
        <v>89</v>
      </c>
      <c r="F18" s="27" t="n">
        <v>1650</v>
      </c>
      <c r="G18" s="27" t="n">
        <v>0</v>
      </c>
      <c r="H18" s="29" t="n">
        <f aca="false">F18+G18</f>
        <v>1650</v>
      </c>
      <c r="I18" s="24" t="s">
        <v>224</v>
      </c>
      <c r="J18" s="30" t="str">
        <f aca="false">IF(AND(E18="active",I18&lt;=Inputs!$B$27),"Yes","No")</f>
        <v>No</v>
      </c>
      <c r="K18" s="25"/>
    </row>
    <row r="19" customFormat="false" ht="15" hidden="false" customHeight="false" outlineLevel="0" collapsed="false">
      <c r="A19" s="24" t="s">
        <v>349</v>
      </c>
      <c r="B19" s="24" t="s">
        <v>336</v>
      </c>
      <c r="C19" s="25" t="s">
        <v>337</v>
      </c>
      <c r="D19" s="26" t="n">
        <v>1030</v>
      </c>
      <c r="E19" s="24" t="s">
        <v>89</v>
      </c>
      <c r="F19" s="27" t="n">
        <v>1925</v>
      </c>
      <c r="G19" s="27" t="n">
        <v>0</v>
      </c>
      <c r="H19" s="29" t="n">
        <f aca="false">F19+G19</f>
        <v>1925</v>
      </c>
      <c r="I19" s="24" t="s">
        <v>224</v>
      </c>
      <c r="J19" s="30" t="str">
        <f aca="false">IF(AND(E19="active",I19&lt;=Inputs!$B$27),"Yes","No")</f>
        <v>No</v>
      </c>
      <c r="K19" s="25"/>
    </row>
    <row r="20" customFormat="false" ht="15" hidden="false" customHeight="false" outlineLevel="0" collapsed="false">
      <c r="A20" s="24" t="s">
        <v>350</v>
      </c>
      <c r="B20" s="24" t="s">
        <v>329</v>
      </c>
      <c r="C20" s="25" t="s">
        <v>330</v>
      </c>
      <c r="D20" s="26" t="n">
        <v>700</v>
      </c>
      <c r="E20" s="24" t="s">
        <v>89</v>
      </c>
      <c r="F20" s="27" t="n">
        <v>1500</v>
      </c>
      <c r="G20" s="27" t="n">
        <v>0</v>
      </c>
      <c r="H20" s="29" t="n">
        <f aca="false">F20+G20</f>
        <v>1500</v>
      </c>
      <c r="I20" s="24" t="s">
        <v>224</v>
      </c>
      <c r="J20" s="30" t="str">
        <f aca="false">IF(AND(E20="active",I20&lt;=Inputs!$B$27),"Yes","No")</f>
        <v>No</v>
      </c>
      <c r="K20" s="25"/>
    </row>
    <row r="21" customFormat="false" ht="15" hidden="false" customHeight="false" outlineLevel="0" collapsed="false">
      <c r="A21" s="24" t="s">
        <v>351</v>
      </c>
      <c r="B21" s="24" t="s">
        <v>333</v>
      </c>
      <c r="C21" s="25" t="s">
        <v>334</v>
      </c>
      <c r="D21" s="26" t="n">
        <v>820</v>
      </c>
      <c r="E21" s="24" t="s">
        <v>89</v>
      </c>
      <c r="F21" s="27" t="n">
        <v>1650</v>
      </c>
      <c r="G21" s="27" t="n">
        <v>0</v>
      </c>
      <c r="H21" s="29" t="n">
        <f aca="false">F21+G21</f>
        <v>1650</v>
      </c>
      <c r="I21" s="24" t="s">
        <v>224</v>
      </c>
      <c r="J21" s="30" t="str">
        <f aca="false">IF(AND(E21="active",I21&lt;=Inputs!$B$27),"Yes","No")</f>
        <v>No</v>
      </c>
      <c r="K21" s="25"/>
    </row>
    <row r="22" customFormat="false" ht="15" hidden="false" customHeight="false" outlineLevel="0" collapsed="false">
      <c r="A22" s="24" t="s">
        <v>352</v>
      </c>
      <c r="B22" s="24" t="s">
        <v>336</v>
      </c>
      <c r="C22" s="25" t="s">
        <v>337</v>
      </c>
      <c r="D22" s="26" t="n">
        <v>1030</v>
      </c>
      <c r="E22" s="24" t="s">
        <v>89</v>
      </c>
      <c r="F22" s="27" t="n">
        <v>1925</v>
      </c>
      <c r="G22" s="27" t="n">
        <v>0</v>
      </c>
      <c r="H22" s="29" t="n">
        <f aca="false">F22+G22</f>
        <v>1925</v>
      </c>
      <c r="I22" s="24" t="s">
        <v>224</v>
      </c>
      <c r="J22" s="30" t="str">
        <f aca="false">IF(AND(E22="active",I22&lt;=Inputs!$B$27),"Yes","No")</f>
        <v>No</v>
      </c>
      <c r="K22" s="25"/>
    </row>
    <row r="23" customFormat="false" ht="15" hidden="false" customHeight="false" outlineLevel="0" collapsed="false">
      <c r="A23" s="24" t="s">
        <v>353</v>
      </c>
      <c r="B23" s="24" t="s">
        <v>329</v>
      </c>
      <c r="C23" s="25" t="s">
        <v>330</v>
      </c>
      <c r="D23" s="26" t="n">
        <v>700</v>
      </c>
      <c r="E23" s="24" t="s">
        <v>89</v>
      </c>
      <c r="F23" s="27" t="n">
        <v>1500</v>
      </c>
      <c r="G23" s="27" t="n">
        <v>0</v>
      </c>
      <c r="H23" s="29" t="n">
        <f aca="false">F23+G23</f>
        <v>1500</v>
      </c>
      <c r="I23" s="24" t="s">
        <v>224</v>
      </c>
      <c r="J23" s="30" t="str">
        <f aca="false">IF(AND(E23="active",I23&lt;=Inputs!$B$27),"Yes","No")</f>
        <v>No</v>
      </c>
      <c r="K23" s="25"/>
    </row>
    <row r="24" customFormat="false" ht="15" hidden="false" customHeight="false" outlineLevel="0" collapsed="false">
      <c r="A24" s="24" t="s">
        <v>354</v>
      </c>
      <c r="B24" s="24" t="s">
        <v>333</v>
      </c>
      <c r="C24" s="25" t="s">
        <v>334</v>
      </c>
      <c r="D24" s="26" t="n">
        <v>820</v>
      </c>
      <c r="E24" s="24" t="s">
        <v>89</v>
      </c>
      <c r="F24" s="27" t="n">
        <v>1650</v>
      </c>
      <c r="G24" s="27" t="n">
        <v>0</v>
      </c>
      <c r="H24" s="29" t="n">
        <f aca="false">F24+G24</f>
        <v>1650</v>
      </c>
      <c r="I24" s="24" t="s">
        <v>224</v>
      </c>
      <c r="J24" s="30" t="str">
        <f aca="false">IF(AND(E24="active",I24&lt;=Inputs!$B$27),"Yes","No")</f>
        <v>No</v>
      </c>
      <c r="K24" s="25"/>
    </row>
    <row r="25" customFormat="false" ht="15" hidden="false" customHeight="false" outlineLevel="0" collapsed="false">
      <c r="A25" s="24" t="s">
        <v>355</v>
      </c>
      <c r="B25" s="24" t="s">
        <v>336</v>
      </c>
      <c r="C25" s="25" t="s">
        <v>337</v>
      </c>
      <c r="D25" s="26" t="n">
        <v>1030</v>
      </c>
      <c r="E25" s="24" t="s">
        <v>89</v>
      </c>
      <c r="F25" s="27" t="n">
        <v>1925</v>
      </c>
      <c r="G25" s="27" t="n">
        <v>0</v>
      </c>
      <c r="H25" s="29" t="n">
        <f aca="false">F25+G25</f>
        <v>1925</v>
      </c>
      <c r="I25" s="24" t="s">
        <v>224</v>
      </c>
      <c r="J25" s="30" t="str">
        <f aca="false">IF(AND(E25="active",I25&lt;=Inputs!$B$27),"Yes","No")</f>
        <v>No</v>
      </c>
      <c r="K25" s="25"/>
    </row>
    <row r="26" customFormat="false" ht="15" hidden="false" customHeight="false" outlineLevel="0" collapsed="false">
      <c r="A26" s="24" t="s">
        <v>356</v>
      </c>
      <c r="B26" s="24" t="s">
        <v>329</v>
      </c>
      <c r="C26" s="25" t="s">
        <v>330</v>
      </c>
      <c r="D26" s="26" t="n">
        <v>700</v>
      </c>
      <c r="E26" s="24" t="s">
        <v>89</v>
      </c>
      <c r="F26" s="27" t="n">
        <v>1500</v>
      </c>
      <c r="G26" s="27" t="n">
        <v>0</v>
      </c>
      <c r="H26" s="29" t="n">
        <f aca="false">F26+G26</f>
        <v>1500</v>
      </c>
      <c r="I26" s="24" t="s">
        <v>224</v>
      </c>
      <c r="J26" s="30" t="str">
        <f aca="false">IF(AND(E26="active",I26&lt;=Inputs!$B$27),"Yes","No")</f>
        <v>No</v>
      </c>
      <c r="K26" s="25"/>
    </row>
    <row r="27" customFormat="false" ht="15" hidden="false" customHeight="false" outlineLevel="0" collapsed="false">
      <c r="A27" s="24" t="s">
        <v>357</v>
      </c>
      <c r="B27" s="24" t="s">
        <v>333</v>
      </c>
      <c r="C27" s="25" t="s">
        <v>334</v>
      </c>
      <c r="D27" s="26" t="n">
        <v>820</v>
      </c>
      <c r="E27" s="24" t="s">
        <v>89</v>
      </c>
      <c r="F27" s="27" t="n">
        <v>1650</v>
      </c>
      <c r="G27" s="27" t="n">
        <v>0</v>
      </c>
      <c r="H27" s="29" t="n">
        <f aca="false">F27+G27</f>
        <v>1650</v>
      </c>
      <c r="I27" s="24" t="s">
        <v>224</v>
      </c>
      <c r="J27" s="30" t="str">
        <f aca="false">IF(AND(E27="active",I27&lt;=Inputs!$B$27),"Yes","No")</f>
        <v>No</v>
      </c>
      <c r="K27" s="25"/>
    </row>
    <row r="28" customFormat="false" ht="15" hidden="false" customHeight="false" outlineLevel="0" collapsed="false">
      <c r="A28" s="24" t="s">
        <v>358</v>
      </c>
      <c r="B28" s="24" t="s">
        <v>336</v>
      </c>
      <c r="C28" s="25" t="s">
        <v>337</v>
      </c>
      <c r="D28" s="26" t="n">
        <v>1030</v>
      </c>
      <c r="E28" s="24" t="s">
        <v>89</v>
      </c>
      <c r="F28" s="27" t="n">
        <v>1925</v>
      </c>
      <c r="G28" s="27" t="n">
        <v>0</v>
      </c>
      <c r="H28" s="29" t="n">
        <f aca="false">F28+G28</f>
        <v>1925</v>
      </c>
      <c r="I28" s="24" t="s">
        <v>224</v>
      </c>
      <c r="J28" s="30" t="str">
        <f aca="false">IF(AND(E28="active",I28&lt;=Inputs!$B$27),"Yes","No")</f>
        <v>No</v>
      </c>
      <c r="K28" s="25"/>
    </row>
    <row r="29" customFormat="false" ht="15" hidden="false" customHeight="false" outlineLevel="0" collapsed="false">
      <c r="A29" s="24" t="s">
        <v>359</v>
      </c>
      <c r="B29" s="24" t="s">
        <v>329</v>
      </c>
      <c r="C29" s="25" t="s">
        <v>330</v>
      </c>
      <c r="D29" s="26" t="n">
        <v>700</v>
      </c>
      <c r="E29" s="24" t="s">
        <v>89</v>
      </c>
      <c r="F29" s="27" t="n">
        <v>1500</v>
      </c>
      <c r="G29" s="27" t="n">
        <v>0</v>
      </c>
      <c r="H29" s="29" t="n">
        <f aca="false">F29+G29</f>
        <v>1500</v>
      </c>
      <c r="I29" s="24" t="s">
        <v>224</v>
      </c>
      <c r="J29" s="30" t="str">
        <f aca="false">IF(AND(E29="active",I29&lt;=Inputs!$B$27),"Yes","No")</f>
        <v>No</v>
      </c>
      <c r="K29" s="25"/>
    </row>
    <row r="30" customFormat="false" ht="15" hidden="false" customHeight="false" outlineLevel="0" collapsed="false">
      <c r="A30" s="24" t="s">
        <v>360</v>
      </c>
      <c r="B30" s="24" t="s">
        <v>333</v>
      </c>
      <c r="C30" s="25" t="s">
        <v>334</v>
      </c>
      <c r="D30" s="26" t="n">
        <v>820</v>
      </c>
      <c r="E30" s="24" t="s">
        <v>89</v>
      </c>
      <c r="F30" s="27" t="n">
        <v>1650</v>
      </c>
      <c r="G30" s="27" t="n">
        <v>0</v>
      </c>
      <c r="H30" s="29" t="n">
        <f aca="false">F30+G30</f>
        <v>1650</v>
      </c>
      <c r="I30" s="24" t="s">
        <v>224</v>
      </c>
      <c r="J30" s="30" t="str">
        <f aca="false">IF(AND(E30="active",I30&lt;=Inputs!$B$27),"Yes","No")</f>
        <v>No</v>
      </c>
      <c r="K30" s="25"/>
    </row>
    <row r="31" customFormat="false" ht="15" hidden="false" customHeight="false" outlineLevel="0" collapsed="false">
      <c r="A31" s="24" t="s">
        <v>361</v>
      </c>
      <c r="B31" s="24" t="s">
        <v>336</v>
      </c>
      <c r="C31" s="25" t="s">
        <v>337</v>
      </c>
      <c r="D31" s="26" t="n">
        <v>1030</v>
      </c>
      <c r="E31" s="24" t="s">
        <v>89</v>
      </c>
      <c r="F31" s="27" t="n">
        <v>1925</v>
      </c>
      <c r="G31" s="27" t="n">
        <v>0</v>
      </c>
      <c r="H31" s="29" t="n">
        <f aca="false">F31+G31</f>
        <v>1925</v>
      </c>
      <c r="I31" s="24" t="s">
        <v>224</v>
      </c>
      <c r="J31" s="30" t="str">
        <f aca="false">IF(AND(E31="active",I31&lt;=Inputs!$B$27),"Yes","No")</f>
        <v>No</v>
      </c>
      <c r="K31" s="25"/>
    </row>
    <row r="32" customFormat="false" ht="15" hidden="false" customHeight="false" outlineLevel="0" collapsed="false">
      <c r="A32" s="24" t="s">
        <v>362</v>
      </c>
      <c r="B32" s="24" t="s">
        <v>329</v>
      </c>
      <c r="C32" s="25" t="s">
        <v>330</v>
      </c>
      <c r="D32" s="26" t="n">
        <v>700</v>
      </c>
      <c r="E32" s="24" t="s">
        <v>89</v>
      </c>
      <c r="F32" s="27" t="n">
        <v>1500</v>
      </c>
      <c r="G32" s="27" t="n">
        <v>0</v>
      </c>
      <c r="H32" s="29" t="n">
        <f aca="false">F32+G32</f>
        <v>1500</v>
      </c>
      <c r="I32" s="24" t="s">
        <v>224</v>
      </c>
      <c r="J32" s="30" t="str">
        <f aca="false">IF(AND(E32="active",I32&lt;=Inputs!$B$27),"Yes","No")</f>
        <v>No</v>
      </c>
      <c r="K32" s="25"/>
    </row>
    <row r="33" customFormat="false" ht="15" hidden="false" customHeight="false" outlineLevel="0" collapsed="false">
      <c r="A33" s="24" t="s">
        <v>363</v>
      </c>
      <c r="B33" s="24" t="s">
        <v>333</v>
      </c>
      <c r="C33" s="25" t="s">
        <v>334</v>
      </c>
      <c r="D33" s="26" t="n">
        <v>820</v>
      </c>
      <c r="E33" s="24" t="s">
        <v>89</v>
      </c>
      <c r="F33" s="27" t="n">
        <v>1650</v>
      </c>
      <c r="G33" s="27" t="n">
        <v>0</v>
      </c>
      <c r="H33" s="29" t="n">
        <f aca="false">F33+G33</f>
        <v>1650</v>
      </c>
      <c r="I33" s="24" t="s">
        <v>224</v>
      </c>
      <c r="J33" s="30" t="str">
        <f aca="false">IF(AND(E33="active",I33&lt;=Inputs!$B$27),"Yes","No")</f>
        <v>No</v>
      </c>
      <c r="K33" s="25"/>
    </row>
    <row r="34" customFormat="false" ht="15" hidden="false" customHeight="false" outlineLevel="0" collapsed="false">
      <c r="A34" s="24" t="s">
        <v>364</v>
      </c>
      <c r="B34" s="24" t="s">
        <v>336</v>
      </c>
      <c r="C34" s="25" t="s">
        <v>337</v>
      </c>
      <c r="D34" s="26" t="n">
        <v>1030</v>
      </c>
      <c r="E34" s="24" t="s">
        <v>89</v>
      </c>
      <c r="F34" s="27" t="n">
        <v>1925</v>
      </c>
      <c r="G34" s="27" t="n">
        <v>0</v>
      </c>
      <c r="H34" s="29" t="n">
        <f aca="false">F34+G34</f>
        <v>1925</v>
      </c>
      <c r="I34" s="24" t="s">
        <v>224</v>
      </c>
      <c r="J34" s="30" t="str">
        <f aca="false">IF(AND(E34="active",I34&lt;=Inputs!$B$27),"Yes","No")</f>
        <v>No</v>
      </c>
      <c r="K34" s="25"/>
    </row>
    <row r="35" customFormat="false" ht="15" hidden="false" customHeight="false" outlineLevel="0" collapsed="false">
      <c r="A35" s="24" t="s">
        <v>365</v>
      </c>
      <c r="B35" s="24" t="s">
        <v>329</v>
      </c>
      <c r="C35" s="25" t="s">
        <v>330</v>
      </c>
      <c r="D35" s="26" t="n">
        <v>700</v>
      </c>
      <c r="E35" s="24" t="s">
        <v>89</v>
      </c>
      <c r="F35" s="27" t="n">
        <v>1500</v>
      </c>
      <c r="G35" s="27" t="n">
        <v>0</v>
      </c>
      <c r="H35" s="29" t="n">
        <f aca="false">F35+G35</f>
        <v>1500</v>
      </c>
      <c r="I35" s="24" t="s">
        <v>224</v>
      </c>
      <c r="J35" s="30" t="str">
        <f aca="false">IF(AND(E35="active",I35&lt;=Inputs!$B$27),"Yes","No")</f>
        <v>No</v>
      </c>
      <c r="K35" s="25"/>
    </row>
    <row r="36" customFormat="false" ht="15" hidden="false" customHeight="false" outlineLevel="0" collapsed="false">
      <c r="A36" s="24" t="s">
        <v>366</v>
      </c>
      <c r="B36" s="24" t="s">
        <v>333</v>
      </c>
      <c r="C36" s="25" t="s">
        <v>334</v>
      </c>
      <c r="D36" s="26" t="n">
        <v>820</v>
      </c>
      <c r="E36" s="24" t="s">
        <v>89</v>
      </c>
      <c r="F36" s="27" t="n">
        <v>1650</v>
      </c>
      <c r="G36" s="27" t="n">
        <v>0</v>
      </c>
      <c r="H36" s="29" t="n">
        <f aca="false">F36+G36</f>
        <v>1650</v>
      </c>
      <c r="I36" s="24" t="s">
        <v>224</v>
      </c>
      <c r="J36" s="30" t="str">
        <f aca="false">IF(AND(E36="active",I36&lt;=Inputs!$B$27),"Yes","No")</f>
        <v>No</v>
      </c>
      <c r="K36" s="25"/>
    </row>
    <row r="37" customFormat="false" ht="15" hidden="false" customHeight="false" outlineLevel="0" collapsed="false">
      <c r="A37" s="24" t="s">
        <v>367</v>
      </c>
      <c r="B37" s="24" t="s">
        <v>336</v>
      </c>
      <c r="C37" s="25" t="s">
        <v>337</v>
      </c>
      <c r="D37" s="26" t="n">
        <v>1030</v>
      </c>
      <c r="E37" s="24" t="s">
        <v>89</v>
      </c>
      <c r="F37" s="27" t="n">
        <v>1925</v>
      </c>
      <c r="G37" s="27" t="n">
        <v>0</v>
      </c>
      <c r="H37" s="29" t="n">
        <f aca="false">F37+G37</f>
        <v>1925</v>
      </c>
      <c r="I37" s="24" t="s">
        <v>224</v>
      </c>
      <c r="J37" s="30" t="str">
        <f aca="false">IF(AND(E37="active",I37&lt;=Inputs!$B$27),"Yes","No")</f>
        <v>No</v>
      </c>
      <c r="K37" s="25"/>
    </row>
    <row r="38" customFormat="false" ht="15" hidden="false" customHeight="false" outlineLevel="0" collapsed="false">
      <c r="A38" s="24" t="s">
        <v>368</v>
      </c>
      <c r="B38" s="24" t="s">
        <v>329</v>
      </c>
      <c r="C38" s="25" t="s">
        <v>330</v>
      </c>
      <c r="D38" s="26" t="n">
        <v>700</v>
      </c>
      <c r="E38" s="24" t="s">
        <v>89</v>
      </c>
      <c r="F38" s="27" t="n">
        <v>1500</v>
      </c>
      <c r="G38" s="27" t="n">
        <v>0</v>
      </c>
      <c r="H38" s="29" t="n">
        <f aca="false">F38+G38</f>
        <v>1500</v>
      </c>
      <c r="I38" s="24" t="s">
        <v>224</v>
      </c>
      <c r="J38" s="30" t="str">
        <f aca="false">IF(AND(E38="active",I38&lt;=Inputs!$B$27),"Yes","No")</f>
        <v>No</v>
      </c>
      <c r="K38" s="25"/>
    </row>
    <row r="39" customFormat="false" ht="15" hidden="false" customHeight="false" outlineLevel="0" collapsed="false">
      <c r="A39" s="24" t="s">
        <v>369</v>
      </c>
      <c r="B39" s="24" t="s">
        <v>333</v>
      </c>
      <c r="C39" s="25" t="s">
        <v>334</v>
      </c>
      <c r="D39" s="26" t="n">
        <v>820</v>
      </c>
      <c r="E39" s="24" t="s">
        <v>89</v>
      </c>
      <c r="F39" s="27" t="n">
        <v>1650</v>
      </c>
      <c r="G39" s="27" t="n">
        <v>0</v>
      </c>
      <c r="H39" s="29" t="n">
        <f aca="false">F39+G39</f>
        <v>1650</v>
      </c>
      <c r="I39" s="24" t="s">
        <v>224</v>
      </c>
      <c r="J39" s="30" t="str">
        <f aca="false">IF(AND(E39="active",I39&lt;=Inputs!$B$27),"Yes","No")</f>
        <v>No</v>
      </c>
      <c r="K39" s="25"/>
    </row>
    <row r="40" customFormat="false" ht="15" hidden="false" customHeight="false" outlineLevel="0" collapsed="false">
      <c r="A40" s="24" t="s">
        <v>370</v>
      </c>
      <c r="B40" s="24" t="s">
        <v>336</v>
      </c>
      <c r="C40" s="25" t="s">
        <v>337</v>
      </c>
      <c r="D40" s="26" t="n">
        <v>1030</v>
      </c>
      <c r="E40" s="24" t="s">
        <v>89</v>
      </c>
      <c r="F40" s="27" t="n">
        <v>1925</v>
      </c>
      <c r="G40" s="27" t="n">
        <v>0</v>
      </c>
      <c r="H40" s="29" t="n">
        <f aca="false">F40+G40</f>
        <v>1925</v>
      </c>
      <c r="I40" s="24" t="s">
        <v>224</v>
      </c>
      <c r="J40" s="30" t="str">
        <f aca="false">IF(AND(E40="active",I40&lt;=Inputs!$B$27),"Yes","No")</f>
        <v>No</v>
      </c>
      <c r="K40" s="25"/>
    </row>
    <row r="41" customFormat="false" ht="15" hidden="false" customHeight="false" outlineLevel="0" collapsed="false">
      <c r="A41" s="24" t="s">
        <v>371</v>
      </c>
      <c r="B41" s="24" t="s">
        <v>329</v>
      </c>
      <c r="C41" s="25" t="s">
        <v>330</v>
      </c>
      <c r="D41" s="26" t="n">
        <v>700</v>
      </c>
      <c r="E41" s="24" t="s">
        <v>89</v>
      </c>
      <c r="F41" s="27" t="n">
        <v>1500</v>
      </c>
      <c r="G41" s="27" t="n">
        <v>0</v>
      </c>
      <c r="H41" s="29" t="n">
        <f aca="false">F41+G41</f>
        <v>1500</v>
      </c>
      <c r="I41" s="24" t="s">
        <v>224</v>
      </c>
      <c r="J41" s="30" t="str">
        <f aca="false">IF(AND(E41="active",I41&lt;=Inputs!$B$27),"Yes","No")</f>
        <v>No</v>
      </c>
      <c r="K41" s="25"/>
    </row>
    <row r="42" customFormat="false" ht="15" hidden="false" customHeight="false" outlineLevel="0" collapsed="false">
      <c r="A42" s="24" t="s">
        <v>372</v>
      </c>
      <c r="B42" s="24" t="s">
        <v>333</v>
      </c>
      <c r="C42" s="25" t="s">
        <v>334</v>
      </c>
      <c r="D42" s="26" t="n">
        <v>820</v>
      </c>
      <c r="E42" s="24" t="s">
        <v>89</v>
      </c>
      <c r="F42" s="27" t="n">
        <v>1650</v>
      </c>
      <c r="G42" s="27" t="n">
        <v>0</v>
      </c>
      <c r="H42" s="29" t="n">
        <f aca="false">F42+G42</f>
        <v>1650</v>
      </c>
      <c r="I42" s="24" t="s">
        <v>224</v>
      </c>
      <c r="J42" s="30" t="str">
        <f aca="false">IF(AND(E42="active",I42&lt;=Inputs!$B$27),"Yes","No")</f>
        <v>No</v>
      </c>
      <c r="K42" s="25"/>
    </row>
    <row r="43" customFormat="false" ht="15" hidden="false" customHeight="false" outlineLevel="0" collapsed="false">
      <c r="A43" s="24" t="s">
        <v>373</v>
      </c>
      <c r="B43" s="24" t="s">
        <v>336</v>
      </c>
      <c r="C43" s="25" t="s">
        <v>337</v>
      </c>
      <c r="D43" s="26" t="n">
        <v>1030</v>
      </c>
      <c r="E43" s="24" t="s">
        <v>89</v>
      </c>
      <c r="F43" s="27" t="n">
        <v>1925</v>
      </c>
      <c r="G43" s="27" t="n">
        <v>0</v>
      </c>
      <c r="H43" s="29" t="n">
        <f aca="false">F43+G43</f>
        <v>1925</v>
      </c>
      <c r="I43" s="24" t="s">
        <v>224</v>
      </c>
      <c r="J43" s="30" t="str">
        <f aca="false">IF(AND(E43="active",I43&lt;=Inputs!$B$27),"Yes","No")</f>
        <v>No</v>
      </c>
      <c r="K43" s="25"/>
    </row>
    <row r="44" customFormat="false" ht="15" hidden="false" customHeight="false" outlineLevel="0" collapsed="false">
      <c r="A44" s="24" t="s">
        <v>374</v>
      </c>
      <c r="B44" s="24" t="s">
        <v>329</v>
      </c>
      <c r="C44" s="25" t="s">
        <v>330</v>
      </c>
      <c r="D44" s="26" t="n">
        <v>700</v>
      </c>
      <c r="E44" s="24" t="s">
        <v>89</v>
      </c>
      <c r="F44" s="27" t="n">
        <v>1500</v>
      </c>
      <c r="G44" s="27" t="n">
        <v>0</v>
      </c>
      <c r="H44" s="29" t="n">
        <f aca="false">F44+G44</f>
        <v>1500</v>
      </c>
      <c r="I44" s="24" t="s">
        <v>224</v>
      </c>
      <c r="J44" s="30" t="str">
        <f aca="false">IF(AND(E44="active",I44&lt;=Inputs!$B$27),"Yes","No")</f>
        <v>No</v>
      </c>
      <c r="K44" s="25"/>
    </row>
    <row r="45" customFormat="false" ht="15" hidden="false" customHeight="false" outlineLevel="0" collapsed="false">
      <c r="A45" s="24" t="s">
        <v>375</v>
      </c>
      <c r="B45" s="24" t="s">
        <v>333</v>
      </c>
      <c r="C45" s="25" t="s">
        <v>334</v>
      </c>
      <c r="D45" s="26" t="n">
        <v>820</v>
      </c>
      <c r="E45" s="24" t="s">
        <v>89</v>
      </c>
      <c r="F45" s="27" t="n">
        <v>1650</v>
      </c>
      <c r="G45" s="27" t="n">
        <v>0</v>
      </c>
      <c r="H45" s="29" t="n">
        <f aca="false">F45+G45</f>
        <v>1650</v>
      </c>
      <c r="I45" s="24" t="s">
        <v>224</v>
      </c>
      <c r="J45" s="30" t="str">
        <f aca="false">IF(AND(E45="active",I45&lt;=Inputs!$B$27),"Yes","No")</f>
        <v>No</v>
      </c>
      <c r="K45" s="25"/>
    </row>
    <row r="46" customFormat="false" ht="15" hidden="false" customHeight="false" outlineLevel="0" collapsed="false">
      <c r="A46" s="24" t="s">
        <v>376</v>
      </c>
      <c r="B46" s="24" t="s">
        <v>336</v>
      </c>
      <c r="C46" s="25" t="s">
        <v>337</v>
      </c>
      <c r="D46" s="26" t="n">
        <v>1030</v>
      </c>
      <c r="E46" s="24" t="s">
        <v>89</v>
      </c>
      <c r="F46" s="27" t="n">
        <v>1925</v>
      </c>
      <c r="G46" s="27" t="n">
        <v>0</v>
      </c>
      <c r="H46" s="29" t="n">
        <f aca="false">F46+G46</f>
        <v>1925</v>
      </c>
      <c r="I46" s="24" t="s">
        <v>224</v>
      </c>
      <c r="J46" s="30" t="str">
        <f aca="false">IF(AND(E46="active",I46&lt;=Inputs!$B$27),"Yes","No")</f>
        <v>No</v>
      </c>
      <c r="K46" s="25"/>
    </row>
    <row r="47" customFormat="false" ht="15" hidden="false" customHeight="false" outlineLevel="0" collapsed="false">
      <c r="A47" s="24" t="s">
        <v>377</v>
      </c>
      <c r="B47" s="24" t="s">
        <v>329</v>
      </c>
      <c r="C47" s="25" t="s">
        <v>330</v>
      </c>
      <c r="D47" s="26" t="n">
        <v>700</v>
      </c>
      <c r="E47" s="24" t="s">
        <v>89</v>
      </c>
      <c r="F47" s="27" t="n">
        <v>1500</v>
      </c>
      <c r="G47" s="27" t="n">
        <v>0</v>
      </c>
      <c r="H47" s="29" t="n">
        <f aca="false">F47+G47</f>
        <v>1500</v>
      </c>
      <c r="I47" s="24" t="s">
        <v>224</v>
      </c>
      <c r="J47" s="30" t="str">
        <f aca="false">IF(AND(E47="active",I47&lt;=Inputs!$B$27),"Yes","No")</f>
        <v>No</v>
      </c>
      <c r="K47" s="25"/>
    </row>
    <row r="48" customFormat="false" ht="15" hidden="false" customHeight="false" outlineLevel="0" collapsed="false">
      <c r="A48" s="24" t="s">
        <v>378</v>
      </c>
      <c r="B48" s="24" t="s">
        <v>333</v>
      </c>
      <c r="C48" s="25" t="s">
        <v>334</v>
      </c>
      <c r="D48" s="26" t="n">
        <v>820</v>
      </c>
      <c r="E48" s="24" t="s">
        <v>89</v>
      </c>
      <c r="F48" s="27" t="n">
        <v>1650</v>
      </c>
      <c r="G48" s="27" t="n">
        <v>0</v>
      </c>
      <c r="H48" s="29" t="n">
        <f aca="false">F48+G48</f>
        <v>1650</v>
      </c>
      <c r="I48" s="24" t="s">
        <v>224</v>
      </c>
      <c r="J48" s="30" t="str">
        <f aca="false">IF(AND(E48="active",I48&lt;=Inputs!$B$27),"Yes","No")</f>
        <v>No</v>
      </c>
      <c r="K48" s="25"/>
    </row>
    <row r="49" customFormat="false" ht="15" hidden="false" customHeight="false" outlineLevel="0" collapsed="false">
      <c r="A49" s="24" t="s">
        <v>379</v>
      </c>
      <c r="B49" s="24" t="s">
        <v>336</v>
      </c>
      <c r="C49" s="25" t="s">
        <v>337</v>
      </c>
      <c r="D49" s="26" t="n">
        <v>1030</v>
      </c>
      <c r="E49" s="24" t="s">
        <v>89</v>
      </c>
      <c r="F49" s="27" t="n">
        <v>2150</v>
      </c>
      <c r="G49" s="27" t="n">
        <v>0</v>
      </c>
      <c r="H49" s="29" t="n">
        <f aca="false">F49+G49</f>
        <v>2150</v>
      </c>
      <c r="I49" s="24" t="s">
        <v>224</v>
      </c>
      <c r="J49" s="30" t="str">
        <f aca="false">IF(AND(E49="active",I49&lt;=Inputs!$B$27),"Yes","No")</f>
        <v>No</v>
      </c>
      <c r="K49" s="25" t="s">
        <v>380</v>
      </c>
    </row>
    <row r="50" customFormat="false" ht="15" hidden="false" customHeight="false" outlineLevel="0" collapsed="false">
      <c r="A50" s="24" t="s">
        <v>381</v>
      </c>
      <c r="B50" s="24" t="s">
        <v>329</v>
      </c>
      <c r="C50" s="25" t="s">
        <v>330</v>
      </c>
      <c r="D50" s="26" t="n">
        <v>700</v>
      </c>
      <c r="E50" s="24" t="s">
        <v>382</v>
      </c>
      <c r="F50" s="27" t="n">
        <v>1500</v>
      </c>
      <c r="G50" s="27" t="n">
        <v>0</v>
      </c>
      <c r="H50" s="29" t="n">
        <f aca="false">F50+G50</f>
        <v>1500</v>
      </c>
      <c r="I50" s="24" t="s">
        <v>224</v>
      </c>
      <c r="J50" s="30" t="str">
        <f aca="false">IF(AND(E50="active",I50&lt;=Inputs!$B$27),"Yes","No")</f>
        <v>No</v>
      </c>
      <c r="K50" s="25"/>
    </row>
    <row r="51" customFormat="false" ht="15" hidden="false" customHeight="false" outlineLevel="0" collapsed="false">
      <c r="A51" s="24" t="s">
        <v>383</v>
      </c>
      <c r="B51" s="24" t="s">
        <v>333</v>
      </c>
      <c r="C51" s="25" t="s">
        <v>334</v>
      </c>
      <c r="D51" s="26" t="n">
        <v>820</v>
      </c>
      <c r="E51" s="24" t="s">
        <v>382</v>
      </c>
      <c r="F51" s="27" t="n">
        <v>1650</v>
      </c>
      <c r="G51" s="27" t="n">
        <v>0</v>
      </c>
      <c r="H51" s="29" t="n">
        <f aca="false">F51+G51</f>
        <v>1650</v>
      </c>
      <c r="I51" s="24" t="s">
        <v>224</v>
      </c>
      <c r="J51" s="30" t="str">
        <f aca="false">IF(AND(E51="active",I51&lt;=Inputs!$B$27),"Yes","No")</f>
        <v>No</v>
      </c>
      <c r="K51" s="25"/>
    </row>
    <row r="52" customFormat="false" ht="15" hidden="false" customHeight="false" outlineLevel="0" collapsed="false">
      <c r="A52" s="24" t="s">
        <v>384</v>
      </c>
      <c r="B52" s="24" t="s">
        <v>336</v>
      </c>
      <c r="C52" s="25" t="s">
        <v>337</v>
      </c>
      <c r="D52" s="26" t="n">
        <v>1030</v>
      </c>
      <c r="E52" s="24" t="s">
        <v>382</v>
      </c>
      <c r="F52" s="27" t="n">
        <v>1925</v>
      </c>
      <c r="G52" s="27" t="n">
        <v>0</v>
      </c>
      <c r="H52" s="29" t="n">
        <f aca="false">F52+G52</f>
        <v>1925</v>
      </c>
      <c r="I52" s="24" t="s">
        <v>224</v>
      </c>
      <c r="J52" s="30" t="str">
        <f aca="false">IF(AND(E52="active",I52&lt;=Inputs!$B$27),"Yes","No")</f>
        <v>No</v>
      </c>
      <c r="K52" s="25"/>
    </row>
    <row r="54" customFormat="false" ht="15" hidden="false" customHeight="false" outlineLevel="0" collapsed="false">
      <c r="A54" s="4" t="s">
        <v>385</v>
      </c>
    </row>
    <row r="55" customFormat="false" ht="15" hidden="false" customHeight="false" outlineLevel="0" collapsed="false">
      <c r="A55" s="4" t="s">
        <v>386</v>
      </c>
      <c r="H55" s="31" t="n">
        <f aca="false">SUM(F5:F52)</f>
        <v>81425</v>
      </c>
      <c r="K55" s="3" t="s">
        <v>387</v>
      </c>
    </row>
    <row r="56" customFormat="false" ht="15" hidden="false" customHeight="false" outlineLevel="0" collapsed="false">
      <c r="A56" s="4" t="s">
        <v>388</v>
      </c>
      <c r="H56" s="31" t="n">
        <f aca="false">SUM(H5:H52)</f>
        <v>81775</v>
      </c>
      <c r="K56" s="3" t="s">
        <v>389</v>
      </c>
    </row>
    <row r="57" customFormat="false" ht="15" hidden="false" customHeight="false" outlineLevel="0" collapsed="false">
      <c r="A57" s="4" t="s">
        <v>390</v>
      </c>
      <c r="H57" s="31" t="n">
        <f aca="false">SUMIF($E$5:$E$52,"active",H5:H52)</f>
        <v>76700</v>
      </c>
      <c r="K57" s="3" t="s">
        <v>391</v>
      </c>
    </row>
    <row r="58" customFormat="false" ht="15" hidden="false" customHeight="false" outlineLevel="0" collapsed="false">
      <c r="A58" s="4" t="s">
        <v>124</v>
      </c>
      <c r="H58" s="31" t="n">
        <f aca="false">H57*12</f>
        <v>920400</v>
      </c>
      <c r="K58" s="3" t="s">
        <v>392</v>
      </c>
    </row>
    <row r="59" customFormat="false" ht="15" hidden="false" customHeight="false" outlineLevel="0" collapsed="false">
      <c r="A59" s="4" t="s">
        <v>393</v>
      </c>
      <c r="H59" s="32" t="n">
        <f aca="false">COUNTA(A5:A52)</f>
        <v>48</v>
      </c>
      <c r="K59" s="3"/>
    </row>
    <row r="60" customFormat="false" ht="15" hidden="false" customHeight="false" outlineLevel="0" collapsed="false">
      <c r="A60" s="4" t="s">
        <v>394</v>
      </c>
      <c r="H60" s="32" t="n">
        <f aca="false">COUNTIF($E$5:$E$52,"active")</f>
        <v>45</v>
      </c>
      <c r="K60" s="3" t="s">
        <v>395</v>
      </c>
    </row>
    <row r="61" customFormat="false" ht="15" hidden="false" customHeight="false" outlineLevel="0" collapsed="false">
      <c r="A61" s="4" t="s">
        <v>396</v>
      </c>
      <c r="H61" s="32" t="n">
        <f aca="false">COUNTIF($E$5:$E$52,"pending")</f>
        <v>0</v>
      </c>
      <c r="K61" s="3" t="s">
        <v>397</v>
      </c>
    </row>
    <row r="62" customFormat="false" ht="15" hidden="false" customHeight="false" outlineLevel="0" collapsed="false">
      <c r="A62" s="4" t="s">
        <v>398</v>
      </c>
      <c r="H62" s="32" t="n">
        <f aca="false">COUNTIF($E$5:$E$52,"vacant")</f>
        <v>3</v>
      </c>
      <c r="K62" s="3"/>
    </row>
    <row r="63" customFormat="false" ht="15" hidden="false" customHeight="false" outlineLevel="0" collapsed="false">
      <c r="A63" s="4" t="s">
        <v>399</v>
      </c>
      <c r="H63" s="32" t="n">
        <f aca="false">SUM(D5:D52)</f>
        <v>40800</v>
      </c>
      <c r="K63" s="3"/>
    </row>
    <row r="64" customFormat="false" ht="15" hidden="false" customHeight="false" outlineLevel="0" collapsed="false">
      <c r="A64" s="4" t="s">
        <v>106</v>
      </c>
      <c r="H64" s="32" t="n">
        <f aca="false">SUMIF($E$5:$E$52,"active",D5:D52)</f>
        <v>38250</v>
      </c>
      <c r="K64" s="3" t="s">
        <v>400</v>
      </c>
    </row>
    <row r="65" customFormat="false" ht="15" hidden="false" customHeight="false" outlineLevel="0" collapsed="false">
      <c r="A65" s="4" t="s">
        <v>111</v>
      </c>
      <c r="H65" s="33" t="n">
        <f aca="false">H60/H59</f>
        <v>0.9375</v>
      </c>
      <c r="K65" s="3" t="s">
        <v>401</v>
      </c>
    </row>
    <row r="66" customFormat="false" ht="15" hidden="false" customHeight="false" outlineLevel="0" collapsed="false">
      <c r="A66" s="4" t="s">
        <v>116</v>
      </c>
      <c r="H66" s="33" t="n">
        <f aca="false">H64/H63</f>
        <v>0.9375</v>
      </c>
      <c r="K66" s="3" t="s">
        <v>401</v>
      </c>
    </row>
    <row r="67" customFormat="false" ht="15" hidden="false" customHeight="false" outlineLevel="0" collapsed="false">
      <c r="A67" s="4" t="s">
        <v>402</v>
      </c>
      <c r="H67" s="32" t="n">
        <f aca="false">H60+H61</f>
        <v>45</v>
      </c>
      <c r="K67" s="3" t="s">
        <v>403</v>
      </c>
    </row>
    <row r="68" customFormat="false" ht="15" hidden="false" customHeight="false" outlineLevel="0" collapsed="false">
      <c r="A68" s="4" t="s">
        <v>404</v>
      </c>
      <c r="H68" s="32" t="n">
        <f aca="false">COUNTIF(J5:J52,"Yes")</f>
        <v>0</v>
      </c>
      <c r="K68" s="3" t="s">
        <v>405</v>
      </c>
    </row>
    <row r="70" customFormat="false" ht="15" hidden="false" customHeight="false" outlineLevel="0" collapsed="false">
      <c r="A70" s="4" t="s">
        <v>406</v>
      </c>
    </row>
    <row r="71" customFormat="false" ht="15" hidden="false" customHeight="false" outlineLevel="0" collapsed="false">
      <c r="A71" s="34" t="s">
        <v>320</v>
      </c>
      <c r="B71" s="34" t="s">
        <v>319</v>
      </c>
      <c r="C71" s="34" t="s">
        <v>321</v>
      </c>
      <c r="D71" s="34" t="s">
        <v>407</v>
      </c>
      <c r="E71" s="34" t="s">
        <v>408</v>
      </c>
      <c r="F71" s="34" t="s">
        <v>409</v>
      </c>
      <c r="G71" s="34" t="s">
        <v>410</v>
      </c>
      <c r="H71" s="34" t="s">
        <v>411</v>
      </c>
    </row>
    <row r="72" customFormat="false" ht="15" hidden="false" customHeight="false" outlineLevel="0" collapsed="false">
      <c r="A72" s="3" t="s">
        <v>330</v>
      </c>
      <c r="B72" s="3" t="s">
        <v>329</v>
      </c>
      <c r="C72" s="32" t="n">
        <v>700</v>
      </c>
      <c r="D72" s="3" t="n">
        <f aca="false">COUNTIF($B$5:$B$52,B72)</f>
        <v>16</v>
      </c>
      <c r="E72" s="3" t="n">
        <f aca="false">COUNTIFS($B$5:$B$52,B72,$E$5:$E$52,"active")</f>
        <v>15</v>
      </c>
      <c r="F72" s="3" t="n">
        <f aca="false">COUNTIFS($B$5:$B$52,B72,$E$5:$E$52,"pending")</f>
        <v>0</v>
      </c>
      <c r="G72" s="3" t="n">
        <f aca="false">COUNTIFS($B$5:$B$52,B72,$E$5:$E$52,"vacant")</f>
        <v>1</v>
      </c>
      <c r="H72" s="31" t="n">
        <f aca="false">SUMIF($B$5:$B$52,B72,$F$5:$F$52)</f>
        <v>24000</v>
      </c>
    </row>
    <row r="73" customFormat="false" ht="15" hidden="false" customHeight="false" outlineLevel="0" collapsed="false">
      <c r="A73" s="3" t="s">
        <v>334</v>
      </c>
      <c r="B73" s="3" t="s">
        <v>333</v>
      </c>
      <c r="C73" s="32" t="n">
        <v>820</v>
      </c>
      <c r="D73" s="3" t="n">
        <f aca="false">COUNTIF($B$5:$B$52,B73)</f>
        <v>16</v>
      </c>
      <c r="E73" s="3" t="n">
        <f aca="false">COUNTIFS($B$5:$B$52,B73,$E$5:$E$52,"active")</f>
        <v>15</v>
      </c>
      <c r="F73" s="3" t="n">
        <f aca="false">COUNTIFS($B$5:$B$52,B73,$E$5:$E$52,"pending")</f>
        <v>0</v>
      </c>
      <c r="G73" s="3" t="n">
        <f aca="false">COUNTIFS($B$5:$B$52,B73,$E$5:$E$52,"vacant")</f>
        <v>1</v>
      </c>
      <c r="H73" s="31" t="n">
        <f aca="false">SUMIF($B$5:$B$52,B73,$F$5:$F$52)</f>
        <v>26400</v>
      </c>
    </row>
    <row r="74" customFormat="false" ht="15" hidden="false" customHeight="false" outlineLevel="0" collapsed="false">
      <c r="A74" s="3" t="s">
        <v>337</v>
      </c>
      <c r="B74" s="3" t="s">
        <v>336</v>
      </c>
      <c r="C74" s="32" t="n">
        <v>1030</v>
      </c>
      <c r="D74" s="3" t="n">
        <f aca="false">COUNTIF($B$5:$B$52,B74)</f>
        <v>16</v>
      </c>
      <c r="E74" s="3" t="n">
        <f aca="false">COUNTIFS($B$5:$B$52,B74,$E$5:$E$52,"active")</f>
        <v>15</v>
      </c>
      <c r="F74" s="3" t="n">
        <f aca="false">COUNTIFS($B$5:$B$52,B74,$E$5:$E$52,"pending")</f>
        <v>0</v>
      </c>
      <c r="G74" s="3" t="n">
        <f aca="false">COUNTIFS($B$5:$B$52,B74,$E$5:$E$52,"vacant")</f>
        <v>1</v>
      </c>
      <c r="H74" s="31" t="n">
        <f aca="false">SUMIF($B$5:$B$52,B74,$F$5:$F$52)</f>
        <v>31025</v>
      </c>
    </row>
    <row r="75" customFormat="false" ht="15" hidden="false" customHeight="false" outlineLevel="0" collapsed="false">
      <c r="A75" s="4" t="s">
        <v>412</v>
      </c>
      <c r="D75" s="4" t="n">
        <f aca="false">SUM(D72:D74)</f>
        <v>48</v>
      </c>
      <c r="E75" s="4" t="n">
        <f aca="false">SUM(E72:E74)</f>
        <v>45</v>
      </c>
      <c r="F75" s="4" t="n">
        <f aca="false">SUM(F72:F74)</f>
        <v>0</v>
      </c>
      <c r="G75" s="4" t="n">
        <f aca="false">SUM(G72:G74)</f>
        <v>3</v>
      </c>
      <c r="H75" s="35" t="n">
        <f aca="false">SUM(H72:H74)</f>
        <v>81425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
    <col collapsed="false" customWidth="true" hidden="false" outlineLevel="0" max="4" min="4" style="0" width="66"/>
  </cols>
  <sheetData>
    <row r="1" customFormat="false" ht="17.35" hidden="false" customHeight="false" outlineLevel="0" collapsed="false">
      <c r="A1" s="1" t="s">
        <v>413</v>
      </c>
    </row>
    <row r="2" customFormat="false" ht="15" hidden="false" customHeight="false" outlineLevel="0" collapsed="false">
      <c r="A2" s="2" t="s">
        <v>414</v>
      </c>
    </row>
    <row r="4" customFormat="false" ht="15" hidden="false" customHeight="false" outlineLevel="0" collapsed="false">
      <c r="A4" s="5" t="s">
        <v>415</v>
      </c>
      <c r="B4" s="5" t="s">
        <v>416</v>
      </c>
      <c r="C4" s="5" t="s">
        <v>235</v>
      </c>
      <c r="D4" s="5" t="s">
        <v>417</v>
      </c>
    </row>
    <row r="5" customFormat="false" ht="23.85" hidden="false" customHeight="false" outlineLevel="0" collapsed="false">
      <c r="A5" s="3" t="s">
        <v>418</v>
      </c>
      <c r="B5" s="36" t="n">
        <f aca="false">Inputs!B5</f>
        <v>977100</v>
      </c>
      <c r="C5" s="3" t="s">
        <v>239</v>
      </c>
      <c r="D5" s="9" t="s">
        <v>419</v>
      </c>
    </row>
    <row r="6" customFormat="false" ht="15" hidden="false" customHeight="false" outlineLevel="0" collapsed="false">
      <c r="A6" s="3" t="s">
        <v>420</v>
      </c>
      <c r="B6" s="31" t="n">
        <f aca="false">-B5*Inputs!B6</f>
        <v>-48855</v>
      </c>
      <c r="C6" s="3" t="s">
        <v>239</v>
      </c>
      <c r="D6" s="9" t="s">
        <v>421</v>
      </c>
    </row>
    <row r="7" customFormat="false" ht="15" hidden="false" customHeight="false" outlineLevel="0" collapsed="false">
      <c r="A7" s="3" t="s">
        <v>422</v>
      </c>
      <c r="B7" s="31" t="n">
        <f aca="false">Inputs!B7*Inputs!B8</f>
        <v>16800</v>
      </c>
      <c r="C7" s="3" t="s">
        <v>239</v>
      </c>
      <c r="D7" s="9" t="s">
        <v>423</v>
      </c>
    </row>
    <row r="8" customFormat="false" ht="15" hidden="false" customHeight="false" outlineLevel="0" collapsed="false">
      <c r="A8" s="6" t="s">
        <v>424</v>
      </c>
      <c r="B8" s="37" t="n">
        <f aca="false">B5+B6+B7</f>
        <v>945045</v>
      </c>
      <c r="C8" s="7" t="s">
        <v>239</v>
      </c>
      <c r="D8" s="8" t="s">
        <v>425</v>
      </c>
    </row>
    <row r="10" customFormat="false" ht="15" hidden="false" customHeight="false" outlineLevel="0" collapsed="false">
      <c r="A10" s="3" t="s">
        <v>426</v>
      </c>
      <c r="B10" s="36" t="n">
        <f aca="false">-Inputs!B9</f>
        <v>-102312</v>
      </c>
      <c r="C10" s="3" t="s">
        <v>239</v>
      </c>
      <c r="D10" s="9" t="s">
        <v>427</v>
      </c>
    </row>
    <row r="11" customFormat="false" ht="15" hidden="false" customHeight="false" outlineLevel="0" collapsed="false">
      <c r="A11" s="3" t="s">
        <v>428</v>
      </c>
      <c r="B11" s="36" t="n">
        <f aca="false">-Inputs!B10</f>
        <v>-34104</v>
      </c>
      <c r="C11" s="3" t="s">
        <v>239</v>
      </c>
      <c r="D11" s="9" t="s">
        <v>429</v>
      </c>
    </row>
    <row r="12" customFormat="false" ht="15" hidden="false" customHeight="false" outlineLevel="0" collapsed="false">
      <c r="A12" s="3" t="s">
        <v>430</v>
      </c>
      <c r="B12" s="36" t="n">
        <f aca="false">-Inputs!B11</f>
        <v>-136416</v>
      </c>
      <c r="C12" s="3" t="s">
        <v>239</v>
      </c>
      <c r="D12" s="9" t="s">
        <v>431</v>
      </c>
    </row>
    <row r="13" customFormat="false" ht="15" hidden="false" customHeight="false" outlineLevel="0" collapsed="false">
      <c r="A13" s="3" t="s">
        <v>432</v>
      </c>
      <c r="B13" s="31" t="n">
        <f aca="false">-B8*Inputs!B12</f>
        <v>-28351.35</v>
      </c>
      <c r="C13" s="3" t="s">
        <v>239</v>
      </c>
      <c r="D13" s="9" t="s">
        <v>433</v>
      </c>
    </row>
    <row r="14" customFormat="false" ht="15" hidden="false" customHeight="false" outlineLevel="0" collapsed="false">
      <c r="A14" s="4" t="s">
        <v>434</v>
      </c>
      <c r="B14" s="35" t="n">
        <f aca="false">-SUM(B10:B13)</f>
        <v>301183.35</v>
      </c>
      <c r="C14" s="3" t="s">
        <v>239</v>
      </c>
      <c r="D14" s="9" t="s">
        <v>435</v>
      </c>
    </row>
    <row r="15" customFormat="false" ht="15" hidden="false" customHeight="false" outlineLevel="0" collapsed="false">
      <c r="A15" s="6" t="s">
        <v>436</v>
      </c>
      <c r="B15" s="37" t="n">
        <f aca="false">B8-B14</f>
        <v>643861.65</v>
      </c>
      <c r="C15" s="7" t="s">
        <v>239</v>
      </c>
      <c r="D15" s="8" t="s">
        <v>437</v>
      </c>
    </row>
    <row r="16" customFormat="false" ht="15" hidden="false" customHeight="false" outlineLevel="0" collapsed="false">
      <c r="A16" s="3" t="s">
        <v>438</v>
      </c>
      <c r="B16" s="31" t="n">
        <f aca="false">-Inputs!B13*Inputs!B8</f>
        <v>-14400</v>
      </c>
      <c r="C16" s="3" t="s">
        <v>239</v>
      </c>
      <c r="D16" s="9" t="s">
        <v>439</v>
      </c>
    </row>
    <row r="17" customFormat="false" ht="15" hidden="false" customHeight="false" outlineLevel="0" collapsed="false">
      <c r="A17" s="6" t="s">
        <v>440</v>
      </c>
      <c r="B17" s="37" t="n">
        <f aca="false">B15+B16</f>
        <v>629461.65</v>
      </c>
      <c r="C17" s="7" t="s">
        <v>239</v>
      </c>
      <c r="D17" s="8" t="s">
        <v>441</v>
      </c>
    </row>
    <row r="19" customFormat="false" ht="15" hidden="false" customHeight="false" outlineLevel="0" collapsed="false">
      <c r="A19" s="3" t="s">
        <v>15</v>
      </c>
      <c r="B19" s="38" t="n">
        <f aca="false">Inputs!B14</f>
        <v>0.06</v>
      </c>
      <c r="C19" s="3" t="s">
        <v>263</v>
      </c>
      <c r="D19" s="9" t="s">
        <v>442</v>
      </c>
    </row>
    <row r="20" customFormat="false" ht="15" hidden="false" customHeight="false" outlineLevel="0" collapsed="false">
      <c r="A20" s="6" t="s">
        <v>26</v>
      </c>
      <c r="B20" s="37" t="n">
        <f aca="false">B15/B19</f>
        <v>10731027.5</v>
      </c>
      <c r="C20" s="7" t="s">
        <v>286</v>
      </c>
      <c r="D20" s="8" t="s">
        <v>443</v>
      </c>
    </row>
    <row r="22" customFormat="false" ht="15" hidden="false" customHeight="false" outlineLevel="0" collapsed="false">
      <c r="A22" s="3" t="s">
        <v>444</v>
      </c>
      <c r="B22" s="31" t="n">
        <f aca="false">B20/Inputs!B8</f>
        <v>223563.072916667</v>
      </c>
      <c r="C22" s="3" t="s">
        <v>445</v>
      </c>
      <c r="D22" s="9" t="s">
        <v>446</v>
      </c>
    </row>
    <row r="23" customFormat="false" ht="15" hidden="false" customHeight="false" outlineLevel="0" collapsed="false">
      <c r="A23" s="3" t="s">
        <v>447</v>
      </c>
      <c r="B23" s="39" t="n">
        <f aca="false">B20/'Rent Roll'!H63</f>
        <v>263.015379901961</v>
      </c>
      <c r="C23" s="3" t="s">
        <v>448</v>
      </c>
      <c r="D23" s="9" t="s">
        <v>449</v>
      </c>
    </row>
    <row r="24" customFormat="false" ht="15" hidden="false" customHeight="false" outlineLevel="0" collapsed="false">
      <c r="A24" s="3" t="s">
        <v>450</v>
      </c>
      <c r="B24" s="40" t="n">
        <f aca="false">B15/B8</f>
        <v>0.681302636382395</v>
      </c>
      <c r="C24" s="3" t="s">
        <v>263</v>
      </c>
      <c r="D24" s="9" t="s">
        <v>446</v>
      </c>
    </row>
    <row r="25" customFormat="false" ht="15" hidden="false" customHeight="false" outlineLevel="0" collapsed="false">
      <c r="A25" s="3" t="s">
        <v>451</v>
      </c>
      <c r="B25" s="40" t="n">
        <f aca="false">B14/B8</f>
        <v>0.318697363617606</v>
      </c>
      <c r="C25" s="3" t="s">
        <v>263</v>
      </c>
      <c r="D25" s="9" t="s">
        <v>446</v>
      </c>
    </row>
    <row r="27" customFormat="false" ht="15" hidden="false" customHeight="false" outlineLevel="0" collapsed="false">
      <c r="A27" s="4" t="s">
        <v>452</v>
      </c>
    </row>
    <row r="28" customFormat="false" ht="15" hidden="false" customHeight="false" outlineLevel="0" collapsed="false">
      <c r="A28" s="3" t="s">
        <v>453</v>
      </c>
      <c r="B28" s="31" t="n">
        <f aca="false">'Rent Roll'!H58</f>
        <v>920400</v>
      </c>
      <c r="D28" s="9" t="s">
        <v>454</v>
      </c>
    </row>
    <row r="29" customFormat="false" ht="15" hidden="false" customHeight="false" outlineLevel="0" collapsed="false">
      <c r="A29" s="3" t="s">
        <v>455</v>
      </c>
      <c r="B29" s="31" t="n">
        <f aca="false">B5</f>
        <v>977100</v>
      </c>
      <c r="D29" s="9" t="s">
        <v>456</v>
      </c>
    </row>
    <row r="30" customFormat="false" ht="23.85" hidden="false" customHeight="false" outlineLevel="0" collapsed="false">
      <c r="A30" s="3" t="s">
        <v>457</v>
      </c>
      <c r="B30" s="31" t="n">
        <f aca="false">B29-B28</f>
        <v>56700</v>
      </c>
      <c r="D30" s="9" t="s">
        <v>458</v>
      </c>
    </row>
    <row r="32" customFormat="false" ht="15" hidden="false" customHeight="false" outlineLevel="0" collapsed="false">
      <c r="A32" s="2"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10"/>
    <col collapsed="false" customWidth="true" hidden="false" outlineLevel="0" max="4" min="4" style="0" width="62"/>
  </cols>
  <sheetData>
    <row r="1" customFormat="false" ht="17.35" hidden="false" customHeight="false" outlineLevel="0" collapsed="false">
      <c r="A1" s="1" t="s">
        <v>460</v>
      </c>
    </row>
    <row r="2" customFormat="false" ht="15" hidden="false" customHeight="false" outlineLevel="0" collapsed="false">
      <c r="A2" s="2" t="s">
        <v>461</v>
      </c>
    </row>
    <row r="4" customFormat="false" ht="15" hidden="false" customHeight="false" outlineLevel="0" collapsed="false">
      <c r="A4" s="5" t="s">
        <v>415</v>
      </c>
      <c r="B4" s="5" t="s">
        <v>416</v>
      </c>
      <c r="C4" s="5" t="s">
        <v>235</v>
      </c>
      <c r="D4" s="5" t="s">
        <v>462</v>
      </c>
    </row>
    <row r="5" customFormat="false" ht="23.85" hidden="false" customHeight="false" outlineLevel="0" collapsed="false">
      <c r="A5" s="3" t="s">
        <v>17</v>
      </c>
      <c r="B5" s="38" t="n">
        <f aca="false">Inputs!B17</f>
        <v>0.07</v>
      </c>
      <c r="C5" s="3" t="s">
        <v>263</v>
      </c>
      <c r="D5" s="9" t="s">
        <v>463</v>
      </c>
    </row>
    <row r="6" customFormat="false" ht="15" hidden="false" customHeight="false" outlineLevel="0" collapsed="false">
      <c r="A6" s="3" t="s">
        <v>464</v>
      </c>
      <c r="B6" s="41" t="n">
        <f aca="false">B5/Inputs!B19</f>
        <v>0.00583333333333333</v>
      </c>
      <c r="C6" s="3" t="s">
        <v>263</v>
      </c>
      <c r="D6" s="9" t="s">
        <v>465</v>
      </c>
    </row>
    <row r="7" customFormat="false" ht="15" hidden="false" customHeight="false" outlineLevel="0" collapsed="false">
      <c r="A7" s="3" t="s">
        <v>466</v>
      </c>
      <c r="B7" s="32" t="n">
        <f aca="false">Inputs!B18*Inputs!B19</f>
        <v>360</v>
      </c>
      <c r="C7" s="3" t="s">
        <v>467</v>
      </c>
      <c r="D7" s="9" t="s">
        <v>468</v>
      </c>
    </row>
    <row r="8" customFormat="false" ht="15" hidden="false" customHeight="false" outlineLevel="0" collapsed="false">
      <c r="A8" s="3" t="s">
        <v>153</v>
      </c>
      <c r="B8" s="33" t="n">
        <f aca="false">(1-(1+B6)^-B7)/B6</f>
        <v>150.307567947821</v>
      </c>
      <c r="C8" s="3" t="s">
        <v>469</v>
      </c>
      <c r="D8" s="9" t="s">
        <v>470</v>
      </c>
    </row>
    <row r="10" customFormat="false" ht="15" hidden="false" customHeight="false" outlineLevel="0" collapsed="false">
      <c r="A10" s="3" t="s">
        <v>471</v>
      </c>
      <c r="B10" s="31" t="n">
        <f aca="false">Inputs!B20*Underwriting!B20</f>
        <v>6975167.875</v>
      </c>
      <c r="C10" s="3" t="s">
        <v>286</v>
      </c>
      <c r="D10" s="9" t="s">
        <v>472</v>
      </c>
    </row>
    <row r="11" customFormat="false" ht="15" hidden="false" customHeight="false" outlineLevel="0" collapsed="false">
      <c r="A11" s="3" t="s">
        <v>473</v>
      </c>
      <c r="B11" s="31" t="n">
        <f aca="false">(Underwriting!B17/Inputs!B21/Inputs!B19)*B8</f>
        <v>6307523.31519485</v>
      </c>
      <c r="C11" s="3" t="s">
        <v>286</v>
      </c>
      <c r="D11" s="9" t="s">
        <v>474</v>
      </c>
    </row>
    <row r="12" customFormat="false" ht="15" hidden="false" customHeight="false" outlineLevel="0" collapsed="false">
      <c r="A12" s="3" t="s">
        <v>475</v>
      </c>
      <c r="B12" s="31" t="n">
        <f aca="false">Underwriting!B17/Inputs!B22</f>
        <v>6994018.33333333</v>
      </c>
      <c r="C12" s="3" t="s">
        <v>286</v>
      </c>
      <c r="D12" s="9" t="s">
        <v>476</v>
      </c>
    </row>
    <row r="13" customFormat="false" ht="15" hidden="false" customHeight="false" outlineLevel="0" collapsed="false">
      <c r="A13" s="6" t="s">
        <v>28</v>
      </c>
      <c r="B13" s="37" t="n">
        <f aca="false">MIN(B10:B12)</f>
        <v>6307523.31519485</v>
      </c>
      <c r="C13" s="7" t="s">
        <v>286</v>
      </c>
      <c r="D13" s="8" t="s">
        <v>477</v>
      </c>
    </row>
    <row r="14" customFormat="false" ht="15" hidden="false" customHeight="false" outlineLevel="0" collapsed="false">
      <c r="A14" s="4" t="s">
        <v>478</v>
      </c>
      <c r="B14" s="4" t="str">
        <f aca="false">INDEX(A10:A12,MATCH(B13,B10:B12,0))</f>
        <v>Constraint 2 — DSCR @ 1.25x on NCF</v>
      </c>
      <c r="C14" s="3" t="s">
        <v>479</v>
      </c>
      <c r="D14" s="9" t="s">
        <v>480</v>
      </c>
    </row>
    <row r="16" customFormat="false" ht="15" hidden="false" customHeight="false" outlineLevel="0" collapsed="false">
      <c r="A16" s="3" t="s">
        <v>481</v>
      </c>
      <c r="B16" s="39" t="n">
        <f aca="false">B13*B6/(1-(1+B6)^-B7)</f>
        <v>41964.11</v>
      </c>
      <c r="C16" s="3" t="s">
        <v>290</v>
      </c>
      <c r="D16" s="9" t="s">
        <v>482</v>
      </c>
    </row>
    <row r="17" customFormat="false" ht="15" hidden="false" customHeight="false" outlineLevel="0" collapsed="false">
      <c r="A17" s="3" t="s">
        <v>483</v>
      </c>
      <c r="B17" s="31" t="n">
        <f aca="false">B16*Inputs!B19</f>
        <v>503569.32</v>
      </c>
      <c r="C17" s="3" t="s">
        <v>239</v>
      </c>
      <c r="D17" s="9" t="s">
        <v>484</v>
      </c>
    </row>
    <row r="18" customFormat="false" ht="15" hidden="false" customHeight="false" outlineLevel="0" collapsed="false">
      <c r="A18" s="4" t="s">
        <v>485</v>
      </c>
      <c r="B18" s="42" t="n">
        <f aca="false">Underwriting!B17/B17</f>
        <v>1.25</v>
      </c>
      <c r="C18" s="3" t="s">
        <v>280</v>
      </c>
      <c r="D18" s="9" t="s">
        <v>486</v>
      </c>
    </row>
    <row r="19" customFormat="false" ht="15" hidden="false" customHeight="false" outlineLevel="0" collapsed="false">
      <c r="A19" s="3" t="s">
        <v>176</v>
      </c>
      <c r="B19" s="40" t="n">
        <f aca="false">Underwriting!B17/B13</f>
        <v>0.0997953742768774</v>
      </c>
      <c r="C19" s="3" t="s">
        <v>263</v>
      </c>
      <c r="D19" s="9" t="s">
        <v>487</v>
      </c>
    </row>
    <row r="20" customFormat="false" ht="15" hidden="false" customHeight="false" outlineLevel="0" collapsed="false">
      <c r="A20" s="3" t="s">
        <v>171</v>
      </c>
      <c r="B20" s="40" t="n">
        <f aca="false">B13/Underwriting!B20</f>
        <v>0.587783724829225</v>
      </c>
      <c r="C20" s="3" t="s">
        <v>263</v>
      </c>
      <c r="D20" s="9" t="s">
        <v>488</v>
      </c>
    </row>
    <row r="21" customFormat="false" ht="15" hidden="false" customHeight="false" outlineLevel="0" collapsed="false">
      <c r="A21" s="3" t="s">
        <v>489</v>
      </c>
      <c r="B21" s="31" t="n">
        <f aca="false">B13*B5</f>
        <v>441526.632063639</v>
      </c>
      <c r="C21" s="3" t="s">
        <v>239</v>
      </c>
      <c r="D21" s="9" t="s">
        <v>490</v>
      </c>
    </row>
    <row r="22" customFormat="false" ht="15" hidden="false" customHeight="false" outlineLevel="0" collapsed="false">
      <c r="A22" s="3" t="s">
        <v>491</v>
      </c>
      <c r="B22" s="33" t="n">
        <f aca="false">Underwriting!B17/B21</f>
        <v>1.42564820395539</v>
      </c>
      <c r="C22" s="3" t="s">
        <v>280</v>
      </c>
      <c r="D22" s="9" t="s">
        <v>492</v>
      </c>
    </row>
    <row r="25" customFormat="false" ht="15" hidden="false" customHeight="false" outlineLevel="0" collapsed="false">
      <c r="A25" s="4" t="s">
        <v>493</v>
      </c>
    </row>
    <row r="26" customFormat="false" ht="15" hidden="false" customHeight="false" outlineLevel="0" collapsed="false">
      <c r="A26" s="4" t="s">
        <v>494</v>
      </c>
      <c r="D26" s="9"/>
    </row>
    <row r="27" customFormat="false" ht="15" hidden="false" customHeight="false" outlineLevel="0" collapsed="false">
      <c r="A27" s="3" t="s">
        <v>495</v>
      </c>
      <c r="B27" s="31" t="n">
        <f aca="false">B13</f>
        <v>6307523.31519485</v>
      </c>
      <c r="D27" s="9" t="s">
        <v>496</v>
      </c>
    </row>
    <row r="28" customFormat="false" ht="15" hidden="false" customHeight="false" outlineLevel="0" collapsed="false">
      <c r="A28" s="3" t="s">
        <v>497</v>
      </c>
      <c r="B28" s="31" t="n">
        <f aca="false">MAX(0,-B34)</f>
        <v>0</v>
      </c>
      <c r="D28" s="9" t="s">
        <v>498</v>
      </c>
    </row>
    <row r="29" customFormat="false" ht="15" hidden="false" customHeight="false" outlineLevel="0" collapsed="false">
      <c r="A29" s="3" t="s">
        <v>499</v>
      </c>
      <c r="B29" s="31" t="n">
        <f aca="false">B27+B28</f>
        <v>6307523.31519485</v>
      </c>
      <c r="D29" s="9"/>
    </row>
    <row r="30" customFormat="false" ht="15" hidden="false" customHeight="false" outlineLevel="0" collapsed="false">
      <c r="A30" s="4" t="s">
        <v>500</v>
      </c>
      <c r="D30" s="9"/>
    </row>
    <row r="31" customFormat="false" ht="15" hidden="false" customHeight="false" outlineLevel="0" collapsed="false">
      <c r="A31" s="3" t="s">
        <v>288</v>
      </c>
      <c r="B31" s="31" t="n">
        <f aca="false">Inputs!B25</f>
        <v>4200000</v>
      </c>
      <c r="D31" s="9" t="s">
        <v>501</v>
      </c>
    </row>
    <row r="32" customFormat="false" ht="15" hidden="false" customHeight="false" outlineLevel="0" collapsed="false">
      <c r="A32" s="3" t="s">
        <v>502</v>
      </c>
      <c r="B32" s="31" t="n">
        <f aca="false">B13*Inputs!B23</f>
        <v>63075.2331519485</v>
      </c>
      <c r="D32" s="9" t="s">
        <v>503</v>
      </c>
    </row>
    <row r="33" customFormat="false" ht="15" hidden="false" customHeight="false" outlineLevel="0" collapsed="false">
      <c r="A33" s="3" t="s">
        <v>285</v>
      </c>
      <c r="B33" s="31" t="n">
        <f aca="false">Inputs!B24</f>
        <v>45000</v>
      </c>
      <c r="D33" s="9" t="s">
        <v>504</v>
      </c>
    </row>
    <row r="34" customFormat="false" ht="15" hidden="false" customHeight="false" outlineLevel="0" collapsed="false">
      <c r="A34" s="6" t="s">
        <v>505</v>
      </c>
      <c r="B34" s="37" t="n">
        <f aca="false">B27-B31-B32-B33</f>
        <v>1999448.0820429</v>
      </c>
      <c r="C34" s="43"/>
      <c r="D34" s="8" t="s">
        <v>506</v>
      </c>
    </row>
    <row r="35" customFormat="false" ht="15" hidden="false" customHeight="false" outlineLevel="0" collapsed="false">
      <c r="A35" s="3" t="s">
        <v>507</v>
      </c>
      <c r="B35" s="31" t="n">
        <f aca="false">B31+B32+B33+MAX(0,B34)</f>
        <v>6307523.31519485</v>
      </c>
      <c r="D35" s="9"/>
    </row>
    <row r="36" customFormat="false" ht="15" hidden="false" customHeight="false" outlineLevel="0" collapsed="false">
      <c r="A36" s="3" t="s">
        <v>508</v>
      </c>
      <c r="B36" s="31" t="n">
        <f aca="false">B29-B35</f>
        <v>0</v>
      </c>
      <c r="D36" s="9"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7"/>
    <col collapsed="false" customWidth="true" hidden="false" outlineLevel="0" max="4" min="4" style="0" width="15"/>
    <col collapsed="false" customWidth="true" hidden="false" outlineLevel="0" max="5" min="5" style="0" width="60"/>
  </cols>
  <sheetData>
    <row r="1" customFormat="false" ht="17.35" hidden="false" customHeight="false" outlineLevel="0" collapsed="false">
      <c r="A1" s="1" t="s">
        <v>510</v>
      </c>
    </row>
    <row r="2" customFormat="false" ht="15" hidden="false" customHeight="false" outlineLevel="0" collapsed="false">
      <c r="A2" s="2" t="s">
        <v>511</v>
      </c>
    </row>
    <row r="4" customFormat="false" ht="15" hidden="false" customHeight="false" outlineLevel="0" collapsed="false">
      <c r="A4" s="5" t="s">
        <v>512</v>
      </c>
      <c r="B4" s="5" t="s">
        <v>513</v>
      </c>
      <c r="C4" s="5" t="s">
        <v>514</v>
      </c>
      <c r="D4" s="5" t="s">
        <v>515</v>
      </c>
      <c r="E4" s="5" t="s">
        <v>516</v>
      </c>
    </row>
    <row r="5" customFormat="false" ht="23.85" hidden="false" customHeight="false" outlineLevel="0" collapsed="false">
      <c r="A5" s="3" t="s">
        <v>517</v>
      </c>
      <c r="B5" s="44" t="n">
        <v>876960</v>
      </c>
      <c r="C5" s="31" t="n">
        <f aca="false">Underwriting!B8</f>
        <v>945045</v>
      </c>
      <c r="D5" s="31" t="n">
        <f aca="false">C5-B5</f>
        <v>68085</v>
      </c>
      <c r="E5" s="9" t="s">
        <v>518</v>
      </c>
    </row>
    <row r="6" customFormat="false" ht="15" hidden="false" customHeight="false" outlineLevel="0" collapsed="false">
      <c r="A6" s="3" t="s">
        <v>519</v>
      </c>
      <c r="B6" s="44" t="n">
        <v>-102312</v>
      </c>
      <c r="C6" s="31" t="n">
        <f aca="false">-Inputs!B9</f>
        <v>-102312</v>
      </c>
      <c r="D6" s="31" t="n">
        <f aca="false">C6-B6</f>
        <v>0</v>
      </c>
      <c r="E6" s="9" t="s">
        <v>520</v>
      </c>
    </row>
    <row r="7" customFormat="false" ht="15" hidden="false" customHeight="false" outlineLevel="0" collapsed="false">
      <c r="A7" s="3" t="s">
        <v>521</v>
      </c>
      <c r="B7" s="44" t="n">
        <v>-34104</v>
      </c>
      <c r="C7" s="31" t="n">
        <f aca="false">-Inputs!B10</f>
        <v>-34104</v>
      </c>
      <c r="D7" s="31" t="n">
        <f aca="false">C7-B7</f>
        <v>0</v>
      </c>
      <c r="E7" s="9" t="s">
        <v>522</v>
      </c>
    </row>
    <row r="8" customFormat="false" ht="15" hidden="false" customHeight="false" outlineLevel="0" collapsed="false">
      <c r="A8" s="3" t="s">
        <v>257</v>
      </c>
      <c r="B8" s="44" t="n">
        <v>-136416</v>
      </c>
      <c r="C8" s="31" t="n">
        <f aca="false">-Inputs!B11</f>
        <v>-136416</v>
      </c>
      <c r="D8" s="31" t="n">
        <f aca="false">C8-B8</f>
        <v>0</v>
      </c>
      <c r="E8" s="9" t="s">
        <v>520</v>
      </c>
    </row>
    <row r="9" customFormat="false" ht="23.85" hidden="false" customHeight="false" outlineLevel="0" collapsed="false">
      <c r="A9" s="3" t="s">
        <v>258</v>
      </c>
      <c r="B9" s="44" t="n">
        <v>0</v>
      </c>
      <c r="C9" s="31" t="n">
        <f aca="false">-Underwriting!B8*Inputs!B12</f>
        <v>-28351.35</v>
      </c>
      <c r="D9" s="31" t="n">
        <f aca="false">C9-B9</f>
        <v>-28351.35</v>
      </c>
      <c r="E9" s="9" t="s">
        <v>523</v>
      </c>
    </row>
    <row r="10" customFormat="false" ht="35.05" hidden="false" customHeight="false" outlineLevel="0" collapsed="false">
      <c r="A10" s="3" t="s">
        <v>524</v>
      </c>
      <c r="B10" s="44" t="n">
        <v>0</v>
      </c>
      <c r="C10" s="31" t="n">
        <v>0</v>
      </c>
      <c r="D10" s="31" t="n">
        <f aca="false">C10-B10</f>
        <v>0</v>
      </c>
      <c r="E10" s="9" t="s">
        <v>525</v>
      </c>
    </row>
    <row r="11" customFormat="false" ht="15" hidden="false" customHeight="false" outlineLevel="0" collapsed="false">
      <c r="A11" s="4" t="s">
        <v>526</v>
      </c>
      <c r="B11" s="35" t="n">
        <f aca="false">SUM(B6:B10)</f>
        <v>-272832</v>
      </c>
      <c r="C11" s="35" t="n">
        <f aca="false">-Underwriting!B14</f>
        <v>-301183.35</v>
      </c>
      <c r="D11" s="35" t="n">
        <f aca="false">C11-B11</f>
        <v>-28351.35</v>
      </c>
      <c r="E11" s="9"/>
    </row>
    <row r="12" customFormat="false" ht="23.85" hidden="false" customHeight="false" outlineLevel="0" collapsed="false">
      <c r="A12" s="4" t="s">
        <v>527</v>
      </c>
      <c r="B12" s="35" t="n">
        <f aca="false">B5+B11</f>
        <v>604128</v>
      </c>
      <c r="C12" s="35" t="n">
        <f aca="false">Underwriting!B15</f>
        <v>643861.65</v>
      </c>
      <c r="D12" s="35" t="n">
        <f aca="false">C12-B12</f>
        <v>39733.65</v>
      </c>
      <c r="E12" s="9" t="s">
        <v>528</v>
      </c>
    </row>
    <row r="13" customFormat="false" ht="15" hidden="false" customHeight="false" outlineLevel="0" collapsed="false">
      <c r="A13" s="3" t="s">
        <v>529</v>
      </c>
      <c r="B13" s="44" t="n">
        <v>0</v>
      </c>
      <c r="C13" s="31" t="n">
        <f aca="false">-Inputs!B13*Inputs!B8</f>
        <v>-14400</v>
      </c>
      <c r="D13" s="31" t="n">
        <f aca="false">C13-B13</f>
        <v>-14400</v>
      </c>
      <c r="E13" s="9" t="s">
        <v>530</v>
      </c>
    </row>
    <row r="14" customFormat="false" ht="15" hidden="false" customHeight="false" outlineLevel="0" collapsed="false">
      <c r="A14" s="4" t="s">
        <v>531</v>
      </c>
      <c r="B14" s="31" t="s">
        <v>532</v>
      </c>
      <c r="C14" s="35" t="n">
        <f aca="false">Underwriting!B17</f>
        <v>629461.65</v>
      </c>
      <c r="E14" s="9" t="s">
        <v>533</v>
      </c>
    </row>
    <row r="16" customFormat="false" ht="15" hidden="false" customHeight="false" outlineLevel="0" collapsed="false">
      <c r="A16" s="4" t="s">
        <v>534</v>
      </c>
      <c r="B16" s="44" t="n">
        <v>604128</v>
      </c>
    </row>
    <row r="17" customFormat="false" ht="15" hidden="false" customHeight="false" outlineLevel="0" collapsed="false">
      <c r="A17" s="4" t="s">
        <v>535</v>
      </c>
      <c r="B17" s="31" t="n">
        <f aca="false">B12</f>
        <v>604128</v>
      </c>
    </row>
    <row r="18" customFormat="false" ht="15" hidden="false" customHeight="false" outlineLevel="0" collapsed="false">
      <c r="A18" s="4" t="s">
        <v>457</v>
      </c>
      <c r="B18" s="31" t="n">
        <f aca="false">B17-B16</f>
        <v>0</v>
      </c>
      <c r="C18" s="4" t="str">
        <f aca="false">IF(B18=0,"OK — ties","CHECK")</f>
        <v>OK —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8"/>
  </cols>
  <sheetData>
    <row r="1" customFormat="false" ht="17.35" hidden="false" customHeight="false" outlineLevel="0" collapsed="false">
      <c r="A1" s="1" t="s">
        <v>536</v>
      </c>
    </row>
    <row r="2" customFormat="false" ht="15" hidden="false" customHeight="false" outlineLevel="0" collapsed="false">
      <c r="A2" s="2" t="s">
        <v>537</v>
      </c>
    </row>
    <row r="4" customFormat="false" ht="15" hidden="false" customHeight="false" outlineLevel="0" collapsed="false">
      <c r="A4" s="4" t="s">
        <v>538</v>
      </c>
    </row>
    <row r="5" customFormat="false" ht="15" hidden="false" customHeight="false" outlineLevel="0" collapsed="false">
      <c r="A5" s="34" t="s">
        <v>15</v>
      </c>
      <c r="B5" s="34" t="s">
        <v>26</v>
      </c>
      <c r="C5" s="34" t="s">
        <v>539</v>
      </c>
      <c r="D5" s="34" t="s">
        <v>540</v>
      </c>
    </row>
    <row r="6" customFormat="false" ht="15" hidden="false" customHeight="false" outlineLevel="0" collapsed="false">
      <c r="A6" s="20" t="n">
        <v>0.055</v>
      </c>
      <c r="B6" s="31" t="n">
        <f aca="false">Underwriting!$B$15/A6</f>
        <v>11706575.4545455</v>
      </c>
      <c r="C6" s="31" t="n">
        <f aca="false">Inputs!$B$20*B6</f>
        <v>7609274.04545455</v>
      </c>
      <c r="D6" s="31" t="n">
        <f aca="false">B6/Inputs!$B$8</f>
        <v>243886.988636364</v>
      </c>
    </row>
    <row r="7" customFormat="false" ht="15" hidden="false" customHeight="false" outlineLevel="0" collapsed="false">
      <c r="A7" s="20" t="n">
        <v>0.0575</v>
      </c>
      <c r="B7" s="31" t="n">
        <f aca="false">Underwriting!$B$15/A7</f>
        <v>11197593.9130435</v>
      </c>
      <c r="C7" s="31" t="n">
        <f aca="false">Inputs!$B$20*B7</f>
        <v>7278436.04347826</v>
      </c>
      <c r="D7" s="31" t="n">
        <f aca="false">B7/Inputs!$B$8</f>
        <v>233283.206521739</v>
      </c>
    </row>
    <row r="8" customFormat="false" ht="15" hidden="false" customHeight="false" outlineLevel="0" collapsed="false">
      <c r="A8" s="45" t="n">
        <v>0.06</v>
      </c>
      <c r="B8" s="31" t="n">
        <f aca="false">Underwriting!$B$15/A8</f>
        <v>10731027.5</v>
      </c>
      <c r="C8" s="31" t="n">
        <f aca="false">Inputs!$B$20*B8</f>
        <v>6975167.875</v>
      </c>
      <c r="D8" s="31" t="n">
        <f aca="false">B8/Inputs!$B$8</f>
        <v>223563.072916667</v>
      </c>
    </row>
    <row r="9" customFormat="false" ht="15" hidden="false" customHeight="false" outlineLevel="0" collapsed="false">
      <c r="A9" s="20" t="n">
        <v>0.0625</v>
      </c>
      <c r="B9" s="31" t="n">
        <f aca="false">Underwriting!$B$15/A9</f>
        <v>10301786.4</v>
      </c>
      <c r="C9" s="31" t="n">
        <f aca="false">Inputs!$B$20*B9</f>
        <v>6696161.16</v>
      </c>
      <c r="D9" s="31" t="n">
        <f aca="false">B9/Inputs!$B$8</f>
        <v>214620.55</v>
      </c>
    </row>
    <row r="10" customFormat="false" ht="15" hidden="false" customHeight="false" outlineLevel="0" collapsed="false">
      <c r="A10" s="20" t="n">
        <v>0.065</v>
      </c>
      <c r="B10" s="31" t="n">
        <f aca="false">Underwriting!$B$15/A10</f>
        <v>9905563.84615385</v>
      </c>
      <c r="C10" s="31" t="n">
        <f aca="false">Inputs!$B$20*B10</f>
        <v>6438616.5</v>
      </c>
      <c r="D10" s="31" t="n">
        <f aca="false">B10/Inputs!$B$8</f>
        <v>206365.913461538</v>
      </c>
    </row>
    <row r="13" customFormat="false" ht="15" hidden="false" customHeight="false" outlineLevel="0" collapsed="false">
      <c r="A13" s="4" t="s">
        <v>541</v>
      </c>
    </row>
    <row r="14" customFormat="false" ht="15" hidden="false" customHeight="false" outlineLevel="0" collapsed="false">
      <c r="A14" s="46" t="s">
        <v>542</v>
      </c>
      <c r="B14" s="47" t="n">
        <v>0.065</v>
      </c>
      <c r="C14" s="47" t="n">
        <v>0.0675</v>
      </c>
      <c r="D14" s="45" t="n">
        <v>0.07</v>
      </c>
      <c r="E14" s="47" t="n">
        <v>0.0725</v>
      </c>
      <c r="F14" s="47" t="n">
        <v>0.075</v>
      </c>
    </row>
    <row r="15" customFormat="false" ht="15" hidden="false" customHeight="false" outlineLevel="0" collapsed="false">
      <c r="A15" s="20" t="n">
        <v>0.055</v>
      </c>
      <c r="B15" s="31" t="n">
        <f aca="false">MIN(Inputs!$B$20*(Underwriting!$B$15/$A15),(Underwriting!$B$17/Inputs!$B$21/Inputs!$B$19)*((1-(1+B$14/Inputs!$B$19)^-(Inputs!$B$18*Inputs!$B$19))/(B$14/Inputs!$B$19)),Underwriting!$B$17/Inputs!$B$22)</f>
        <v>6639176.23424388</v>
      </c>
      <c r="C15" s="31" t="n">
        <f aca="false">MIN(Inputs!$B$20*(Underwriting!$B$15/$A15),(Underwriting!$B$17/Inputs!$B$21/Inputs!$B$19)*((1-(1+C$14/Inputs!$B$19)^-(Inputs!$B$18*Inputs!$B$19))/(C$14/Inputs!$B$19)),Underwriting!$B$17/Inputs!$B$22)</f>
        <v>6469971.19202715</v>
      </c>
      <c r="D15" s="31" t="n">
        <f aca="false">MIN(Inputs!$B$20*(Underwriting!$B$15/$A15),(Underwriting!$B$17/Inputs!$B$21/Inputs!$B$19)*((1-(1+D$14/Inputs!$B$19)^-(Inputs!$B$18*Inputs!$B$19))/(D$14/Inputs!$B$19)),Underwriting!$B$17/Inputs!$B$22)</f>
        <v>6307523.31519485</v>
      </c>
      <c r="E15" s="31" t="n">
        <f aca="false">MIN(Inputs!$B$20*(Underwriting!$B$15/$A15),(Underwriting!$B$17/Inputs!$B$21/Inputs!$B$19)*((1-(1+E$14/Inputs!$B$19)^-(Inputs!$B$18*Inputs!$B$19))/(E$14/Inputs!$B$19)),Underwriting!$B$17/Inputs!$B$22)</f>
        <v>6151505.29662853</v>
      </c>
      <c r="F15" s="31" t="n">
        <f aca="false">MIN(Inputs!$B$20*(Underwriting!$B$15/$A15),(Underwriting!$B$17/Inputs!$B$21/Inputs!$B$19)*((1-(1+F$14/Inputs!$B$19)^-(Inputs!$B$18*Inputs!$B$19))/(F$14/Inputs!$B$19)),Underwriting!$B$17/Inputs!$B$22)</f>
        <v>6001607.44473919</v>
      </c>
    </row>
    <row r="16" customFormat="false" ht="15" hidden="false" customHeight="false" outlineLevel="0" collapsed="false">
      <c r="A16" s="20" t="n">
        <v>0.0575</v>
      </c>
      <c r="B16" s="31" t="n">
        <f aca="false">MIN(Inputs!$B$20*(Underwriting!$B$15/$A16),(Underwriting!$B$17/Inputs!$B$21/Inputs!$B$19)*((1-(1+B$14/Inputs!$B$19)^-(Inputs!$B$18*Inputs!$B$19))/(B$14/Inputs!$B$19)),Underwriting!$B$17/Inputs!$B$22)</f>
        <v>6639176.23424388</v>
      </c>
      <c r="C16" s="31" t="n">
        <f aca="false">MIN(Inputs!$B$20*(Underwriting!$B$15/$A16),(Underwriting!$B$17/Inputs!$B$21/Inputs!$B$19)*((1-(1+C$14/Inputs!$B$19)^-(Inputs!$B$18*Inputs!$B$19))/(C$14/Inputs!$B$19)),Underwriting!$B$17/Inputs!$B$22)</f>
        <v>6469971.19202715</v>
      </c>
      <c r="D16" s="31" t="n">
        <f aca="false">MIN(Inputs!$B$20*(Underwriting!$B$15/$A16),(Underwriting!$B$17/Inputs!$B$21/Inputs!$B$19)*((1-(1+D$14/Inputs!$B$19)^-(Inputs!$B$18*Inputs!$B$19))/(D$14/Inputs!$B$19)),Underwriting!$B$17/Inputs!$B$22)</f>
        <v>6307523.31519485</v>
      </c>
      <c r="E16" s="31" t="n">
        <f aca="false">MIN(Inputs!$B$20*(Underwriting!$B$15/$A16),(Underwriting!$B$17/Inputs!$B$21/Inputs!$B$19)*((1-(1+E$14/Inputs!$B$19)^-(Inputs!$B$18*Inputs!$B$19))/(E$14/Inputs!$B$19)),Underwriting!$B$17/Inputs!$B$22)</f>
        <v>6151505.29662853</v>
      </c>
      <c r="F16" s="31" t="n">
        <f aca="false">MIN(Inputs!$B$20*(Underwriting!$B$15/$A16),(Underwriting!$B$17/Inputs!$B$21/Inputs!$B$19)*((1-(1+F$14/Inputs!$B$19)^-(Inputs!$B$18*Inputs!$B$19))/(F$14/Inputs!$B$19)),Underwriting!$B$17/Inputs!$B$22)</f>
        <v>6001607.44473919</v>
      </c>
    </row>
    <row r="17" customFormat="false" ht="15" hidden="false" customHeight="false" outlineLevel="0" collapsed="false">
      <c r="A17" s="45" t="n">
        <v>0.06</v>
      </c>
      <c r="B17" s="31" t="n">
        <f aca="false">MIN(Inputs!$B$20*(Underwriting!$B$15/$A17),(Underwriting!$B$17/Inputs!$B$21/Inputs!$B$19)*((1-(1+B$14/Inputs!$B$19)^-(Inputs!$B$18*Inputs!$B$19))/(B$14/Inputs!$B$19)),Underwriting!$B$17/Inputs!$B$22)</f>
        <v>6639176.23424388</v>
      </c>
      <c r="C17" s="31" t="n">
        <f aca="false">MIN(Inputs!$B$20*(Underwriting!$B$15/$A17),(Underwriting!$B$17/Inputs!$B$21/Inputs!$B$19)*((1-(1+C$14/Inputs!$B$19)^-(Inputs!$B$18*Inputs!$B$19))/(C$14/Inputs!$B$19)),Underwriting!$B$17/Inputs!$B$22)</f>
        <v>6469971.19202715</v>
      </c>
      <c r="D17" s="31" t="n">
        <f aca="false">MIN(Inputs!$B$20*(Underwriting!$B$15/$A17),(Underwriting!$B$17/Inputs!$B$21/Inputs!$B$19)*((1-(1+D$14/Inputs!$B$19)^-(Inputs!$B$18*Inputs!$B$19))/(D$14/Inputs!$B$19)),Underwriting!$B$17/Inputs!$B$22)</f>
        <v>6307523.31519485</v>
      </c>
      <c r="E17" s="31" t="n">
        <f aca="false">MIN(Inputs!$B$20*(Underwriting!$B$15/$A17),(Underwriting!$B$17/Inputs!$B$21/Inputs!$B$19)*((1-(1+E$14/Inputs!$B$19)^-(Inputs!$B$18*Inputs!$B$19))/(E$14/Inputs!$B$19)),Underwriting!$B$17/Inputs!$B$22)</f>
        <v>6151505.29662853</v>
      </c>
      <c r="F17" s="31" t="n">
        <f aca="false">MIN(Inputs!$B$20*(Underwriting!$B$15/$A17),(Underwriting!$B$17/Inputs!$B$21/Inputs!$B$19)*((1-(1+F$14/Inputs!$B$19)^-(Inputs!$B$18*Inputs!$B$19))/(F$14/Inputs!$B$19)),Underwriting!$B$17/Inputs!$B$22)</f>
        <v>6001607.44473919</v>
      </c>
    </row>
    <row r="18" customFormat="false" ht="15" hidden="false" customHeight="false" outlineLevel="0" collapsed="false">
      <c r="A18" s="20" t="n">
        <v>0.0625</v>
      </c>
      <c r="B18" s="31" t="n">
        <f aca="false">MIN(Inputs!$B$20*(Underwriting!$B$15/$A18),(Underwriting!$B$17/Inputs!$B$21/Inputs!$B$19)*((1-(1+B$14/Inputs!$B$19)^-(Inputs!$B$18*Inputs!$B$19))/(B$14/Inputs!$B$19)),Underwriting!$B$17/Inputs!$B$22)</f>
        <v>6639176.23424388</v>
      </c>
      <c r="C18" s="31" t="n">
        <f aca="false">MIN(Inputs!$B$20*(Underwriting!$B$15/$A18),(Underwriting!$B$17/Inputs!$B$21/Inputs!$B$19)*((1-(1+C$14/Inputs!$B$19)^-(Inputs!$B$18*Inputs!$B$19))/(C$14/Inputs!$B$19)),Underwriting!$B$17/Inputs!$B$22)</f>
        <v>6469971.19202715</v>
      </c>
      <c r="D18" s="31" t="n">
        <f aca="false">MIN(Inputs!$B$20*(Underwriting!$B$15/$A18),(Underwriting!$B$17/Inputs!$B$21/Inputs!$B$19)*((1-(1+D$14/Inputs!$B$19)^-(Inputs!$B$18*Inputs!$B$19))/(D$14/Inputs!$B$19)),Underwriting!$B$17/Inputs!$B$22)</f>
        <v>6307523.31519485</v>
      </c>
      <c r="E18" s="31" t="n">
        <f aca="false">MIN(Inputs!$B$20*(Underwriting!$B$15/$A18),(Underwriting!$B$17/Inputs!$B$21/Inputs!$B$19)*((1-(1+E$14/Inputs!$B$19)^-(Inputs!$B$18*Inputs!$B$19))/(E$14/Inputs!$B$19)),Underwriting!$B$17/Inputs!$B$22)</f>
        <v>6151505.29662853</v>
      </c>
      <c r="F18" s="31" t="n">
        <f aca="false">MIN(Inputs!$B$20*(Underwriting!$B$15/$A18),(Underwriting!$B$17/Inputs!$B$21/Inputs!$B$19)*((1-(1+F$14/Inputs!$B$19)^-(Inputs!$B$18*Inputs!$B$19))/(F$14/Inputs!$B$19)),Underwriting!$B$17/Inputs!$B$22)</f>
        <v>6001607.44473919</v>
      </c>
    </row>
    <row r="19" customFormat="false" ht="15" hidden="false" customHeight="false" outlineLevel="0" collapsed="false">
      <c r="A19" s="20" t="n">
        <v>0.065</v>
      </c>
      <c r="B19" s="31" t="n">
        <f aca="false">MIN(Inputs!$B$20*(Underwriting!$B$15/$A19),(Underwriting!$B$17/Inputs!$B$21/Inputs!$B$19)*((1-(1+B$14/Inputs!$B$19)^-(Inputs!$B$18*Inputs!$B$19))/(B$14/Inputs!$B$19)),Underwriting!$B$17/Inputs!$B$22)</f>
        <v>6438616.5</v>
      </c>
      <c r="C19" s="31" t="n">
        <f aca="false">MIN(Inputs!$B$20*(Underwriting!$B$15/$A19),(Underwriting!$B$17/Inputs!$B$21/Inputs!$B$19)*((1-(1+C$14/Inputs!$B$19)^-(Inputs!$B$18*Inputs!$B$19))/(C$14/Inputs!$B$19)),Underwriting!$B$17/Inputs!$B$22)</f>
        <v>6438616.5</v>
      </c>
      <c r="D19" s="31" t="n">
        <f aca="false">MIN(Inputs!$B$20*(Underwriting!$B$15/$A19),(Underwriting!$B$17/Inputs!$B$21/Inputs!$B$19)*((1-(1+D$14/Inputs!$B$19)^-(Inputs!$B$18*Inputs!$B$19))/(D$14/Inputs!$B$19)),Underwriting!$B$17/Inputs!$B$22)</f>
        <v>6307523.31519485</v>
      </c>
      <c r="E19" s="31" t="n">
        <f aca="false">MIN(Inputs!$B$20*(Underwriting!$B$15/$A19),(Underwriting!$B$17/Inputs!$B$21/Inputs!$B$19)*((1-(1+E$14/Inputs!$B$19)^-(Inputs!$B$18*Inputs!$B$19))/(E$14/Inputs!$B$19)),Underwriting!$B$17/Inputs!$B$22)</f>
        <v>6151505.29662853</v>
      </c>
      <c r="F19" s="31" t="n">
        <f aca="false">MIN(Inputs!$B$20*(Underwriting!$B$15/$A19),(Underwriting!$B$17/Inputs!$B$21/Inputs!$B$19)*((1-(1+F$14/Inputs!$B$19)^-(Inputs!$B$18*Inputs!$B$19))/(F$14/Inputs!$B$19)),Underwriting!$B$17/Inputs!$B$22)</f>
        <v>6001607.44473919</v>
      </c>
    </row>
    <row r="21" customFormat="false" ht="15" hidden="false" customHeight="false" outlineLevel="0" collapsed="false">
      <c r="A21" s="4" t="s">
        <v>543</v>
      </c>
    </row>
    <row r="22" customFormat="false" ht="15" hidden="false" customHeight="false" outlineLevel="0" collapsed="false">
      <c r="A22" s="46" t="s">
        <v>542</v>
      </c>
      <c r="B22" s="48" t="n">
        <f aca="false">B14</f>
        <v>0.065</v>
      </c>
      <c r="C22" s="48" t="n">
        <f aca="false">C14</f>
        <v>0.0675</v>
      </c>
      <c r="D22" s="48" t="n">
        <f aca="false">D14</f>
        <v>0.07</v>
      </c>
      <c r="E22" s="48" t="n">
        <f aca="false">E14</f>
        <v>0.0725</v>
      </c>
      <c r="F22" s="48" t="n">
        <f aca="false">F14</f>
        <v>0.075</v>
      </c>
    </row>
    <row r="23" customFormat="false" ht="15" hidden="false" customHeight="false" outlineLevel="0" collapsed="false">
      <c r="A23" s="21" t="n">
        <f aca="false">A15</f>
        <v>0.055</v>
      </c>
      <c r="B23" s="31" t="n">
        <f aca="false">B15-Inputs!$B$25-B15*Inputs!$B$23-Inputs!$B$24</f>
        <v>2327784.47190144</v>
      </c>
      <c r="C23" s="31" t="n">
        <f aca="false">C15-Inputs!$B$25-C15*Inputs!$B$23-Inputs!$B$24</f>
        <v>2160271.48010688</v>
      </c>
      <c r="D23" s="31" t="n">
        <f aca="false">D15-Inputs!$B$25-D15*Inputs!$B$23-Inputs!$B$24</f>
        <v>1999448.0820429</v>
      </c>
      <c r="E23" s="31" t="n">
        <f aca="false">E15-Inputs!$B$25-E15*Inputs!$B$23-Inputs!$B$24</f>
        <v>1844990.24366224</v>
      </c>
      <c r="F23" s="31" t="n">
        <f aca="false">F15-Inputs!$B$25-F15*Inputs!$B$23-Inputs!$B$24</f>
        <v>1696591.3702918</v>
      </c>
    </row>
    <row r="24" customFormat="false" ht="15" hidden="false" customHeight="false" outlineLevel="0" collapsed="false">
      <c r="A24" s="21" t="n">
        <f aca="false">A16</f>
        <v>0.0575</v>
      </c>
      <c r="B24" s="31" t="n">
        <f aca="false">B16-Inputs!$B$25-B16*Inputs!$B$23-Inputs!$B$24</f>
        <v>2327784.47190144</v>
      </c>
      <c r="C24" s="31" t="n">
        <f aca="false">C16-Inputs!$B$25-C16*Inputs!$B$23-Inputs!$B$24</f>
        <v>2160271.48010688</v>
      </c>
      <c r="D24" s="31" t="n">
        <f aca="false">D16-Inputs!$B$25-D16*Inputs!$B$23-Inputs!$B$24</f>
        <v>1999448.0820429</v>
      </c>
      <c r="E24" s="31" t="n">
        <f aca="false">E16-Inputs!$B$25-E16*Inputs!$B$23-Inputs!$B$24</f>
        <v>1844990.24366224</v>
      </c>
      <c r="F24" s="31" t="n">
        <f aca="false">F16-Inputs!$B$25-F16*Inputs!$B$23-Inputs!$B$24</f>
        <v>1696591.3702918</v>
      </c>
    </row>
    <row r="25" customFormat="false" ht="15" hidden="false" customHeight="false" outlineLevel="0" collapsed="false">
      <c r="A25" s="21" t="n">
        <f aca="false">A17</f>
        <v>0.06</v>
      </c>
      <c r="B25" s="31" t="n">
        <f aca="false">B17-Inputs!$B$25-B17*Inputs!$B$23-Inputs!$B$24</f>
        <v>2327784.47190144</v>
      </c>
      <c r="C25" s="31" t="n">
        <f aca="false">C17-Inputs!$B$25-C17*Inputs!$B$23-Inputs!$B$24</f>
        <v>2160271.48010688</v>
      </c>
      <c r="D25" s="31" t="n">
        <f aca="false">D17-Inputs!$B$25-D17*Inputs!$B$23-Inputs!$B$24</f>
        <v>1999448.0820429</v>
      </c>
      <c r="E25" s="31" t="n">
        <f aca="false">E17-Inputs!$B$25-E17*Inputs!$B$23-Inputs!$B$24</f>
        <v>1844990.24366224</v>
      </c>
      <c r="F25" s="31" t="n">
        <f aca="false">F17-Inputs!$B$25-F17*Inputs!$B$23-Inputs!$B$24</f>
        <v>1696591.3702918</v>
      </c>
    </row>
    <row r="26" customFormat="false" ht="15" hidden="false" customHeight="false" outlineLevel="0" collapsed="false">
      <c r="A26" s="21" t="n">
        <f aca="false">A18</f>
        <v>0.0625</v>
      </c>
      <c r="B26" s="31" t="n">
        <f aca="false">B18-Inputs!$B$25-B18*Inputs!$B$23-Inputs!$B$24</f>
        <v>2327784.47190144</v>
      </c>
      <c r="C26" s="31" t="n">
        <f aca="false">C18-Inputs!$B$25-C18*Inputs!$B$23-Inputs!$B$24</f>
        <v>2160271.48010688</v>
      </c>
      <c r="D26" s="31" t="n">
        <f aca="false">D18-Inputs!$B$25-D18*Inputs!$B$23-Inputs!$B$24</f>
        <v>1999448.0820429</v>
      </c>
      <c r="E26" s="31" t="n">
        <f aca="false">E18-Inputs!$B$25-E18*Inputs!$B$23-Inputs!$B$24</f>
        <v>1844990.24366224</v>
      </c>
      <c r="F26" s="31" t="n">
        <f aca="false">F18-Inputs!$B$25-F18*Inputs!$B$23-Inputs!$B$24</f>
        <v>1696591.3702918</v>
      </c>
    </row>
    <row r="27" customFormat="false" ht="15" hidden="false" customHeight="false" outlineLevel="0" collapsed="false">
      <c r="A27" s="21" t="n">
        <f aca="false">A19</f>
        <v>0.065</v>
      </c>
      <c r="B27" s="31" t="n">
        <f aca="false">B19-Inputs!$B$25-B19*Inputs!$B$23-Inputs!$B$24</f>
        <v>2129230.335</v>
      </c>
      <c r="C27" s="31" t="n">
        <f aca="false">C19-Inputs!$B$25-C19*Inputs!$B$23-Inputs!$B$24</f>
        <v>2129230.335</v>
      </c>
      <c r="D27" s="31" t="n">
        <f aca="false">D19-Inputs!$B$25-D19*Inputs!$B$23-Inputs!$B$24</f>
        <v>1999448.0820429</v>
      </c>
      <c r="E27" s="31" t="n">
        <f aca="false">E19-Inputs!$B$25-E19*Inputs!$B$23-Inputs!$B$24</f>
        <v>1844990.24366224</v>
      </c>
      <c r="F27" s="31" t="n">
        <f aca="false">F19-Inputs!$B$25-F19*Inputs!$B$23-Inputs!$B$24</f>
        <v>1696591.3702918</v>
      </c>
    </row>
    <row r="29" customFormat="false" ht="15" hidden="false" customHeight="true" outlineLevel="0" collapsed="false">
      <c r="A29" s="49" t="s">
        <v>544</v>
      </c>
      <c r="B29" s="49"/>
      <c r="C29" s="49"/>
      <c r="D29" s="49"/>
      <c r="E29" s="49"/>
      <c r="F29" s="49"/>
    </row>
    <row r="30" customFormat="false" ht="15" hidden="false" customHeight="false" outlineLevel="0" collapsed="false">
      <c r="A30" s="49"/>
      <c r="B30" s="49"/>
      <c r="C30" s="49"/>
      <c r="D30" s="49"/>
      <c r="E30" s="49"/>
      <c r="F30" s="49"/>
    </row>
    <row r="31" customFormat="false" ht="15" hidden="false" customHeight="false" outlineLevel="0" collapsed="false">
      <c r="A31" s="49"/>
      <c r="B31" s="49"/>
      <c r="C31" s="49"/>
      <c r="D31" s="49"/>
      <c r="E31" s="49"/>
      <c r="F31" s="49"/>
    </row>
    <row r="32" customFormat="false" ht="15" hidden="false" customHeight="false" outlineLevel="0" collapsed="false">
      <c r="A32" s="49"/>
      <c r="B32" s="49"/>
      <c r="C32" s="49"/>
      <c r="D32" s="49"/>
      <c r="E32" s="49"/>
      <c r="F32" s="49"/>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52"/>
    <col collapsed="false" customWidth="true" hidden="false" outlineLevel="0" max="5" min="5" style="0" width="74"/>
  </cols>
  <sheetData>
    <row r="1" customFormat="false" ht="17.35" hidden="false" customHeight="false" outlineLevel="0" collapsed="false">
      <c r="A1" s="1" t="s">
        <v>545</v>
      </c>
    </row>
    <row r="2" customFormat="false" ht="15" hidden="false" customHeight="false" outlineLevel="0" collapsed="false">
      <c r="A2" s="2" t="s">
        <v>546</v>
      </c>
    </row>
    <row r="4" customFormat="false" ht="15" hidden="false" customHeight="false" outlineLevel="0" collapsed="false">
      <c r="A4" s="5" t="s">
        <v>547</v>
      </c>
      <c r="B4" s="5" t="s">
        <v>234</v>
      </c>
      <c r="C4" s="5" t="s">
        <v>235</v>
      </c>
      <c r="D4" s="5" t="s">
        <v>548</v>
      </c>
      <c r="E4" s="5" t="s">
        <v>549</v>
      </c>
    </row>
    <row r="5" customFormat="false" ht="15" hidden="false" customHeight="false" outlineLevel="0" collapsed="false">
      <c r="A5" s="50" t="s">
        <v>393</v>
      </c>
      <c r="B5" s="51" t="n">
        <f aca="false">'Rent Roll'!H59</f>
        <v>48</v>
      </c>
      <c r="C5" s="12" t="s">
        <v>249</v>
      </c>
      <c r="D5" s="10" t="s">
        <v>550</v>
      </c>
      <c r="E5" s="10" t="s">
        <v>551</v>
      </c>
    </row>
    <row r="6" customFormat="false" ht="15" hidden="false" customHeight="false" outlineLevel="0" collapsed="false">
      <c r="A6" s="50" t="s">
        <v>96</v>
      </c>
      <c r="B6" s="51" t="n">
        <f aca="false">'Rent Roll'!H60</f>
        <v>45</v>
      </c>
      <c r="C6" s="12" t="s">
        <v>249</v>
      </c>
      <c r="D6" s="10" t="s">
        <v>552</v>
      </c>
      <c r="E6" s="10" t="s">
        <v>553</v>
      </c>
    </row>
    <row r="7" customFormat="false" ht="23.85" hidden="false" customHeight="false" outlineLevel="0" collapsed="false">
      <c r="A7" s="50" t="s">
        <v>101</v>
      </c>
      <c r="B7" s="51" t="n">
        <f aca="false">'Rent Roll'!H61</f>
        <v>0</v>
      </c>
      <c r="C7" s="12" t="s">
        <v>249</v>
      </c>
      <c r="D7" s="10" t="s">
        <v>554</v>
      </c>
      <c r="E7" s="10" t="s">
        <v>555</v>
      </c>
    </row>
    <row r="8" customFormat="false" ht="15" hidden="false" customHeight="false" outlineLevel="0" collapsed="false">
      <c r="A8" s="50" t="s">
        <v>399</v>
      </c>
      <c r="B8" s="51" t="n">
        <f aca="false">'Rent Roll'!H63</f>
        <v>40800</v>
      </c>
      <c r="C8" s="12" t="s">
        <v>556</v>
      </c>
      <c r="D8" s="10" t="s">
        <v>557</v>
      </c>
      <c r="E8" s="10" t="s">
        <v>558</v>
      </c>
    </row>
    <row r="9" customFormat="false" ht="15" hidden="false" customHeight="false" outlineLevel="0" collapsed="false">
      <c r="A9" s="50" t="s">
        <v>106</v>
      </c>
      <c r="B9" s="51" t="n">
        <f aca="false">'Rent Roll'!H64</f>
        <v>38250</v>
      </c>
      <c r="C9" s="12" t="s">
        <v>556</v>
      </c>
      <c r="D9" s="10" t="s">
        <v>559</v>
      </c>
      <c r="E9" s="10" t="s">
        <v>560</v>
      </c>
    </row>
    <row r="10" customFormat="false" ht="15" hidden="false" customHeight="false" outlineLevel="0" collapsed="false">
      <c r="A10" s="50" t="s">
        <v>111</v>
      </c>
      <c r="B10" s="52" t="n">
        <f aca="false">'Rent Roll'!H65</f>
        <v>0.9375</v>
      </c>
      <c r="C10" s="12" t="s">
        <v>263</v>
      </c>
      <c r="D10" s="10" t="s">
        <v>552</v>
      </c>
      <c r="E10" s="10" t="s">
        <v>561</v>
      </c>
    </row>
    <row r="11" customFormat="false" ht="23.85" hidden="false" customHeight="false" outlineLevel="0" collapsed="false">
      <c r="A11" s="50" t="s">
        <v>116</v>
      </c>
      <c r="B11" s="52" t="n">
        <f aca="false">'Rent Roll'!H66</f>
        <v>0.9375</v>
      </c>
      <c r="C11" s="12" t="s">
        <v>263</v>
      </c>
      <c r="D11" s="10" t="s">
        <v>562</v>
      </c>
      <c r="E11" s="10" t="s">
        <v>563</v>
      </c>
    </row>
    <row r="12" customFormat="false" ht="23.85" hidden="false" customHeight="false" outlineLevel="0" collapsed="false">
      <c r="A12" s="50" t="s">
        <v>124</v>
      </c>
      <c r="B12" s="53" t="n">
        <f aca="false">'Rent Roll'!H58</f>
        <v>920400</v>
      </c>
      <c r="C12" s="12" t="s">
        <v>239</v>
      </c>
      <c r="D12" s="10" t="s">
        <v>564</v>
      </c>
      <c r="E12" s="10" t="s">
        <v>565</v>
      </c>
    </row>
    <row r="13" customFormat="false" ht="23.85" hidden="false" customHeight="false" outlineLevel="0" collapsed="false">
      <c r="A13" s="50" t="s">
        <v>187</v>
      </c>
      <c r="B13" s="53" t="n">
        <f aca="false">'Rent Roll'!H5</f>
        <v>1850</v>
      </c>
      <c r="C13" s="12" t="s">
        <v>290</v>
      </c>
      <c r="D13" s="10" t="s">
        <v>566</v>
      </c>
      <c r="E13" s="10" t="s">
        <v>567</v>
      </c>
    </row>
    <row r="14" customFormat="false" ht="23.85" hidden="false" customHeight="false" outlineLevel="0" collapsed="false">
      <c r="A14" s="50" t="s">
        <v>13</v>
      </c>
      <c r="B14" s="53" t="n">
        <f aca="false">Inputs!B5</f>
        <v>977100</v>
      </c>
      <c r="C14" s="12" t="s">
        <v>239</v>
      </c>
      <c r="D14" s="10" t="s">
        <v>240</v>
      </c>
      <c r="E14" s="10" t="s">
        <v>568</v>
      </c>
    </row>
    <row r="15" customFormat="false" ht="23.85" hidden="false" customHeight="false" outlineLevel="0" collapsed="false">
      <c r="A15" s="50" t="s">
        <v>20</v>
      </c>
      <c r="B15" s="53" t="n">
        <f aca="false">Underwriting!B8</f>
        <v>945045</v>
      </c>
      <c r="C15" s="12" t="s">
        <v>239</v>
      </c>
      <c r="D15" s="10" t="s">
        <v>569</v>
      </c>
      <c r="E15" s="10" t="s">
        <v>570</v>
      </c>
    </row>
    <row r="16" customFormat="false" ht="15" hidden="false" customHeight="false" outlineLevel="0" collapsed="false">
      <c r="A16" s="50" t="s">
        <v>571</v>
      </c>
      <c r="B16" s="53" t="n">
        <f aca="false">Inputs!B9</f>
        <v>102312</v>
      </c>
      <c r="C16" s="12" t="s">
        <v>239</v>
      </c>
      <c r="D16" s="10" t="s">
        <v>253</v>
      </c>
      <c r="E16" s="10" t="s">
        <v>572</v>
      </c>
    </row>
    <row r="17" customFormat="false" ht="15" hidden="false" customHeight="false" outlineLevel="0" collapsed="false">
      <c r="A17" s="50" t="s">
        <v>573</v>
      </c>
      <c r="B17" s="53" t="n">
        <f aca="false">Inputs!B10</f>
        <v>34104</v>
      </c>
      <c r="C17" s="12" t="s">
        <v>239</v>
      </c>
      <c r="D17" s="10" t="s">
        <v>253</v>
      </c>
      <c r="E17" s="10" t="s">
        <v>574</v>
      </c>
    </row>
    <row r="18" customFormat="false" ht="23.85" hidden="false" customHeight="false" outlineLevel="0" collapsed="false">
      <c r="A18" s="50" t="s">
        <v>137</v>
      </c>
      <c r="B18" s="53" t="n">
        <f aca="false">Underwriting!B14</f>
        <v>301183.35</v>
      </c>
      <c r="C18" s="12" t="s">
        <v>239</v>
      </c>
      <c r="D18" s="10" t="s">
        <v>244</v>
      </c>
      <c r="E18" s="10" t="s">
        <v>575</v>
      </c>
    </row>
    <row r="19" customFormat="false" ht="23.85" hidden="false" customHeight="false" outlineLevel="0" collapsed="false">
      <c r="A19" s="50" t="s">
        <v>22</v>
      </c>
      <c r="B19" s="53" t="n">
        <f aca="false">Underwriting!B15</f>
        <v>643861.65</v>
      </c>
      <c r="C19" s="12" t="s">
        <v>239</v>
      </c>
      <c r="D19" s="10" t="s">
        <v>244</v>
      </c>
      <c r="E19" s="10" t="s">
        <v>576</v>
      </c>
    </row>
    <row r="20" customFormat="false" ht="23.85" hidden="false" customHeight="false" outlineLevel="0" collapsed="false">
      <c r="A20" s="50" t="s">
        <v>24</v>
      </c>
      <c r="B20" s="53" t="n">
        <f aca="false">Underwriting!B17</f>
        <v>629461.65</v>
      </c>
      <c r="C20" s="12" t="s">
        <v>239</v>
      </c>
      <c r="D20" s="10" t="s">
        <v>244</v>
      </c>
      <c r="E20" s="10" t="s">
        <v>577</v>
      </c>
    </row>
    <row r="21" customFormat="false" ht="15" hidden="false" customHeight="false" outlineLevel="0" collapsed="false">
      <c r="A21" s="50" t="s">
        <v>17</v>
      </c>
      <c r="B21" s="54" t="n">
        <f aca="false">Inputs!B17</f>
        <v>0.07</v>
      </c>
      <c r="C21" s="12" t="s">
        <v>263</v>
      </c>
      <c r="D21" s="10" t="s">
        <v>264</v>
      </c>
      <c r="E21" s="10" t="s">
        <v>578</v>
      </c>
    </row>
    <row r="22" customFormat="false" ht="15" hidden="false" customHeight="false" outlineLevel="0" collapsed="false">
      <c r="A22" s="50" t="s">
        <v>15</v>
      </c>
      <c r="B22" s="54" t="n">
        <f aca="false">Inputs!B14</f>
        <v>0.06</v>
      </c>
      <c r="C22" s="12" t="s">
        <v>263</v>
      </c>
      <c r="D22" s="10" t="s">
        <v>264</v>
      </c>
      <c r="E22" s="10" t="s">
        <v>579</v>
      </c>
    </row>
    <row r="23" customFormat="false" ht="23.85" hidden="false" customHeight="false" outlineLevel="0" collapsed="false">
      <c r="A23" s="50" t="s">
        <v>26</v>
      </c>
      <c r="B23" s="53" t="n">
        <f aca="false">Underwriting!B20</f>
        <v>10731027.5</v>
      </c>
      <c r="C23" s="12" t="s">
        <v>286</v>
      </c>
      <c r="D23" s="10" t="s">
        <v>264</v>
      </c>
      <c r="E23" s="10" t="s">
        <v>580</v>
      </c>
    </row>
    <row r="24" customFormat="false" ht="15" hidden="false" customHeight="false" outlineLevel="0" collapsed="false">
      <c r="A24" s="50" t="s">
        <v>581</v>
      </c>
      <c r="B24" s="55" t="n">
        <f aca="false">Inputs!B20</f>
        <v>0.65</v>
      </c>
      <c r="C24" s="12" t="s">
        <v>263</v>
      </c>
      <c r="D24" s="10" t="s">
        <v>244</v>
      </c>
      <c r="E24" s="10" t="s">
        <v>582</v>
      </c>
    </row>
    <row r="25" customFormat="false" ht="15" hidden="false" customHeight="false" outlineLevel="0" collapsed="false">
      <c r="A25" s="50" t="s">
        <v>583</v>
      </c>
      <c r="B25" s="55" t="n">
        <f aca="false">Inputs!B21</f>
        <v>1.25</v>
      </c>
      <c r="C25" s="12" t="s">
        <v>280</v>
      </c>
      <c r="D25" s="10" t="s">
        <v>244</v>
      </c>
      <c r="E25" s="10" t="s">
        <v>584</v>
      </c>
    </row>
    <row r="26" customFormat="false" ht="15" hidden="false" customHeight="false" outlineLevel="0" collapsed="false">
      <c r="A26" s="50" t="s">
        <v>585</v>
      </c>
      <c r="B26" s="55" t="n">
        <f aca="false">Inputs!B22</f>
        <v>0.09</v>
      </c>
      <c r="C26" s="12" t="s">
        <v>263</v>
      </c>
      <c r="D26" s="10" t="s">
        <v>244</v>
      </c>
      <c r="E26" s="10" t="s">
        <v>586</v>
      </c>
    </row>
    <row r="27" customFormat="false" ht="23.85" hidden="false" customHeight="false" outlineLevel="0" collapsed="false">
      <c r="A27" s="50" t="s">
        <v>28</v>
      </c>
      <c r="B27" s="53" t="n">
        <f aca="false">Debt!B13</f>
        <v>6307523.31519485</v>
      </c>
      <c r="C27" s="12" t="s">
        <v>286</v>
      </c>
      <c r="D27" s="10" t="s">
        <v>569</v>
      </c>
      <c r="E27" s="10" t="s">
        <v>587</v>
      </c>
    </row>
    <row r="28" customFormat="false" ht="23.85" hidden="false" customHeight="false" outlineLevel="0" collapsed="false">
      <c r="A28" s="50" t="s">
        <v>30</v>
      </c>
      <c r="B28" s="53" t="n">
        <f aca="false">Debt!B34</f>
        <v>1999448.0820429</v>
      </c>
      <c r="C28" s="12" t="s">
        <v>286</v>
      </c>
      <c r="D28" s="10" t="s">
        <v>244</v>
      </c>
      <c r="E28" s="10" t="s">
        <v>588</v>
      </c>
    </row>
    <row r="29" customFormat="false" ht="23.85" hidden="false" customHeight="false" outlineLevel="0" collapsed="false">
      <c r="A29" s="50" t="s">
        <v>220</v>
      </c>
      <c r="B29" s="14" t="n">
        <v>2000000</v>
      </c>
      <c r="C29" s="12" t="s">
        <v>286</v>
      </c>
      <c r="D29" s="10" t="s">
        <v>589</v>
      </c>
      <c r="E29" s="10" t="s">
        <v>590</v>
      </c>
    </row>
    <row r="30" customFormat="false" ht="23.85" hidden="false" customHeight="false" outlineLevel="0" collapsed="false">
      <c r="A30" s="50" t="s">
        <v>74</v>
      </c>
      <c r="B30" s="19" t="s">
        <v>76</v>
      </c>
      <c r="C30" s="12" t="s">
        <v>295</v>
      </c>
      <c r="D30" s="10" t="s">
        <v>591</v>
      </c>
      <c r="E30" s="10" t="s">
        <v>592</v>
      </c>
    </row>
    <row r="31" customFormat="false" ht="23.85" hidden="false" customHeight="false" outlineLevel="0" collapsed="false">
      <c r="A31" s="50" t="s">
        <v>217</v>
      </c>
      <c r="B31" s="53" t="n">
        <f aca="false">Historical!B12</f>
        <v>604128</v>
      </c>
      <c r="C31" s="12" t="s">
        <v>239</v>
      </c>
      <c r="D31" s="10" t="s">
        <v>593</v>
      </c>
      <c r="E31" s="10" t="s">
        <v>594</v>
      </c>
    </row>
    <row r="32" customFormat="false" ht="15" hidden="false" customHeight="false" outlineLevel="0" collapsed="false">
      <c r="A32" s="50" t="s">
        <v>595</v>
      </c>
      <c r="B32" s="51" t="n">
        <f aca="false">'Rent Roll'!D72</f>
        <v>16</v>
      </c>
      <c r="C32" s="12" t="s">
        <v>249</v>
      </c>
      <c r="D32" s="10" t="s">
        <v>596</v>
      </c>
      <c r="E32" s="10" t="s">
        <v>597</v>
      </c>
    </row>
    <row r="33" customFormat="false" ht="15" hidden="false" customHeight="false" outlineLevel="0" collapsed="false">
      <c r="A33" s="50" t="s">
        <v>598</v>
      </c>
      <c r="B33" s="51" t="n">
        <f aca="false">'Rent Roll'!E72</f>
        <v>15</v>
      </c>
      <c r="C33" s="12" t="s">
        <v>249</v>
      </c>
      <c r="D33" s="10" t="s">
        <v>599</v>
      </c>
      <c r="E33" s="10" t="s">
        <v>600</v>
      </c>
    </row>
    <row r="34" customFormat="false" ht="15" hidden="false" customHeight="false" outlineLevel="0" collapsed="false">
      <c r="A34" s="50" t="s">
        <v>601</v>
      </c>
      <c r="B34" s="51" t="n">
        <f aca="false">'Rent Roll'!D73</f>
        <v>16</v>
      </c>
      <c r="C34" s="12" t="s">
        <v>249</v>
      </c>
      <c r="D34" s="10" t="s">
        <v>596</v>
      </c>
      <c r="E34" s="10" t="s">
        <v>602</v>
      </c>
    </row>
    <row r="35" customFormat="false" ht="15" hidden="false" customHeight="false" outlineLevel="0" collapsed="false">
      <c r="A35" s="50" t="s">
        <v>603</v>
      </c>
      <c r="B35" s="51" t="n">
        <f aca="false">'Rent Roll'!E73</f>
        <v>15</v>
      </c>
      <c r="C35" s="12" t="s">
        <v>249</v>
      </c>
      <c r="D35" s="10" t="s">
        <v>599</v>
      </c>
      <c r="E35" s="10" t="s">
        <v>604</v>
      </c>
    </row>
    <row r="36" customFormat="false" ht="15" hidden="false" customHeight="false" outlineLevel="0" collapsed="false">
      <c r="A36" s="50" t="s">
        <v>605</v>
      </c>
      <c r="B36" s="51" t="n">
        <f aca="false">'Rent Roll'!D74</f>
        <v>16</v>
      </c>
      <c r="C36" s="12" t="s">
        <v>249</v>
      </c>
      <c r="D36" s="10" t="s">
        <v>596</v>
      </c>
      <c r="E36" s="10" t="s">
        <v>606</v>
      </c>
    </row>
    <row r="37" customFormat="false" ht="15" hidden="false" customHeight="false" outlineLevel="0" collapsed="false">
      <c r="A37" s="50" t="s">
        <v>120</v>
      </c>
      <c r="B37" s="51" t="n">
        <f aca="false">'Rent Roll'!E74</f>
        <v>15</v>
      </c>
      <c r="C37" s="12" t="s">
        <v>249</v>
      </c>
      <c r="D37" s="10" t="s">
        <v>607</v>
      </c>
      <c r="E37" s="10" t="s">
        <v>608</v>
      </c>
    </row>
    <row r="38" customFormat="false" ht="35.05" hidden="false" customHeight="false" outlineLevel="0" collapsed="false">
      <c r="A38" s="50" t="s">
        <v>181</v>
      </c>
      <c r="B38" s="19" t="s">
        <v>183</v>
      </c>
      <c r="C38" s="12" t="s">
        <v>609</v>
      </c>
      <c r="D38" s="10" t="s">
        <v>610</v>
      </c>
      <c r="E38" s="10" t="s">
        <v>611</v>
      </c>
    </row>
    <row r="39" customFormat="false" ht="23.85" hidden="false" customHeight="false" outlineLevel="0" collapsed="false">
      <c r="A39" s="50" t="s">
        <v>612</v>
      </c>
      <c r="B39" s="19" t="s">
        <v>183</v>
      </c>
      <c r="C39" s="12" t="s">
        <v>609</v>
      </c>
      <c r="D39" s="10" t="s">
        <v>613</v>
      </c>
      <c r="E39" s="10" t="s">
        <v>614</v>
      </c>
    </row>
    <row r="40" customFormat="false" ht="15" hidden="false" customHeight="false" outlineLevel="0" collapsed="false">
      <c r="A40" s="50" t="s">
        <v>615</v>
      </c>
      <c r="B40" s="19" t="s">
        <v>183</v>
      </c>
      <c r="C40" s="12" t="s">
        <v>609</v>
      </c>
      <c r="D40" s="10" t="s">
        <v>589</v>
      </c>
      <c r="E40" s="10" t="s">
        <v>616</v>
      </c>
    </row>
    <row r="41" customFormat="false" ht="23.85" hidden="false" customHeight="false" outlineLevel="0" collapsed="false">
      <c r="A41" s="50" t="s">
        <v>617</v>
      </c>
      <c r="B41" s="19" t="s">
        <v>183</v>
      </c>
      <c r="C41" s="12" t="s">
        <v>609</v>
      </c>
      <c r="D41" s="10" t="s">
        <v>593</v>
      </c>
      <c r="E41" s="10" t="s">
        <v>618</v>
      </c>
    </row>
    <row r="42" customFormat="false" ht="35.05" hidden="false" customHeight="false" outlineLevel="0" collapsed="false">
      <c r="A42" s="50" t="s">
        <v>619</v>
      </c>
      <c r="B42" s="19" t="s">
        <v>183</v>
      </c>
      <c r="C42" s="12" t="s">
        <v>609</v>
      </c>
      <c r="D42" s="10" t="s">
        <v>620</v>
      </c>
      <c r="E42" s="10" t="s">
        <v>621</v>
      </c>
    </row>
    <row r="43" customFormat="false" ht="23.85" hidden="false" customHeight="false" outlineLevel="0" collapsed="false">
      <c r="A43" s="50" t="s">
        <v>622</v>
      </c>
      <c r="B43" s="19" t="s">
        <v>183</v>
      </c>
      <c r="C43" s="12" t="s">
        <v>609</v>
      </c>
      <c r="D43" s="10" t="s">
        <v>623</v>
      </c>
      <c r="E43" s="10" t="s">
        <v>624</v>
      </c>
    </row>
    <row r="44" customFormat="false" ht="35.05" hidden="false" customHeight="false" outlineLevel="0" collapsed="false">
      <c r="A44" s="50" t="s">
        <v>625</v>
      </c>
      <c r="B44" s="19" t="s">
        <v>183</v>
      </c>
      <c r="C44" s="12" t="s">
        <v>609</v>
      </c>
      <c r="D44" s="10" t="s">
        <v>244</v>
      </c>
      <c r="E44" s="10" t="s">
        <v>626</v>
      </c>
    </row>
    <row r="45" customFormat="false" ht="23.85" hidden="false" customHeight="false" outlineLevel="0" collapsed="false">
      <c r="A45" s="50" t="s">
        <v>627</v>
      </c>
      <c r="B45" s="19" t="s">
        <v>183</v>
      </c>
      <c r="C45" s="12" t="s">
        <v>609</v>
      </c>
      <c r="D45" s="10" t="s">
        <v>628</v>
      </c>
      <c r="E45" s="10"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0"/>
    <col collapsed="false" customWidth="true" hidden="false" outlineLevel="0" max="5" min="4" style="0" width="52"/>
  </cols>
  <sheetData>
    <row r="1" customFormat="false" ht="17.35" hidden="false" customHeight="false" outlineLevel="0" collapsed="false">
      <c r="A1" s="1" t="s">
        <v>630</v>
      </c>
    </row>
    <row r="2" customFormat="false" ht="15" hidden="false" customHeight="false" outlineLevel="0" collapsed="false">
      <c r="A2" s="2" t="s">
        <v>631</v>
      </c>
    </row>
    <row r="4" customFormat="false" ht="15" hidden="false" customHeight="false" outlineLevel="0" collapsed="false">
      <c r="A4" s="5" t="s">
        <v>632</v>
      </c>
      <c r="B4" s="5" t="s">
        <v>12</v>
      </c>
      <c r="C4" s="5" t="s">
        <v>633</v>
      </c>
      <c r="D4" s="5" t="s">
        <v>634</v>
      </c>
      <c r="E4" s="5" t="s">
        <v>635</v>
      </c>
    </row>
    <row r="5" customFormat="false" ht="35.05" hidden="false" customHeight="false" outlineLevel="0" collapsed="false">
      <c r="A5" s="50" t="s">
        <v>636</v>
      </c>
      <c r="B5" s="12" t="s">
        <v>637</v>
      </c>
      <c r="C5" s="56" t="s">
        <v>638</v>
      </c>
      <c r="D5" s="10" t="s">
        <v>639</v>
      </c>
      <c r="E5" s="10" t="s">
        <v>640</v>
      </c>
    </row>
    <row r="6" customFormat="false" ht="23.85" hidden="false" customHeight="false" outlineLevel="0" collapsed="false">
      <c r="A6" s="50" t="s">
        <v>641</v>
      </c>
      <c r="B6" s="12" t="s">
        <v>642</v>
      </c>
      <c r="C6" s="56" t="s">
        <v>643</v>
      </c>
      <c r="D6" s="10" t="s">
        <v>644</v>
      </c>
      <c r="E6" s="10" t="s">
        <v>645</v>
      </c>
    </row>
    <row r="7" customFormat="false" ht="23.85" hidden="false" customHeight="false" outlineLevel="0" collapsed="false">
      <c r="A7" s="50" t="s">
        <v>646</v>
      </c>
      <c r="B7" s="12" t="s">
        <v>642</v>
      </c>
      <c r="C7" s="56" t="s">
        <v>647</v>
      </c>
      <c r="D7" s="10" t="s">
        <v>648</v>
      </c>
      <c r="E7" s="10" t="s">
        <v>649</v>
      </c>
    </row>
    <row r="8" customFormat="false" ht="23.85" hidden="false" customHeight="false" outlineLevel="0" collapsed="false">
      <c r="A8" s="50" t="s">
        <v>650</v>
      </c>
      <c r="B8" s="12" t="s">
        <v>642</v>
      </c>
      <c r="C8" s="56" t="s">
        <v>651</v>
      </c>
      <c r="D8" s="10" t="s">
        <v>652</v>
      </c>
      <c r="E8" s="10" t="s">
        <v>653</v>
      </c>
    </row>
    <row r="9" customFormat="false" ht="23.85" hidden="false" customHeight="false" outlineLevel="0" collapsed="false">
      <c r="A9" s="50" t="s">
        <v>654</v>
      </c>
      <c r="B9" s="12" t="s">
        <v>637</v>
      </c>
      <c r="C9" s="56" t="s">
        <v>655</v>
      </c>
      <c r="D9" s="10" t="s">
        <v>656</v>
      </c>
      <c r="E9" s="10" t="s">
        <v>657</v>
      </c>
    </row>
    <row r="10" customFormat="false" ht="23.85" hidden="false" customHeight="false" outlineLevel="0" collapsed="false">
      <c r="A10" s="50" t="s">
        <v>658</v>
      </c>
      <c r="B10" s="12" t="s">
        <v>637</v>
      </c>
      <c r="C10" s="56" t="s">
        <v>643</v>
      </c>
      <c r="D10" s="10" t="s">
        <v>659</v>
      </c>
      <c r="E10" s="10" t="s">
        <v>660</v>
      </c>
    </row>
    <row r="11" customFormat="false" ht="35.05" hidden="false" customHeight="false" outlineLevel="0" collapsed="false">
      <c r="A11" s="50" t="s">
        <v>661</v>
      </c>
      <c r="B11" s="12" t="s">
        <v>637</v>
      </c>
      <c r="C11" s="56" t="s">
        <v>662</v>
      </c>
      <c r="D11" s="10" t="s">
        <v>663</v>
      </c>
      <c r="E11" s="10" t="s">
        <v>664</v>
      </c>
    </row>
    <row r="12" customFormat="false" ht="23.85" hidden="false" customHeight="false" outlineLevel="0" collapsed="false">
      <c r="A12" s="50" t="s">
        <v>665</v>
      </c>
      <c r="B12" s="12" t="s">
        <v>637</v>
      </c>
      <c r="C12" s="56" t="s">
        <v>666</v>
      </c>
      <c r="D12" s="10" t="s">
        <v>667</v>
      </c>
      <c r="E12" s="10" t="s">
        <v>668</v>
      </c>
    </row>
    <row r="13" customFormat="false" ht="23.85" hidden="false" customHeight="false" outlineLevel="0" collapsed="false">
      <c r="A13" s="50" t="s">
        <v>669</v>
      </c>
      <c r="B13" s="12" t="s">
        <v>637</v>
      </c>
      <c r="C13" s="56" t="s">
        <v>643</v>
      </c>
      <c r="D13" s="10" t="s">
        <v>670</v>
      </c>
      <c r="E13" s="10" t="s">
        <v>671</v>
      </c>
    </row>
    <row r="14" customFormat="false" ht="35.05" hidden="false" customHeight="false" outlineLevel="0" collapsed="false">
      <c r="A14" s="50" t="s">
        <v>672</v>
      </c>
      <c r="B14" s="12" t="s">
        <v>637</v>
      </c>
      <c r="C14" s="56" t="s">
        <v>673</v>
      </c>
      <c r="D14" s="10" t="s">
        <v>674</v>
      </c>
      <c r="E14" s="10" t="s">
        <v>675</v>
      </c>
    </row>
    <row r="15" customFormat="false" ht="23.85" hidden="false" customHeight="false" outlineLevel="0" collapsed="false">
      <c r="A15" s="50" t="s">
        <v>676</v>
      </c>
      <c r="B15" s="12" t="s">
        <v>637</v>
      </c>
      <c r="C15" s="56" t="s">
        <v>677</v>
      </c>
      <c r="D15" s="10" t="s">
        <v>678</v>
      </c>
      <c r="E15" s="10" t="s">
        <v>679</v>
      </c>
    </row>
    <row r="16" customFormat="false" ht="15" hidden="false" customHeight="false" outlineLevel="0" collapsed="false">
      <c r="A16" s="4" t="s">
        <v>680</v>
      </c>
    </row>
    <row r="17" customFormat="false" ht="15" hidden="false" customHeight="false" outlineLevel="0" collapsed="false">
      <c r="A17" s="3" t="s">
        <v>681</v>
      </c>
      <c r="D17" s="9" t="s">
        <v>682</v>
      </c>
    </row>
    <row r="18" customFormat="false" ht="23.85" hidden="false" customHeight="false" outlineLevel="0" collapsed="false">
      <c r="A18" s="3" t="s">
        <v>683</v>
      </c>
      <c r="D18" s="9" t="s">
        <v>684</v>
      </c>
    </row>
    <row r="19" customFormat="false" ht="23.85" hidden="false" customHeight="false" outlineLevel="0" collapsed="false">
      <c r="A19" s="3" t="s">
        <v>685</v>
      </c>
      <c r="D19" s="9" t="s">
        <v>686</v>
      </c>
    </row>
    <row r="20" customFormat="false" ht="23.85" hidden="false" customHeight="false" outlineLevel="0" collapsed="false">
      <c r="A20" s="3" t="s">
        <v>687</v>
      </c>
      <c r="D20" s="9" t="s">
        <v>688</v>
      </c>
    </row>
    <row r="21" customFormat="false" ht="15" hidden="false" customHeight="false" outlineLevel="0" collapsed="false">
      <c r="A21" s="3" t="s">
        <v>689</v>
      </c>
      <c r="D21" s="9" t="s">
        <v>690</v>
      </c>
    </row>
    <row r="22" customFormat="false" ht="15" hidden="false" customHeight="false" outlineLevel="0" collapsed="false">
      <c r="A22" s="3" t="s">
        <v>691</v>
      </c>
      <c r="D22" s="9" t="s">
        <v>692</v>
      </c>
    </row>
    <row r="23" customFormat="false" ht="15" hidden="false" customHeight="false" outlineLevel="0" collapsed="false">
      <c r="A23" s="3" t="s">
        <v>693</v>
      </c>
      <c r="D23" s="9" t="s">
        <v>692</v>
      </c>
    </row>
    <row r="24" customFormat="false" ht="23.85" hidden="false" customHeight="false" outlineLevel="0" collapsed="false">
      <c r="A24" s="3" t="s">
        <v>694</v>
      </c>
      <c r="D24" s="9" t="s">
        <v>695</v>
      </c>
    </row>
    <row r="25" customFormat="false" ht="15" hidden="false" customHeight="false" outlineLevel="0" collapsed="false">
      <c r="A25" s="3" t="s">
        <v>696</v>
      </c>
      <c r="D25" s="9" t="s">
        <v>692</v>
      </c>
    </row>
    <row r="26" customFormat="false" ht="15" hidden="false" customHeight="false" outlineLevel="0" collapsed="false">
      <c r="A26" s="3" t="s">
        <v>697</v>
      </c>
      <c r="D26" s="9" t="s">
        <v>698</v>
      </c>
    </row>
    <row r="27" customFormat="false" ht="15" hidden="false" customHeight="false" outlineLevel="0" collapsed="false">
      <c r="A27" s="3" t="s">
        <v>699</v>
      </c>
      <c r="D27" s="9" t="s">
        <v>700</v>
      </c>
    </row>
    <row r="28" customFormat="false" ht="15" hidden="false" customHeight="false" outlineLevel="0" collapsed="false">
      <c r="A28" s="3" t="s">
        <v>701</v>
      </c>
      <c r="D28" s="9" t="s">
        <v>702</v>
      </c>
    </row>
    <row r="29" customFormat="false" ht="23.85" hidden="false" customHeight="false" outlineLevel="0" collapsed="false">
      <c r="A29" s="3" t="s">
        <v>703</v>
      </c>
      <c r="D29" s="9"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2026-09-07T13:13:56Z</dcterms:created>
  <dc:creator>openpyxl</dc:creator>
  <dc:description/>
  <dc:language>en-US</dc:language>
  <cp:lastModifiedBy/>
  <dcterms:modified xsi:type="dcterms:W3CDTF">2026-09-07T13:13:56Z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