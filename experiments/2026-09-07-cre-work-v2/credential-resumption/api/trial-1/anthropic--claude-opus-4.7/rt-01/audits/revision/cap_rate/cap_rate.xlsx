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<sst xmlns="http://schemas.openxmlformats.org/spreadsheetml/2006/main" count="215" uniqueCount="152">
  <si>
    <t xml:space="preserve">Maple Crossing – Inputs (Revised 2026-09-01)</t>
  </si>
  <si>
    <t xml:space="preserve">Gross Potential Rent (annual)</t>
  </si>
  <si>
    <t xml:space="preserve">Revised roll: pre-amend Suite 001 $6,650; Suite 002 now $7,025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</si>
  <si>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</si>
  <si>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</si>
  <si>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</si>
  <si>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</si>
  <si>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</si>
  <si>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</si>
  <si>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</si>
  <si>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</si>
  <si>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 (REVISED +25 bps)</t>
  </si>
  <si>
    <t xml:space="preserve">Sizing rate (REVISED +75 bps; MAX vs floor)</t>
  </si>
  <si>
    <t xml:space="preserve">Note rate (revised initial rate)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</si>
  <si>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</si>
  <si>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</si>
  <si>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</si>
  <si>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</si>
  <si>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</si>
  <si>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</si>
  <si>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</si>
  <si>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</si>
  <si>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 (Revised)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</si>
  <si>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</si>
  <si>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</si>
  <si>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</si>
  <si>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</si>
  <si>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</si>
  <si>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</si>
  <si>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</si>
  <si>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</si>
  <si>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</si>
  <si>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</si>
  <si>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</si>
  <si>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</si>
  <si>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 (Revised)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</si>
  <si>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</si>
  <si>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</si>
  <si>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</si>
  <si>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</si>
  <si>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</si>
  <si>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</si>
  <si>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</si>
  <si>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</si>
  <si>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</si>
  <si>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</si>
  <si>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</si>
  <si>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</si>
  <si>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</si>
  <si>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</si>
  <si>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</si>
  <si>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</si>
  <si>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</si>
  <si>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</si>
  <si>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</si>
  <si>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</si>
  <si>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Revised Certified Rent Roll (as of 2026-09-01), Suite 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</si>
  <si>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</si>
  <si>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</si>
  <si>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</si>
  <si>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</si>
  <si>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</si>
  <si>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</si>
  <si>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(revised roll)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</si>
  <si>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</si>
  <si>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</si>
  <si>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</si>
  <si>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</si>
  <si>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</si>
  <si>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</si>
  <si>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</si>
  <si>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</si>
  <si>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</si>
  <si>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</si>
  <si>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</si>
  <si>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</si>
  <si>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</si>
  <si>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</si>
  <si>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</si>
  <si>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</si>
  <si>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</si>
  <si>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</si>
  <si>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</si>
  <si>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</si>
  <si>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</si>
  <si>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</si>
  <si>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</si>
  <si>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 Suite 001)</t>
  </si>
  <si>
    <t xml:space="preserve">GPR (all suites revised roll × 12)</t>
  </si>
  <si>
    <t xml:space="preserve">Revision Change Log</t>
  </si>
  <si>
    <t xml:space="preserve">Item</t>
  </si>
  <si>
    <t xml:space="preserve">Prior</t>
  </si>
  <si>
    <t xml:space="preserve">Revised</t>
  </si>
  <si>
    <t xml:space="preserve">Driver</t>
  </si>
  <si>
    <t xml:space="preserve">Certified roll date</t>
  </si>
  <si>
    <t xml:space="preserve">2026-08-31</t>
  </si>
  <si>
    <t xml:space="preserve">2026-09-01</t>
  </si>
  <si>
    <t xml:space="preserve">revision-notice.pdf</t>
  </si>
  <si>
    <t xml:space="preserve">Suite 002 status</t>
  </si>
  <si>
    <t xml:space="preserve">revised roll</t>
  </si>
  <si>
    <t xml:space="preserve">Suite 002 monthly rent</t>
  </si>
  <si>
    <t xml:space="preserve">+$225 per revision</t>
  </si>
  <si>
    <t xml:space="preserve">GPR (all suites x12)</t>
  </si>
  <si>
    <t xml:space="preserve">Cap rate</t>
  </si>
  <si>
    <t xml:space="preserve">+25 bps</t>
  </si>
  <si>
    <t xml:space="preserve">+75 bps</t>
  </si>
  <si>
    <t xml:space="preserve">EGI</t>
  </si>
  <si>
    <t xml:space="preserve">GPR change</t>
  </si>
  <si>
    <t xml:space="preserve">EGI change</t>
  </si>
  <si>
    <t xml:space="preserve">NCF</t>
  </si>
  <si>
    <t xml:space="preserve">-</t>
  </si>
  <si>
    <t xml:space="preserve">Capitalization value</t>
  </si>
  <si>
    <t xml:space="preserve">higher cap outweighs NOI</t>
  </si>
  <si>
    <t xml:space="preserve">Maximum loan (binding constraint)</t>
  </si>
  <si>
    <t xml:space="preserve">LTV still binds</t>
  </si>
  <si>
    <t xml:space="preserve">Net cash-out</t>
  </si>
  <si>
    <t xml:space="preserve">Source Register (Revised)</t>
  </si>
  <si>
    <t xml:space="preserve">Value</t>
  </si>
  <si>
    <t xml:space="preserve">Source file</t>
  </si>
  <si>
    <t xml:space="preserve">Location</t>
  </si>
  <si>
    <t xml:space="preserve">Revised certified rent roll date</t>
  </si>
  <si>
    <t xml:space="preserve">rent-roll-revised.xlsx</t>
  </si>
  <si>
    <t xml:space="preserve">B2</t>
  </si>
  <si>
    <t xml:space="preserve">Prior certified rent roll date (superseded)</t>
  </si>
  <si>
    <t xml:space="preserve">rent-roll-certified.xlsx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</si>
  <si>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</si>
  <si>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</si>
  <si>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</si>
  <si>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</si>
  <si>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</si>
  <si>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</si>
  <si>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Suite 002 revised monthly rent</t>
  </si>
  <si>
    <t xml:space="preserve">E6</t>
  </si>
  <si>
    <t xml:space="preserve">Revision instructions (rate deltas)</t>
  </si>
  <si>
    <t xml:space="preserve">+75 bps sizing, +25 bps cap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</si>
  <si>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</si>
  <si>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</si>
  <si>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</si>
  <si>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</si>
  <si>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</si>
  <si>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</si>
  <si>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</si>
  <si>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</si>
  <si>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</si>
  <si>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</si>
  <si>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</si>
  <si>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Underwriting instructions</t>
  </si>
  <si>
    <t xml:space="preserve">prescribed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</si>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</sst>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821400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10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85964</v>
      </c>
    </row>
    <row r="8" customFormat="false" ht="30" hidden="false" customHeight="true" outlineLevel="0" collapsed="false">
      <c r="A8" s="2" t="s">
        <v>7</v>
      </c>
      <c r="B8" s="3" t="n">
        <v>28655</v>
      </c>
    </row>
    <row r="9" customFormat="false" ht="30" hidden="false" customHeight="true" outlineLevel="0" collapsed="false">
      <c r="A9" s="2" t="s">
        <v>8</v>
      </c>
      <c r="B9" s="3" t="n">
        <v>114618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0.075</v>
      </c>
    </row>
    <row r="13" customFormat="false" ht="30" hidden="false" customHeight="true" outlineLevel="0" collapsed="false">
      <c r="A13" s="2" t="s">
        <v>12</v>
      </c>
      <c r="B13" s="7" t="n">
        <v>0.0725</v>
      </c>
    </row>
    <row r="14" customFormat="false" ht="30" hidden="false" customHeight="true" outlineLevel="0" collapsed="false">
      <c r="A14" s="2" t="s">
        <v>13</v>
      </c>
      <c r="B14" s="7" t="n">
        <v>0.0725</v>
      </c>
    </row>
    <row r="15" customFormat="false" ht="30" hidden="false" customHeight="true" outlineLevel="0" collapsed="false">
      <c r="A15" s="2" t="s">
        <v>14</v>
      </c>
      <c r="B15" s="7" t="n">
        <v>0.06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0.65</v>
      </c>
    </row>
    <row r="18" customFormat="false" ht="30" hidden="false" customHeight="true" outlineLevel="0" collapsed="false">
      <c r="A18" s="2" t="s">
        <v>17</v>
      </c>
      <c r="B18" s="8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9" t="n">
        <f aca="false">Inputs!B3</f>
        <v>821400</v>
      </c>
    </row>
    <row r="4" customFormat="false" ht="30" hidden="false" customHeight="true" outlineLevel="0" collapsed="false">
      <c r="A4" s="2" t="s">
        <v>24</v>
      </c>
      <c r="B4" s="9" t="n">
        <f aca="false">Inputs!B4*Inputs!B5</f>
        <v>3500</v>
      </c>
    </row>
    <row r="5" customFormat="false" ht="30" hidden="false" customHeight="true" outlineLevel="0" collapsed="false">
      <c r="A5" s="2" t="s">
        <v>25</v>
      </c>
      <c r="B5" s="9" t="n">
        <f aca="false">B3+B4</f>
        <v>824900</v>
      </c>
    </row>
    <row r="6" customFormat="false" ht="30" hidden="false" customHeight="true" outlineLevel="0" collapsed="false">
      <c r="A6" s="2" t="s">
        <v>26</v>
      </c>
      <c r="B6" s="9" t="n">
        <f aca="false">-B5*Inputs!B6</f>
        <v>-41245</v>
      </c>
    </row>
    <row r="7" customFormat="false" ht="30" hidden="false" customHeight="true" outlineLevel="0" collapsed="false">
      <c r="A7" s="10" t="s">
        <v>27</v>
      </c>
      <c r="B7" s="9" t="n">
        <f aca="false">B5+B6</f>
        <v>783655</v>
      </c>
    </row>
    <row r="9" customFormat="false" ht="30" hidden="false" customHeight="true" outlineLevel="0" collapsed="false">
      <c r="A9" s="2" t="s">
        <v>6</v>
      </c>
      <c r="B9" s="9" t="n">
        <f aca="false">Inputs!B7</f>
        <v>85964</v>
      </c>
    </row>
    <row r="10" customFormat="false" ht="30" hidden="false" customHeight="true" outlineLevel="0" collapsed="false">
      <c r="A10" s="2" t="s">
        <v>28</v>
      </c>
      <c r="B10" s="9" t="n">
        <f aca="false">Inputs!B8</f>
        <v>28655</v>
      </c>
    </row>
    <row r="11" customFormat="false" ht="30" hidden="false" customHeight="true" outlineLevel="0" collapsed="false">
      <c r="A11" s="2" t="s">
        <v>8</v>
      </c>
      <c r="B11" s="9" t="n">
        <f aca="false">Inputs!B9</f>
        <v>114618</v>
      </c>
    </row>
    <row r="12" customFormat="false" ht="30" hidden="false" customHeight="true" outlineLevel="0" collapsed="false">
      <c r="A12" s="2" t="s">
        <v>29</v>
      </c>
      <c r="B12" s="9" t="n">
        <f aca="false">B7*Inputs!B10</f>
        <v>23509.65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252746.65</v>
      </c>
    </row>
    <row r="15" customFormat="false" ht="30" hidden="false" customHeight="true" outlineLevel="0" collapsed="false">
      <c r="A15" s="10" t="s">
        <v>31</v>
      </c>
      <c r="B15" s="9" t="n">
        <f aca="false">B7-B13</f>
        <v>530908.35</v>
      </c>
    </row>
    <row r="16" customFormat="false" ht="30" hidden="false" customHeight="true" outlineLevel="0" collapsed="false">
      <c r="A16" s="2" t="s">
        <v>32</v>
      </c>
      <c r="B16" s="9" t="n">
        <f aca="false">Inputs!B11*Inputs!B5</f>
        <v>3000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527908.35</v>
      </c>
    </row>
    <row r="19" customFormat="false" ht="30" hidden="false" customHeight="true" outlineLevel="0" collapsed="false">
      <c r="A19" s="10" t="s">
        <v>34</v>
      </c>
      <c r="B19" s="9" t="n">
        <f aca="false">B15/Inputs!B12</f>
        <v>7078778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1" t="n">
        <f aca="false">MAX(Inputs!B14,Inputs!B15)</f>
        <v>0.0725</v>
      </c>
    </row>
    <row r="4" customFormat="false" ht="30" hidden="false" customHeight="true" outlineLevel="0" collapsed="false">
      <c r="A4" s="2" t="s">
        <v>37</v>
      </c>
      <c r="B4" s="12" t="n">
        <f aca="false">PMT(B3/12,Inputs!B16,-1)*12</f>
        <v>0.081861153606743</v>
      </c>
    </row>
    <row r="6" customFormat="false" ht="30" hidden="false" customHeight="true" outlineLevel="0" collapsed="false">
      <c r="A6" s="2" t="s">
        <v>38</v>
      </c>
      <c r="B6" s="9" t="n">
        <f aca="false">UW!B19*Inputs!B17</f>
        <v>4601205.7</v>
      </c>
    </row>
    <row r="7" customFormat="false" ht="30" hidden="false" customHeight="true" outlineLevel="0" collapsed="false">
      <c r="A7" s="2" t="s">
        <v>39</v>
      </c>
      <c r="B7" s="9" t="n">
        <f aca="false">UW!B17/(Inputs!B18*B4)</f>
        <v>5159060.93907297</v>
      </c>
    </row>
    <row r="8" customFormat="false" ht="30" hidden="false" customHeight="true" outlineLevel="0" collapsed="false">
      <c r="A8" s="2" t="s">
        <v>40</v>
      </c>
      <c r="B8" s="9" t="n">
        <f aca="false">UW!B17/Inputs!B19</f>
        <v>5865648.33333333</v>
      </c>
    </row>
    <row r="10" customFormat="false" ht="30" hidden="false" customHeight="true" outlineLevel="0" collapsed="false">
      <c r="A10" s="10" t="s">
        <v>41</v>
      </c>
      <c r="B10" s="9" t="n">
        <f aca="false">MIN(B6:B8)</f>
        <v>4601205.7</v>
      </c>
    </row>
    <row r="12" customFormat="false" ht="30" hidden="false" customHeight="true" outlineLevel="0" collapsed="false">
      <c r="A12" s="1" t="s">
        <v>42</v>
      </c>
    </row>
    <row r="13" customFormat="false" ht="30" hidden="false" customHeight="true" outlineLevel="0" collapsed="false">
      <c r="A13" s="2" t="s">
        <v>43</v>
      </c>
      <c r="B13" s="9" t="n">
        <f aca="false">B10</f>
        <v>4601205.7</v>
      </c>
    </row>
    <row r="14" customFormat="false" ht="30" hidden="false" customHeight="true" outlineLevel="0" collapsed="false">
      <c r="A14" s="2" t="s">
        <v>21</v>
      </c>
      <c r="B14" s="9" t="n">
        <f aca="false">Inputs!B22</f>
        <v>4300000</v>
      </c>
    </row>
    <row r="15" customFormat="false" ht="30" hidden="false" customHeight="true" outlineLevel="0" collapsed="false">
      <c r="A15" s="2" t="s">
        <v>44</v>
      </c>
      <c r="B15" s="9" t="n">
        <f aca="false">B10*Inputs!B20</f>
        <v>46012.057</v>
      </c>
    </row>
    <row r="16" customFormat="false" ht="30" hidden="false" customHeight="true" outlineLevel="0" collapsed="false">
      <c r="A16" s="2" t="s">
        <v>20</v>
      </c>
      <c r="B16" s="9" t="n">
        <f aca="false">Inputs!B21</f>
        <v>45000</v>
      </c>
    </row>
    <row r="17" customFormat="false" ht="30" hidden="false" customHeight="true" outlineLevel="0" collapsed="false">
      <c r="A17" s="10" t="s">
        <v>45</v>
      </c>
      <c r="B17" s="9" t="n">
        <f aca="false">B13-B14-B15-B16</f>
        <v>210193.642999999</v>
      </c>
    </row>
    <row r="19" customFormat="false" ht="30" hidden="false" customHeight="true" outlineLevel="0" collapsed="false">
      <c r="A19" s="2" t="s">
        <v>46</v>
      </c>
      <c r="B19" s="13" t="n">
        <f aca="false">UW!B17/(B10*B4)</f>
        <v>1.40155137464104</v>
      </c>
    </row>
    <row r="20" customFormat="false" ht="30" hidden="false" customHeight="true" outlineLevel="0" collapsed="false">
      <c r="A20" s="2" t="s">
        <v>47</v>
      </c>
      <c r="B20" s="14" t="n">
        <f aca="false">UW!B17/B10</f>
        <v>0.114732612367232</v>
      </c>
    </row>
    <row r="21" customFormat="false" ht="30" hidden="false" customHeight="true" outlineLevel="0" collapsed="false">
      <c r="A21" s="2" t="s">
        <v>48</v>
      </c>
      <c r="B21" s="14" t="n">
        <f aca="false">B10/UW!B19</f>
        <v>0.65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2" t="s">
        <v>50</v>
      </c>
      <c r="B3" s="15" t="n">
        <f aca="false">UW!B15*0.95</f>
        <v>504362.9325</v>
      </c>
      <c r="C3" s="15" t="n">
        <f aca="false">UW!B15</f>
        <v>530908.35</v>
      </c>
      <c r="D3" s="15" t="n">
        <f aca="false">UW!B15*1.05</f>
        <v>557453.7675</v>
      </c>
    </row>
    <row r="4" customFormat="false" ht="30" hidden="false" customHeight="true" outlineLevel="0" collapsed="false">
      <c r="A4" s="16" t="n">
        <v>0.065</v>
      </c>
      <c r="B4" s="9" t="n">
        <f aca="false">B$3/$A4</f>
        <v>7759429.73076923</v>
      </c>
      <c r="C4" s="9" t="n">
        <f aca="false">C$3/$A4</f>
        <v>8167820.76923077</v>
      </c>
      <c r="D4" s="9" t="n">
        <f aca="false">D$3/$A4</f>
        <v>8576211.80769231</v>
      </c>
    </row>
    <row r="5" customFormat="false" ht="30" hidden="false" customHeight="true" outlineLevel="0" collapsed="false">
      <c r="A5" s="16" t="n">
        <v>0.07</v>
      </c>
      <c r="B5" s="9" t="n">
        <f aca="false">B$3/$A5</f>
        <v>7205184.75</v>
      </c>
      <c r="C5" s="9" t="n">
        <f aca="false">C$3/$A5</f>
        <v>7584405</v>
      </c>
      <c r="D5" s="9" t="n">
        <f aca="false">D$3/$A5</f>
        <v>7963625.25</v>
      </c>
    </row>
    <row r="6" customFormat="false" ht="30" hidden="false" customHeight="true" outlineLevel="0" collapsed="false">
      <c r="A6" s="16" t="n">
        <v>0.075</v>
      </c>
      <c r="B6" s="9" t="n">
        <f aca="false">B$3/$A6</f>
        <v>6724839.1</v>
      </c>
      <c r="C6" s="9" t="n">
        <f aca="false">C$3/$A6</f>
        <v>7078778</v>
      </c>
      <c r="D6" s="9" t="n">
        <f aca="false">D$3/$A6</f>
        <v>7432716.9</v>
      </c>
    </row>
    <row r="9" customFormat="false" ht="30" hidden="false" customHeight="true" outlineLevel="0" collapsed="false">
      <c r="A9" s="1" t="s">
        <v>51</v>
      </c>
    </row>
    <row r="11" customFormat="false" ht="30" hidden="false" customHeight="true" outlineLevel="0" collapsed="false">
      <c r="A11" s="2" t="s">
        <v>36</v>
      </c>
      <c r="B11" s="2" t="s">
        <v>52</v>
      </c>
      <c r="C11" s="2" t="s">
        <v>53</v>
      </c>
      <c r="D11" s="2" t="s">
        <v>54</v>
      </c>
      <c r="E11" s="2" t="s">
        <v>55</v>
      </c>
    </row>
    <row r="12" customFormat="false" ht="30" hidden="false" customHeight="true" outlineLevel="0" collapsed="false">
      <c r="A12" s="11" t="n">
        <v>0.0675</v>
      </c>
      <c r="B12" s="9" t="n">
        <f aca="false">UW!$B$19*Inputs!$B$17</f>
        <v>4601205.7</v>
      </c>
      <c r="C12" s="9" t="n">
        <f aca="false">UW!$B$17/(Inputs!$B$18*(PMT(A12/12,Inputs!$B$16,-1)*12))</f>
        <v>5426147.59220135</v>
      </c>
      <c r="D12" s="9" t="n">
        <f aca="false">UW!$B$17/Inputs!$B$19</f>
        <v>5865648.33333333</v>
      </c>
      <c r="E12" s="9" t="n">
        <f aca="false">MIN(B12:D12)</f>
        <v>4601205.7</v>
      </c>
    </row>
    <row r="13" customFormat="false" ht="30" hidden="false" customHeight="true" outlineLevel="0" collapsed="false">
      <c r="A13" s="11" t="n">
        <v>0.0725</v>
      </c>
      <c r="B13" s="9" t="n">
        <f aca="false">UW!$B$19*Inputs!$B$17</f>
        <v>4601205.7</v>
      </c>
      <c r="C13" s="9" t="n">
        <f aca="false">UW!$B$17/(Inputs!$B$18*(PMT(A13/12,Inputs!$B$16,-1)*12))</f>
        <v>5159060.93907297</v>
      </c>
      <c r="D13" s="9" t="n">
        <f aca="false">UW!$B$17/Inputs!$B$19</f>
        <v>5865648.33333333</v>
      </c>
      <c r="E13" s="9" t="n">
        <f aca="false">MIN(B13:D13)</f>
        <v>4601205.7</v>
      </c>
    </row>
    <row r="14" customFormat="false" ht="30" hidden="false" customHeight="true" outlineLevel="0" collapsed="false">
      <c r="A14" s="11" t="n">
        <v>0.0775</v>
      </c>
      <c r="B14" s="9" t="n">
        <f aca="false">UW!$B$19*Inputs!$B$17</f>
        <v>4601205.7</v>
      </c>
      <c r="C14" s="9" t="n">
        <f aca="false">UW!$B$17/(Inputs!$B$18*(PMT(A14/12,Inputs!$B$16,-1)*12))</f>
        <v>4912519.32363843</v>
      </c>
      <c r="D14" s="9" t="n">
        <f aca="false">UW!$B$17/Inputs!$B$19</f>
        <v>5865648.33333333</v>
      </c>
      <c r="E14" s="9" t="n">
        <f aca="false">MIN(B14:D14)</f>
        <v>4601205.7</v>
      </c>
    </row>
    <row r="15" customFormat="false" ht="30" hidden="false" customHeight="true" outlineLevel="0" collapsed="false">
      <c r="A15" s="11" t="n">
        <v>0.0825</v>
      </c>
      <c r="B15" s="9" t="n">
        <f aca="false">UW!$B$19*Inputs!$B$17</f>
        <v>4601205.7</v>
      </c>
      <c r="C15" s="9" t="n">
        <f aca="false">UW!$B$17/(Inputs!$B$18*(PMT(A15/12,Inputs!$B$16,-1)*12))</f>
        <v>4684607.2765953</v>
      </c>
      <c r="D15" s="9" t="n">
        <f aca="false">UW!$B$17/Inputs!$B$19</f>
        <v>5865648.33333333</v>
      </c>
      <c r="E15" s="9" t="n">
        <f aca="false">MIN(B15:D15)</f>
        <v>4601205.7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56</v>
      </c>
    </row>
    <row r="3" customFormat="false" ht="30" hidden="false" customHeight="true" outlineLevel="0" collapsed="false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</row>
    <row r="4" customFormat="false" ht="30" hidden="false" customHeight="true" outlineLevel="0" collapsed="false">
      <c r="A4" s="4" t="s">
        <v>65</v>
      </c>
      <c r="B4" s="4" t="s">
        <v>66</v>
      </c>
      <c r="C4" s="4" t="s">
        <v>67</v>
      </c>
      <c r="D4" s="4" t="n">
        <v>3080</v>
      </c>
      <c r="E4" s="4" t="s">
        <v>68</v>
      </c>
      <c r="F4" s="9" t="n">
        <v>7000</v>
      </c>
      <c r="G4" s="9" t="n">
        <v>6650</v>
      </c>
      <c r="H4" s="4" t="s">
        <v>69</v>
      </c>
    </row>
    <row r="5" customFormat="false" ht="30" hidden="false" customHeight="true" outlineLevel="0" collapsed="false">
      <c r="A5" s="4" t="s">
        <v>70</v>
      </c>
      <c r="B5" s="4" t="s">
        <v>71</v>
      </c>
      <c r="C5" s="4" t="s">
        <v>72</v>
      </c>
      <c r="D5" s="4" t="n">
        <v>3200</v>
      </c>
      <c r="E5" s="4" t="s">
        <v>68</v>
      </c>
      <c r="F5" s="9" t="n">
        <v>7025</v>
      </c>
      <c r="G5" s="9" t="n">
        <v>7025</v>
      </c>
      <c r="H5" s="4" t="s">
        <v>69</v>
      </c>
    </row>
    <row r="6" customFormat="false" ht="30" hidden="false" customHeight="true" outlineLevel="0" collapsed="false">
      <c r="A6" s="4" t="s">
        <v>73</v>
      </c>
      <c r="B6" s="4" t="s">
        <v>74</v>
      </c>
      <c r="C6" s="4" t="s">
        <v>75</v>
      </c>
      <c r="D6" s="4" t="n">
        <v>3410</v>
      </c>
      <c r="E6" s="4" t="s">
        <v>68</v>
      </c>
      <c r="F6" s="9" t="n">
        <v>7075</v>
      </c>
      <c r="G6" s="9" t="n">
        <v>7075</v>
      </c>
      <c r="H6" s="4" t="s">
        <v>69</v>
      </c>
    </row>
    <row r="7" customFormat="false" ht="30" hidden="false" customHeight="true" outlineLevel="0" collapsed="false">
      <c r="A7" s="4" t="s">
        <v>76</v>
      </c>
      <c r="B7" s="4" t="s">
        <v>66</v>
      </c>
      <c r="C7" s="4" t="s">
        <v>67</v>
      </c>
      <c r="D7" s="4" t="n">
        <v>3080</v>
      </c>
      <c r="E7" s="4" t="s">
        <v>68</v>
      </c>
      <c r="F7" s="9" t="n">
        <v>6650</v>
      </c>
      <c r="G7" s="9" t="n">
        <v>6650</v>
      </c>
      <c r="H7" s="4" t="s">
        <v>69</v>
      </c>
    </row>
    <row r="8" customFormat="false" ht="30" hidden="false" customHeight="true" outlineLevel="0" collapsed="false">
      <c r="A8" s="4" t="s">
        <v>77</v>
      </c>
      <c r="B8" s="4" t="s">
        <v>71</v>
      </c>
      <c r="C8" s="4" t="s">
        <v>72</v>
      </c>
      <c r="D8" s="4" t="n">
        <v>3200</v>
      </c>
      <c r="E8" s="4" t="s">
        <v>68</v>
      </c>
      <c r="F8" s="9" t="n">
        <v>6800</v>
      </c>
      <c r="G8" s="9" t="n">
        <v>6800</v>
      </c>
      <c r="H8" s="4" t="s">
        <v>69</v>
      </c>
    </row>
    <row r="9" customFormat="false" ht="30" hidden="false" customHeight="true" outlineLevel="0" collapsed="false">
      <c r="A9" s="4" t="s">
        <v>78</v>
      </c>
      <c r="B9" s="4" t="s">
        <v>74</v>
      </c>
      <c r="C9" s="4" t="s">
        <v>75</v>
      </c>
      <c r="D9" s="4" t="n">
        <v>3410</v>
      </c>
      <c r="E9" s="4" t="s">
        <v>68</v>
      </c>
      <c r="F9" s="9" t="n">
        <v>7075</v>
      </c>
      <c r="G9" s="9" t="n">
        <v>7075</v>
      </c>
      <c r="H9" s="4" t="s">
        <v>69</v>
      </c>
    </row>
    <row r="10" customFormat="false" ht="30" hidden="false" customHeight="true" outlineLevel="0" collapsed="false">
      <c r="A10" s="4" t="s">
        <v>79</v>
      </c>
      <c r="B10" s="4" t="s">
        <v>66</v>
      </c>
      <c r="C10" s="4" t="s">
        <v>67</v>
      </c>
      <c r="D10" s="4" t="n">
        <v>3080</v>
      </c>
      <c r="E10" s="4" t="s">
        <v>68</v>
      </c>
      <c r="F10" s="9" t="n">
        <v>6650</v>
      </c>
      <c r="G10" s="9" t="n">
        <v>6650</v>
      </c>
      <c r="H10" s="4" t="s">
        <v>69</v>
      </c>
    </row>
    <row r="11" customFormat="false" ht="30" hidden="false" customHeight="true" outlineLevel="0" collapsed="false">
      <c r="A11" s="4" t="s">
        <v>80</v>
      </c>
      <c r="B11" s="4" t="s">
        <v>71</v>
      </c>
      <c r="C11" s="4" t="s">
        <v>72</v>
      </c>
      <c r="D11" s="4" t="n">
        <v>3200</v>
      </c>
      <c r="E11" s="4" t="s">
        <v>68</v>
      </c>
      <c r="F11" s="9" t="n">
        <v>6800</v>
      </c>
      <c r="G11" s="9" t="n">
        <v>6800</v>
      </c>
      <c r="H11" s="4" t="s">
        <v>69</v>
      </c>
    </row>
    <row r="12" customFormat="false" ht="30" hidden="false" customHeight="true" outlineLevel="0" collapsed="false">
      <c r="A12" s="4" t="s">
        <v>81</v>
      </c>
      <c r="B12" s="4" t="s">
        <v>74</v>
      </c>
      <c r="C12" s="4" t="s">
        <v>75</v>
      </c>
      <c r="D12" s="4" t="n">
        <v>3410</v>
      </c>
      <c r="E12" s="4" t="s">
        <v>68</v>
      </c>
      <c r="F12" s="9" t="n">
        <v>7075</v>
      </c>
      <c r="G12" s="9" t="n">
        <v>7075</v>
      </c>
      <c r="H12" s="4" t="s">
        <v>69</v>
      </c>
    </row>
    <row r="13" customFormat="false" ht="30" hidden="false" customHeight="true" outlineLevel="0" collapsed="false">
      <c r="A13" s="4" t="s">
        <v>82</v>
      </c>
      <c r="B13" s="4" t="s">
        <v>66</v>
      </c>
      <c r="C13" s="4" t="s">
        <v>67</v>
      </c>
      <c r="D13" s="4" t="n">
        <v>3080</v>
      </c>
      <c r="E13" s="4" t="s">
        <v>83</v>
      </c>
      <c r="F13" s="9" t="n">
        <v>0</v>
      </c>
      <c r="G13" s="9" t="n">
        <v>6650</v>
      </c>
      <c r="H13" s="4" t="s">
        <v>69</v>
      </c>
    </row>
    <row r="15" customFormat="false" ht="30" hidden="false" customHeight="true" outlineLevel="0" collapsed="false">
      <c r="A15" s="10" t="s">
        <v>84</v>
      </c>
      <c r="D15" s="10" t="n">
        <f aca="false">SUM(D4:D13)</f>
        <v>32150</v>
      </c>
      <c r="F15" s="17" t="n">
        <f aca="false">SUM(F4:F13)</f>
        <v>62150</v>
      </c>
      <c r="G15" s="17" t="n">
        <f aca="false">SUM(G4:G13)</f>
        <v>68450</v>
      </c>
    </row>
    <row r="17" customFormat="false" ht="30" hidden="false" customHeight="true" outlineLevel="0" collapsed="false">
      <c r="A17" s="2" t="s">
        <v>85</v>
      </c>
      <c r="B17" s="4" t="n">
        <f aca="false">COUNTIF(E4:E13,"active")</f>
        <v>9</v>
      </c>
    </row>
    <row r="18" customFormat="false" ht="30" hidden="false" customHeight="true" outlineLevel="0" collapsed="false">
      <c r="A18" s="4" t="s">
        <v>86</v>
      </c>
      <c r="B18" s="4" t="n">
        <f aca="false">SUMIF(E4:E13,"active",D4:D13)</f>
        <v>29070</v>
      </c>
    </row>
    <row r="19" customFormat="false" ht="30" hidden="false" customHeight="true" outlineLevel="0" collapsed="false">
      <c r="A19" s="4" t="s">
        <v>87</v>
      </c>
      <c r="B19" s="9" t="n">
        <f aca="false">SUMIF(E4:E13,"active",F4:F13)*12</f>
        <v>745800</v>
      </c>
    </row>
    <row r="20" customFormat="false" ht="30" hidden="false" customHeight="true" outlineLevel="0" collapsed="false">
      <c r="A20" s="4" t="s">
        <v>88</v>
      </c>
      <c r="B20" s="9" t="n">
        <f aca="false">SUM(G4:G13)*12</f>
        <v>821400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89</v>
      </c>
    </row>
    <row r="3" customFormat="false" ht="30" hidden="false" customHeight="true" outlineLevel="0" collapsed="false">
      <c r="A3" s="2" t="s">
        <v>90</v>
      </c>
      <c r="B3" s="2" t="s">
        <v>91</v>
      </c>
      <c r="C3" s="2" t="s">
        <v>92</v>
      </c>
      <c r="D3" s="2" t="s">
        <v>93</v>
      </c>
    </row>
    <row r="4" customFormat="false" ht="30" hidden="false" customHeight="true" outlineLevel="0" collapsed="false">
      <c r="A4" s="4" t="s">
        <v>94</v>
      </c>
      <c r="B4" s="4" t="s">
        <v>95</v>
      </c>
      <c r="C4" s="4" t="s">
        <v>96</v>
      </c>
      <c r="D4" s="4" t="s">
        <v>97</v>
      </c>
    </row>
    <row r="5" customFormat="false" ht="30" hidden="false" customHeight="true" outlineLevel="0" collapsed="false">
      <c r="A5" s="4" t="s">
        <v>98</v>
      </c>
      <c r="B5" s="4" t="s">
        <v>68</v>
      </c>
      <c r="C5" s="4" t="s">
        <v>68</v>
      </c>
      <c r="D5" s="4" t="s">
        <v>99</v>
      </c>
    </row>
    <row r="6" customFormat="false" ht="30" hidden="false" customHeight="true" outlineLevel="0" collapsed="false">
      <c r="A6" s="4" t="s">
        <v>100</v>
      </c>
      <c r="B6" s="9" t="n">
        <v>6800</v>
      </c>
      <c r="C6" s="9" t="n">
        <v>7025</v>
      </c>
      <c r="D6" s="4" t="s">
        <v>101</v>
      </c>
    </row>
    <row r="7" customFormat="false" ht="30" hidden="false" customHeight="true" outlineLevel="0" collapsed="false">
      <c r="A7" s="4" t="s">
        <v>102</v>
      </c>
      <c r="B7" s="9" t="n">
        <v>818700</v>
      </c>
      <c r="C7" s="9" t="n">
        <v>821400</v>
      </c>
      <c r="D7" s="4" t="s">
        <v>99</v>
      </c>
    </row>
    <row r="8" customFormat="false" ht="30" hidden="false" customHeight="true" outlineLevel="0" collapsed="false">
      <c r="A8" s="4" t="s">
        <v>103</v>
      </c>
      <c r="B8" s="14" t="n">
        <v>0.0675</v>
      </c>
      <c r="C8" s="14" t="n">
        <v>0.07</v>
      </c>
      <c r="D8" s="4" t="s">
        <v>104</v>
      </c>
    </row>
    <row r="9" customFormat="false" ht="30" hidden="false" customHeight="true" outlineLevel="0" collapsed="false">
      <c r="A9" s="4" t="s">
        <v>36</v>
      </c>
      <c r="B9" s="14" t="n">
        <v>0.065</v>
      </c>
      <c r="C9" s="14" t="n">
        <v>0.0725</v>
      </c>
      <c r="D9" s="4" t="s">
        <v>105</v>
      </c>
    </row>
    <row r="10" customFormat="false" ht="30" hidden="false" customHeight="true" outlineLevel="0" collapsed="false">
      <c r="A10" s="4" t="s">
        <v>106</v>
      </c>
      <c r="B10" s="9" t="n">
        <v>781090</v>
      </c>
      <c r="C10" s="9" t="n">
        <v>783655</v>
      </c>
      <c r="D10" s="4" t="s">
        <v>107</v>
      </c>
    </row>
    <row r="11" customFormat="false" ht="30" hidden="false" customHeight="true" outlineLevel="0" collapsed="false">
      <c r="A11" s="4" t="s">
        <v>31</v>
      </c>
      <c r="B11" s="9" t="n">
        <v>528420</v>
      </c>
      <c r="C11" s="9" t="n">
        <v>530908</v>
      </c>
      <c r="D11" s="4" t="s">
        <v>108</v>
      </c>
    </row>
    <row r="12" customFormat="false" ht="30" hidden="false" customHeight="true" outlineLevel="0" collapsed="false">
      <c r="A12" s="4" t="s">
        <v>109</v>
      </c>
      <c r="B12" s="9" t="n">
        <v>525420</v>
      </c>
      <c r="C12" s="9" t="n">
        <v>527908</v>
      </c>
      <c r="D12" s="4" t="s">
        <v>110</v>
      </c>
    </row>
    <row r="13" customFormat="false" ht="30" hidden="false" customHeight="true" outlineLevel="0" collapsed="false">
      <c r="A13" s="4" t="s">
        <v>111</v>
      </c>
      <c r="B13" s="9" t="n">
        <v>7828449</v>
      </c>
      <c r="C13" s="9" t="n">
        <v>7584405</v>
      </c>
      <c r="D13" s="4" t="s">
        <v>112</v>
      </c>
    </row>
    <row r="14" customFormat="false" ht="30" hidden="false" customHeight="true" outlineLevel="0" collapsed="false">
      <c r="A14" s="4" t="s">
        <v>113</v>
      </c>
      <c r="B14" s="9" t="n">
        <v>5088492</v>
      </c>
      <c r="C14" s="9" t="n">
        <v>4929863</v>
      </c>
      <c r="D14" s="4" t="s">
        <v>114</v>
      </c>
    </row>
    <row r="15" customFormat="false" ht="30" hidden="false" customHeight="true" outlineLevel="0" collapsed="false">
      <c r="A15" s="4" t="s">
        <v>115</v>
      </c>
      <c r="B15" s="9" t="n">
        <v>692607</v>
      </c>
      <c r="C15" s="9" t="n">
        <v>535565</v>
      </c>
      <c r="D15" s="4" t="s">
        <v>110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116</v>
      </c>
    </row>
    <row r="3" customFormat="false" ht="30" hidden="false" customHeight="true" outlineLevel="0" collapsed="false">
      <c r="A3" s="2" t="s">
        <v>90</v>
      </c>
      <c r="B3" s="2" t="s">
        <v>117</v>
      </c>
      <c r="C3" s="2" t="s">
        <v>118</v>
      </c>
      <c r="D3" s="2" t="s">
        <v>119</v>
      </c>
    </row>
    <row r="4" customFormat="false" ht="30" hidden="false" customHeight="true" outlineLevel="0" collapsed="false">
      <c r="A4" s="4" t="s">
        <v>120</v>
      </c>
      <c r="B4" s="4" t="s">
        <v>96</v>
      </c>
      <c r="C4" s="4" t="s">
        <v>121</v>
      </c>
      <c r="D4" s="4" t="s">
        <v>122</v>
      </c>
    </row>
    <row r="5" customFormat="false" ht="30" hidden="false" customHeight="true" outlineLevel="0" collapsed="false">
      <c r="A5" s="4" t="s">
        <v>123</v>
      </c>
      <c r="B5" s="4" t="s">
        <v>95</v>
      </c>
      <c r="C5" s="4" t="s">
        <v>124</v>
      </c>
      <c r="D5" s="4" t="s">
        <v>122</v>
      </c>
    </row>
    <row r="6" customFormat="false" ht="30" hidden="false" customHeight="true" outlineLevel="0" collapsed="false">
      <c r="A6" s="4" t="s">
        <v>125</v>
      </c>
      <c r="B6" s="4" t="n">
        <v>6650</v>
      </c>
      <c r="C6" s="4" t="s">
        <v>126</v>
      </c>
      <c r="D6" s="4" t="s">
        <v>127</v>
      </c>
    </row>
    <row r="7" customFormat="false" ht="30" hidden="false" customHeight="true" outlineLevel="0" collapsed="false">
      <c r="A7" s="4" t="s">
        <v>128</v>
      </c>
      <c r="B7" s="4" t="s">
        <v>129</v>
      </c>
      <c r="C7" s="4" t="s">
        <v>130</v>
      </c>
      <c r="D7" s="4" t="s">
        <v>127</v>
      </c>
    </row>
    <row r="8" customFormat="false" ht="30" hidden="false" customHeight="true" outlineLevel="0" collapsed="false">
      <c r="A8" s="4" t="s">
        <v>131</v>
      </c>
      <c r="B8" s="4" t="n">
        <v>7025</v>
      </c>
      <c r="C8" s="4" t="s">
        <v>121</v>
      </c>
      <c r="D8" s="4" t="s">
        <v>132</v>
      </c>
    </row>
    <row r="9" customFormat="false" ht="30" hidden="false" customHeight="true" outlineLevel="0" collapsed="false">
      <c r="A9" s="4" t="s">
        <v>133</v>
      </c>
      <c r="B9" s="4" t="s">
        <v>134</v>
      </c>
      <c r="C9" s="4" t="s">
        <v>97</v>
      </c>
      <c r="D9" s="4" t="s">
        <v>127</v>
      </c>
    </row>
    <row r="10" customFormat="false" ht="30" hidden="false" customHeight="true" outlineLevel="0" collapsed="false">
      <c r="A10" s="4" t="s">
        <v>135</v>
      </c>
      <c r="B10" s="4" t="s">
        <v>136</v>
      </c>
      <c r="C10" s="4" t="s">
        <v>137</v>
      </c>
      <c r="D10" s="4" t="s">
        <v>127</v>
      </c>
    </row>
    <row r="11" customFormat="false" ht="30" hidden="false" customHeight="true" outlineLevel="0" collapsed="false">
      <c r="A11" s="4" t="s">
        <v>138</v>
      </c>
      <c r="B11" s="4" t="n">
        <v>736830</v>
      </c>
      <c r="C11" s="4" t="s">
        <v>139</v>
      </c>
      <c r="D11" s="4" t="s">
        <v>127</v>
      </c>
    </row>
    <row r="12" customFormat="false" ht="30" hidden="false" customHeight="true" outlineLevel="0" collapsed="false">
      <c r="A12" s="4" t="s">
        <v>140</v>
      </c>
      <c r="B12" s="4" t="n">
        <v>85964</v>
      </c>
      <c r="C12" s="4" t="s">
        <v>139</v>
      </c>
      <c r="D12" s="4" t="s">
        <v>127</v>
      </c>
    </row>
    <row r="13" customFormat="false" ht="30" hidden="false" customHeight="true" outlineLevel="0" collapsed="false">
      <c r="A13" s="4" t="s">
        <v>141</v>
      </c>
      <c r="B13" s="4" t="n">
        <v>28655</v>
      </c>
      <c r="C13" s="4" t="s">
        <v>139</v>
      </c>
      <c r="D13" s="4" t="s">
        <v>127</v>
      </c>
    </row>
    <row r="14" customFormat="false" ht="30" hidden="false" customHeight="true" outlineLevel="0" collapsed="false">
      <c r="A14" s="4" t="s">
        <v>142</v>
      </c>
      <c r="B14" s="4" t="n">
        <v>114618</v>
      </c>
      <c r="C14" s="4" t="s">
        <v>139</v>
      </c>
      <c r="D14" s="4" t="s">
        <v>127</v>
      </c>
    </row>
    <row r="15" customFormat="false" ht="30" hidden="false" customHeight="true" outlineLevel="0" collapsed="false">
      <c r="A15" s="4" t="s">
        <v>143</v>
      </c>
      <c r="B15" s="4" t="n">
        <v>507593</v>
      </c>
      <c r="C15" s="4" t="s">
        <v>139</v>
      </c>
      <c r="D15" s="4" t="s">
        <v>127</v>
      </c>
    </row>
    <row r="16" customFormat="false" ht="30" hidden="false" customHeight="true" outlineLevel="0" collapsed="false">
      <c r="A16" s="4" t="s">
        <v>144</v>
      </c>
      <c r="B16" s="4" t="n">
        <v>2000000</v>
      </c>
      <c r="C16" s="4" t="s">
        <v>145</v>
      </c>
      <c r="D16" s="4" t="s">
        <v>127</v>
      </c>
    </row>
    <row r="17" customFormat="false" ht="30" hidden="false" customHeight="true" outlineLevel="0" collapsed="false">
      <c r="A17" s="4" t="s">
        <v>146</v>
      </c>
      <c r="B17" s="4" t="s">
        <v>147</v>
      </c>
      <c r="C17" s="4" t="s">
        <v>148</v>
      </c>
      <c r="D17" s="4" t="s">
        <v>127</v>
      </c>
    </row>
    <row r="18" customFormat="false" ht="30" hidden="false" customHeight="true" outlineLevel="0" collapsed="false">
      <c r="A18" s="4" t="s">
        <v>149</v>
      </c>
      <c r="B18" s="4" t="s">
        <v>150</v>
      </c>
      <c r="C18" s="4" t="s">
        <v>151</v>
      </c>
      <c r="D18" s="4" t="s">
        <v>127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2026-09-07T13:59:06Z</dcterms:created>
  <dc:creator>openpyxl</dc:creator>
  <dc:description/>
  <dc:language>en-US</dc:language>
  <cp:lastModifiedBy/>
  <dcterms:modified xsi:type="dcterms:W3CDTF">2026-09-07T14:06:24Z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