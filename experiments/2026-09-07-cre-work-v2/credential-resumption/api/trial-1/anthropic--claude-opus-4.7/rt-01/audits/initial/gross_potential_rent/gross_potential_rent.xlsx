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<sst xmlns="http://schemas.openxmlformats.org/spreadsheetml/2006/main" count="174" uniqueCount="123">
  <si>
    <t xml:space="preserve">Maple Crossing – Inputs</t>
  </si>
  <si>
    <t xml:space="preserve">Gross Potential Rent (annual)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</si>
  <si>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</si>
  <si>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</si>
  <si>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</si>
  <si>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</si>
  <si>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</si>
  <si>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</si>
  <si>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</si>
  <si>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</si>
  <si>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</t>
  </si>
  <si>
    <t xml:space="preserve">Sizing rate (greater of note &amp; floor)</t>
  </si>
  <si>
    <t xml:space="preserve">Note rate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</si>
  <si>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</si>
  <si>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</si>
  <si>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</si>
  <si>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</si>
  <si>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</si>
  <si>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</si>
  <si>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</si>
  <si>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</si>
  <si>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</si>
  <si>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</si>
  <si>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</si>
  <si>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</si>
  <si>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</si>
  <si>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</si>
  <si>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</si>
  <si>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</si>
  <si>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</si>
  <si>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</si>
  <si>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</si>
  <si>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</si>
  <si>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</si>
  <si>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</si>
  <si>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</si>
  <si>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</si>
  <si>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</si>
  <si>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</si>
  <si>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</si>
  <si>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</si>
  <si>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</si>
  <si>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</si>
  <si>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</si>
  <si>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</si>
  <si>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</si>
  <si>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</si>
  <si>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</si>
  <si>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</si>
  <si>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</si>
  <si>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</si>
  <si>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</si>
  <si>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</si>
  <si>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</si>
  <si>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</si>
  <si>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Certified Rent Roll (as of 2026-08-31), with lease-001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</si>
  <si>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</si>
  <si>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</si>
  <si>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</si>
  <si>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</si>
  <si>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</si>
  <si>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</si>
  <si>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(pre-amend)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</si>
  <si>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</si>
  <si>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</si>
  <si>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</si>
  <si>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</si>
  <si>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</si>
  <si>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</si>
  <si>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</si>
  <si>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</si>
  <si>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</si>
  <si>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</si>
  <si>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</si>
  <si>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</si>
  <si>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</si>
  <si>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</si>
  <si>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</si>
  <si>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</si>
  <si>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</si>
  <si>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</si>
  <si>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</si>
  <si>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</si>
  <si>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</si>
  <si>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</si>
  <si>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</si>
  <si>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(post-amend)</t>
  </si>
  <si>
    <t xml:space="preserve">GPR (all suites × 12, certified pre-amend)</t>
  </si>
  <si>
    <t xml:space="preserve">Source Register</t>
  </si>
  <si>
    <t xml:space="preserve">Item</t>
  </si>
  <si>
    <t xml:space="preserve">Value</t>
  </si>
  <si>
    <t xml:space="preserve">Source file</t>
  </si>
  <si>
    <t xml:space="preserve">Location</t>
  </si>
  <si>
    <t xml:space="preserve">Certified rent roll date</t>
  </si>
  <si>
    <t xml:space="preserve">2026-08-31</t>
  </si>
  <si>
    <t xml:space="preserve">rent-roll-certified.xlsx</t>
  </si>
  <si>
    <t xml:space="preserve">B2</t>
  </si>
  <si>
    <t xml:space="preserve">Archive rent roll date</t>
  </si>
  <si>
    <t xml:space="preserve">2026-06-30</t>
  </si>
  <si>
    <t xml:space="preserve">rent-roll-archive.xlsx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</si>
  <si>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</si>
  <si>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</si>
  <si>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</si>
  <si>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</si>
  <si>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</si>
  <si>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</si>
  <si>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</si>
  <si>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</si>
  <si>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</si>
  <si>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</si>
  <si>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</si>
  <si>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</si>
  <si>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</si>
  <si>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</si>
  <si>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</si>
  <si>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</si>
  <si>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</si>
  <si>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Cap rate &amp; UW assumptions</t>
  </si>
  <si>
    <t xml:space="preserve">per instructions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</si>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</sst>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777765</v>
      </c>
    </row>
    <row r="4" customFormat="false" ht="30" hidden="false" customHeight="true" outlineLevel="0" collapsed="false">
      <c r="A4" s="2" t="s">
        <v>2</v>
      </c>
      <c r="B4" s="3" t="n">
        <v>350</v>
      </c>
    </row>
    <row r="5" customFormat="false" ht="30" hidden="false" customHeight="true" outlineLevel="0" collapsed="false">
      <c r="A5" s="2" t="s">
        <v>3</v>
      </c>
      <c r="B5" s="4" t="n">
        <v>10</v>
      </c>
    </row>
    <row r="6" customFormat="false" ht="30" hidden="false" customHeight="true" outlineLevel="0" collapsed="false">
      <c r="A6" s="2" t="s">
        <v>4</v>
      </c>
      <c r="B6" s="5" t="n">
        <v>0.05</v>
      </c>
    </row>
    <row r="7" customFormat="false" ht="30" hidden="false" customHeight="true" outlineLevel="0" collapsed="false">
      <c r="A7" s="2" t="s">
        <v>5</v>
      </c>
      <c r="B7" s="3" t="n">
        <v>85964</v>
      </c>
    </row>
    <row r="8" customFormat="false" ht="30" hidden="false" customHeight="true" outlineLevel="0" collapsed="false">
      <c r="A8" s="2" t="s">
        <v>6</v>
      </c>
      <c r="B8" s="3" t="n">
        <v>28655</v>
      </c>
    </row>
    <row r="9" customFormat="false" ht="30" hidden="false" customHeight="true" outlineLevel="0" collapsed="false">
      <c r="A9" s="2" t="s">
        <v>7</v>
      </c>
      <c r="B9" s="3" t="n">
        <v>114618</v>
      </c>
    </row>
    <row r="10" customFormat="false" ht="30" hidden="false" customHeight="true" outlineLevel="0" collapsed="false">
      <c r="A10" s="2" t="s">
        <v>8</v>
      </c>
      <c r="B10" s="5" t="n">
        <v>0.03</v>
      </c>
    </row>
    <row r="11" customFormat="false" ht="30" hidden="false" customHeight="true" outlineLevel="0" collapsed="false">
      <c r="A11" s="2" t="s">
        <v>9</v>
      </c>
      <c r="B11" s="3" t="n">
        <v>300</v>
      </c>
    </row>
    <row r="12" customFormat="false" ht="30" hidden="false" customHeight="true" outlineLevel="0" collapsed="false">
      <c r="A12" s="2" t="s">
        <v>10</v>
      </c>
      <c r="B12" s="6" t="n">
        <v>0.0675</v>
      </c>
    </row>
    <row r="13" customFormat="false" ht="30" hidden="false" customHeight="true" outlineLevel="0" collapsed="false">
      <c r="A13" s="2" t="s">
        <v>11</v>
      </c>
      <c r="B13" s="6" t="n">
        <v>0.065</v>
      </c>
    </row>
    <row r="14" customFormat="false" ht="30" hidden="false" customHeight="true" outlineLevel="0" collapsed="false">
      <c r="A14" s="2" t="s">
        <v>12</v>
      </c>
      <c r="B14" s="6" t="n">
        <v>0.065</v>
      </c>
    </row>
    <row r="15" customFormat="false" ht="30" hidden="false" customHeight="true" outlineLevel="0" collapsed="false">
      <c r="A15" s="2" t="s">
        <v>13</v>
      </c>
      <c r="B15" s="6" t="n">
        <v>0.06</v>
      </c>
    </row>
    <row r="16" customFormat="false" ht="30" hidden="false" customHeight="true" outlineLevel="0" collapsed="false">
      <c r="A16" s="2" t="s">
        <v>14</v>
      </c>
      <c r="B16" s="4" t="n">
        <v>360</v>
      </c>
    </row>
    <row r="17" customFormat="false" ht="30" hidden="false" customHeight="true" outlineLevel="0" collapsed="false">
      <c r="A17" s="2" t="s">
        <v>15</v>
      </c>
      <c r="B17" s="5" t="n">
        <v>0.65</v>
      </c>
    </row>
    <row r="18" customFormat="false" ht="30" hidden="false" customHeight="true" outlineLevel="0" collapsed="false">
      <c r="A18" s="2" t="s">
        <v>16</v>
      </c>
      <c r="B18" s="7" t="n">
        <v>1.25</v>
      </c>
    </row>
    <row r="19" customFormat="false" ht="30" hidden="false" customHeight="true" outlineLevel="0" collapsed="false">
      <c r="A19" s="2" t="s">
        <v>17</v>
      </c>
      <c r="B19" s="5" t="n">
        <v>0.09</v>
      </c>
    </row>
    <row r="20" customFormat="false" ht="30" hidden="false" customHeight="true" outlineLevel="0" collapsed="false">
      <c r="A20" s="2" t="s">
        <v>18</v>
      </c>
      <c r="B20" s="5" t="n">
        <v>0.01</v>
      </c>
    </row>
    <row r="21" customFormat="false" ht="30" hidden="false" customHeight="true" outlineLevel="0" collapsed="false">
      <c r="A21" s="2" t="s">
        <v>19</v>
      </c>
      <c r="B21" s="3" t="n">
        <v>45000</v>
      </c>
    </row>
    <row r="22" customFormat="false" ht="30" hidden="false" customHeight="true" outlineLevel="0" collapsed="false">
      <c r="A22" s="2" t="s">
        <v>20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21</v>
      </c>
    </row>
    <row r="3" customFormat="false" ht="30" hidden="false" customHeight="true" outlineLevel="0" collapsed="false">
      <c r="A3" s="2" t="s">
        <v>22</v>
      </c>
      <c r="B3" s="8" t="n">
        <f aca="false">Inputs!B3</f>
        <v>777765</v>
      </c>
    </row>
    <row r="4" customFormat="false" ht="30" hidden="false" customHeight="true" outlineLevel="0" collapsed="false">
      <c r="A4" s="2" t="s">
        <v>23</v>
      </c>
      <c r="B4" s="8" t="n">
        <f aca="false">Inputs!B4*Inputs!B5</f>
        <v>3500</v>
      </c>
    </row>
    <row r="5" customFormat="false" ht="30" hidden="false" customHeight="true" outlineLevel="0" collapsed="false">
      <c r="A5" s="2" t="s">
        <v>24</v>
      </c>
      <c r="B5" s="8" t="n">
        <f aca="false">B3+B4</f>
        <v>781265</v>
      </c>
    </row>
    <row r="6" customFormat="false" ht="30" hidden="false" customHeight="true" outlineLevel="0" collapsed="false">
      <c r="A6" s="2" t="s">
        <v>25</v>
      </c>
      <c r="B6" s="8" t="n">
        <f aca="false">-B5*Inputs!B6</f>
        <v>-39063.25</v>
      </c>
    </row>
    <row r="7" customFormat="false" ht="30" hidden="false" customHeight="true" outlineLevel="0" collapsed="false">
      <c r="A7" s="9" t="s">
        <v>26</v>
      </c>
      <c r="B7" s="8" t="n">
        <f aca="false">B5+B6</f>
        <v>742201.75</v>
      </c>
    </row>
    <row r="9" customFormat="false" ht="30" hidden="false" customHeight="true" outlineLevel="0" collapsed="false">
      <c r="A9" s="2" t="s">
        <v>5</v>
      </c>
      <c r="B9" s="8" t="n">
        <f aca="false">Inputs!B7</f>
        <v>85964</v>
      </c>
    </row>
    <row r="10" customFormat="false" ht="30" hidden="false" customHeight="true" outlineLevel="0" collapsed="false">
      <c r="A10" s="2" t="s">
        <v>27</v>
      </c>
      <c r="B10" s="8" t="n">
        <f aca="false">Inputs!B8</f>
        <v>28655</v>
      </c>
    </row>
    <row r="11" customFormat="false" ht="30" hidden="false" customHeight="true" outlineLevel="0" collapsed="false">
      <c r="A11" s="2" t="s">
        <v>7</v>
      </c>
      <c r="B11" s="8" t="n">
        <f aca="false">Inputs!B9</f>
        <v>114618</v>
      </c>
    </row>
    <row r="12" customFormat="false" ht="30" hidden="false" customHeight="true" outlineLevel="0" collapsed="false">
      <c r="A12" s="2" t="s">
        <v>28</v>
      </c>
      <c r="B12" s="8" t="n">
        <f aca="false">B7*Inputs!B10</f>
        <v>22266.0525</v>
      </c>
    </row>
    <row r="13" customFormat="false" ht="30" hidden="false" customHeight="true" outlineLevel="0" collapsed="false">
      <c r="A13" s="9" t="s">
        <v>29</v>
      </c>
      <c r="B13" s="8" t="n">
        <f aca="false">SUM(B9:B12)</f>
        <v>251503.0525</v>
      </c>
    </row>
    <row r="15" customFormat="false" ht="30" hidden="false" customHeight="true" outlineLevel="0" collapsed="false">
      <c r="A15" s="9" t="s">
        <v>30</v>
      </c>
      <c r="B15" s="8" t="n">
        <f aca="false">B7-B13</f>
        <v>490698.6975</v>
      </c>
    </row>
    <row r="16" customFormat="false" ht="30" hidden="false" customHeight="true" outlineLevel="0" collapsed="false">
      <c r="A16" s="2" t="s">
        <v>31</v>
      </c>
      <c r="B16" s="8" t="n">
        <f aca="false">Inputs!B11*Inputs!B5</f>
        <v>3000</v>
      </c>
    </row>
    <row r="17" customFormat="false" ht="30" hidden="false" customHeight="true" outlineLevel="0" collapsed="false">
      <c r="A17" s="9" t="s">
        <v>32</v>
      </c>
      <c r="B17" s="8" t="n">
        <f aca="false">B15-B16</f>
        <v>487698.6975</v>
      </c>
    </row>
    <row r="19" customFormat="false" ht="30" hidden="false" customHeight="true" outlineLevel="0" collapsed="false">
      <c r="A19" s="9" t="s">
        <v>33</v>
      </c>
      <c r="B19" s="8" t="n">
        <f aca="false">B15/Inputs!B12</f>
        <v>7269610.33333333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2" t="s">
        <v>35</v>
      </c>
      <c r="B3" s="10" t="n">
        <f aca="false">MAX(Inputs!B14,Inputs!B15)</f>
        <v>0.065</v>
      </c>
    </row>
    <row r="4" customFormat="false" ht="30" hidden="false" customHeight="true" outlineLevel="0" collapsed="false">
      <c r="A4" s="2" t="s">
        <v>36</v>
      </c>
      <c r="B4" s="11" t="n">
        <f aca="false">PMT(B3/12,Inputs!B16,-1)*12</f>
        <v>0.0758481628191557</v>
      </c>
    </row>
    <row r="6" customFormat="false" ht="30" hidden="false" customHeight="true" outlineLevel="0" collapsed="false">
      <c r="A6" s="2" t="s">
        <v>37</v>
      </c>
      <c r="B6" s="8" t="n">
        <f aca="false">UW!B19*Inputs!B17</f>
        <v>4725246.71666667</v>
      </c>
    </row>
    <row r="7" customFormat="false" ht="30" hidden="false" customHeight="true" outlineLevel="0" collapsed="false">
      <c r="A7" s="2" t="s">
        <v>38</v>
      </c>
      <c r="B7" s="8" t="n">
        <f aca="false">UW!B17/(Inputs!B18*B4)</f>
        <v>5143947.37457589</v>
      </c>
    </row>
    <row r="8" customFormat="false" ht="30" hidden="false" customHeight="true" outlineLevel="0" collapsed="false">
      <c r="A8" s="2" t="s">
        <v>39</v>
      </c>
      <c r="B8" s="8" t="n">
        <f aca="false">UW!B17/Inputs!B19</f>
        <v>5418874.41666667</v>
      </c>
    </row>
    <row r="10" customFormat="false" ht="30" hidden="false" customHeight="true" outlineLevel="0" collapsed="false">
      <c r="A10" s="9" t="s">
        <v>40</v>
      </c>
      <c r="B10" s="8" t="n">
        <f aca="false">MIN(B6:B8)</f>
        <v>4725246.71666667</v>
      </c>
    </row>
    <row r="12" customFormat="false" ht="30" hidden="false" customHeight="true" outlineLevel="0" collapsed="false">
      <c r="A12" s="1" t="s">
        <v>41</v>
      </c>
    </row>
    <row r="13" customFormat="false" ht="30" hidden="false" customHeight="true" outlineLevel="0" collapsed="false">
      <c r="A13" s="2" t="s">
        <v>42</v>
      </c>
      <c r="B13" s="8" t="n">
        <f aca="false">B10</f>
        <v>4725246.71666667</v>
      </c>
    </row>
    <row r="14" customFormat="false" ht="30" hidden="false" customHeight="true" outlineLevel="0" collapsed="false">
      <c r="A14" s="2" t="s">
        <v>20</v>
      </c>
      <c r="B14" s="8" t="n">
        <f aca="false">Inputs!B22</f>
        <v>4300000</v>
      </c>
    </row>
    <row r="15" customFormat="false" ht="30" hidden="false" customHeight="true" outlineLevel="0" collapsed="false">
      <c r="A15" s="2" t="s">
        <v>43</v>
      </c>
      <c r="B15" s="8" t="n">
        <f aca="false">B10*Inputs!B20</f>
        <v>47252.4671666667</v>
      </c>
    </row>
    <row r="16" customFormat="false" ht="30" hidden="false" customHeight="true" outlineLevel="0" collapsed="false">
      <c r="A16" s="2" t="s">
        <v>19</v>
      </c>
      <c r="B16" s="8" t="n">
        <f aca="false">Inputs!B21</f>
        <v>45000</v>
      </c>
    </row>
    <row r="17" customFormat="false" ht="30" hidden="false" customHeight="true" outlineLevel="0" collapsed="false">
      <c r="A17" s="9" t="s">
        <v>44</v>
      </c>
      <c r="B17" s="8" t="n">
        <f aca="false">B13-B14-B15-B16</f>
        <v>332994.2495</v>
      </c>
    </row>
    <row r="19" customFormat="false" ht="30" hidden="false" customHeight="true" outlineLevel="0" collapsed="false">
      <c r="A19" s="2" t="s">
        <v>45</v>
      </c>
      <c r="B19" s="12" t="n">
        <f aca="false">UW!B17/(B10*B4)</f>
        <v>1.36076158638246</v>
      </c>
    </row>
    <row r="20" customFormat="false" ht="30" hidden="false" customHeight="true" outlineLevel="0" collapsed="false">
      <c r="A20" s="2" t="s">
        <v>46</v>
      </c>
      <c r="B20" s="13" t="n">
        <f aca="false">UW!B17/B10</f>
        <v>0.10321126636199</v>
      </c>
    </row>
    <row r="21" customFormat="false" ht="30" hidden="false" customHeight="true" outlineLevel="0" collapsed="false">
      <c r="A21" s="2" t="s">
        <v>47</v>
      </c>
      <c r="B21" s="13" t="n">
        <f aca="false">B10/UW!B19</f>
        <v>0.65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14" t="n">
        <f aca="false">UW!B15*0.95</f>
        <v>466163.762625</v>
      </c>
      <c r="C3" s="14" t="n">
        <f aca="false">UW!B15</f>
        <v>490698.6975</v>
      </c>
      <c r="D3" s="14" t="n">
        <f aca="false">UW!B15*1.05</f>
        <v>515233.632375</v>
      </c>
    </row>
    <row r="4" customFormat="false" ht="30" hidden="false" customHeight="true" outlineLevel="0" collapsed="false">
      <c r="A4" s="15" t="n">
        <v>0.0625</v>
      </c>
      <c r="B4" s="8" t="n">
        <f aca="false">B$3/$A4</f>
        <v>7458620.202</v>
      </c>
      <c r="C4" s="8" t="n">
        <f aca="false">C$3/$A4</f>
        <v>7851179.16</v>
      </c>
      <c r="D4" s="8" t="n">
        <f aca="false">D$3/$A4</f>
        <v>8243738.118</v>
      </c>
    </row>
    <row r="5" customFormat="false" ht="30" hidden="false" customHeight="true" outlineLevel="0" collapsed="false">
      <c r="A5" s="15" t="n">
        <v>0.0675</v>
      </c>
      <c r="B5" s="8" t="n">
        <f aca="false">B$3/$A5</f>
        <v>6906129.81666667</v>
      </c>
      <c r="C5" s="8" t="n">
        <f aca="false">C$3/$A5</f>
        <v>7269610.33333333</v>
      </c>
      <c r="D5" s="8" t="n">
        <f aca="false">D$3/$A5</f>
        <v>7633090.85</v>
      </c>
    </row>
    <row r="6" customFormat="false" ht="30" hidden="false" customHeight="true" outlineLevel="0" collapsed="false">
      <c r="A6" s="15" t="n">
        <v>0.0725</v>
      </c>
      <c r="B6" s="8" t="n">
        <f aca="false">B$3/$A6</f>
        <v>6429845.00172414</v>
      </c>
      <c r="C6" s="8" t="n">
        <f aca="false">C$3/$A6</f>
        <v>6768257.89655172</v>
      </c>
      <c r="D6" s="8" t="n">
        <f aca="false">D$3/$A6</f>
        <v>7106670.79137931</v>
      </c>
    </row>
    <row r="9" customFormat="false" ht="30" hidden="false" customHeight="true" outlineLevel="0" collapsed="false">
      <c r="A9" s="1" t="s">
        <v>50</v>
      </c>
    </row>
    <row r="11" customFormat="false" ht="30" hidden="false" customHeight="true" outlineLevel="0" collapsed="false">
      <c r="A11" s="2" t="s">
        <v>35</v>
      </c>
      <c r="B11" s="2" t="s">
        <v>51</v>
      </c>
      <c r="C11" s="2" t="s">
        <v>52</v>
      </c>
      <c r="D11" s="2" t="s">
        <v>53</v>
      </c>
      <c r="E11" s="2" t="s">
        <v>54</v>
      </c>
    </row>
    <row r="12" customFormat="false" ht="30" hidden="false" customHeight="true" outlineLevel="0" collapsed="false">
      <c r="A12" s="10" t="n">
        <v>0.06</v>
      </c>
      <c r="B12" s="8" t="n">
        <f aca="false">UW!$B$19*Inputs!$B$17</f>
        <v>4725246.71666667</v>
      </c>
      <c r="C12" s="8" t="n">
        <f aca="false">UW!$B$17/(Inputs!$B$18*(PMT(A12/12,Inputs!$B$16,-1)*12))</f>
        <v>5422936.87287095</v>
      </c>
      <c r="D12" s="8" t="n">
        <f aca="false">UW!$B$17/Inputs!$B$19</f>
        <v>5418874.41666667</v>
      </c>
      <c r="E12" s="8" t="n">
        <f aca="false">MIN(B12:D12)</f>
        <v>4725246.71666667</v>
      </c>
    </row>
    <row r="13" customFormat="false" ht="30" hidden="false" customHeight="true" outlineLevel="0" collapsed="false">
      <c r="A13" s="10" t="n">
        <v>0.065</v>
      </c>
      <c r="B13" s="8" t="n">
        <f aca="false">UW!$B$19*Inputs!$B$17</f>
        <v>4725246.71666667</v>
      </c>
      <c r="C13" s="8" t="n">
        <f aca="false">UW!$B$17/(Inputs!$B$18*(PMT(A13/12,Inputs!$B$16,-1)*12))</f>
        <v>5143947.37457589</v>
      </c>
      <c r="D13" s="8" t="n">
        <f aca="false">UW!$B$17/Inputs!$B$19</f>
        <v>5418874.41666667</v>
      </c>
      <c r="E13" s="8" t="n">
        <f aca="false">MIN(B13:D13)</f>
        <v>4725246.71666667</v>
      </c>
    </row>
    <row r="14" customFormat="false" ht="30" hidden="false" customHeight="true" outlineLevel="0" collapsed="false">
      <c r="A14" s="10" t="n">
        <v>0.07</v>
      </c>
      <c r="B14" s="8" t="n">
        <f aca="false">UW!$B$19*Inputs!$B$17</f>
        <v>4725246.71666667</v>
      </c>
      <c r="C14" s="8" t="n">
        <f aca="false">UW!$B$17/(Inputs!$B$18*(PMT(A14/12,Inputs!$B$16,-1)*12))</f>
        <v>4886987.00750301</v>
      </c>
      <c r="D14" s="8" t="n">
        <f aca="false">UW!$B$17/Inputs!$B$19</f>
        <v>5418874.41666667</v>
      </c>
      <c r="E14" s="8" t="n">
        <f aca="false">MIN(B14:D14)</f>
        <v>4725246.71666667</v>
      </c>
    </row>
    <row r="15" customFormat="false" ht="30" hidden="false" customHeight="true" outlineLevel="0" collapsed="false">
      <c r="A15" s="10" t="n">
        <v>0.075</v>
      </c>
      <c r="B15" s="8" t="n">
        <f aca="false">UW!$B$19*Inputs!$B$17</f>
        <v>4725246.71666667</v>
      </c>
      <c r="C15" s="8" t="n">
        <f aca="false">UW!$B$17/(Inputs!$B$18*(PMT(A15/12,Inputs!$B$16,-1)*12))</f>
        <v>4649967.37085666</v>
      </c>
      <c r="D15" s="8" t="n">
        <f aca="false">UW!$B$17/Inputs!$B$19</f>
        <v>5418874.41666667</v>
      </c>
      <c r="E15" s="8" t="n">
        <f aca="false">MIN(B15:D15)</f>
        <v>4649967.37085666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</row>
    <row r="4" customFormat="false" ht="30" hidden="false" customHeight="true" outlineLevel="0" collapsed="false">
      <c r="A4" s="16" t="s">
        <v>64</v>
      </c>
      <c r="B4" s="16" t="s">
        <v>65</v>
      </c>
      <c r="C4" s="16" t="s">
        <v>66</v>
      </c>
      <c r="D4" s="16" t="n">
        <v>3080</v>
      </c>
      <c r="E4" s="16" t="s">
        <v>67</v>
      </c>
      <c r="F4" s="8" t="n">
        <v>7000</v>
      </c>
      <c r="G4" s="8" t="n">
        <v>6650</v>
      </c>
      <c r="H4" s="16" t="s">
        <v>68</v>
      </c>
    </row>
    <row r="5" customFormat="false" ht="30" hidden="false" customHeight="true" outlineLevel="0" collapsed="false">
      <c r="A5" s="16" t="s">
        <v>69</v>
      </c>
      <c r="B5" s="16" t="s">
        <v>70</v>
      </c>
      <c r="C5" s="16" t="s">
        <v>71</v>
      </c>
      <c r="D5" s="16" t="n">
        <v>3200</v>
      </c>
      <c r="E5" s="16" t="s">
        <v>67</v>
      </c>
      <c r="F5" s="8" t="n">
        <v>6800</v>
      </c>
      <c r="G5" s="8" t="n">
        <v>6800</v>
      </c>
      <c r="H5" s="16" t="s">
        <v>68</v>
      </c>
    </row>
    <row r="6" customFormat="false" ht="30" hidden="false" customHeight="true" outlineLevel="0" collapsed="false">
      <c r="A6" s="16" t="s">
        <v>72</v>
      </c>
      <c r="B6" s="16" t="s">
        <v>73</v>
      </c>
      <c r="C6" s="16" t="s">
        <v>74</v>
      </c>
      <c r="D6" s="16" t="n">
        <v>3410</v>
      </c>
      <c r="E6" s="16" t="s">
        <v>67</v>
      </c>
      <c r="F6" s="8" t="n">
        <v>7075</v>
      </c>
      <c r="G6" s="8" t="n">
        <v>7075</v>
      </c>
      <c r="H6" s="16" t="s">
        <v>68</v>
      </c>
    </row>
    <row r="7" customFormat="false" ht="30" hidden="false" customHeight="true" outlineLevel="0" collapsed="false">
      <c r="A7" s="16" t="s">
        <v>75</v>
      </c>
      <c r="B7" s="16" t="s">
        <v>65</v>
      </c>
      <c r="C7" s="16" t="s">
        <v>66</v>
      </c>
      <c r="D7" s="16" t="n">
        <v>3080</v>
      </c>
      <c r="E7" s="16" t="s">
        <v>67</v>
      </c>
      <c r="F7" s="8" t="n">
        <v>6650</v>
      </c>
      <c r="G7" s="8" t="n">
        <v>6650</v>
      </c>
      <c r="H7" s="16" t="s">
        <v>68</v>
      </c>
    </row>
    <row r="8" customFormat="false" ht="30" hidden="false" customHeight="true" outlineLevel="0" collapsed="false">
      <c r="A8" s="16" t="s">
        <v>76</v>
      </c>
      <c r="B8" s="16" t="s">
        <v>70</v>
      </c>
      <c r="C8" s="16" t="s">
        <v>71</v>
      </c>
      <c r="D8" s="16" t="n">
        <v>3200</v>
      </c>
      <c r="E8" s="16" t="s">
        <v>67</v>
      </c>
      <c r="F8" s="8" t="n">
        <v>6800</v>
      </c>
      <c r="G8" s="8" t="n">
        <v>6800</v>
      </c>
      <c r="H8" s="16" t="s">
        <v>68</v>
      </c>
    </row>
    <row r="9" customFormat="false" ht="30" hidden="false" customHeight="true" outlineLevel="0" collapsed="false">
      <c r="A9" s="16" t="s">
        <v>77</v>
      </c>
      <c r="B9" s="16" t="s">
        <v>73</v>
      </c>
      <c r="C9" s="16" t="s">
        <v>74</v>
      </c>
      <c r="D9" s="16" t="n">
        <v>3410</v>
      </c>
      <c r="E9" s="16" t="s">
        <v>67</v>
      </c>
      <c r="F9" s="8" t="n">
        <v>7075</v>
      </c>
      <c r="G9" s="8" t="n">
        <v>7075</v>
      </c>
      <c r="H9" s="16" t="s">
        <v>68</v>
      </c>
    </row>
    <row r="10" customFormat="false" ht="30" hidden="false" customHeight="true" outlineLevel="0" collapsed="false">
      <c r="A10" s="16" t="s">
        <v>78</v>
      </c>
      <c r="B10" s="16" t="s">
        <v>65</v>
      </c>
      <c r="C10" s="16" t="s">
        <v>66</v>
      </c>
      <c r="D10" s="16" t="n">
        <v>3080</v>
      </c>
      <c r="E10" s="16" t="s">
        <v>67</v>
      </c>
      <c r="F10" s="8" t="n">
        <v>6650</v>
      </c>
      <c r="G10" s="8" t="n">
        <v>6650</v>
      </c>
      <c r="H10" s="16" t="s">
        <v>68</v>
      </c>
    </row>
    <row r="11" customFormat="false" ht="30" hidden="false" customHeight="true" outlineLevel="0" collapsed="false">
      <c r="A11" s="16" t="s">
        <v>79</v>
      </c>
      <c r="B11" s="16" t="s">
        <v>70</v>
      </c>
      <c r="C11" s="16" t="s">
        <v>71</v>
      </c>
      <c r="D11" s="16" t="n">
        <v>3200</v>
      </c>
      <c r="E11" s="16" t="s">
        <v>67</v>
      </c>
      <c r="F11" s="8" t="n">
        <v>6800</v>
      </c>
      <c r="G11" s="8" t="n">
        <v>6800</v>
      </c>
      <c r="H11" s="16" t="s">
        <v>68</v>
      </c>
    </row>
    <row r="12" customFormat="false" ht="30" hidden="false" customHeight="true" outlineLevel="0" collapsed="false">
      <c r="A12" s="16" t="s">
        <v>80</v>
      </c>
      <c r="B12" s="16" t="s">
        <v>73</v>
      </c>
      <c r="C12" s="16" t="s">
        <v>74</v>
      </c>
      <c r="D12" s="16" t="n">
        <v>3410</v>
      </c>
      <c r="E12" s="16" t="s">
        <v>67</v>
      </c>
      <c r="F12" s="8" t="n">
        <v>7075</v>
      </c>
      <c r="G12" s="8" t="n">
        <v>7075</v>
      </c>
      <c r="H12" s="16" t="s">
        <v>68</v>
      </c>
    </row>
    <row r="13" customFormat="false" ht="30" hidden="false" customHeight="true" outlineLevel="0" collapsed="false">
      <c r="A13" s="16" t="s">
        <v>81</v>
      </c>
      <c r="B13" s="16" t="s">
        <v>65</v>
      </c>
      <c r="C13" s="16" t="s">
        <v>66</v>
      </c>
      <c r="D13" s="16" t="n">
        <v>3080</v>
      </c>
      <c r="E13" s="16" t="s">
        <v>82</v>
      </c>
      <c r="F13" s="8" t="n">
        <v>0</v>
      </c>
      <c r="G13" s="8" t="n">
        <v>6650</v>
      </c>
      <c r="H13" s="16" t="s">
        <v>68</v>
      </c>
    </row>
    <row r="15" customFormat="false" ht="30" hidden="false" customHeight="true" outlineLevel="0" collapsed="false">
      <c r="A15" s="9" t="s">
        <v>83</v>
      </c>
      <c r="D15" s="9" t="n">
        <f aca="false">SUM(D4:D13)</f>
        <v>32150</v>
      </c>
      <c r="F15" s="17" t="n">
        <f aca="false">SUM(F4:F13)</f>
        <v>61925</v>
      </c>
      <c r="G15" s="17" t="n">
        <f aca="false">SUM(G4:G13)</f>
        <v>68225</v>
      </c>
    </row>
    <row r="17" customFormat="false" ht="30" hidden="false" customHeight="true" outlineLevel="0" collapsed="false">
      <c r="A17" s="2" t="s">
        <v>84</v>
      </c>
      <c r="B17" s="16" t="n">
        <f aca="false">COUNTIF(E4:E13,"active")</f>
        <v>9</v>
      </c>
    </row>
    <row r="18" customFormat="false" ht="30" hidden="false" customHeight="true" outlineLevel="0" collapsed="false">
      <c r="A18" s="16" t="s">
        <v>85</v>
      </c>
      <c r="B18" s="16" t="n">
        <f aca="false">SUMIF(E4:E13,"active",D4:D13)</f>
        <v>29070</v>
      </c>
    </row>
    <row r="19" customFormat="false" ht="30" hidden="false" customHeight="true" outlineLevel="0" collapsed="false">
      <c r="A19" s="16" t="s">
        <v>86</v>
      </c>
      <c r="B19" s="8" t="n">
        <f aca="false">SUMIF(E4:E13,"active",F4:F13)*12</f>
        <v>743100</v>
      </c>
    </row>
    <row r="20" customFormat="false" ht="30" hidden="false" customHeight="true" outlineLevel="0" collapsed="false">
      <c r="A20" s="16" t="s">
        <v>87</v>
      </c>
      <c r="B20" s="8" t="n">
        <f aca="false">SUM(G4:G13)*12</f>
        <v>818700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2" t="s">
        <v>89</v>
      </c>
      <c r="B3" s="2" t="s">
        <v>90</v>
      </c>
      <c r="C3" s="2" t="s">
        <v>91</v>
      </c>
      <c r="D3" s="2" t="s">
        <v>92</v>
      </c>
    </row>
    <row r="4" customFormat="false" ht="30" hidden="false" customHeight="true" outlineLevel="0" collapsed="false">
      <c r="A4" s="16" t="s">
        <v>93</v>
      </c>
      <c r="B4" s="16" t="s">
        <v>94</v>
      </c>
      <c r="C4" s="16" t="s">
        <v>95</v>
      </c>
      <c r="D4" s="16" t="s">
        <v>96</v>
      </c>
    </row>
    <row r="5" customFormat="false" ht="30" hidden="false" customHeight="true" outlineLevel="0" collapsed="false">
      <c r="A5" s="16" t="s">
        <v>97</v>
      </c>
      <c r="B5" s="16" t="s">
        <v>98</v>
      </c>
      <c r="C5" s="16" t="s">
        <v>99</v>
      </c>
      <c r="D5" s="16" t="s">
        <v>96</v>
      </c>
    </row>
    <row r="6" customFormat="false" ht="30" hidden="false" customHeight="true" outlineLevel="0" collapsed="false">
      <c r="A6" s="16" t="s">
        <v>100</v>
      </c>
      <c r="B6" s="16" t="n">
        <v>6650</v>
      </c>
      <c r="C6" s="16" t="s">
        <v>101</v>
      </c>
      <c r="D6" s="16" t="s">
        <v>102</v>
      </c>
    </row>
    <row r="7" customFormat="false" ht="30" hidden="false" customHeight="true" outlineLevel="0" collapsed="false">
      <c r="A7" s="16" t="s">
        <v>103</v>
      </c>
      <c r="B7" s="16" t="s">
        <v>104</v>
      </c>
      <c r="C7" s="16" t="s">
        <v>105</v>
      </c>
      <c r="D7" s="16" t="s">
        <v>102</v>
      </c>
    </row>
    <row r="8" customFormat="false" ht="30" hidden="false" customHeight="true" outlineLevel="0" collapsed="false">
      <c r="A8" s="16" t="s">
        <v>106</v>
      </c>
      <c r="B8" s="16" t="s">
        <v>107</v>
      </c>
      <c r="C8" s="16" t="s">
        <v>108</v>
      </c>
      <c r="D8" s="16" t="s">
        <v>102</v>
      </c>
    </row>
    <row r="9" customFormat="false" ht="30" hidden="false" customHeight="true" outlineLevel="0" collapsed="false">
      <c r="A9" s="16" t="s">
        <v>109</v>
      </c>
      <c r="B9" s="16" t="n">
        <v>736830</v>
      </c>
      <c r="C9" s="16" t="s">
        <v>110</v>
      </c>
      <c r="D9" s="16" t="s">
        <v>102</v>
      </c>
    </row>
    <row r="10" customFormat="false" ht="30" hidden="false" customHeight="true" outlineLevel="0" collapsed="false">
      <c r="A10" s="16" t="s">
        <v>111</v>
      </c>
      <c r="B10" s="16" t="n">
        <v>85964</v>
      </c>
      <c r="C10" s="16" t="s">
        <v>110</v>
      </c>
      <c r="D10" s="16" t="s">
        <v>102</v>
      </c>
    </row>
    <row r="11" customFormat="false" ht="30" hidden="false" customHeight="true" outlineLevel="0" collapsed="false">
      <c r="A11" s="16" t="s">
        <v>112</v>
      </c>
      <c r="B11" s="16" t="n">
        <v>28655</v>
      </c>
      <c r="C11" s="16" t="s">
        <v>110</v>
      </c>
      <c r="D11" s="16" t="s">
        <v>102</v>
      </c>
    </row>
    <row r="12" customFormat="false" ht="30" hidden="false" customHeight="true" outlineLevel="0" collapsed="false">
      <c r="A12" s="16" t="s">
        <v>113</v>
      </c>
      <c r="B12" s="16" t="n">
        <v>114618</v>
      </c>
      <c r="C12" s="16" t="s">
        <v>110</v>
      </c>
      <c r="D12" s="16" t="s">
        <v>102</v>
      </c>
    </row>
    <row r="13" customFormat="false" ht="30" hidden="false" customHeight="true" outlineLevel="0" collapsed="false">
      <c r="A13" s="16" t="s">
        <v>114</v>
      </c>
      <c r="B13" s="16" t="n">
        <v>507593</v>
      </c>
      <c r="C13" s="16" t="s">
        <v>110</v>
      </c>
      <c r="D13" s="16" t="s">
        <v>102</v>
      </c>
    </row>
    <row r="14" customFormat="false" ht="30" hidden="false" customHeight="true" outlineLevel="0" collapsed="false">
      <c r="A14" s="16" t="s">
        <v>115</v>
      </c>
      <c r="B14" s="16" t="n">
        <v>2000000</v>
      </c>
      <c r="C14" s="16" t="s">
        <v>116</v>
      </c>
      <c r="D14" s="16" t="s">
        <v>102</v>
      </c>
    </row>
    <row r="15" customFormat="false" ht="30" hidden="false" customHeight="true" outlineLevel="0" collapsed="false">
      <c r="A15" s="16" t="s">
        <v>117</v>
      </c>
      <c r="B15" s="16" t="s">
        <v>118</v>
      </c>
      <c r="C15" s="16" t="s">
        <v>119</v>
      </c>
      <c r="D15" s="16" t="s">
        <v>102</v>
      </c>
    </row>
    <row r="16" customFormat="false" ht="30" hidden="false" customHeight="true" outlineLevel="0" collapsed="false">
      <c r="A16" s="16" t="s">
        <v>120</v>
      </c>
      <c r="B16" s="16" t="s">
        <v>121</v>
      </c>
      <c r="C16" s="16" t="s">
        <v>122</v>
      </c>
      <c r="D16" s="16" t="s">
        <v>102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2026-09-07T13:55:50Z</dcterms:created>
  <dc:creator>openpyxl</dc:creator>
  <dc:description/>
  <dc:language>en-US</dc:language>
  <cp:lastModifiedBy/>
  <dcterms:modified xsi:type="dcterms:W3CDTF">2026-09-07T14:06:21Z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