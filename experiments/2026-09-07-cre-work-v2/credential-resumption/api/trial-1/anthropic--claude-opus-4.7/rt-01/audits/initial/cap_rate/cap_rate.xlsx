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<sst xmlns="http://schemas.openxmlformats.org/spreadsheetml/2006/main" count="174" uniqueCount="123">
  <si>
    <t xml:space="preserve">Maple Crossing – Inputs</t>
  </si>
  <si>
    <t xml:space="preserve">Gross Potential Rent (annual)</t>
  </si>
  <si>
    <t xml:space="preserve">Other Income per unit (annual)</t>
  </si>
  <si>
    <t xml:space="preserve">Total 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</si>
  <si>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</si>
  <si>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</si>
  <si>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</si>
  <si>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</si>
  <si>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</si>
  <si>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per unit</t>
  </si>
  <si>
    <t xml:space="preserve">Cap rate</t>
  </si>
  <si>
    <t xml:space="preserve">Sizing rate (greater of note &amp; floor)</t>
  </si>
  <si>
    <t xml:space="preserve">Note rate</t>
  </si>
  <si>
    <t xml:space="preserve">Underwriting floor rate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</si>
  <si>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</si>
  <si>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</si>
  <si>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</si>
  <si>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</si>
  <si>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</si>
  <si>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</si>
  <si>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</si>
  <si>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</t>
  </si>
  <si>
    <t xml:space="preserve">Gross Potential Rent</t>
  </si>
  <si>
    <t xml:space="preserve">Other income (annual)</t>
  </si>
  <si>
    <t xml:space="preserve">Gross Revenue</t>
  </si>
  <si>
    <t xml:space="preserve">Less: Economic loss (5%)</t>
  </si>
  <si>
    <t xml:space="preserve">Effective Gross Income (EGI)</t>
  </si>
  <si>
    <t xml:space="preserve">Insurance</t>
  </si>
  <si>
    <t xml:space="preserve">Management fee (3% EGI)</t>
  </si>
  <si>
    <t xml:space="preserve">Total operating expenses</t>
  </si>
  <si>
    <t xml:space="preserve">NOI (before reserves)</t>
  </si>
  <si>
    <t xml:space="preserve">Replacement reserves</t>
  </si>
  <si>
    <t xml:space="preserve">NCF (after reserves)</t>
  </si>
  <si>
    <t xml:space="preserve">Capitalization value (NOI/Cap)</t>
  </si>
  <si>
    <t xml:space="preserve">Debt sizing &amp; Sources/Uses</t>
  </si>
  <si>
    <t xml:space="preserve">Sizing rate</t>
  </si>
  <si>
    <t xml:space="preserve">Annual DS per $1 (30yr amort)</t>
  </si>
  <si>
    <t xml:space="preserve">LTV-constrained loan</t>
  </si>
  <si>
    <t xml:space="preserve">DSCR-constrained loan</t>
  </si>
  <si>
    <t xml:space="preserve">Debt-yield-constrained loan</t>
  </si>
  <si>
    <t xml:space="preserve">Maximum loan (min of tests)</t>
  </si>
  <si>
    <t xml:space="preserve">Sources / Uses</t>
  </si>
  <si>
    <t xml:space="preserve">Loan proceeds</t>
  </si>
  <si>
    <t xml:space="preserve">Origination fee (1%)</t>
  </si>
  <si>
    <t xml:space="preserve">Net cash-out (proceeds - payoff - fee - costs)</t>
  </si>
  <si>
    <t xml:space="preserve">Sanity: DSCR at max loan</t>
  </si>
  <si>
    <t xml:space="preserve">Sanity: Debt yield at max loan</t>
  </si>
  <si>
    <t xml:space="preserve">Sanity: LTV at max loan</t>
  </si>
  <si>
    <t xml:space="preserve">Capitalization value sensitivity (NOI / Cap rate)</t>
  </si>
  <si>
    <t xml:space="preserve">Cap Rate \ NOI</t>
  </si>
  <si>
    <t xml:space="preserve">Max loan sensitivity to sizing rate</t>
  </si>
  <si>
    <t xml:space="preserve">LTV loan</t>
  </si>
  <si>
    <t xml:space="preserve">DSCR loan</t>
  </si>
  <si>
    <t xml:space="preserve">DY loan</t>
  </si>
  <si>
    <t xml:space="preserve">Max loan</t>
  </si>
  <si>
    <t xml:space="preserve">Certified Rent Roll (as of 2026-08-31), with lease-001 amendment applied</t>
  </si>
  <si>
    <t xml:space="preserve">Suite</t>
  </si>
  <si>
    <t xml:space="preserve">Type</t>
  </si>
  <si>
    <t xml:space="preserve">Group</t>
  </si>
  <si>
    <t xml:space="preserve">Area SF</t>
  </si>
  <si>
    <t xml:space="preserve">Status</t>
  </si>
  <si>
    <t xml:space="preserve">Contractual Monthly</t>
  </si>
  <si>
    <t xml:space="preserve">Certified Monthly (pre-amend)</t>
  </si>
  <si>
    <t xml:space="preserve">Expiration</t>
  </si>
  <si>
    <t xml:space="preserve">001</t>
  </si>
  <si>
    <t xml:space="preserve">Small</t>
  </si>
  <si>
    <t xml:space="preserve">A</t>
  </si>
  <si>
    <t xml:space="preserve">active</t>
  </si>
  <si>
    <t xml:space="preserve">2029-08-31</t>
  </si>
  <si>
    <t xml:space="preserve">002</t>
  </si>
  <si>
    <t xml:space="preserve">Standard</t>
  </si>
  <si>
    <t xml:space="preserve">B</t>
  </si>
  <si>
    <t xml:space="preserve">003</t>
  </si>
  <si>
    <t xml:space="preserve">Large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</si>
  <si>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</si>
  <si>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</si>
  <si>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</si>
  <si>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</si>
  <si>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</si>
  <si>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</si>
  <si>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</si>
  <si>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</si>
  <si>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</si>
  <si>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</t>
  </si>
  <si>
    <t xml:space="preserve">Occupied units (active)</t>
  </si>
  <si>
    <t xml:space="preserve">Occupied area SF</t>
  </si>
  <si>
    <t xml:space="preserve">In-place annual rent (post-amend)</t>
  </si>
  <si>
    <t xml:space="preserve">GPR (all suites × 12, certified pre-amend)</t>
  </si>
  <si>
    <t xml:space="preserve">Source Register</t>
  </si>
  <si>
    <t xml:space="preserve">Item</t>
  </si>
  <si>
    <t xml:space="preserve">Value</t>
  </si>
  <si>
    <t xml:space="preserve">Source file</t>
  </si>
  <si>
    <t xml:space="preserve">Location</t>
  </si>
  <si>
    <t xml:space="preserve">Certified rent roll date</t>
  </si>
  <si>
    <t xml:space="preserve">2026-08-31</t>
  </si>
  <si>
    <t xml:space="preserve">rent-roll-certified.xlsx</t>
  </si>
  <si>
    <t xml:space="preserve">B2</t>
  </si>
  <si>
    <t xml:space="preserve">Archive rent roll date</t>
  </si>
  <si>
    <t xml:space="preserve">2026-06-30</t>
  </si>
  <si>
    <t xml:space="preserve">rent-roll-archive.xlsx</t>
  </si>
  <si>
    <t xml:space="preserve">Suite 001 pre-amend rent</t>
  </si>
  <si>
    <t xml:space="preserve">lease-001.pdf</t>
  </si>
  <si>
    <t xml:space="preserve">p.1</t>
  </si>
  <si>
    <t xml:space="preserve">Amendment (+$350) executed</t>
  </si>
  <si>
    <t xml:space="preserve">2026-07-20</t>
  </si>
  <si>
    <t xml:space="preserve">lease-correspondence.pdf</t>
  </si>
  <si>
    <t xml:space="preserve">Manager 9/10 leased (incl pending)</t>
  </si>
  <si>
    <t xml:space="preserve">note</t>
  </si>
  <si>
    <t xml:space="preserve">manager-cover.pdf</t>
  </si>
  <si>
    <t xml:space="preserve">T12 collections</t>
  </si>
  <si>
    <t xml:space="preserve">operating-statement.pdf</t>
  </si>
  <si>
    <t xml:space="preserve">T12 taxes</t>
  </si>
  <si>
    <t xml:space="preserve">T12 insurance</t>
  </si>
  <si>
    <t xml:space="preserve">T12 other opex</t>
  </si>
  <si>
    <t xml:space="preserve">Reported NOI (T12)</t>
  </si>
  <si>
    <t xml:space="preserve">GL insurance policy limit</t>
  </si>
  <si>
    <t xml:space="preserve">insurance.pdf</t>
  </si>
  <si>
    <t xml:space="preserve">Cap rate &amp; UW assumptions</t>
  </si>
  <si>
    <t xml:space="preserve">per instructions</t>
  </si>
  <si>
    <t xml:space="preserve">underwriting-instructions.pdf</t>
  </si>
  <si>
    <t xml:space="preserve">Diligence status</t>
  </si>
  <si>
    <t xml:space="preserve">pending routine</t>
  </si>
  <si>
    <t xml:space="preserve">diligence-status.pdf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</si>
</sst>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818700</v>
      </c>
    </row>
    <row r="4" customFormat="false" ht="30" hidden="false" customHeight="true" outlineLevel="0" collapsed="false">
      <c r="A4" s="2" t="s">
        <v>2</v>
      </c>
      <c r="B4" s="3" t="n">
        <v>350</v>
      </c>
    </row>
    <row r="5" customFormat="false" ht="30" hidden="false" customHeight="true" outlineLevel="0" collapsed="false">
      <c r="A5" s="2" t="s">
        <v>3</v>
      </c>
      <c r="B5" s="4" t="n">
        <v>10</v>
      </c>
    </row>
    <row r="6" customFormat="false" ht="30" hidden="false" customHeight="true" outlineLevel="0" collapsed="false">
      <c r="A6" s="2" t="s">
        <v>4</v>
      </c>
      <c r="B6" s="5" t="n">
        <v>0.05</v>
      </c>
    </row>
    <row r="7" customFormat="false" ht="30" hidden="false" customHeight="true" outlineLevel="0" collapsed="false">
      <c r="A7" s="2" t="s">
        <v>5</v>
      </c>
      <c r="B7" s="3" t="n">
        <v>85964</v>
      </c>
    </row>
    <row r="8" customFormat="false" ht="30" hidden="false" customHeight="true" outlineLevel="0" collapsed="false">
      <c r="A8" s="2" t="s">
        <v>6</v>
      </c>
      <c r="B8" s="3" t="n">
        <v>28655</v>
      </c>
    </row>
    <row r="9" customFormat="false" ht="30" hidden="false" customHeight="true" outlineLevel="0" collapsed="false">
      <c r="A9" s="2" t="s">
        <v>7</v>
      </c>
      <c r="B9" s="3" t="n">
        <v>114618</v>
      </c>
    </row>
    <row r="10" customFormat="false" ht="30" hidden="false" customHeight="true" outlineLevel="0" collapsed="false">
      <c r="A10" s="2" t="s">
        <v>8</v>
      </c>
      <c r="B10" s="5" t="n">
        <v>0.03</v>
      </c>
    </row>
    <row r="11" customFormat="false" ht="30" hidden="false" customHeight="true" outlineLevel="0" collapsed="false">
      <c r="A11" s="2" t="s">
        <v>9</v>
      </c>
      <c r="B11" s="3" t="n">
        <v>300</v>
      </c>
    </row>
    <row r="12" customFormat="false" ht="30" hidden="false" customHeight="true" outlineLevel="0" collapsed="false">
      <c r="A12" s="2" t="s">
        <v>10</v>
      </c>
      <c r="B12" s="6" t="n">
        <v>0.0725</v>
      </c>
    </row>
    <row r="13" customFormat="false" ht="30" hidden="false" customHeight="true" outlineLevel="0" collapsed="false">
      <c r="A13" s="2" t="s">
        <v>11</v>
      </c>
      <c r="B13" s="6" t="n">
        <v>0.065</v>
      </c>
    </row>
    <row r="14" customFormat="false" ht="30" hidden="false" customHeight="true" outlineLevel="0" collapsed="false">
      <c r="A14" s="2" t="s">
        <v>12</v>
      </c>
      <c r="B14" s="6" t="n">
        <v>0.065</v>
      </c>
    </row>
    <row r="15" customFormat="false" ht="30" hidden="false" customHeight="true" outlineLevel="0" collapsed="false">
      <c r="A15" s="2" t="s">
        <v>13</v>
      </c>
      <c r="B15" s="6" t="n">
        <v>0.06</v>
      </c>
    </row>
    <row r="16" customFormat="false" ht="30" hidden="false" customHeight="true" outlineLevel="0" collapsed="false">
      <c r="A16" s="2" t="s">
        <v>14</v>
      </c>
      <c r="B16" s="4" t="n">
        <v>360</v>
      </c>
    </row>
    <row r="17" customFormat="false" ht="30" hidden="false" customHeight="true" outlineLevel="0" collapsed="false">
      <c r="A17" s="2" t="s">
        <v>15</v>
      </c>
      <c r="B17" s="5" t="n">
        <v>0.65</v>
      </c>
    </row>
    <row r="18" customFormat="false" ht="30" hidden="false" customHeight="true" outlineLevel="0" collapsed="false">
      <c r="A18" s="2" t="s">
        <v>16</v>
      </c>
      <c r="B18" s="7" t="n">
        <v>1.25</v>
      </c>
    </row>
    <row r="19" customFormat="false" ht="30" hidden="false" customHeight="true" outlineLevel="0" collapsed="false">
      <c r="A19" s="2" t="s">
        <v>17</v>
      </c>
      <c r="B19" s="5" t="n">
        <v>0.09</v>
      </c>
    </row>
    <row r="20" customFormat="false" ht="30" hidden="false" customHeight="true" outlineLevel="0" collapsed="false">
      <c r="A20" s="2" t="s">
        <v>18</v>
      </c>
      <c r="B20" s="5" t="n">
        <v>0.01</v>
      </c>
    </row>
    <row r="21" customFormat="false" ht="30" hidden="false" customHeight="true" outlineLevel="0" collapsed="false">
      <c r="A21" s="2" t="s">
        <v>19</v>
      </c>
      <c r="B21" s="3" t="n">
        <v>45000</v>
      </c>
    </row>
    <row r="22" customFormat="false" ht="30" hidden="false" customHeight="true" outlineLevel="0" collapsed="false">
      <c r="A22" s="2" t="s">
        <v>20</v>
      </c>
      <c r="B22" s="3" t="n">
        <v>4300000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21</v>
      </c>
    </row>
    <row r="3" customFormat="false" ht="30" hidden="false" customHeight="true" outlineLevel="0" collapsed="false">
      <c r="A3" s="2" t="s">
        <v>22</v>
      </c>
      <c r="B3" s="8" t="n">
        <f aca="false">Inputs!B3</f>
        <v>818700</v>
      </c>
    </row>
    <row r="4" customFormat="false" ht="30" hidden="false" customHeight="true" outlineLevel="0" collapsed="false">
      <c r="A4" s="2" t="s">
        <v>23</v>
      </c>
      <c r="B4" s="8" t="n">
        <f aca="false">Inputs!B4*Inputs!B5</f>
        <v>3500</v>
      </c>
    </row>
    <row r="5" customFormat="false" ht="30" hidden="false" customHeight="true" outlineLevel="0" collapsed="false">
      <c r="A5" s="2" t="s">
        <v>24</v>
      </c>
      <c r="B5" s="8" t="n">
        <f aca="false">B3+B4</f>
        <v>822200</v>
      </c>
    </row>
    <row r="6" customFormat="false" ht="30" hidden="false" customHeight="true" outlineLevel="0" collapsed="false">
      <c r="A6" s="2" t="s">
        <v>25</v>
      </c>
      <c r="B6" s="8" t="n">
        <f aca="false">-B5*Inputs!B6</f>
        <v>-41110</v>
      </c>
    </row>
    <row r="7" customFormat="false" ht="30" hidden="false" customHeight="true" outlineLevel="0" collapsed="false">
      <c r="A7" s="9" t="s">
        <v>26</v>
      </c>
      <c r="B7" s="8" t="n">
        <f aca="false">B5+B6</f>
        <v>781090</v>
      </c>
    </row>
    <row r="9" customFormat="false" ht="30" hidden="false" customHeight="true" outlineLevel="0" collapsed="false">
      <c r="A9" s="2" t="s">
        <v>5</v>
      </c>
      <c r="B9" s="8" t="n">
        <f aca="false">Inputs!B7</f>
        <v>85964</v>
      </c>
    </row>
    <row r="10" customFormat="false" ht="30" hidden="false" customHeight="true" outlineLevel="0" collapsed="false">
      <c r="A10" s="2" t="s">
        <v>27</v>
      </c>
      <c r="B10" s="8" t="n">
        <f aca="false">Inputs!B8</f>
        <v>28655</v>
      </c>
    </row>
    <row r="11" customFormat="false" ht="30" hidden="false" customHeight="true" outlineLevel="0" collapsed="false">
      <c r="A11" s="2" t="s">
        <v>7</v>
      </c>
      <c r="B11" s="8" t="n">
        <f aca="false">Inputs!B9</f>
        <v>114618</v>
      </c>
    </row>
    <row r="12" customFormat="false" ht="30" hidden="false" customHeight="true" outlineLevel="0" collapsed="false">
      <c r="A12" s="2" t="s">
        <v>28</v>
      </c>
      <c r="B12" s="8" t="n">
        <f aca="false">B7*Inputs!B10</f>
        <v>23432.7</v>
      </c>
    </row>
    <row r="13" customFormat="false" ht="30" hidden="false" customHeight="true" outlineLevel="0" collapsed="false">
      <c r="A13" s="9" t="s">
        <v>29</v>
      </c>
      <c r="B13" s="8" t="n">
        <f aca="false">SUM(B9:B12)</f>
        <v>252669.7</v>
      </c>
    </row>
    <row r="15" customFormat="false" ht="30" hidden="false" customHeight="true" outlineLevel="0" collapsed="false">
      <c r="A15" s="9" t="s">
        <v>30</v>
      </c>
      <c r="B15" s="8" t="n">
        <f aca="false">B7-B13</f>
        <v>528420.3</v>
      </c>
    </row>
    <row r="16" customFormat="false" ht="30" hidden="false" customHeight="true" outlineLevel="0" collapsed="false">
      <c r="A16" s="2" t="s">
        <v>31</v>
      </c>
      <c r="B16" s="8" t="n">
        <f aca="false">Inputs!B11*Inputs!B5</f>
        <v>3000</v>
      </c>
    </row>
    <row r="17" customFormat="false" ht="30" hidden="false" customHeight="true" outlineLevel="0" collapsed="false">
      <c r="A17" s="9" t="s">
        <v>32</v>
      </c>
      <c r="B17" s="8" t="n">
        <f aca="false">B15-B16</f>
        <v>525420.3</v>
      </c>
    </row>
    <row r="19" customFormat="false" ht="30" hidden="false" customHeight="true" outlineLevel="0" collapsed="false">
      <c r="A19" s="9" t="s">
        <v>33</v>
      </c>
      <c r="B19" s="8" t="n">
        <f aca="false">B15/Inputs!B12</f>
        <v>7288555.86206897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34</v>
      </c>
    </row>
    <row r="3" customFormat="false" ht="30" hidden="false" customHeight="true" outlineLevel="0" collapsed="false">
      <c r="A3" s="2" t="s">
        <v>35</v>
      </c>
      <c r="B3" s="10" t="n">
        <f aca="false">MAX(Inputs!B14,Inputs!B15)</f>
        <v>0.065</v>
      </c>
    </row>
    <row r="4" customFormat="false" ht="30" hidden="false" customHeight="true" outlineLevel="0" collapsed="false">
      <c r="A4" s="2" t="s">
        <v>36</v>
      </c>
      <c r="B4" s="11" t="n">
        <f aca="false">PMT(B3/12,Inputs!B16,-1)*12</f>
        <v>0.0758481628191557</v>
      </c>
    </row>
    <row r="6" customFormat="false" ht="30" hidden="false" customHeight="true" outlineLevel="0" collapsed="false">
      <c r="A6" s="2" t="s">
        <v>37</v>
      </c>
      <c r="B6" s="8" t="n">
        <f aca="false">UW!B19*Inputs!B17</f>
        <v>4737561.31034483</v>
      </c>
    </row>
    <row r="7" customFormat="false" ht="30" hidden="false" customHeight="true" outlineLevel="0" collapsed="false">
      <c r="A7" s="2" t="s">
        <v>38</v>
      </c>
      <c r="B7" s="8" t="n">
        <f aca="false">UW!B17/(Inputs!B18*B4)</f>
        <v>5541811.750961</v>
      </c>
    </row>
    <row r="8" customFormat="false" ht="30" hidden="false" customHeight="true" outlineLevel="0" collapsed="false">
      <c r="A8" s="2" t="s">
        <v>39</v>
      </c>
      <c r="B8" s="8" t="n">
        <f aca="false">UW!B17/Inputs!B19</f>
        <v>5838003.33333333</v>
      </c>
    </row>
    <row r="10" customFormat="false" ht="30" hidden="false" customHeight="true" outlineLevel="0" collapsed="false">
      <c r="A10" s="9" t="s">
        <v>40</v>
      </c>
      <c r="B10" s="8" t="n">
        <f aca="false">MIN(B6:B8)</f>
        <v>4737561.31034483</v>
      </c>
    </row>
    <row r="12" customFormat="false" ht="30" hidden="false" customHeight="true" outlineLevel="0" collapsed="false">
      <c r="A12" s="1" t="s">
        <v>41</v>
      </c>
    </row>
    <row r="13" customFormat="false" ht="30" hidden="false" customHeight="true" outlineLevel="0" collapsed="false">
      <c r="A13" s="2" t="s">
        <v>42</v>
      </c>
      <c r="B13" s="8" t="n">
        <f aca="false">B10</f>
        <v>4737561.31034483</v>
      </c>
    </row>
    <row r="14" customFormat="false" ht="30" hidden="false" customHeight="true" outlineLevel="0" collapsed="false">
      <c r="A14" s="2" t="s">
        <v>20</v>
      </c>
      <c r="B14" s="8" t="n">
        <f aca="false">Inputs!B22</f>
        <v>4300000</v>
      </c>
    </row>
    <row r="15" customFormat="false" ht="30" hidden="false" customHeight="true" outlineLevel="0" collapsed="false">
      <c r="A15" s="2" t="s">
        <v>43</v>
      </c>
      <c r="B15" s="8" t="n">
        <f aca="false">B10*Inputs!B20</f>
        <v>47375.6131034483</v>
      </c>
    </row>
    <row r="16" customFormat="false" ht="30" hidden="false" customHeight="true" outlineLevel="0" collapsed="false">
      <c r="A16" s="2" t="s">
        <v>19</v>
      </c>
      <c r="B16" s="8" t="n">
        <f aca="false">Inputs!B21</f>
        <v>45000</v>
      </c>
    </row>
    <row r="17" customFormat="false" ht="30" hidden="false" customHeight="true" outlineLevel="0" collapsed="false">
      <c r="A17" s="9" t="s">
        <v>44</v>
      </c>
      <c r="B17" s="8" t="n">
        <f aca="false">B13-B14-B15-B16</f>
        <v>345185.697241379</v>
      </c>
    </row>
    <row r="19" customFormat="false" ht="30" hidden="false" customHeight="true" outlineLevel="0" collapsed="false">
      <c r="A19" s="2" t="s">
        <v>45</v>
      </c>
      <c r="B19" s="12" t="n">
        <f aca="false">UW!B17/(B10*B4)</f>
        <v>1.46220053629175</v>
      </c>
    </row>
    <row r="20" customFormat="false" ht="30" hidden="false" customHeight="true" outlineLevel="0" collapsed="false">
      <c r="A20" s="2" t="s">
        <v>46</v>
      </c>
      <c r="B20" s="13" t="n">
        <f aca="false">UW!B17/B10</f>
        <v>0.110905224350913</v>
      </c>
    </row>
    <row r="21" customFormat="false" ht="30" hidden="false" customHeight="true" outlineLevel="0" collapsed="false">
      <c r="A21" s="2" t="s">
        <v>47</v>
      </c>
      <c r="B21" s="13" t="n">
        <f aca="false">B10/UW!B19</f>
        <v>0.65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48</v>
      </c>
    </row>
    <row r="3" customFormat="false" ht="30" hidden="false" customHeight="true" outlineLevel="0" collapsed="false">
      <c r="A3" s="2" t="s">
        <v>49</v>
      </c>
      <c r="B3" s="14" t="n">
        <f aca="false">UW!B15*0.95</f>
        <v>501999.285</v>
      </c>
      <c r="C3" s="14" t="n">
        <f aca="false">UW!B15</f>
        <v>528420.3</v>
      </c>
      <c r="D3" s="14" t="n">
        <f aca="false">UW!B15*1.05</f>
        <v>554841.315</v>
      </c>
    </row>
    <row r="4" customFormat="false" ht="30" hidden="false" customHeight="true" outlineLevel="0" collapsed="false">
      <c r="A4" s="15" t="n">
        <v>0.0625</v>
      </c>
      <c r="B4" s="8" t="n">
        <f aca="false">B$3/$A4</f>
        <v>8031988.56</v>
      </c>
      <c r="C4" s="8" t="n">
        <f aca="false">C$3/$A4</f>
        <v>8454724.8</v>
      </c>
      <c r="D4" s="8" t="n">
        <f aca="false">D$3/$A4</f>
        <v>8877461.04</v>
      </c>
    </row>
    <row r="5" customFormat="false" ht="30" hidden="false" customHeight="true" outlineLevel="0" collapsed="false">
      <c r="A5" s="15" t="n">
        <v>0.0675</v>
      </c>
      <c r="B5" s="8" t="n">
        <f aca="false">B$3/$A5</f>
        <v>7437026.44444444</v>
      </c>
      <c r="C5" s="8" t="n">
        <f aca="false">C$3/$A5</f>
        <v>7828448.88888889</v>
      </c>
      <c r="D5" s="8" t="n">
        <f aca="false">D$3/$A5</f>
        <v>8219871.33333333</v>
      </c>
    </row>
    <row r="6" customFormat="false" ht="30" hidden="false" customHeight="true" outlineLevel="0" collapsed="false">
      <c r="A6" s="15" t="n">
        <v>0.0725</v>
      </c>
      <c r="B6" s="8" t="n">
        <f aca="false">B$3/$A6</f>
        <v>6924128.06896552</v>
      </c>
      <c r="C6" s="8" t="n">
        <f aca="false">C$3/$A6</f>
        <v>7288555.86206897</v>
      </c>
      <c r="D6" s="8" t="n">
        <f aca="false">D$3/$A6</f>
        <v>7652983.65517242</v>
      </c>
    </row>
    <row r="9" customFormat="false" ht="30" hidden="false" customHeight="true" outlineLevel="0" collapsed="false">
      <c r="A9" s="1" t="s">
        <v>50</v>
      </c>
    </row>
    <row r="11" customFormat="false" ht="30" hidden="false" customHeight="true" outlineLevel="0" collapsed="false">
      <c r="A11" s="2" t="s">
        <v>35</v>
      </c>
      <c r="B11" s="2" t="s">
        <v>51</v>
      </c>
      <c r="C11" s="2" t="s">
        <v>52</v>
      </c>
      <c r="D11" s="2" t="s">
        <v>53</v>
      </c>
      <c r="E11" s="2" t="s">
        <v>54</v>
      </c>
    </row>
    <row r="12" customFormat="false" ht="30" hidden="false" customHeight="true" outlineLevel="0" collapsed="false">
      <c r="A12" s="10" t="n">
        <v>0.06</v>
      </c>
      <c r="B12" s="8" t="n">
        <f aca="false">UW!$B$19*Inputs!$B$17</f>
        <v>4737561.31034483</v>
      </c>
      <c r="C12" s="8" t="n">
        <f aca="false">UW!$B$17/(Inputs!$B$18*(PMT(A12/12,Inputs!$B$16,-1)*12))</f>
        <v>5842380.00476701</v>
      </c>
      <c r="D12" s="8" t="n">
        <f aca="false">UW!$B$17/Inputs!$B$19</f>
        <v>5838003.33333333</v>
      </c>
      <c r="E12" s="8" t="n">
        <f aca="false">MIN(B12:D12)</f>
        <v>4737561.31034483</v>
      </c>
    </row>
    <row r="13" customFormat="false" ht="30" hidden="false" customHeight="true" outlineLevel="0" collapsed="false">
      <c r="A13" s="10" t="n">
        <v>0.065</v>
      </c>
      <c r="B13" s="8" t="n">
        <f aca="false">UW!$B$19*Inputs!$B$17</f>
        <v>4737561.31034483</v>
      </c>
      <c r="C13" s="8" t="n">
        <f aca="false">UW!$B$17/(Inputs!$B$18*(PMT(A13/12,Inputs!$B$16,-1)*12))</f>
        <v>5541811.750961</v>
      </c>
      <c r="D13" s="8" t="n">
        <f aca="false">UW!$B$17/Inputs!$B$19</f>
        <v>5838003.33333333</v>
      </c>
      <c r="E13" s="8" t="n">
        <f aca="false">MIN(B13:D13)</f>
        <v>4737561.31034483</v>
      </c>
    </row>
    <row r="14" customFormat="false" ht="30" hidden="false" customHeight="true" outlineLevel="0" collapsed="false">
      <c r="A14" s="10" t="n">
        <v>0.07</v>
      </c>
      <c r="B14" s="8" t="n">
        <f aca="false">UW!$B$19*Inputs!$B$17</f>
        <v>4737561.31034483</v>
      </c>
      <c r="C14" s="8" t="n">
        <f aca="false">UW!$B$17/(Inputs!$B$18*(PMT(A14/12,Inputs!$B$16,-1)*12))</f>
        <v>5264976.49622764</v>
      </c>
      <c r="D14" s="8" t="n">
        <f aca="false">UW!$B$17/Inputs!$B$19</f>
        <v>5838003.33333333</v>
      </c>
      <c r="E14" s="8" t="n">
        <f aca="false">MIN(B14:D14)</f>
        <v>4737561.31034483</v>
      </c>
    </row>
    <row r="15" customFormat="false" ht="30" hidden="false" customHeight="true" outlineLevel="0" collapsed="false">
      <c r="A15" s="10" t="n">
        <v>0.075</v>
      </c>
      <c r="B15" s="8" t="n">
        <f aca="false">UW!$B$19*Inputs!$B$17</f>
        <v>4737561.31034483</v>
      </c>
      <c r="C15" s="8" t="n">
        <f aca="false">UW!$B$17/(Inputs!$B$18*(PMT(A15/12,Inputs!$B$16,-1)*12))</f>
        <v>5009624.3100705</v>
      </c>
      <c r="D15" s="8" t="n">
        <f aca="false">UW!$B$17/Inputs!$B$19</f>
        <v>5838003.33333333</v>
      </c>
      <c r="E15" s="8" t="n">
        <f aca="false">MIN(B15:D15)</f>
        <v>4737561.31034483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55</v>
      </c>
    </row>
    <row r="3" customFormat="false" ht="30" hidden="false" customHeight="true" outlineLevel="0" collapsed="false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</row>
    <row r="4" customFormat="false" ht="30" hidden="false" customHeight="true" outlineLevel="0" collapsed="false">
      <c r="A4" s="16" t="s">
        <v>64</v>
      </c>
      <c r="B4" s="16" t="s">
        <v>65</v>
      </c>
      <c r="C4" s="16" t="s">
        <v>66</v>
      </c>
      <c r="D4" s="16" t="n">
        <v>3080</v>
      </c>
      <c r="E4" s="16" t="s">
        <v>67</v>
      </c>
      <c r="F4" s="8" t="n">
        <v>7000</v>
      </c>
      <c r="G4" s="8" t="n">
        <v>6650</v>
      </c>
      <c r="H4" s="16" t="s">
        <v>68</v>
      </c>
    </row>
    <row r="5" customFormat="false" ht="30" hidden="false" customHeight="true" outlineLevel="0" collapsed="false">
      <c r="A5" s="16" t="s">
        <v>69</v>
      </c>
      <c r="B5" s="16" t="s">
        <v>70</v>
      </c>
      <c r="C5" s="16" t="s">
        <v>71</v>
      </c>
      <c r="D5" s="16" t="n">
        <v>3200</v>
      </c>
      <c r="E5" s="16" t="s">
        <v>67</v>
      </c>
      <c r="F5" s="8" t="n">
        <v>6800</v>
      </c>
      <c r="G5" s="8" t="n">
        <v>6800</v>
      </c>
      <c r="H5" s="16" t="s">
        <v>68</v>
      </c>
    </row>
    <row r="6" customFormat="false" ht="30" hidden="false" customHeight="true" outlineLevel="0" collapsed="false">
      <c r="A6" s="16" t="s">
        <v>72</v>
      </c>
      <c r="B6" s="16" t="s">
        <v>73</v>
      </c>
      <c r="C6" s="16" t="s">
        <v>74</v>
      </c>
      <c r="D6" s="16" t="n">
        <v>3410</v>
      </c>
      <c r="E6" s="16" t="s">
        <v>67</v>
      </c>
      <c r="F6" s="8" t="n">
        <v>7075</v>
      </c>
      <c r="G6" s="8" t="n">
        <v>7075</v>
      </c>
      <c r="H6" s="16" t="s">
        <v>68</v>
      </c>
    </row>
    <row r="7" customFormat="false" ht="30" hidden="false" customHeight="true" outlineLevel="0" collapsed="false">
      <c r="A7" s="16" t="s">
        <v>75</v>
      </c>
      <c r="B7" s="16" t="s">
        <v>65</v>
      </c>
      <c r="C7" s="16" t="s">
        <v>66</v>
      </c>
      <c r="D7" s="16" t="n">
        <v>3080</v>
      </c>
      <c r="E7" s="16" t="s">
        <v>67</v>
      </c>
      <c r="F7" s="8" t="n">
        <v>6650</v>
      </c>
      <c r="G7" s="8" t="n">
        <v>6650</v>
      </c>
      <c r="H7" s="16" t="s">
        <v>68</v>
      </c>
    </row>
    <row r="8" customFormat="false" ht="30" hidden="false" customHeight="true" outlineLevel="0" collapsed="false">
      <c r="A8" s="16" t="s">
        <v>76</v>
      </c>
      <c r="B8" s="16" t="s">
        <v>70</v>
      </c>
      <c r="C8" s="16" t="s">
        <v>71</v>
      </c>
      <c r="D8" s="16" t="n">
        <v>3200</v>
      </c>
      <c r="E8" s="16" t="s">
        <v>67</v>
      </c>
      <c r="F8" s="8" t="n">
        <v>6800</v>
      </c>
      <c r="G8" s="8" t="n">
        <v>6800</v>
      </c>
      <c r="H8" s="16" t="s">
        <v>68</v>
      </c>
    </row>
    <row r="9" customFormat="false" ht="30" hidden="false" customHeight="true" outlineLevel="0" collapsed="false">
      <c r="A9" s="16" t="s">
        <v>77</v>
      </c>
      <c r="B9" s="16" t="s">
        <v>73</v>
      </c>
      <c r="C9" s="16" t="s">
        <v>74</v>
      </c>
      <c r="D9" s="16" t="n">
        <v>3410</v>
      </c>
      <c r="E9" s="16" t="s">
        <v>67</v>
      </c>
      <c r="F9" s="8" t="n">
        <v>7075</v>
      </c>
      <c r="G9" s="8" t="n">
        <v>7075</v>
      </c>
      <c r="H9" s="16" t="s">
        <v>68</v>
      </c>
    </row>
    <row r="10" customFormat="false" ht="30" hidden="false" customHeight="true" outlineLevel="0" collapsed="false">
      <c r="A10" s="16" t="s">
        <v>78</v>
      </c>
      <c r="B10" s="16" t="s">
        <v>65</v>
      </c>
      <c r="C10" s="16" t="s">
        <v>66</v>
      </c>
      <c r="D10" s="16" t="n">
        <v>3080</v>
      </c>
      <c r="E10" s="16" t="s">
        <v>67</v>
      </c>
      <c r="F10" s="8" t="n">
        <v>6650</v>
      </c>
      <c r="G10" s="8" t="n">
        <v>6650</v>
      </c>
      <c r="H10" s="16" t="s">
        <v>68</v>
      </c>
    </row>
    <row r="11" customFormat="false" ht="30" hidden="false" customHeight="true" outlineLevel="0" collapsed="false">
      <c r="A11" s="16" t="s">
        <v>79</v>
      </c>
      <c r="B11" s="16" t="s">
        <v>70</v>
      </c>
      <c r="C11" s="16" t="s">
        <v>71</v>
      </c>
      <c r="D11" s="16" t="n">
        <v>3200</v>
      </c>
      <c r="E11" s="16" t="s">
        <v>67</v>
      </c>
      <c r="F11" s="8" t="n">
        <v>6800</v>
      </c>
      <c r="G11" s="8" t="n">
        <v>6800</v>
      </c>
      <c r="H11" s="16" t="s">
        <v>68</v>
      </c>
    </row>
    <row r="12" customFormat="false" ht="30" hidden="false" customHeight="true" outlineLevel="0" collapsed="false">
      <c r="A12" s="16" t="s">
        <v>80</v>
      </c>
      <c r="B12" s="16" t="s">
        <v>73</v>
      </c>
      <c r="C12" s="16" t="s">
        <v>74</v>
      </c>
      <c r="D12" s="16" t="n">
        <v>3410</v>
      </c>
      <c r="E12" s="16" t="s">
        <v>67</v>
      </c>
      <c r="F12" s="8" t="n">
        <v>7075</v>
      </c>
      <c r="G12" s="8" t="n">
        <v>7075</v>
      </c>
      <c r="H12" s="16" t="s">
        <v>68</v>
      </c>
    </row>
    <row r="13" customFormat="false" ht="30" hidden="false" customHeight="true" outlineLevel="0" collapsed="false">
      <c r="A13" s="16" t="s">
        <v>81</v>
      </c>
      <c r="B13" s="16" t="s">
        <v>65</v>
      </c>
      <c r="C13" s="16" t="s">
        <v>66</v>
      </c>
      <c r="D13" s="16" t="n">
        <v>3080</v>
      </c>
      <c r="E13" s="16" t="s">
        <v>82</v>
      </c>
      <c r="F13" s="8" t="n">
        <v>0</v>
      </c>
      <c r="G13" s="8" t="n">
        <v>6650</v>
      </c>
      <c r="H13" s="16" t="s">
        <v>68</v>
      </c>
    </row>
    <row r="15" customFormat="false" ht="30" hidden="false" customHeight="true" outlineLevel="0" collapsed="false">
      <c r="A15" s="9" t="s">
        <v>83</v>
      </c>
      <c r="D15" s="9" t="n">
        <f aca="false">SUM(D4:D13)</f>
        <v>32150</v>
      </c>
      <c r="F15" s="17" t="n">
        <f aca="false">SUM(F4:F13)</f>
        <v>61925</v>
      </c>
      <c r="G15" s="17" t="n">
        <f aca="false">SUM(G4:G13)</f>
        <v>68225</v>
      </c>
    </row>
    <row r="17" customFormat="false" ht="30" hidden="false" customHeight="true" outlineLevel="0" collapsed="false">
      <c r="A17" s="2" t="s">
        <v>84</v>
      </c>
      <c r="B17" s="16" t="n">
        <f aca="false">COUNTIF(E4:E13,"active")</f>
        <v>9</v>
      </c>
    </row>
    <row r="18" customFormat="false" ht="30" hidden="false" customHeight="true" outlineLevel="0" collapsed="false">
      <c r="A18" s="16" t="s">
        <v>85</v>
      </c>
      <c r="B18" s="16" t="n">
        <f aca="false">SUMIF(E4:E13,"active",D4:D13)</f>
        <v>29070</v>
      </c>
    </row>
    <row r="19" customFormat="false" ht="30" hidden="false" customHeight="true" outlineLevel="0" collapsed="false">
      <c r="A19" s="16" t="s">
        <v>86</v>
      </c>
      <c r="B19" s="8" t="n">
        <f aca="false">SUMIF(E4:E13,"active",F4:F13)*12</f>
        <v>743100</v>
      </c>
    </row>
    <row r="20" customFormat="false" ht="30" hidden="false" customHeight="true" outlineLevel="0" collapsed="false">
      <c r="A20" s="16" t="s">
        <v>87</v>
      </c>
      <c r="B20" s="8" t="n">
        <f aca="false">SUM(G4:G13)*12</f>
        <v>818700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88</v>
      </c>
    </row>
    <row r="3" customFormat="false" ht="30" hidden="false" customHeight="true" outlineLevel="0" collapsed="false">
      <c r="A3" s="2" t="s">
        <v>89</v>
      </c>
      <c r="B3" s="2" t="s">
        <v>90</v>
      </c>
      <c r="C3" s="2" t="s">
        <v>91</v>
      </c>
      <c r="D3" s="2" t="s">
        <v>92</v>
      </c>
    </row>
    <row r="4" customFormat="false" ht="30" hidden="false" customHeight="true" outlineLevel="0" collapsed="false">
      <c r="A4" s="16" t="s">
        <v>93</v>
      </c>
      <c r="B4" s="16" t="s">
        <v>94</v>
      </c>
      <c r="C4" s="16" t="s">
        <v>95</v>
      </c>
      <c r="D4" s="16" t="s">
        <v>96</v>
      </c>
    </row>
    <row r="5" customFormat="false" ht="30" hidden="false" customHeight="true" outlineLevel="0" collapsed="false">
      <c r="A5" s="16" t="s">
        <v>97</v>
      </c>
      <c r="B5" s="16" t="s">
        <v>98</v>
      </c>
      <c r="C5" s="16" t="s">
        <v>99</v>
      </c>
      <c r="D5" s="16" t="s">
        <v>96</v>
      </c>
    </row>
    <row r="6" customFormat="false" ht="30" hidden="false" customHeight="true" outlineLevel="0" collapsed="false">
      <c r="A6" s="16" t="s">
        <v>100</v>
      </c>
      <c r="B6" s="16" t="n">
        <v>6650</v>
      </c>
      <c r="C6" s="16" t="s">
        <v>101</v>
      </c>
      <c r="D6" s="16" t="s">
        <v>102</v>
      </c>
    </row>
    <row r="7" customFormat="false" ht="30" hidden="false" customHeight="true" outlineLevel="0" collapsed="false">
      <c r="A7" s="16" t="s">
        <v>103</v>
      </c>
      <c r="B7" s="16" t="s">
        <v>104</v>
      </c>
      <c r="C7" s="16" t="s">
        <v>105</v>
      </c>
      <c r="D7" s="16" t="s">
        <v>102</v>
      </c>
    </row>
    <row r="8" customFormat="false" ht="30" hidden="false" customHeight="true" outlineLevel="0" collapsed="false">
      <c r="A8" s="16" t="s">
        <v>106</v>
      </c>
      <c r="B8" s="16" t="s">
        <v>107</v>
      </c>
      <c r="C8" s="16" t="s">
        <v>108</v>
      </c>
      <c r="D8" s="16" t="s">
        <v>102</v>
      </c>
    </row>
    <row r="9" customFormat="false" ht="30" hidden="false" customHeight="true" outlineLevel="0" collapsed="false">
      <c r="A9" s="16" t="s">
        <v>109</v>
      </c>
      <c r="B9" s="16" t="n">
        <v>736830</v>
      </c>
      <c r="C9" s="16" t="s">
        <v>110</v>
      </c>
      <c r="D9" s="16" t="s">
        <v>102</v>
      </c>
    </row>
    <row r="10" customFormat="false" ht="30" hidden="false" customHeight="true" outlineLevel="0" collapsed="false">
      <c r="A10" s="16" t="s">
        <v>111</v>
      </c>
      <c r="B10" s="16" t="n">
        <v>85964</v>
      </c>
      <c r="C10" s="16" t="s">
        <v>110</v>
      </c>
      <c r="D10" s="16" t="s">
        <v>102</v>
      </c>
    </row>
    <row r="11" customFormat="false" ht="30" hidden="false" customHeight="true" outlineLevel="0" collapsed="false">
      <c r="A11" s="16" t="s">
        <v>112</v>
      </c>
      <c r="B11" s="16" t="n">
        <v>28655</v>
      </c>
      <c r="C11" s="16" t="s">
        <v>110</v>
      </c>
      <c r="D11" s="16" t="s">
        <v>102</v>
      </c>
    </row>
    <row r="12" customFormat="false" ht="30" hidden="false" customHeight="true" outlineLevel="0" collapsed="false">
      <c r="A12" s="16" t="s">
        <v>113</v>
      </c>
      <c r="B12" s="16" t="n">
        <v>114618</v>
      </c>
      <c r="C12" s="16" t="s">
        <v>110</v>
      </c>
      <c r="D12" s="16" t="s">
        <v>102</v>
      </c>
    </row>
    <row r="13" customFormat="false" ht="30" hidden="false" customHeight="true" outlineLevel="0" collapsed="false">
      <c r="A13" s="16" t="s">
        <v>114</v>
      </c>
      <c r="B13" s="16" t="n">
        <v>507593</v>
      </c>
      <c r="C13" s="16" t="s">
        <v>110</v>
      </c>
      <c r="D13" s="16" t="s">
        <v>102</v>
      </c>
    </row>
    <row r="14" customFormat="false" ht="30" hidden="false" customHeight="true" outlineLevel="0" collapsed="false">
      <c r="A14" s="16" t="s">
        <v>115</v>
      </c>
      <c r="B14" s="16" t="n">
        <v>2000000</v>
      </c>
      <c r="C14" s="16" t="s">
        <v>116</v>
      </c>
      <c r="D14" s="16" t="s">
        <v>102</v>
      </c>
    </row>
    <row r="15" customFormat="false" ht="30" hidden="false" customHeight="true" outlineLevel="0" collapsed="false">
      <c r="A15" s="16" t="s">
        <v>117</v>
      </c>
      <c r="B15" s="16" t="s">
        <v>118</v>
      </c>
      <c r="C15" s="16" t="s">
        <v>119</v>
      </c>
      <c r="D15" s="16" t="s">
        <v>102</v>
      </c>
    </row>
    <row r="16" customFormat="false" ht="30" hidden="false" customHeight="true" outlineLevel="0" collapsed="false">
      <c r="A16" s="16" t="s">
        <v>120</v>
      </c>
      <c r="B16" s="16" t="s">
        <v>121</v>
      </c>
      <c r="C16" s="16" t="s">
        <v>122</v>
      </c>
      <c r="D16" s="16" t="s">
        <v>102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2026-09-07T13:55:50Z</dcterms:created>
  <dc:creator>openpyxl</dc:creator>
  <dc:description/>
  <dc:language>en-US</dc:language>
  <cp:lastModifiedBy/>
  <dcterms:modified xsi:type="dcterms:W3CDTF">2026-09-07T14:06:20Z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