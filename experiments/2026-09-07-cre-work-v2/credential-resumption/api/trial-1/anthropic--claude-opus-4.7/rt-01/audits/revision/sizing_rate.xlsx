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UW" sheetId="2" state="visible" r:id="rId2"/>
    <sheet xmlns:r="http://schemas.openxmlformats.org/officeDocument/2006/relationships" name="Debt" sheetId="3" state="visible" r:id="rId3"/>
    <sheet xmlns:r="http://schemas.openxmlformats.org/officeDocument/2006/relationships" name="Sensitivity" sheetId="4" state="visible" r:id="rId4"/>
    <sheet xmlns:r="http://schemas.openxmlformats.org/officeDocument/2006/relationships" name="RentRoll" sheetId="5" state="visible" r:id="rId5"/>
    <sheet xmlns:r="http://schemas.openxmlformats.org/officeDocument/2006/relationships" name="Changes" sheetId="6" state="visible" r:id="rId6"/>
    <sheet xmlns:r="http://schemas.openxmlformats.org/officeDocument/2006/relationships" name="Sourc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0.0000%"/>
    <numFmt numFmtId="166" formatCode="0.000000"/>
  </numFmts>
  <fonts count="5">
    <font>
      <name val="Calibri"/>
      <family val="2"/>
      <color theme="1"/>
      <sz val="11"/>
      <scheme val="minor"/>
    </font>
    <font>
      <name val="Arial"/>
      <b val="1"/>
      <sz val="15"/>
    </font>
    <font>
      <name val="Arial"/>
      <b val="1"/>
      <sz val="10"/>
    </font>
    <font>
      <name val="Arial"/>
      <sz val="10"/>
    </font>
    <font>
      <name val="Arial"/>
      <color rgb="00185CB5"/>
      <sz val="10"/>
    </font>
  </fonts>
  <fills count="3">
    <fill>
      <patternFill/>
    </fill>
    <fill>
      <patternFill patternType="gray125"/>
    </fill>
    <fill>
      <patternFill patternType="solid">
        <fgColor rgb="00E5EE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10" fontId="4" fillId="0" borderId="0" applyAlignment="1" pivotButton="0" quotePrefix="0" xfId="0">
      <alignment vertical="top" wrapText="1"/>
    </xf>
    <xf numFmtId="165" fontId="4" fillId="0" borderId="0" applyAlignment="1" pivotButton="0" quotePrefix="0" xfId="0">
      <alignment vertical="top" wrapText="1"/>
    </xf>
    <xf numFmtId="2" fontId="4" fillId="0" borderId="0" applyAlignment="1" pivotButton="0" quotePrefix="0" xfId="0">
      <alignment vertical="top" wrapText="1"/>
    </xf>
    <xf numFmtId="164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5" fontId="3" fillId="0" borderId="0" applyAlignment="1" pivotButton="0" quotePrefix="0" xfId="0">
      <alignment vertical="top" wrapText="1"/>
    </xf>
    <xf numFmtId="166" fontId="3" fillId="0" borderId="0" applyAlignment="1" pivotButton="0" quotePrefix="0" xfId="0">
      <alignment vertical="top" wrapText="1"/>
    </xf>
    <xf numFmtId="2" fontId="3" fillId="0" borderId="0" applyAlignment="1" pivotButton="0" quotePrefix="0" xfId="0">
      <alignment vertical="top" wrapText="1"/>
    </xf>
    <xf numFmtId="10" fontId="3" fillId="0" borderId="0" applyAlignment="1" pivotButton="0" quotePrefix="0" xfId="0">
      <alignment vertical="top" wrapText="1"/>
    </xf>
    <xf numFmtId="164" fontId="2" fillId="2" borderId="0" applyAlignment="1" pivotButton="0" quotePrefix="0" xfId="0">
      <alignment vertical="top" wrapText="1"/>
    </xf>
    <xf numFmtId="10" fontId="2" fillId="2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 ht="30" customHeight="1">
      <c r="A1" s="1" t="inlineStr">
        <is>
          <t>Maple Crossing – Inputs (Revised 2026-09-01)</t>
        </is>
      </c>
    </row>
    <row r="3" ht="30" customHeight="1">
      <c r="A3" s="2" t="inlineStr">
        <is>
          <t>Gross Potential Rent (annual)</t>
        </is>
      </c>
      <c r="B3" s="3" t="n">
        <v>821400</v>
      </c>
      <c r="C3" s="4" t="inlineStr">
        <is>
          <t>Revised roll: pre-amend Suite 001 $6,650; Suite 002 now $7,025</t>
        </is>
      </c>
    </row>
    <row r="4" ht="30" customHeight="1">
      <c r="A4" s="2" t="inlineStr">
        <is>
          <t>Other Income per unit (annual)</t>
        </is>
      </c>
      <c r="B4" s="3" t="n">
        <v>350</v>
      </c>
    </row>
    <row r="5" ht="30" customHeight="1">
      <c r="A5" s="2" t="inlineStr">
        <is>
          <t>Total units</t>
        </is>
      </c>
      <c r="B5" s="5" t="n">
        <v>10</v>
      </c>
    </row>
    <row r="6" ht="30" customHeight="1">
      <c r="A6" s="2" t="inlineStr">
        <is>
          <t>Economic loss %</t>
        </is>
      </c>
      <c r="B6" s="6" t="n">
        <v>0.05</v>
      </c>
    </row>
    <row r="7" ht="30" customHeight="1">
      <c r="A7" s="2" t="inlineStr">
        <is>
          <t>Real estate tax</t>
        </is>
      </c>
      <c r="B7" s="3" t="n">
        <v>85964</v>
      </c>
    </row>
    <row r="8" ht="30" customHeight="1">
      <c r="A8" s="2" t="inlineStr">
        <is>
          <t>Insurance expense</t>
        </is>
      </c>
      <c r="B8" s="3" t="n">
        <v>28655</v>
      </c>
    </row>
    <row r="9" ht="30" customHeight="1">
      <c r="A9" s="2" t="inlineStr">
        <is>
          <t>Other recurring opex</t>
        </is>
      </c>
      <c r="B9" s="3" t="n">
        <v>114618</v>
      </c>
    </row>
    <row r="10" ht="30" customHeight="1">
      <c r="A10" s="2" t="inlineStr">
        <is>
          <t>Management % of EGI</t>
        </is>
      </c>
      <c r="B10" s="6" t="n">
        <v>0.03</v>
      </c>
    </row>
    <row r="11" ht="30" customHeight="1">
      <c r="A11" s="2" t="inlineStr">
        <is>
          <t>Replacement reserve per unit</t>
        </is>
      </c>
      <c r="B11" s="3" t="n">
        <v>300</v>
      </c>
    </row>
    <row r="12" ht="30" customHeight="1">
      <c r="A12" s="2" t="inlineStr">
        <is>
          <t>Cap rate (REVISED +25 bps)</t>
        </is>
      </c>
      <c r="B12" s="7" t="n">
        <v>0.07000000000000001</v>
      </c>
    </row>
    <row r="13" ht="30" customHeight="1">
      <c r="A13" s="2" t="inlineStr">
        <is>
          <t>Sizing rate (REVISED +75 bps; MAX vs floor)</t>
        </is>
      </c>
      <c r="B13" s="7" t="n">
        <v>0.0825</v>
      </c>
    </row>
    <row r="14" ht="30" customHeight="1">
      <c r="A14" s="2" t="inlineStr">
        <is>
          <t>Note rate (revised initial rate)</t>
        </is>
      </c>
      <c r="B14" s="7" t="n">
        <v>0.0725</v>
      </c>
    </row>
    <row r="15" ht="30" customHeight="1">
      <c r="A15" s="2" t="inlineStr">
        <is>
          <t>Underwriting floor rate</t>
        </is>
      </c>
      <c r="B15" s="7" t="n">
        <v>0.06</v>
      </c>
    </row>
    <row r="16" ht="30" customHeight="1">
      <c r="A16" s="2" t="inlineStr">
        <is>
          <t>Amortization (months)</t>
        </is>
      </c>
      <c r="B16" s="5" t="n">
        <v>360</v>
      </c>
    </row>
    <row r="17" ht="30" customHeight="1">
      <c r="A17" s="2" t="inlineStr">
        <is>
          <t>Max LTV</t>
        </is>
      </c>
      <c r="B17" s="6" t="n">
        <v>0.65</v>
      </c>
    </row>
    <row r="18" ht="30" customHeight="1">
      <c r="A18" s="2" t="inlineStr">
        <is>
          <t>Min DSCR</t>
        </is>
      </c>
      <c r="B18" s="8" t="n">
        <v>1.25</v>
      </c>
    </row>
    <row r="19" ht="30" customHeight="1">
      <c r="A19" s="2" t="inlineStr">
        <is>
          <t>Min debt yield</t>
        </is>
      </c>
      <c r="B19" s="6" t="n">
        <v>0.09</v>
      </c>
    </row>
    <row r="20" ht="30" customHeight="1">
      <c r="A20" s="2" t="inlineStr">
        <is>
          <t>Origination fee %</t>
        </is>
      </c>
      <c r="B20" s="6" t="n">
        <v>0.01</v>
      </c>
    </row>
    <row r="21" ht="30" customHeight="1">
      <c r="A21" s="2" t="inlineStr">
        <is>
          <t>Closing costs</t>
        </is>
      </c>
      <c r="B21" s="3" t="n">
        <v>45000</v>
      </c>
    </row>
    <row r="22" ht="30" customHeight="1">
      <c r="A22" s="2" t="inlineStr">
        <is>
          <t>Existing payoff</t>
        </is>
      </c>
      <c r="B22" s="3" t="n">
        <v>4300000</v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 ht="30" customHeight="1">
      <c r="A1" s="1" t="inlineStr">
        <is>
          <t>Underwriting (Revised)</t>
        </is>
      </c>
    </row>
    <row r="3" ht="30" customHeight="1">
      <c r="A3" s="2" t="inlineStr">
        <is>
          <t>Gross Potential Rent</t>
        </is>
      </c>
      <c r="B3" s="9">
        <f>Inputs!B3</f>
        <v/>
      </c>
    </row>
    <row r="4" ht="30" customHeight="1">
      <c r="A4" s="2" t="inlineStr">
        <is>
          <t>Other income (annual)</t>
        </is>
      </c>
      <c r="B4" s="9">
        <f>Inputs!B4*Inputs!B5</f>
        <v/>
      </c>
    </row>
    <row r="5" ht="30" customHeight="1">
      <c r="A5" s="2" t="inlineStr">
        <is>
          <t>Gross Revenue</t>
        </is>
      </c>
      <c r="B5" s="9">
        <f>B3+B4</f>
        <v/>
      </c>
    </row>
    <row r="6" ht="30" customHeight="1">
      <c r="A6" s="2" t="inlineStr">
        <is>
          <t>Less: Economic loss (5%)</t>
        </is>
      </c>
      <c r="B6" s="9">
        <f>-B5*Inputs!B6</f>
        <v/>
      </c>
    </row>
    <row r="7" ht="30" customHeight="1">
      <c r="A7" s="10" t="inlineStr">
        <is>
          <t>Effective Gross Income (EGI)</t>
        </is>
      </c>
      <c r="B7" s="9">
        <f>B5+B6</f>
        <v/>
      </c>
    </row>
    <row r="9" ht="30" customHeight="1">
      <c r="A9" s="2" t="inlineStr">
        <is>
          <t>Real estate tax</t>
        </is>
      </c>
      <c r="B9" s="9">
        <f>Inputs!B7</f>
        <v/>
      </c>
    </row>
    <row r="10" ht="30" customHeight="1">
      <c r="A10" s="2" t="inlineStr">
        <is>
          <t>Insurance</t>
        </is>
      </c>
      <c r="B10" s="9">
        <f>Inputs!B8</f>
        <v/>
      </c>
    </row>
    <row r="11" ht="30" customHeight="1">
      <c r="A11" s="2" t="inlineStr">
        <is>
          <t>Other recurring opex</t>
        </is>
      </c>
      <c r="B11" s="9">
        <f>Inputs!B9</f>
        <v/>
      </c>
    </row>
    <row r="12" ht="30" customHeight="1">
      <c r="A12" s="2" t="inlineStr">
        <is>
          <t>Management fee (3% EGI)</t>
        </is>
      </c>
      <c r="B12" s="9">
        <f>B7*Inputs!B10</f>
        <v/>
      </c>
    </row>
    <row r="13" ht="30" customHeight="1">
      <c r="A13" s="10" t="inlineStr">
        <is>
          <t>Total operating expenses</t>
        </is>
      </c>
      <c r="B13" s="9">
        <f>SUM(B9:B12)</f>
        <v/>
      </c>
    </row>
    <row r="15" ht="30" customHeight="1">
      <c r="A15" s="10" t="inlineStr">
        <is>
          <t>NOI (before reserves)</t>
        </is>
      </c>
      <c r="B15" s="9">
        <f>B7-B13</f>
        <v/>
      </c>
    </row>
    <row r="16" ht="30" customHeight="1">
      <c r="A16" s="2" t="inlineStr">
        <is>
          <t>Replacement reserves</t>
        </is>
      </c>
      <c r="B16" s="9">
        <f>Inputs!B11*Inputs!B5</f>
        <v/>
      </c>
    </row>
    <row r="17" ht="30" customHeight="1">
      <c r="A17" s="10" t="inlineStr">
        <is>
          <t>NCF (after reserves)</t>
        </is>
      </c>
      <c r="B17" s="9">
        <f>B15-B16</f>
        <v/>
      </c>
    </row>
    <row r="19" ht="30" customHeight="1">
      <c r="A19" s="10" t="inlineStr">
        <is>
          <t>Capitalization value (NOI/Cap)</t>
        </is>
      </c>
      <c r="B19" s="9">
        <f>B15/Inputs!B12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 ht="30" customHeight="1">
      <c r="A1" s="1" t="inlineStr">
        <is>
          <t>Debt sizing &amp; Sources/Uses (Revised)</t>
        </is>
      </c>
    </row>
    <row r="3" ht="30" customHeight="1">
      <c r="A3" s="2" t="inlineStr">
        <is>
          <t>Sizing rate</t>
        </is>
      </c>
      <c r="B3" s="11">
        <f>MAX(Inputs!B14,Inputs!B15)</f>
        <v/>
      </c>
    </row>
    <row r="4" ht="30" customHeight="1">
      <c r="A4" s="2" t="inlineStr">
        <is>
          <t>Annual DS per $1 (30yr amort)</t>
        </is>
      </c>
      <c r="B4" s="12">
        <f>PMT(B3/12,Inputs!B16,-1)*12</f>
        <v/>
      </c>
    </row>
    <row r="6" ht="30" customHeight="1">
      <c r="A6" s="2" t="inlineStr">
        <is>
          <t>LTV-constrained loan</t>
        </is>
      </c>
      <c r="B6" s="9">
        <f>UW!B19*Inputs!B17</f>
        <v/>
      </c>
    </row>
    <row r="7" ht="30" customHeight="1">
      <c r="A7" s="2" t="inlineStr">
        <is>
          <t>DSCR-constrained loan</t>
        </is>
      </c>
      <c r="B7" s="9">
        <f>UW!B17/(Inputs!B18*B4)</f>
        <v/>
      </c>
    </row>
    <row r="8" ht="30" customHeight="1">
      <c r="A8" s="2" t="inlineStr">
        <is>
          <t>Debt-yield-constrained loan</t>
        </is>
      </c>
      <c r="B8" s="9">
        <f>UW!B17/Inputs!B19</f>
        <v/>
      </c>
    </row>
    <row r="10" ht="30" customHeight="1">
      <c r="A10" s="10" t="inlineStr">
        <is>
          <t>Maximum loan (min of tests)</t>
        </is>
      </c>
      <c r="B10" s="9">
        <f>MIN(B6:B8)</f>
        <v/>
      </c>
    </row>
    <row r="12" ht="30" customHeight="1">
      <c r="A12" s="1" t="inlineStr">
        <is>
          <t>Sources / Uses</t>
        </is>
      </c>
    </row>
    <row r="13" ht="30" customHeight="1">
      <c r="A13" s="2" t="inlineStr">
        <is>
          <t>Loan proceeds</t>
        </is>
      </c>
      <c r="B13" s="9">
        <f>B10</f>
        <v/>
      </c>
    </row>
    <row r="14" ht="30" customHeight="1">
      <c r="A14" s="2" t="inlineStr">
        <is>
          <t>Existing payoff</t>
        </is>
      </c>
      <c r="B14" s="9">
        <f>Inputs!B22</f>
        <v/>
      </c>
    </row>
    <row r="15" ht="30" customHeight="1">
      <c r="A15" s="2" t="inlineStr">
        <is>
          <t>Origination fee (1%)</t>
        </is>
      </c>
      <c r="B15" s="9">
        <f>B10*Inputs!B20</f>
        <v/>
      </c>
    </row>
    <row r="16" ht="30" customHeight="1">
      <c r="A16" s="2" t="inlineStr">
        <is>
          <t>Closing costs</t>
        </is>
      </c>
      <c r="B16" s="9">
        <f>Inputs!B21</f>
        <v/>
      </c>
    </row>
    <row r="17" ht="30" customHeight="1">
      <c r="A17" s="10" t="inlineStr">
        <is>
          <t>Net cash-out (proceeds - payoff - fee - costs)</t>
        </is>
      </c>
      <c r="B17" s="9">
        <f>B13-B14-B15-B16</f>
        <v/>
      </c>
    </row>
    <row r="19" ht="30" customHeight="1">
      <c r="A19" s="2" t="inlineStr">
        <is>
          <t>Sanity: DSCR at max loan</t>
        </is>
      </c>
      <c r="B19" s="13">
        <f>UW!B17/(B10*B4)</f>
        <v/>
      </c>
    </row>
    <row r="20" ht="30" customHeight="1">
      <c r="A20" s="2" t="inlineStr">
        <is>
          <t>Sanity: Debt yield at max loan</t>
        </is>
      </c>
      <c r="B20" s="14">
        <f>UW!B17/B10</f>
        <v/>
      </c>
    </row>
    <row r="21" ht="30" customHeight="1">
      <c r="A21" s="2" t="inlineStr">
        <is>
          <t>Sanity: LTV at max loan</t>
        </is>
      </c>
      <c r="B21" s="14">
        <f>B10/UW!B19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 ht="30" customHeight="1">
      <c r="A1" s="1" t="inlineStr">
        <is>
          <t>Capitalization value sensitivity (NOI / Cap rate)</t>
        </is>
      </c>
    </row>
    <row r="3" ht="30" customHeight="1">
      <c r="A3" s="2" t="inlineStr">
        <is>
          <t>Cap Rate \ NOI</t>
        </is>
      </c>
      <c r="B3" s="15">
        <f>UW!B15*0.95</f>
        <v/>
      </c>
      <c r="C3" s="15">
        <f>UW!B15</f>
        <v/>
      </c>
      <c r="D3" s="15">
        <f>UW!B15*1.05</f>
        <v/>
      </c>
    </row>
    <row r="4" ht="30" customHeight="1">
      <c r="A4" s="16" t="n">
        <v>0.065</v>
      </c>
      <c r="B4" s="9">
        <f>B$3/$A4</f>
        <v/>
      </c>
      <c r="C4" s="9">
        <f>C$3/$A4</f>
        <v/>
      </c>
      <c r="D4" s="9">
        <f>D$3/$A4</f>
        <v/>
      </c>
    </row>
    <row r="5" ht="30" customHeight="1">
      <c r="A5" s="16" t="n">
        <v>0.07000000000000001</v>
      </c>
      <c r="B5" s="9">
        <f>B$3/$A5</f>
        <v/>
      </c>
      <c r="C5" s="9">
        <f>C$3/$A5</f>
        <v/>
      </c>
      <c r="D5" s="9">
        <f>D$3/$A5</f>
        <v/>
      </c>
    </row>
    <row r="6" ht="30" customHeight="1">
      <c r="A6" s="16" t="n">
        <v>0.075</v>
      </c>
      <c r="B6" s="9">
        <f>B$3/$A6</f>
        <v/>
      </c>
      <c r="C6" s="9">
        <f>C$3/$A6</f>
        <v/>
      </c>
      <c r="D6" s="9">
        <f>D$3/$A6</f>
        <v/>
      </c>
    </row>
    <row r="9" ht="30" customHeight="1">
      <c r="A9" s="1" t="inlineStr">
        <is>
          <t>Max loan sensitivity to sizing rate</t>
        </is>
      </c>
    </row>
    <row r="11" ht="30" customHeight="1">
      <c r="A11" s="2" t="inlineStr">
        <is>
          <t>Sizing rate</t>
        </is>
      </c>
      <c r="B11" s="2" t="inlineStr">
        <is>
          <t>LTV loan</t>
        </is>
      </c>
      <c r="C11" s="2" t="inlineStr">
        <is>
          <t>DSCR loan</t>
        </is>
      </c>
      <c r="D11" s="2" t="inlineStr">
        <is>
          <t>DY loan</t>
        </is>
      </c>
      <c r="E11" s="2" t="inlineStr">
        <is>
          <t>Max loan</t>
        </is>
      </c>
    </row>
    <row r="12" ht="30" customHeight="1">
      <c r="A12" s="11" t="n">
        <v>0.0675</v>
      </c>
      <c r="B12" s="9">
        <f>UW!$B$19*Inputs!$B$17</f>
        <v/>
      </c>
      <c r="C12" s="9">
        <f>UW!$B$17/(Inputs!$B$18*(PMT(A12/12,Inputs!$B$16,-1)*12))</f>
        <v/>
      </c>
      <c r="D12" s="9">
        <f>UW!$B$17/Inputs!$B$19</f>
        <v/>
      </c>
      <c r="E12" s="9">
        <f>MIN(B12:D12)</f>
        <v/>
      </c>
    </row>
    <row r="13" ht="30" customHeight="1">
      <c r="A13" s="11" t="n">
        <v>0.0725</v>
      </c>
      <c r="B13" s="9">
        <f>UW!$B$19*Inputs!$B$17</f>
        <v/>
      </c>
      <c r="C13" s="9">
        <f>UW!$B$17/(Inputs!$B$18*(PMT(A13/12,Inputs!$B$16,-1)*12))</f>
        <v/>
      </c>
      <c r="D13" s="9">
        <f>UW!$B$17/Inputs!$B$19</f>
        <v/>
      </c>
      <c r="E13" s="9">
        <f>MIN(B13:D13)</f>
        <v/>
      </c>
    </row>
    <row r="14" ht="30" customHeight="1">
      <c r="A14" s="11" t="n">
        <v>0.0775</v>
      </c>
      <c r="B14" s="9">
        <f>UW!$B$19*Inputs!$B$17</f>
        <v/>
      </c>
      <c r="C14" s="9">
        <f>UW!$B$17/(Inputs!$B$18*(PMT(A14/12,Inputs!$B$16,-1)*12))</f>
        <v/>
      </c>
      <c r="D14" s="9">
        <f>UW!$B$17/Inputs!$B$19</f>
        <v/>
      </c>
      <c r="E14" s="9">
        <f>MIN(B14:D14)</f>
        <v/>
      </c>
    </row>
    <row r="15" ht="30" customHeight="1">
      <c r="A15" s="11" t="n">
        <v>0.0825</v>
      </c>
      <c r="B15" s="9">
        <f>UW!$B$19*Inputs!$B$17</f>
        <v/>
      </c>
      <c r="C15" s="9">
        <f>UW!$B$17/(Inputs!$B$18*(PMT(A15/12,Inputs!$B$16,-1)*12))</f>
        <v/>
      </c>
      <c r="D15" s="9">
        <f>UW!$B$17/Inputs!$B$19</f>
        <v/>
      </c>
      <c r="E15" s="9">
        <f>MIN(B15:D15)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 ht="30" customHeight="1">
      <c r="A1" s="1" t="inlineStr">
        <is>
          <t>Revised Certified Rent Roll (as of 2026-09-01), Suite 001 amendment applied</t>
        </is>
      </c>
    </row>
    <row r="3" ht="30" customHeight="1">
      <c r="A3" s="2" t="inlineStr">
        <is>
          <t>Suite</t>
        </is>
      </c>
      <c r="B3" s="2" t="inlineStr">
        <is>
          <t>Type</t>
        </is>
      </c>
      <c r="C3" s="2" t="inlineStr">
        <is>
          <t>Group</t>
        </is>
      </c>
      <c r="D3" s="2" t="inlineStr">
        <is>
          <t>Area SF</t>
        </is>
      </c>
      <c r="E3" s="2" t="inlineStr">
        <is>
          <t>Status</t>
        </is>
      </c>
      <c r="F3" s="2" t="inlineStr">
        <is>
          <t>Contractual Monthly</t>
        </is>
      </c>
      <c r="G3" s="2" t="inlineStr">
        <is>
          <t>Certified Monthly (revised roll)</t>
        </is>
      </c>
      <c r="H3" s="2" t="inlineStr">
        <is>
          <t>Expiration</t>
        </is>
      </c>
    </row>
    <row r="4" ht="30" customHeight="1">
      <c r="A4" s="4" t="inlineStr">
        <is>
          <t>001</t>
        </is>
      </c>
      <c r="B4" s="4" t="inlineStr">
        <is>
          <t>Small</t>
        </is>
      </c>
      <c r="C4" s="4" t="inlineStr">
        <is>
          <t>A</t>
        </is>
      </c>
      <c r="D4" s="4" t="n">
        <v>3080</v>
      </c>
      <c r="E4" s="4" t="inlineStr">
        <is>
          <t>active</t>
        </is>
      </c>
      <c r="F4" s="9" t="n">
        <v>7000</v>
      </c>
      <c r="G4" s="9" t="n">
        <v>6650</v>
      </c>
      <c r="H4" s="4" t="inlineStr">
        <is>
          <t>2029-08-31</t>
        </is>
      </c>
    </row>
    <row r="5" ht="30" customHeight="1">
      <c r="A5" s="4" t="inlineStr">
        <is>
          <t>002</t>
        </is>
      </c>
      <c r="B5" s="4" t="inlineStr">
        <is>
          <t>Standard</t>
        </is>
      </c>
      <c r="C5" s="4" t="inlineStr">
        <is>
          <t>B</t>
        </is>
      </c>
      <c r="D5" s="4" t="n">
        <v>3200</v>
      </c>
      <c r="E5" s="4" t="inlineStr">
        <is>
          <t>active</t>
        </is>
      </c>
      <c r="F5" s="9" t="n">
        <v>7025</v>
      </c>
      <c r="G5" s="9" t="n">
        <v>7025</v>
      </c>
      <c r="H5" s="4" t="inlineStr">
        <is>
          <t>2029-08-31</t>
        </is>
      </c>
    </row>
    <row r="6" ht="30" customHeight="1">
      <c r="A6" s="4" t="inlineStr">
        <is>
          <t>003</t>
        </is>
      </c>
      <c r="B6" s="4" t="inlineStr">
        <is>
          <t>Large</t>
        </is>
      </c>
      <c r="C6" s="4" t="inlineStr">
        <is>
          <t>C</t>
        </is>
      </c>
      <c r="D6" s="4" t="n">
        <v>3410</v>
      </c>
      <c r="E6" s="4" t="inlineStr">
        <is>
          <t>active</t>
        </is>
      </c>
      <c r="F6" s="9" t="n">
        <v>7075</v>
      </c>
      <c r="G6" s="9" t="n">
        <v>7075</v>
      </c>
      <c r="H6" s="4" t="inlineStr">
        <is>
          <t>2029-08-31</t>
        </is>
      </c>
    </row>
    <row r="7" ht="30" customHeight="1">
      <c r="A7" s="4" t="inlineStr">
        <is>
          <t>004</t>
        </is>
      </c>
      <c r="B7" s="4" t="inlineStr">
        <is>
          <t>Small</t>
        </is>
      </c>
      <c r="C7" s="4" t="inlineStr">
        <is>
          <t>A</t>
        </is>
      </c>
      <c r="D7" s="4" t="n">
        <v>3080</v>
      </c>
      <c r="E7" s="4" t="inlineStr">
        <is>
          <t>active</t>
        </is>
      </c>
      <c r="F7" s="9" t="n">
        <v>6650</v>
      </c>
      <c r="G7" s="9" t="n">
        <v>6650</v>
      </c>
      <c r="H7" s="4" t="inlineStr">
        <is>
          <t>2029-08-31</t>
        </is>
      </c>
    </row>
    <row r="8" ht="30" customHeight="1">
      <c r="A8" s="4" t="inlineStr">
        <is>
          <t>005</t>
        </is>
      </c>
      <c r="B8" s="4" t="inlineStr">
        <is>
          <t>Standard</t>
        </is>
      </c>
      <c r="C8" s="4" t="inlineStr">
        <is>
          <t>B</t>
        </is>
      </c>
      <c r="D8" s="4" t="n">
        <v>3200</v>
      </c>
      <c r="E8" s="4" t="inlineStr">
        <is>
          <t>active</t>
        </is>
      </c>
      <c r="F8" s="9" t="n">
        <v>6800</v>
      </c>
      <c r="G8" s="9" t="n">
        <v>6800</v>
      </c>
      <c r="H8" s="4" t="inlineStr">
        <is>
          <t>2029-08-31</t>
        </is>
      </c>
    </row>
    <row r="9" ht="30" customHeight="1">
      <c r="A9" s="4" t="inlineStr">
        <is>
          <t>006</t>
        </is>
      </c>
      <c r="B9" s="4" t="inlineStr">
        <is>
          <t>Large</t>
        </is>
      </c>
      <c r="C9" s="4" t="inlineStr">
        <is>
          <t>C</t>
        </is>
      </c>
      <c r="D9" s="4" t="n">
        <v>3410</v>
      </c>
      <c r="E9" s="4" t="inlineStr">
        <is>
          <t>active</t>
        </is>
      </c>
      <c r="F9" s="9" t="n">
        <v>7075</v>
      </c>
      <c r="G9" s="9" t="n">
        <v>7075</v>
      </c>
      <c r="H9" s="4" t="inlineStr">
        <is>
          <t>2029-08-31</t>
        </is>
      </c>
    </row>
    <row r="10" ht="30" customHeight="1">
      <c r="A10" s="4" t="inlineStr">
        <is>
          <t>007</t>
        </is>
      </c>
      <c r="B10" s="4" t="inlineStr">
        <is>
          <t>Small</t>
        </is>
      </c>
      <c r="C10" s="4" t="inlineStr">
        <is>
          <t>A</t>
        </is>
      </c>
      <c r="D10" s="4" t="n">
        <v>3080</v>
      </c>
      <c r="E10" s="4" t="inlineStr">
        <is>
          <t>active</t>
        </is>
      </c>
      <c r="F10" s="9" t="n">
        <v>6650</v>
      </c>
      <c r="G10" s="9" t="n">
        <v>6650</v>
      </c>
      <c r="H10" s="4" t="inlineStr">
        <is>
          <t>2029-08-31</t>
        </is>
      </c>
    </row>
    <row r="11" ht="30" customHeight="1">
      <c r="A11" s="4" t="inlineStr">
        <is>
          <t>008</t>
        </is>
      </c>
      <c r="B11" s="4" t="inlineStr">
        <is>
          <t>Standard</t>
        </is>
      </c>
      <c r="C11" s="4" t="inlineStr">
        <is>
          <t>B</t>
        </is>
      </c>
      <c r="D11" s="4" t="n">
        <v>3200</v>
      </c>
      <c r="E11" s="4" t="inlineStr">
        <is>
          <t>active</t>
        </is>
      </c>
      <c r="F11" s="9" t="n">
        <v>6800</v>
      </c>
      <c r="G11" s="9" t="n">
        <v>6800</v>
      </c>
      <c r="H11" s="4" t="inlineStr">
        <is>
          <t>2029-08-31</t>
        </is>
      </c>
    </row>
    <row r="12" ht="30" customHeight="1">
      <c r="A12" s="4" t="inlineStr">
        <is>
          <t>009</t>
        </is>
      </c>
      <c r="B12" s="4" t="inlineStr">
        <is>
          <t>Large</t>
        </is>
      </c>
      <c r="C12" s="4" t="inlineStr">
        <is>
          <t>C</t>
        </is>
      </c>
      <c r="D12" s="4" t="n">
        <v>3410</v>
      </c>
      <c r="E12" s="4" t="inlineStr">
        <is>
          <t>active</t>
        </is>
      </c>
      <c r="F12" s="9" t="n">
        <v>7075</v>
      </c>
      <c r="G12" s="9" t="n">
        <v>7075</v>
      </c>
      <c r="H12" s="4" t="inlineStr">
        <is>
          <t>2029-08-31</t>
        </is>
      </c>
    </row>
    <row r="13" ht="30" customHeight="1">
      <c r="A13" s="4" t="inlineStr">
        <is>
          <t>010</t>
        </is>
      </c>
      <c r="B13" s="4" t="inlineStr">
        <is>
          <t>Small</t>
        </is>
      </c>
      <c r="C13" s="4" t="inlineStr">
        <is>
          <t>A</t>
        </is>
      </c>
      <c r="D13" s="4" t="n">
        <v>3080</v>
      </c>
      <c r="E13" s="4" t="inlineStr">
        <is>
          <t>vacant</t>
        </is>
      </c>
      <c r="F13" s="9" t="n">
        <v>0</v>
      </c>
      <c r="G13" s="9" t="n">
        <v>6650</v>
      </c>
      <c r="H13" s="4" t="inlineStr">
        <is>
          <t>2029-08-31</t>
        </is>
      </c>
    </row>
    <row r="15" ht="30" customHeight="1">
      <c r="A15" s="10" t="inlineStr">
        <is>
          <t>Totals</t>
        </is>
      </c>
      <c r="D15" s="10">
        <f>SUM(D4:D13)</f>
        <v/>
      </c>
      <c r="F15" s="17">
        <f>SUM(F4:F13)</f>
        <v/>
      </c>
      <c r="G15" s="17">
        <f>SUM(G4:G13)</f>
        <v/>
      </c>
    </row>
    <row r="17" ht="30" customHeight="1">
      <c r="A17" s="2" t="inlineStr">
        <is>
          <t>Occupied units (active)</t>
        </is>
      </c>
      <c r="B17" s="4">
        <f>COUNTIF(E4:E13,"active")</f>
        <v/>
      </c>
    </row>
    <row r="18" ht="30" customHeight="1">
      <c r="A18" s="4" t="inlineStr">
        <is>
          <t>Occupied area SF</t>
        </is>
      </c>
      <c r="B18" s="4">
        <f>SUMIF(E4:E13,"active",D4:D13)</f>
        <v/>
      </c>
    </row>
    <row r="19" ht="30" customHeight="1">
      <c r="A19" s="4" t="inlineStr">
        <is>
          <t>In-place annual rent (post-amend Suite 001)</t>
        </is>
      </c>
      <c r="B19" s="9">
        <f>SUMIF(E4:E13,"active",F4:F13)*12</f>
        <v/>
      </c>
    </row>
    <row r="20" ht="30" customHeight="1">
      <c r="A20" s="4" t="inlineStr">
        <is>
          <t>GPR (all suites revised roll × 12)</t>
        </is>
      </c>
      <c r="B20" s="9">
        <f>SUM(G4:G13)*12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5"/>
  <sheetViews>
    <sheetView showGridLines="0" workbookViewId="0">
      <selection activeCell="A1" sqref="A1"/>
    </sheetView>
  </sheetViews>
  <sheetFormatPr baseColWidth="8" defaultRowHeight="15"/>
  <sheetData>
    <row r="1" ht="30" customHeight="1">
      <c r="A1" s="1" t="inlineStr">
        <is>
          <t>Revision Change Log</t>
        </is>
      </c>
    </row>
    <row r="3" ht="30" customHeight="1">
      <c r="A3" s="2" t="inlineStr">
        <is>
          <t>Item</t>
        </is>
      </c>
      <c r="B3" s="2" t="inlineStr">
        <is>
          <t>Prior</t>
        </is>
      </c>
      <c r="C3" s="2" t="inlineStr">
        <is>
          <t>Revised</t>
        </is>
      </c>
      <c r="D3" s="2" t="inlineStr">
        <is>
          <t>Driver</t>
        </is>
      </c>
    </row>
    <row r="4" ht="30" customHeight="1">
      <c r="A4" s="4" t="inlineStr">
        <is>
          <t>Certified roll date</t>
        </is>
      </c>
      <c r="B4" s="4" t="inlineStr">
        <is>
          <t>2026-08-31</t>
        </is>
      </c>
      <c r="C4" s="4" t="inlineStr">
        <is>
          <t>2026-09-01</t>
        </is>
      </c>
      <c r="D4" s="4" t="inlineStr">
        <is>
          <t>revision-notice.pdf</t>
        </is>
      </c>
    </row>
    <row r="5" ht="30" customHeight="1">
      <c r="A5" s="4" t="inlineStr">
        <is>
          <t>Suite 002 status</t>
        </is>
      </c>
      <c r="B5" s="4" t="inlineStr">
        <is>
          <t>active</t>
        </is>
      </c>
      <c r="C5" s="4" t="inlineStr">
        <is>
          <t>active</t>
        </is>
      </c>
      <c r="D5" s="4" t="inlineStr">
        <is>
          <t>revised roll</t>
        </is>
      </c>
    </row>
    <row r="6" ht="30" customHeight="1">
      <c r="A6" s="4" t="inlineStr">
        <is>
          <t>Suite 002 monthly rent</t>
        </is>
      </c>
      <c r="B6" s="9" t="n">
        <v>6800</v>
      </c>
      <c r="C6" s="9" t="n">
        <v>7025</v>
      </c>
      <c r="D6" s="4" t="inlineStr">
        <is>
          <t>+$225 per revision</t>
        </is>
      </c>
    </row>
    <row r="7" ht="30" customHeight="1">
      <c r="A7" s="4" t="inlineStr">
        <is>
          <t>GPR (all suites x12)</t>
        </is>
      </c>
      <c r="B7" s="9" t="n">
        <v>818700</v>
      </c>
      <c r="C7" s="9" t="n">
        <v>821400</v>
      </c>
      <c r="D7" s="4" t="inlineStr">
        <is>
          <t>revised roll</t>
        </is>
      </c>
    </row>
    <row r="8" ht="30" customHeight="1">
      <c r="A8" s="4" t="inlineStr">
        <is>
          <t>Cap rate</t>
        </is>
      </c>
      <c r="B8" s="14" t="n">
        <v>0.0675</v>
      </c>
      <c r="C8" s="14" t="n">
        <v>0.07000000000000001</v>
      </c>
      <c r="D8" s="4" t="inlineStr">
        <is>
          <t>+25 bps</t>
        </is>
      </c>
    </row>
    <row r="9" ht="30" customHeight="1">
      <c r="A9" s="4" t="inlineStr">
        <is>
          <t>Sizing rate</t>
        </is>
      </c>
      <c r="B9" s="14" t="n">
        <v>0.065</v>
      </c>
      <c r="C9" s="14" t="n">
        <v>0.0725</v>
      </c>
      <c r="D9" s="4" t="inlineStr">
        <is>
          <t>+75 bps</t>
        </is>
      </c>
    </row>
    <row r="10" ht="30" customHeight="1">
      <c r="A10" s="4" t="inlineStr">
        <is>
          <t>EGI</t>
        </is>
      </c>
      <c r="B10" s="9" t="n">
        <v>781090</v>
      </c>
      <c r="C10" s="9" t="n">
        <v>783655</v>
      </c>
      <c r="D10" s="4" t="inlineStr">
        <is>
          <t>GPR change</t>
        </is>
      </c>
    </row>
    <row r="11" ht="30" customHeight="1">
      <c r="A11" s="4" t="inlineStr">
        <is>
          <t>NOI (before reserves)</t>
        </is>
      </c>
      <c r="B11" s="9" t="n">
        <v>528420</v>
      </c>
      <c r="C11" s="9" t="n">
        <v>530908</v>
      </c>
      <c r="D11" s="4" t="inlineStr">
        <is>
          <t>EGI change</t>
        </is>
      </c>
    </row>
    <row r="12" ht="30" customHeight="1">
      <c r="A12" s="4" t="inlineStr">
        <is>
          <t>NCF</t>
        </is>
      </c>
      <c r="B12" s="9" t="n">
        <v>525420</v>
      </c>
      <c r="C12" s="9" t="n">
        <v>527908</v>
      </c>
      <c r="D12" s="4" t="inlineStr">
        <is>
          <t>-</t>
        </is>
      </c>
    </row>
    <row r="13" ht="30" customHeight="1">
      <c r="A13" s="4" t="inlineStr">
        <is>
          <t>Capitalization value</t>
        </is>
      </c>
      <c r="B13" s="9" t="n">
        <v>7828449</v>
      </c>
      <c r="C13" s="9" t="n">
        <v>7584405</v>
      </c>
      <c r="D13" s="4" t="inlineStr">
        <is>
          <t>higher cap outweighs NOI</t>
        </is>
      </c>
    </row>
    <row r="14" ht="30" customHeight="1">
      <c r="A14" s="4" t="inlineStr">
        <is>
          <t>Maximum loan (binding constraint)</t>
        </is>
      </c>
      <c r="B14" s="9" t="n">
        <v>5088492</v>
      </c>
      <c r="C14" s="9" t="n">
        <v>4929863</v>
      </c>
      <c r="D14" s="4" t="inlineStr">
        <is>
          <t>LTV still binds</t>
        </is>
      </c>
    </row>
    <row r="15" ht="30" customHeight="1">
      <c r="A15" s="4" t="inlineStr">
        <is>
          <t>Net cash-out</t>
        </is>
      </c>
      <c r="B15" s="9" t="n">
        <v>692607</v>
      </c>
      <c r="C15" s="9" t="n">
        <v>535565</v>
      </c>
      <c r="D15" s="4" t="inlineStr">
        <is>
          <t>-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 ht="30" customHeight="1">
      <c r="A1" s="1" t="inlineStr">
        <is>
          <t>Source Register (Revised)</t>
        </is>
      </c>
    </row>
    <row r="3" ht="30" customHeight="1">
      <c r="A3" s="2" t="inlineStr">
        <is>
          <t>Item</t>
        </is>
      </c>
      <c r="B3" s="2" t="inlineStr">
        <is>
          <t>Value</t>
        </is>
      </c>
      <c r="C3" s="2" t="inlineStr">
        <is>
          <t>Source file</t>
        </is>
      </c>
      <c r="D3" s="2" t="inlineStr">
        <is>
          <t>Location</t>
        </is>
      </c>
    </row>
    <row r="4" ht="30" customHeight="1">
      <c r="A4" s="4" t="inlineStr">
        <is>
          <t>Revised certified rent roll date</t>
        </is>
      </c>
      <c r="B4" s="4" t="inlineStr">
        <is>
          <t>2026-09-01</t>
        </is>
      </c>
      <c r="C4" s="4" t="inlineStr">
        <is>
          <t>rent-roll-revised.xlsx</t>
        </is>
      </c>
      <c r="D4" s="4" t="inlineStr">
        <is>
          <t>B2</t>
        </is>
      </c>
    </row>
    <row r="5" ht="30" customHeight="1">
      <c r="A5" s="4" t="inlineStr">
        <is>
          <t>Prior certified rent roll date (superseded)</t>
        </is>
      </c>
      <c r="B5" s="4" t="inlineStr">
        <is>
          <t>2026-08-31</t>
        </is>
      </c>
      <c r="C5" s="4" t="inlineStr">
        <is>
          <t>rent-roll-certified.xlsx</t>
        </is>
      </c>
      <c r="D5" s="4" t="inlineStr">
        <is>
          <t>B2</t>
        </is>
      </c>
    </row>
    <row r="6" ht="30" customHeight="1">
      <c r="A6" s="4" t="inlineStr">
        <is>
          <t>Suite 001 pre-amend rent</t>
        </is>
      </c>
      <c r="B6" s="4" t="n">
        <v>6650</v>
      </c>
      <c r="C6" s="4" t="inlineStr">
        <is>
          <t>lease-001.pdf</t>
        </is>
      </c>
      <c r="D6" s="4" t="inlineStr">
        <is>
          <t>p.1</t>
        </is>
      </c>
    </row>
    <row r="7" ht="30" customHeight="1">
      <c r="A7" s="4" t="inlineStr">
        <is>
          <t>Amendment (+$350) executed</t>
        </is>
      </c>
      <c r="B7" s="4" t="inlineStr">
        <is>
          <t>2026-07-20</t>
        </is>
      </c>
      <c r="C7" s="4" t="inlineStr">
        <is>
          <t>lease-correspondence.pdf</t>
        </is>
      </c>
      <c r="D7" s="4" t="inlineStr">
        <is>
          <t>p.1</t>
        </is>
      </c>
    </row>
    <row r="8" ht="30" customHeight="1">
      <c r="A8" s="4" t="inlineStr">
        <is>
          <t>Suite 002 revised monthly rent</t>
        </is>
      </c>
      <c r="B8" s="4" t="n">
        <v>7025</v>
      </c>
      <c r="C8" s="4" t="inlineStr">
        <is>
          <t>rent-roll-revised.xlsx</t>
        </is>
      </c>
      <c r="D8" s="4" t="inlineStr">
        <is>
          <t>E6</t>
        </is>
      </c>
    </row>
    <row r="9" ht="30" customHeight="1">
      <c r="A9" s="4" t="inlineStr">
        <is>
          <t>Revision instructions (rate deltas)</t>
        </is>
      </c>
      <c r="B9" s="4" t="inlineStr">
        <is>
          <t>+75 bps sizing, +25 bps cap</t>
        </is>
      </c>
      <c r="C9" s="4" t="inlineStr">
        <is>
          <t>revision-notice.pdf</t>
        </is>
      </c>
      <c r="D9" s="4" t="inlineStr">
        <is>
          <t>p.1</t>
        </is>
      </c>
    </row>
    <row r="10" ht="30" customHeight="1">
      <c r="A10" s="4" t="inlineStr">
        <is>
          <t>Manager 9/10 leased (incl pending)</t>
        </is>
      </c>
      <c r="B10" s="4" t="inlineStr">
        <is>
          <t>note</t>
        </is>
      </c>
      <c r="C10" s="4" t="inlineStr">
        <is>
          <t>manager-cover.pdf</t>
        </is>
      </c>
      <c r="D10" s="4" t="inlineStr">
        <is>
          <t>p.1</t>
        </is>
      </c>
    </row>
    <row r="11" ht="30" customHeight="1">
      <c r="A11" s="4" t="inlineStr">
        <is>
          <t>T12 collections</t>
        </is>
      </c>
      <c r="B11" s="4" t="n">
        <v>736830</v>
      </c>
      <c r="C11" s="4" t="inlineStr">
        <is>
          <t>operating-statement.pdf</t>
        </is>
      </c>
      <c r="D11" s="4" t="inlineStr">
        <is>
          <t>p.1</t>
        </is>
      </c>
    </row>
    <row r="12" ht="30" customHeight="1">
      <c r="A12" s="4" t="inlineStr">
        <is>
          <t>T12 taxes</t>
        </is>
      </c>
      <c r="B12" s="4" t="n">
        <v>85964</v>
      </c>
      <c r="C12" s="4" t="inlineStr">
        <is>
          <t>operating-statement.pdf</t>
        </is>
      </c>
      <c r="D12" s="4" t="inlineStr">
        <is>
          <t>p.1</t>
        </is>
      </c>
    </row>
    <row r="13" ht="30" customHeight="1">
      <c r="A13" s="4" t="inlineStr">
        <is>
          <t>T12 insurance</t>
        </is>
      </c>
      <c r="B13" s="4" t="n">
        <v>28655</v>
      </c>
      <c r="C13" s="4" t="inlineStr">
        <is>
          <t>operating-statement.pdf</t>
        </is>
      </c>
      <c r="D13" s="4" t="inlineStr">
        <is>
          <t>p.1</t>
        </is>
      </c>
    </row>
    <row r="14" ht="30" customHeight="1">
      <c r="A14" s="4" t="inlineStr">
        <is>
          <t>T12 other opex</t>
        </is>
      </c>
      <c r="B14" s="4" t="n">
        <v>114618</v>
      </c>
      <c r="C14" s="4" t="inlineStr">
        <is>
          <t>operating-statement.pdf</t>
        </is>
      </c>
      <c r="D14" s="4" t="inlineStr">
        <is>
          <t>p.1</t>
        </is>
      </c>
    </row>
    <row r="15" ht="30" customHeight="1">
      <c r="A15" s="4" t="inlineStr">
        <is>
          <t>Reported NOI (T12)</t>
        </is>
      </c>
      <c r="B15" s="4" t="n">
        <v>507593</v>
      </c>
      <c r="C15" s="4" t="inlineStr">
        <is>
          <t>operating-statement.pdf</t>
        </is>
      </c>
      <c r="D15" s="4" t="inlineStr">
        <is>
          <t>p.1</t>
        </is>
      </c>
    </row>
    <row r="16" ht="30" customHeight="1">
      <c r="A16" s="4" t="inlineStr">
        <is>
          <t>GL insurance policy limit</t>
        </is>
      </c>
      <c r="B16" s="4" t="n">
        <v>2000000</v>
      </c>
      <c r="C16" s="4" t="inlineStr">
        <is>
          <t>insurance.pdf</t>
        </is>
      </c>
      <c r="D16" s="4" t="inlineStr">
        <is>
          <t>p.1</t>
        </is>
      </c>
    </row>
    <row r="17" ht="30" customHeight="1">
      <c r="A17" s="4" t="inlineStr">
        <is>
          <t>Underwriting instructions</t>
        </is>
      </c>
      <c r="B17" s="4" t="inlineStr">
        <is>
          <t>prescribed</t>
        </is>
      </c>
      <c r="C17" s="4" t="inlineStr">
        <is>
          <t>underwriting-instructions.pdf</t>
        </is>
      </c>
      <c r="D17" s="4" t="inlineStr">
        <is>
          <t>p.1</t>
        </is>
      </c>
    </row>
    <row r="18" ht="30" customHeight="1">
      <c r="A18" s="4" t="inlineStr">
        <is>
          <t>Diligence status</t>
        </is>
      </c>
      <c r="B18" s="4" t="inlineStr">
        <is>
          <t>pending routine</t>
        </is>
      </c>
      <c r="C18" s="4" t="inlineStr">
        <is>
          <t>diligence-status.pdf</t>
        </is>
      </c>
      <c r="D18" s="4" t="inlineStr">
        <is>
          <t>p.1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2026-09-07T13:59:06Z</dcterms:created>
  <dcterms:modified xmlns:dcterms="http://purl.org/dc/terms/" xmlns:xsi="http://www.w3.org/2001/XMLSchema-instance" xsi:type="dcterms:W3CDTF">2026-09-07T14:06:26Z</dcterms:modified>
</cp:coreProperties>
</file>