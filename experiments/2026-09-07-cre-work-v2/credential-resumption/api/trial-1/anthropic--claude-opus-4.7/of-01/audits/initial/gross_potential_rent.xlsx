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0" customWidth="1" min="3" max="3"/>
  </cols>
  <sheetData>
    <row r="1" ht="30" customHeight="1">
      <c r="A1" s="1" t="inlineStr">
        <is>
          <t>Beacon Plaza — Underwriting Inputs</t>
        </is>
      </c>
    </row>
    <row r="3" ht="30" customHeight="1">
      <c r="A3" s="2" t="inlineStr">
        <is>
          <t>Gross potential rent (annual, all suites)</t>
        </is>
      </c>
      <c r="B3" s="3" t="n">
        <v>1537860</v>
      </c>
      <c r="C3" s="4" t="inlineStr">
        <is>
          <t>Certified roll monthly rents ×12 (before Suite 001 amendment; per instructions)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7" t="n">
        <v>0.075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(greater of above)</t>
        </is>
      </c>
      <c r="B15" s="8">
        <f>MAX(B13,B14)</f>
        <v/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rate (rows) × sizing rate (cols)</t>
        </is>
      </c>
    </row>
    <row r="3" ht="30" customHeight="1">
      <c r="A3" s="2" t="inlineStr">
        <is>
          <t>Cap \ Sizing</t>
        </is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0.07000000000000001</v>
      </c>
    </row>
    <row r="4" ht="30" customHeight="1">
      <c r="A4" s="14" t="n">
        <v>0.07000000000000001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0.0725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0.0775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rent-roll-certified.xlsx</t>
        </is>
      </c>
      <c r="B4" s="4" t="inlineStr">
        <is>
          <t>12 suites, statuses, monthly rents, area, expirations</t>
        </is>
      </c>
      <c r="C4" s="4" t="inlineStr">
        <is>
          <t>Rent Roll A4:G16</t>
        </is>
      </c>
    </row>
    <row r="5" ht="30" customHeight="1">
      <c r="A5" s="4" t="inlineStr">
        <is>
          <t>rent-roll-archive.xlsx</t>
        </is>
      </c>
      <c r="B5" s="4" t="inlineStr">
        <is>
          <t>Stale 2026-06-30 roll; superseded</t>
        </is>
      </c>
      <c r="C5" s="4" t="inlineStr">
        <is>
          <t>Rent Roll A2</t>
        </is>
      </c>
    </row>
    <row r="6" ht="30" customHeight="1">
      <c r="A6" s="4" t="inlineStr">
        <is>
          <t>lease-001.pdf</t>
        </is>
      </c>
      <c r="B6" s="4" t="inlineStr">
        <is>
          <t>Suite 001 executed base rent $11,050; area 5,380 SF; exp 2027-02-28</t>
        </is>
      </c>
      <c r="C6" s="4" t="inlineStr">
        <is>
          <t>p.1</t>
        </is>
      </c>
    </row>
    <row r="7" ht="30" customHeight="1">
      <c r="A7" s="4" t="inlineStr">
        <is>
          <t>lease-correspondence.pdf</t>
        </is>
      </c>
      <c r="B7" s="4" t="inlineStr">
        <is>
          <t>No amendments/concessions to Suite 001 as of 2026-08-31</t>
        </is>
      </c>
      <c r="C7" s="4" t="inlineStr">
        <is>
          <t>p.1</t>
        </is>
      </c>
    </row>
    <row r="8" ht="30" customHeight="1">
      <c r="A8" s="4" t="inlineStr">
        <is>
          <t>operating-statement.pdf</t>
        </is>
      </c>
      <c r="B8" s="4" t="inlineStr">
        <is>
          <t>T12 collections/expenses/reported NOI; roof capital not expensed</t>
        </is>
      </c>
      <c r="C8" s="4" t="inlineStr">
        <is>
          <t>p.1</t>
        </is>
      </c>
    </row>
    <row r="9" ht="30" customHeight="1">
      <c r="A9" s="4" t="inlineStr">
        <is>
          <t>insurance.pdf</t>
        </is>
      </c>
      <c r="B9" s="4" t="inlineStr">
        <is>
          <t>GL aggregate limit $2,000,000 (not expense)</t>
        </is>
      </c>
      <c r="C9" s="4" t="inlineStr">
        <is>
          <t>p.1</t>
        </is>
      </c>
    </row>
    <row r="10" ht="30" customHeight="1">
      <c r="A10" s="4" t="inlineStr">
        <is>
          <t>underwriting-instructions.pdf</t>
        </is>
      </c>
      <c r="B10" s="4" t="inlineStr">
        <is>
          <t>UW method, sizing, loss %, reserves, fees</t>
        </is>
      </c>
      <c r="C10" s="4" t="inlineStr">
        <is>
          <t>p.1</t>
        </is>
      </c>
    </row>
    <row r="11" ht="30" customHeight="1">
      <c r="A11" s="4" t="inlineStr">
        <is>
          <t>manager-cover.pdf</t>
        </is>
      </c>
      <c r="B11" s="4" t="inlineStr">
        <is>
          <t>Group A/B/C mapping; manager 10/12 headline includes pending</t>
        </is>
      </c>
      <c r="C11" s="4" t="inlineStr">
        <is>
          <t>p.1</t>
        </is>
      </c>
    </row>
    <row r="12" ht="30" customHeight="1">
      <c r="A12" s="4" t="inlineStr">
        <is>
          <t>diligence-status.pdf</t>
        </is>
      </c>
      <c r="B12" s="4" t="inlineStr">
        <is>
          <t>Legal/env/PCA/title incomplete; label definitions</t>
        </is>
      </c>
      <c r="C12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2026-09-07T13:31:01Z</dcterms:created>
  <dcterms:modified xmlns:dcterms="http://purl.org/dc/terms/" xmlns:xsi="http://www.w3.org/2001/XMLSchema-instance" xsi:type="dcterms:W3CDTF">2026-09-07T14:06:13Z</dcterms:modified>
</cp:coreProperties>
</file>