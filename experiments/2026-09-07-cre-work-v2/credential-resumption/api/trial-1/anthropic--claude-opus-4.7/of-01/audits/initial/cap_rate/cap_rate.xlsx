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<sst xmlns="http://schemas.openxmlformats.org/spreadsheetml/2006/main" count="83" uniqueCount="73">
  <si>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Beacon Plaza — Underwriting Inputs</t>
  </si>
  <si>
    <t xml:space="preserve">Gross potential rent (annual, all suites)</t>
  </si>
  <si>
    <t xml:space="preserve">Certified roll monthly rents ×12 (before Suite 001 amendment; per instructions)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</si>
  <si>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</si>
  <si>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</si>
  <si>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</si>
  <si>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</si>
  <si>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</si>
  <si>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</si>
  <si>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</si>
  <si>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</si>
  <si>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</si>
  <si>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Note rate</t>
  </si>
  <si>
    <t xml:space="preserve">UW rate floor</t>
  </si>
  <si>
    <t xml:space="preserve">Sizing rate (greater of above)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</si>
  <si>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</si>
  <si>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</si>
  <si>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</si>
  <si>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</si>
  <si>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</si>
  <si>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</si>
  <si>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</si>
  <si>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</si>
  <si>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</si>
  <si>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</si>
  <si>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</si>
  <si>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</si>
  <si>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</si>
  <si>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</si>
  <si>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</si>
  <si>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</si>
  <si>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</si>
  <si>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</si>
  <si>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</si>
  <si>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</si>
  <si>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</si>
  <si>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</si>
  <si>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</si>
  <si>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</si>
  <si>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</si>
  <si>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</si>
  <si>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</si>
  <si>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</si>
  <si>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</si>
  <si>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</si>
  <si>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</si>
  <si>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rate (rows) × sizing rate (cols)</t>
  </si>
  <si>
    <t xml:space="preserve">Cap \ Sizing</t>
  </si>
  <si>
    <t xml:space="preserve">Source register</t>
  </si>
  <si>
    <t xml:space="preserve">Document</t>
  </si>
  <si>
    <t xml:space="preserve">Key facts used</t>
  </si>
  <si>
    <t xml:space="preserve">Location</t>
  </si>
  <si>
    <t xml:space="preserve">rent-roll-certified.xlsx</t>
  </si>
  <si>
    <t xml:space="preserve">12 suites, statuses, monthly rents, area, expirations</t>
  </si>
  <si>
    <t xml:space="preserve">Rent Roll A4:G16</t>
  </si>
  <si>
    <t xml:space="preserve">rent-roll-archive.xlsx</t>
  </si>
  <si>
    <t xml:space="preserve">Stale 2026-06-30 roll; superseded</t>
  </si>
  <si>
    <t xml:space="preserve">Rent Roll A2</t>
  </si>
  <si>
    <t xml:space="preserve">lease-001.pdf</t>
  </si>
  <si>
    <t xml:space="preserve">Suite 001 executed base rent $11,050; area 5,380 SF; exp 2027-02-28</t>
  </si>
  <si>
    <t xml:space="preserve">p.1</t>
  </si>
  <si>
    <t xml:space="preserve">lease-correspondence.pdf</t>
  </si>
  <si>
    <t xml:space="preserve">No amendments/concessions to Suite 001 as of 2026-08-31</t>
  </si>
  <si>
    <t xml:space="preserve">operating-statement.pdf</t>
  </si>
  <si>
    <t xml:space="preserve">T12 collections/expenses/reported NOI; roof capital not expensed</t>
  </si>
  <si>
    <t xml:space="preserve">insurance.pdf</t>
  </si>
  <si>
    <t xml:space="preserve">GL aggregate limit $2,000,000 (not expense)</t>
  </si>
  <si>
    <t xml:space="preserve">underwriting-instructions.pdf</t>
  </si>
  <si>
    <t xml:space="preserve">UW method, sizing, loss %, reserves, fees</t>
  </si>
  <si>
    <t xml:space="preserve">manager-cover.pdf</t>
  </si>
  <si>
    <t xml:space="preserve">Group A/B/C mapping; manager 10/12 headline includes pending</t>
  </si>
  <si>
    <t xml:space="preserve">diligence-status.pdf</t>
  </si>
  <si>
    <t xml:space="preserve">Legal/env/PCA/title incomplete; label definitions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</si>
</sst>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1618800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0.08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MAX(B13,B14)</f>
        <v>0.0675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1618800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1623000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-81150</v>
      </c>
    </row>
    <row r="7" customFormat="false" ht="30" hidden="false" customHeight="true" outlineLevel="0" collapsed="false">
      <c r="A7" s="2" t="s">
        <v>27</v>
      </c>
      <c r="B7" s="11" t="n">
        <f aca="false">B5+B6</f>
        <v>1541850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-46255.5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-499519.5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1042330.5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1038730.5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13029131.25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0.0675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0.00648598096568216</v>
      </c>
    </row>
    <row r="5" customFormat="false" ht="30" hidden="false" customHeight="true" outlineLevel="0" collapsed="false">
      <c r="A5" s="2" t="s">
        <v>38</v>
      </c>
      <c r="B5" s="13" t="n">
        <f aca="false">B4*12</f>
        <v>0.0778317715881859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7817478.75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10676673.3307422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11541450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7817478.75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-78174.7875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1194303.9625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</v>
      </c>
    </row>
    <row r="4" customFormat="false" ht="30" hidden="false" customHeight="true" outlineLevel="0" collapsed="false">
      <c r="A4" s="14" t="n">
        <v>0.07</v>
      </c>
      <c r="B4" s="10" t="n">
        <f aca="false">MIN(UW!$B$15/$A4*Inputs!$B$17, (UW!$B$17/Inputs!$B$18)/((B$3/12)/(1-(1+B$3/12)^(-Inputs!$B$16))*12), UW!$B$17/Inputs!$B$19)</f>
        <v>8934261.42857143</v>
      </c>
      <c r="C4" s="10" t="n">
        <f aca="false">MIN(UW!$B$15/$A4*Inputs!$B$17, (UW!$B$17/Inputs!$B$18)/((C$3/12)/(1-(1+C$3/12)^(-Inputs!$B$16))*12), UW!$B$17/Inputs!$B$19)</f>
        <v>8934261.42857143</v>
      </c>
      <c r="D4" s="10" t="n">
        <f aca="false">MIN(UW!$B$15/$A4*Inputs!$B$17, (UW!$B$17/Inputs!$B$18)/((D$3/12)/(1-(1+D$3/12)^(-Inputs!$B$16))*12), UW!$B$17/Inputs!$B$19)</f>
        <v>8934261.42857143</v>
      </c>
      <c r="E4" s="10" t="n">
        <f aca="false">MIN(UW!$B$15/$A4*Inputs!$B$17, (UW!$B$17/Inputs!$B$18)/((E$3/12)/(1-(1+E$3/12)^(-Inputs!$B$16))*12), UW!$B$17/Inputs!$B$19)</f>
        <v>8934261.42857143</v>
      </c>
      <c r="F4" s="10" t="n">
        <f aca="false">MIN(UW!$B$15/$A4*Inputs!$B$17, (UW!$B$17/Inputs!$B$18)/((F$3/12)/(1-(1+F$3/12)^(-Inputs!$B$16))*12), UW!$B$17/Inputs!$B$19)</f>
        <v>8934261.42857143</v>
      </c>
    </row>
    <row r="5" customFormat="false" ht="30" hidden="false" customHeight="true" outlineLevel="0" collapsed="false">
      <c r="A5" s="14" t="n">
        <v>0.0725</v>
      </c>
      <c r="B5" s="10" t="n">
        <f aca="false">MIN(UW!$B$15/$A5*Inputs!$B$17, (UW!$B$17/Inputs!$B$18)/((B$3/12)/(1-(1+B$3/12)^(-Inputs!$B$16))*12), UW!$B$17/Inputs!$B$19)</f>
        <v>8626183.44827586</v>
      </c>
      <c r="C5" s="10" t="n">
        <f aca="false">MIN(UW!$B$15/$A5*Inputs!$B$17, (UW!$B$17/Inputs!$B$18)/((C$3/12)/(1-(1+C$3/12)^(-Inputs!$B$16))*12), UW!$B$17/Inputs!$B$19)</f>
        <v>8626183.44827586</v>
      </c>
      <c r="D5" s="10" t="n">
        <f aca="false">MIN(UW!$B$15/$A5*Inputs!$B$17, (UW!$B$17/Inputs!$B$18)/((D$3/12)/(1-(1+D$3/12)^(-Inputs!$B$16))*12), UW!$B$17/Inputs!$B$19)</f>
        <v>8626183.44827586</v>
      </c>
      <c r="E5" s="10" t="n">
        <f aca="false">MIN(UW!$B$15/$A5*Inputs!$B$17, (UW!$B$17/Inputs!$B$18)/((E$3/12)/(1-(1+E$3/12)^(-Inputs!$B$16))*12), UW!$B$17/Inputs!$B$19)</f>
        <v>8626183.44827586</v>
      </c>
      <c r="F5" s="10" t="n">
        <f aca="false">MIN(UW!$B$15/$A5*Inputs!$B$17, (UW!$B$17/Inputs!$B$18)/((F$3/12)/(1-(1+F$3/12)^(-Inputs!$B$16))*12), UW!$B$17/Inputs!$B$19)</f>
        <v>8626183.44827586</v>
      </c>
    </row>
    <row r="6" customFormat="false" ht="30" hidden="false" customHeight="true" outlineLevel="0" collapsed="false">
      <c r="A6" s="14" t="n">
        <v>0.075</v>
      </c>
      <c r="B6" s="10" t="n">
        <f aca="false">MIN(UW!$B$15/$A6*Inputs!$B$17, (UW!$B$17/Inputs!$B$18)/((B$3/12)/(1-(1+B$3/12)^(-Inputs!$B$16))*12), UW!$B$17/Inputs!$B$19)</f>
        <v>8338644</v>
      </c>
      <c r="C6" s="10" t="n">
        <f aca="false">MIN(UW!$B$15/$A6*Inputs!$B$17, (UW!$B$17/Inputs!$B$18)/((C$3/12)/(1-(1+C$3/12)^(-Inputs!$B$16))*12), UW!$B$17/Inputs!$B$19)</f>
        <v>8338644</v>
      </c>
      <c r="D6" s="10" t="n">
        <f aca="false">MIN(UW!$B$15/$A6*Inputs!$B$17, (UW!$B$17/Inputs!$B$18)/((D$3/12)/(1-(1+D$3/12)^(-Inputs!$B$16))*12), UW!$B$17/Inputs!$B$19)</f>
        <v>8338644</v>
      </c>
      <c r="E6" s="10" t="n">
        <f aca="false">MIN(UW!$B$15/$A6*Inputs!$B$17, (UW!$B$17/Inputs!$B$18)/((E$3/12)/(1-(1+E$3/12)^(-Inputs!$B$16))*12), UW!$B$17/Inputs!$B$19)</f>
        <v>8338644</v>
      </c>
      <c r="F6" s="10" t="n">
        <f aca="false">MIN(UW!$B$15/$A6*Inputs!$B$17, (UW!$B$17/Inputs!$B$18)/((F$3/12)/(1-(1+F$3/12)^(-Inputs!$B$16))*12), UW!$B$17/Inputs!$B$19)</f>
        <v>8338644</v>
      </c>
    </row>
    <row r="7" customFormat="false" ht="30" hidden="false" customHeight="true" outlineLevel="0" collapsed="false">
      <c r="A7" s="14" t="n">
        <v>0.0775</v>
      </c>
      <c r="B7" s="10" t="n">
        <f aca="false">MIN(UW!$B$15/$A7*Inputs!$B$17, (UW!$B$17/Inputs!$B$18)/((B$3/12)/(1-(1+B$3/12)^(-Inputs!$B$16))*12), UW!$B$17/Inputs!$B$19)</f>
        <v>8069655.48387097</v>
      </c>
      <c r="C7" s="10" t="n">
        <f aca="false">MIN(UW!$B$15/$A7*Inputs!$B$17, (UW!$B$17/Inputs!$B$18)/((C$3/12)/(1-(1+C$3/12)^(-Inputs!$B$16))*12), UW!$B$17/Inputs!$B$19)</f>
        <v>8069655.48387097</v>
      </c>
      <c r="D7" s="10" t="n">
        <f aca="false">MIN(UW!$B$15/$A7*Inputs!$B$17, (UW!$B$17/Inputs!$B$18)/((D$3/12)/(1-(1+D$3/12)^(-Inputs!$B$16))*12), UW!$B$17/Inputs!$B$19)</f>
        <v>8069655.48387097</v>
      </c>
      <c r="E7" s="10" t="n">
        <f aca="false">MIN(UW!$B$15/$A7*Inputs!$B$17, (UW!$B$17/Inputs!$B$18)/((E$3/12)/(1-(1+E$3/12)^(-Inputs!$B$16))*12), UW!$B$17/Inputs!$B$19)</f>
        <v>8069655.48387097</v>
      </c>
      <c r="F7" s="10" t="n">
        <f aca="false">MIN(UW!$B$15/$A7*Inputs!$B$17, (UW!$B$17/Inputs!$B$18)/((F$3/12)/(1-(1+F$3/12)^(-Inputs!$B$16))*12), UW!$B$17/Inputs!$B$19)</f>
        <v>8069655.48387097</v>
      </c>
    </row>
    <row r="8" customFormat="false" ht="30" hidden="false" customHeight="true" outlineLevel="0" collapsed="false">
      <c r="A8" s="14" t="n">
        <v>0.08</v>
      </c>
      <c r="B8" s="10" t="n">
        <f aca="false">MIN(UW!$B$15/$A8*Inputs!$B$17, (UW!$B$17/Inputs!$B$18)/((B$3/12)/(1-(1+B$3/12)^(-Inputs!$B$16))*12), UW!$B$17/Inputs!$B$19)</f>
        <v>7817478.75</v>
      </c>
      <c r="C8" s="10" t="n">
        <f aca="false">MIN(UW!$B$15/$A8*Inputs!$B$17, (UW!$B$17/Inputs!$B$18)/((C$3/12)/(1-(1+C$3/12)^(-Inputs!$B$16))*12), UW!$B$17/Inputs!$B$19)</f>
        <v>7817478.75</v>
      </c>
      <c r="D8" s="10" t="n">
        <f aca="false">MIN(UW!$B$15/$A8*Inputs!$B$17, (UW!$B$17/Inputs!$B$18)/((D$3/12)/(1-(1+D$3/12)^(-Inputs!$B$16))*12), UW!$B$17/Inputs!$B$19)</f>
        <v>7817478.75</v>
      </c>
      <c r="E8" s="10" t="n">
        <f aca="false">MIN(UW!$B$15/$A8*Inputs!$B$17, (UW!$B$17/Inputs!$B$18)/((E$3/12)/(1-(1+E$3/12)^(-Inputs!$B$16))*12), UW!$B$17/Inputs!$B$19)</f>
        <v>7817478.75</v>
      </c>
      <c r="F8" s="10" t="n">
        <f aca="false">MIN(UW!$B$15/$A8*Inputs!$B$17, (UW!$B$17/Inputs!$B$18)/((F$3/12)/(1-(1+F$3/12)^(-Inputs!$B$16))*12), UW!$B$17/Inputs!$B$19)</f>
        <v>7817478.75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60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60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60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60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2026-09-07T13:31:01Z</dcterms:created>
  <dc:creator>openpyxl</dc:creator>
  <dc:description/>
  <dc:language>en-US</dc:language>
  <cp:lastModifiedBy/>
  <dcterms:modified xsi:type="dcterms:W3CDTF">2026-09-07T14:06:12Z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