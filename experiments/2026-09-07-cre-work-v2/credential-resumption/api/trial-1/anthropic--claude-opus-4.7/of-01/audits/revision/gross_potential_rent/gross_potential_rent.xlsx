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UW" sheetId="2" state="visible" r:id="rId4"/>
    <sheet name="Debt" sheetId="3" state="visible" r:id="rId5"/>
    <sheet name="Sensitivity" sheetId="4" state="visible" r:id="rId6"/>
    <sheet name="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<sst xmlns="http://schemas.openxmlformats.org/spreadsheetml/2006/main" count="89" uniqueCount="77">
  <si>
    <t xml:space="preserve">Beacon Plaza — Underwriting Inputs (Revised 2026-09-01)</t>
  </si>
  <si>
    <t xml:space="preserve">Gross potential rent (annual, all suites)</t>
  </si>
  <si>
    <t xml:space="preserve">Revised roll monthly rents ×12 (Suite 010 now $11,275)</t>
  </si>
  <si>
    <t xml:space="preserve">Other income per unit (annual)</t>
  </si>
  <si>
    <t xml:space="preserve">Unit count</t>
  </si>
  <si>
    <t xml:space="preserve">Economic loss %</t>
  </si>
  <si>
    <t xml:space="preserve">Real estate tax</t>
  </si>
  <si>
    <t xml:space="preserve">Insurance expense</t>
  </si>
  <si>
    <t xml:space="preserve">Other recurring opex</t>
  </si>
  <si>
    <t xml:space="preserve">Management fee % of EGI</t>
  </si>
  <si>
    <t xml:space="preserve">Replacement reserve per unit</t>
  </si>
  <si>
    <t xml:space="preserve">Cap rate (revised +25 bps)</t>
  </si>
  <si>
    <t xml:space="preserve">Note rate</t>
  </si>
  <si>
    <t xml:space="preserve">UW rate floor</t>
  </si>
  <si>
    <t xml:space="preserve">Sizing rate (revised: note +75 bps vs floor)</t>
  </si>
  <si>
    <t xml:space="preserve">Amortization (months)</t>
  </si>
  <si>
    <t xml:space="preserve">Max LTV</t>
  </si>
  <si>
    <t xml:space="preserve">Min DSCR</t>
  </si>
  <si>
    <t xml:space="preserve">Min debt yield</t>
  </si>
  <si>
    <t xml:space="preserve">Origination fee %</t>
  </si>
  <si>
    <t xml:space="preserve">Closing costs</t>
  </si>
  <si>
    <t xml:space="preserve">Existing payoff</t>
  </si>
  <si>
    <t xml:space="preserve">Underwriting (revised)</t>
  </si>
  <si>
    <t xml:space="preserve">Gross potential rent</t>
  </si>
  <si>
    <t xml:space="preserve">Other income</t>
  </si>
  <si>
    <t xml:space="preserve">Gross income</t>
  </si>
  <si>
    <t xml:space="preserve">Economic loss</t>
  </si>
  <si>
    <t xml:space="preserve">Underwritten EGI</t>
  </si>
  <si>
    <t xml:space="preserve">Insurance</t>
  </si>
  <si>
    <t xml:space="preserve">Management fee</t>
  </si>
  <si>
    <t xml:space="preserve">Total operating expenses</t>
  </si>
  <si>
    <t xml:space="preserve">Underwritten NOI (before reserves)</t>
  </si>
  <si>
    <t xml:space="preserve">Replacement reserves</t>
  </si>
  <si>
    <t xml:space="preserve">Underwritten NCF</t>
  </si>
  <si>
    <t xml:space="preserve">Capitalization value (NOI / cap)</t>
  </si>
  <si>
    <t xml:space="preserve">Debt sizing (revised)</t>
  </si>
  <si>
    <t xml:space="preserve">Sizing rate</t>
  </si>
  <si>
    <t xml:space="preserve">Monthly constant</t>
  </si>
  <si>
    <t xml:space="preserve">Annual constant</t>
  </si>
  <si>
    <t xml:space="preserve">LTV-constrained loan</t>
  </si>
  <si>
    <t xml:space="preserve">DSCR-constrained loan</t>
  </si>
  <si>
    <t xml:space="preserve">Debt-yield-constrained loan</t>
  </si>
  <si>
    <t xml:space="preserve">Maximum loan</t>
  </si>
  <si>
    <t xml:space="preserve">Binding constraint</t>
  </si>
  <si>
    <t xml:space="preserve">Origination fee</t>
  </si>
  <si>
    <t xml:space="preserve">Net cash-out to sponsor</t>
  </si>
  <si>
    <t xml:space="preserve">Max loan sensitivity — cap (rows) × sizing (cols)</t>
  </si>
  <si>
    <t xml:space="preserve">Cap \ Sizing</t>
  </si>
  <si>
    <t xml:space="preserve">Source register (revised)</t>
  </si>
  <si>
    <t xml:space="preserve">Document</t>
  </si>
  <si>
    <t xml:space="preserve">Key facts used</t>
  </si>
  <si>
    <t xml:space="preserve">Location</t>
  </si>
  <si>
    <t xml:space="preserve">rent-roll-revised.xlsx</t>
  </si>
  <si>
    <t xml:space="preserve">Controlling roll 2026-09-01; Suite 010 active at $11,275</t>
  </si>
  <si>
    <t xml:space="preserve">Rent Roll A5:G16</t>
  </si>
  <si>
    <t xml:space="preserve">revision-notice.pdf</t>
  </si>
  <si>
    <t xml:space="preserve">Cap +25 bps to 7.75%; sizing +75 bps to 7.50%</t>
  </si>
  <si>
    <t xml:space="preserve">p.1</t>
  </si>
  <si>
    <t xml:space="preserve">rent-roll-certified.xlsx</t>
  </si>
  <si>
    <t xml:space="preserve">Prior certified roll (2026-08-31) — superseded</t>
  </si>
  <si>
    <t xml:space="preserve">Rent Roll A2</t>
  </si>
  <si>
    <t xml:space="preserve">rent-roll-archive.xlsx</t>
  </si>
  <si>
    <t xml:space="preserve">Stale 2026-06-30 roll — superseded</t>
  </si>
  <si>
    <t xml:space="preserve">lease-001.pdf</t>
  </si>
  <si>
    <t xml:space="preserve">Suite 001 executed base rent $11,050; exp 2027-02-28</t>
  </si>
  <si>
    <t xml:space="preserve">lease-correspondence.pdf</t>
  </si>
  <si>
    <t xml:space="preserve">No unsigned proposal or free-rent concession</t>
  </si>
  <si>
    <t xml:space="preserve">operating-statement.pdf</t>
  </si>
  <si>
    <t xml:space="preserve">T12 actuals; roof correctly capitalized</t>
  </si>
  <si>
    <t xml:space="preserve">insurance.pdf</t>
  </si>
  <si>
    <t xml:space="preserve">GL aggregate $2,000,000 coverage limit</t>
  </si>
  <si>
    <t xml:space="preserve">underwriting-instructions.pdf</t>
  </si>
  <si>
    <t xml:space="preserve">Base UW rules; unchanged except cap/sizing per revision</t>
  </si>
  <si>
    <t xml:space="preserve">manager-cover.pdf</t>
  </si>
  <si>
    <t xml:space="preserve">Group A/B/C mapping = Small/Standard/Large</t>
  </si>
  <si>
    <t xml:space="preserve">diligence-status.pdf</t>
  </si>
  <si>
    <t xml:space="preserve">Legal/env/PCA/title pending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</si>
</sst>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0%"/>
    <numFmt numFmtId="167" formatCode="0.0000%"/>
    <numFmt numFmtId="168" formatCode="0.00"/>
    <numFmt numFmtId="169" formatCode="0.00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45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n">
        <v>1540425</v>
      </c>
      <c r="C3" s="4" t="s">
        <v>2</v>
      </c>
    </row>
    <row r="4" customFormat="false" ht="30" hidden="false" customHeight="true" outlineLevel="0" collapsed="false">
      <c r="A4" s="2" t="s">
        <v>3</v>
      </c>
      <c r="B4" s="3" t="n">
        <v>350</v>
      </c>
    </row>
    <row r="5" customFormat="false" ht="30" hidden="false" customHeight="true" outlineLevel="0" collapsed="false">
      <c r="A5" s="2" t="s">
        <v>4</v>
      </c>
      <c r="B5" s="5" t="n">
        <v>12</v>
      </c>
    </row>
    <row r="6" customFormat="false" ht="30" hidden="false" customHeight="true" outlineLevel="0" collapsed="false">
      <c r="A6" s="2" t="s">
        <v>5</v>
      </c>
      <c r="B6" s="6" t="n">
        <v>0.05</v>
      </c>
    </row>
    <row r="7" customFormat="false" ht="30" hidden="false" customHeight="true" outlineLevel="0" collapsed="false">
      <c r="A7" s="2" t="s">
        <v>6</v>
      </c>
      <c r="B7" s="3" t="n">
        <v>169974</v>
      </c>
    </row>
    <row r="8" customFormat="false" ht="30" hidden="false" customHeight="true" outlineLevel="0" collapsed="false">
      <c r="A8" s="2" t="s">
        <v>7</v>
      </c>
      <c r="B8" s="3" t="n">
        <v>56658</v>
      </c>
    </row>
    <row r="9" customFormat="false" ht="30" hidden="false" customHeight="true" outlineLevel="0" collapsed="false">
      <c r="A9" s="2" t="s">
        <v>8</v>
      </c>
      <c r="B9" s="3" t="n">
        <v>226632</v>
      </c>
    </row>
    <row r="10" customFormat="false" ht="30" hidden="false" customHeight="true" outlineLevel="0" collapsed="false">
      <c r="A10" s="2" t="s">
        <v>9</v>
      </c>
      <c r="B10" s="6" t="n">
        <v>0.03</v>
      </c>
    </row>
    <row r="11" customFormat="false" ht="30" hidden="false" customHeight="true" outlineLevel="0" collapsed="false">
      <c r="A11" s="2" t="s">
        <v>10</v>
      </c>
      <c r="B11" s="3" t="n">
        <v>300</v>
      </c>
    </row>
    <row r="12" customFormat="false" ht="30" hidden="false" customHeight="true" outlineLevel="0" collapsed="false">
      <c r="A12" s="2" t="s">
        <v>11</v>
      </c>
      <c r="B12" s="7" t="n">
        <v>0.0775</v>
      </c>
    </row>
    <row r="13" customFormat="false" ht="30" hidden="false" customHeight="true" outlineLevel="0" collapsed="false">
      <c r="A13" s="2" t="s">
        <v>12</v>
      </c>
      <c r="B13" s="7" t="n">
        <v>0.0675</v>
      </c>
    </row>
    <row r="14" customFormat="false" ht="30" hidden="false" customHeight="true" outlineLevel="0" collapsed="false">
      <c r="A14" s="2" t="s">
        <v>13</v>
      </c>
      <c r="B14" s="7" t="n">
        <v>0.06</v>
      </c>
    </row>
    <row r="15" customFormat="false" ht="30" hidden="false" customHeight="true" outlineLevel="0" collapsed="false">
      <c r="A15" s="2" t="s">
        <v>14</v>
      </c>
      <c r="B15" s="8" t="n">
        <f aca="false">MAX(B13+0.0075,B14)</f>
        <v>0.075</v>
      </c>
    </row>
    <row r="16" customFormat="false" ht="30" hidden="false" customHeight="true" outlineLevel="0" collapsed="false">
      <c r="A16" s="2" t="s">
        <v>15</v>
      </c>
      <c r="B16" s="5" t="n">
        <v>360</v>
      </c>
    </row>
    <row r="17" customFormat="false" ht="30" hidden="false" customHeight="true" outlineLevel="0" collapsed="false">
      <c r="A17" s="2" t="s">
        <v>16</v>
      </c>
      <c r="B17" s="6" t="n">
        <v>0.6</v>
      </c>
    </row>
    <row r="18" customFormat="false" ht="30" hidden="false" customHeight="true" outlineLevel="0" collapsed="false">
      <c r="A18" s="2" t="s">
        <v>17</v>
      </c>
      <c r="B18" s="9" t="n">
        <v>1.25</v>
      </c>
    </row>
    <row r="19" customFormat="false" ht="30" hidden="false" customHeight="true" outlineLevel="0" collapsed="false">
      <c r="A19" s="2" t="s">
        <v>18</v>
      </c>
      <c r="B19" s="6" t="n">
        <v>0.09</v>
      </c>
    </row>
    <row r="20" customFormat="false" ht="30" hidden="false" customHeight="true" outlineLevel="0" collapsed="false">
      <c r="A20" s="2" t="s">
        <v>19</v>
      </c>
      <c r="B20" s="6" t="n">
        <v>0.01</v>
      </c>
    </row>
    <row r="21" customFormat="false" ht="30" hidden="false" customHeight="true" outlineLevel="0" collapsed="false">
      <c r="A21" s="2" t="s">
        <v>20</v>
      </c>
      <c r="B21" s="3" t="n">
        <v>45000</v>
      </c>
    </row>
    <row r="22" customFormat="false" ht="30" hidden="false" customHeight="true" outlineLevel="0" collapsed="false">
      <c r="A22" s="2" t="s">
        <v>21</v>
      </c>
      <c r="B22" s="3" t="n">
        <v>6500000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</cols>
  <sheetData>
    <row r="1" customFormat="false" ht="30" hidden="false" customHeight="true" outlineLevel="0" collapsed="false">
      <c r="A1" s="1" t="s">
        <v>22</v>
      </c>
    </row>
    <row r="3" customFormat="false" ht="30" hidden="false" customHeight="true" outlineLevel="0" collapsed="false">
      <c r="A3" s="2" t="s">
        <v>23</v>
      </c>
      <c r="B3" s="10" t="n">
        <f aca="false">Inputs!B3</f>
        <v>1540425</v>
      </c>
    </row>
    <row r="4" customFormat="false" ht="30" hidden="false" customHeight="true" outlineLevel="0" collapsed="false">
      <c r="A4" s="2" t="s">
        <v>24</v>
      </c>
      <c r="B4" s="10" t="n">
        <f aca="false">Inputs!B4*Inputs!B5</f>
        <v>4200</v>
      </c>
    </row>
    <row r="5" customFormat="false" ht="30" hidden="false" customHeight="true" outlineLevel="0" collapsed="false">
      <c r="A5" s="2" t="s">
        <v>25</v>
      </c>
      <c r="B5" s="11" t="n">
        <f aca="false">B3+B4</f>
        <v>1544625</v>
      </c>
    </row>
    <row r="6" customFormat="false" ht="30" hidden="false" customHeight="true" outlineLevel="0" collapsed="false">
      <c r="A6" s="2" t="s">
        <v>26</v>
      </c>
      <c r="B6" s="10" t="n">
        <f aca="false">-B5*Inputs!B6</f>
        <v>-77231.25</v>
      </c>
    </row>
    <row r="7" customFormat="false" ht="30" hidden="false" customHeight="true" outlineLevel="0" collapsed="false">
      <c r="A7" s="2" t="s">
        <v>27</v>
      </c>
      <c r="B7" s="11" t="n">
        <f aca="false">B5+B6</f>
        <v>1467393.75</v>
      </c>
    </row>
    <row r="9" customFormat="false" ht="30" hidden="false" customHeight="true" outlineLevel="0" collapsed="false">
      <c r="A9" s="2" t="s">
        <v>6</v>
      </c>
      <c r="B9" s="10" t="n">
        <f aca="false">-Inputs!B7</f>
        <v>-169974</v>
      </c>
    </row>
    <row r="10" customFormat="false" ht="30" hidden="false" customHeight="true" outlineLevel="0" collapsed="false">
      <c r="A10" s="2" t="s">
        <v>28</v>
      </c>
      <c r="B10" s="10" t="n">
        <f aca="false">-Inputs!B8</f>
        <v>-56658</v>
      </c>
    </row>
    <row r="11" customFormat="false" ht="30" hidden="false" customHeight="true" outlineLevel="0" collapsed="false">
      <c r="A11" s="2" t="s">
        <v>8</v>
      </c>
      <c r="B11" s="10" t="n">
        <f aca="false">-Inputs!B9</f>
        <v>-226632</v>
      </c>
    </row>
    <row r="12" customFormat="false" ht="30" hidden="false" customHeight="true" outlineLevel="0" collapsed="false">
      <c r="A12" s="2" t="s">
        <v>29</v>
      </c>
      <c r="B12" s="10" t="n">
        <f aca="false">-B7*Inputs!B10</f>
        <v>-44021.8125</v>
      </c>
    </row>
    <row r="13" customFormat="false" ht="30" hidden="false" customHeight="true" outlineLevel="0" collapsed="false">
      <c r="A13" s="2" t="s">
        <v>30</v>
      </c>
      <c r="B13" s="11" t="n">
        <f aca="false">SUM(B9:B12)</f>
        <v>-497285.8125</v>
      </c>
    </row>
    <row r="15" customFormat="false" ht="30" hidden="false" customHeight="true" outlineLevel="0" collapsed="false">
      <c r="A15" s="2" t="s">
        <v>31</v>
      </c>
      <c r="B15" s="11" t="n">
        <f aca="false">B7+B13</f>
        <v>970107.9375</v>
      </c>
    </row>
    <row r="16" customFormat="false" ht="30" hidden="false" customHeight="true" outlineLevel="0" collapsed="false">
      <c r="A16" s="2" t="s">
        <v>32</v>
      </c>
      <c r="B16" s="10" t="n">
        <f aca="false">-Inputs!B11*Inputs!B5</f>
        <v>-3600</v>
      </c>
    </row>
    <row r="17" customFormat="false" ht="30" hidden="false" customHeight="true" outlineLevel="0" collapsed="false">
      <c r="A17" s="2" t="s">
        <v>33</v>
      </c>
      <c r="B17" s="11" t="n">
        <f aca="false">B15+B16</f>
        <v>966507.9375</v>
      </c>
    </row>
    <row r="19" customFormat="false" ht="30" hidden="false" customHeight="true" outlineLevel="0" collapsed="false">
      <c r="A19" s="2" t="s">
        <v>34</v>
      </c>
      <c r="B19" s="11" t="n">
        <f aca="false">B15/Inputs!B12</f>
        <v>12517521.7741935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</cols>
  <sheetData>
    <row r="1" customFormat="false" ht="30" hidden="false" customHeight="true" outlineLevel="0" collapsed="false">
      <c r="A1" s="1" t="s">
        <v>35</v>
      </c>
    </row>
    <row r="3" customFormat="false" ht="30" hidden="false" customHeight="true" outlineLevel="0" collapsed="false">
      <c r="A3" s="2" t="s">
        <v>36</v>
      </c>
      <c r="B3" s="12" t="n">
        <f aca="false">Inputs!B15</f>
        <v>0.075</v>
      </c>
    </row>
    <row r="4" customFormat="false" ht="30" hidden="false" customHeight="true" outlineLevel="0" collapsed="false">
      <c r="A4" s="2" t="s">
        <v>37</v>
      </c>
      <c r="B4" s="13" t="n">
        <f aca="false">(B3/12)/(1-(1+B3/12)^(-Inputs!B16))</f>
        <v>0.00699214508552777</v>
      </c>
    </row>
    <row r="5" customFormat="false" ht="30" hidden="false" customHeight="true" outlineLevel="0" collapsed="false">
      <c r="A5" s="2" t="s">
        <v>38</v>
      </c>
      <c r="B5" s="13" t="n">
        <f aca="false">B4*12</f>
        <v>0.0839057410263332</v>
      </c>
    </row>
    <row r="7" customFormat="false" ht="30" hidden="false" customHeight="true" outlineLevel="0" collapsed="false">
      <c r="A7" s="2" t="s">
        <v>39</v>
      </c>
      <c r="B7" s="10" t="n">
        <f aca="false">UW!B19*Inputs!B17</f>
        <v>7510513.06451613</v>
      </c>
    </row>
    <row r="8" customFormat="false" ht="30" hidden="false" customHeight="true" outlineLevel="0" collapsed="false">
      <c r="A8" s="2" t="s">
        <v>40</v>
      </c>
      <c r="B8" s="10" t="n">
        <f aca="false">(UW!B17/Inputs!B18)/B5</f>
        <v>9215178.13372669</v>
      </c>
    </row>
    <row r="9" customFormat="false" ht="30" hidden="false" customHeight="true" outlineLevel="0" collapsed="false">
      <c r="A9" s="2" t="s">
        <v>41</v>
      </c>
      <c r="B9" s="10" t="n">
        <f aca="false">UW!B17/Inputs!B19</f>
        <v>10738977.0833333</v>
      </c>
    </row>
    <row r="11" customFormat="false" ht="30" hidden="false" customHeight="true" outlineLevel="0" collapsed="false">
      <c r="A11" s="2" t="s">
        <v>42</v>
      </c>
      <c r="B11" s="11" t="n">
        <f aca="false">MIN(B7,B8,B9)</f>
        <v>7510513.06451613</v>
      </c>
    </row>
    <row r="12" customFormat="false" ht="30" hidden="false" customHeight="true" outlineLevel="0" collapsed="false">
      <c r="A12" s="2" t="s">
        <v>43</v>
      </c>
      <c r="B12" s="4" t="str">
        <f aca="false">IF(B11=B7,"LTV",IF(B11=B8,"DSCR","Debt yield"))</f>
        <v>LTV</v>
      </c>
    </row>
    <row r="14" customFormat="false" ht="30" hidden="false" customHeight="true" outlineLevel="0" collapsed="false">
      <c r="A14" s="2" t="s">
        <v>44</v>
      </c>
      <c r="B14" s="10" t="n">
        <f aca="false">-B11*Inputs!B20</f>
        <v>-75105.1306451613</v>
      </c>
    </row>
    <row r="15" customFormat="false" ht="30" hidden="false" customHeight="true" outlineLevel="0" collapsed="false">
      <c r="A15" s="2" t="s">
        <v>20</v>
      </c>
      <c r="B15" s="10" t="n">
        <f aca="false">-Inputs!B21</f>
        <v>-45000</v>
      </c>
    </row>
    <row r="16" customFormat="false" ht="30" hidden="false" customHeight="true" outlineLevel="0" collapsed="false">
      <c r="A16" s="2" t="s">
        <v>21</v>
      </c>
      <c r="B16" s="10" t="n">
        <f aca="false">-Inputs!B22</f>
        <v>-6500000</v>
      </c>
    </row>
    <row r="17" customFormat="false" ht="30" hidden="false" customHeight="true" outlineLevel="0" collapsed="false">
      <c r="A17" s="2" t="s">
        <v>45</v>
      </c>
      <c r="B17" s="11" t="n">
        <f aca="false">B11+B14+B15+B16</f>
        <v>890407.933870967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8"/>
  </cols>
  <sheetData>
    <row r="1" customFormat="false" ht="30" hidden="false" customHeight="true" outlineLevel="0" collapsed="false">
      <c r="A1" s="1" t="s">
        <v>46</v>
      </c>
    </row>
    <row r="3" customFormat="false" ht="30" hidden="false" customHeight="true" outlineLevel="0" collapsed="false">
      <c r="A3" s="2" t="s">
        <v>47</v>
      </c>
      <c r="B3" s="14" t="n">
        <v>0.0675</v>
      </c>
      <c r="C3" s="14" t="n">
        <v>0.07</v>
      </c>
      <c r="D3" s="14" t="n">
        <v>0.0725</v>
      </c>
      <c r="E3" s="14" t="n">
        <v>0.075</v>
      </c>
      <c r="F3" s="14" t="n">
        <v>0.0775</v>
      </c>
    </row>
    <row r="4" customFormat="false" ht="30" hidden="false" customHeight="true" outlineLevel="0" collapsed="false">
      <c r="A4" s="14" t="n">
        <v>0.0725</v>
      </c>
      <c r="B4" s="10" t="n">
        <f aca="false">MIN(UW!$B$15/$A4*Inputs!$B$17, (UW!$B$17/Inputs!$B$18)/((B$3/12)/(1-(1+B$3/12)^(-Inputs!$B$16))*12), UW!$B$17/Inputs!$B$19)</f>
        <v>8028479.48275862</v>
      </c>
      <c r="C4" s="10" t="n">
        <f aca="false">MIN(UW!$B$15/$A4*Inputs!$B$17, (UW!$B$17/Inputs!$B$18)/((C$3/12)/(1-(1+C$3/12)^(-Inputs!$B$16))*12), UW!$B$17/Inputs!$B$19)</f>
        <v>8028479.48275862</v>
      </c>
      <c r="D4" s="10" t="n">
        <f aca="false">MIN(UW!$B$15/$A4*Inputs!$B$17, (UW!$B$17/Inputs!$B$18)/((D$3/12)/(1-(1+D$3/12)^(-Inputs!$B$16))*12), UW!$B$17/Inputs!$B$19)</f>
        <v>8028479.48275862</v>
      </c>
      <c r="E4" s="10" t="n">
        <f aca="false">MIN(UW!$B$15/$A4*Inputs!$B$17, (UW!$B$17/Inputs!$B$18)/((E$3/12)/(1-(1+E$3/12)^(-Inputs!$B$16))*12), UW!$B$17/Inputs!$B$19)</f>
        <v>8028479.48275862</v>
      </c>
      <c r="F4" s="10" t="n">
        <f aca="false">MIN(UW!$B$15/$A4*Inputs!$B$17, (UW!$B$17/Inputs!$B$18)/((F$3/12)/(1-(1+F$3/12)^(-Inputs!$B$16))*12), UW!$B$17/Inputs!$B$19)</f>
        <v>8028479.48275862</v>
      </c>
    </row>
    <row r="5" customFormat="false" ht="30" hidden="false" customHeight="true" outlineLevel="0" collapsed="false">
      <c r="A5" s="14" t="n">
        <v>0.075</v>
      </c>
      <c r="B5" s="10" t="n">
        <f aca="false">MIN(UW!$B$15/$A5*Inputs!$B$17, (UW!$B$17/Inputs!$B$18)/((B$3/12)/(1-(1+B$3/12)^(-Inputs!$B$16))*12), UW!$B$17/Inputs!$B$19)</f>
        <v>7760863.5</v>
      </c>
      <c r="C5" s="10" t="n">
        <f aca="false">MIN(UW!$B$15/$A5*Inputs!$B$17, (UW!$B$17/Inputs!$B$18)/((C$3/12)/(1-(1+C$3/12)^(-Inputs!$B$16))*12), UW!$B$17/Inputs!$B$19)</f>
        <v>7760863.5</v>
      </c>
      <c r="D5" s="10" t="n">
        <f aca="false">MIN(UW!$B$15/$A5*Inputs!$B$17, (UW!$B$17/Inputs!$B$18)/((D$3/12)/(1-(1+D$3/12)^(-Inputs!$B$16))*12), UW!$B$17/Inputs!$B$19)</f>
        <v>7760863.5</v>
      </c>
      <c r="E5" s="10" t="n">
        <f aca="false">MIN(UW!$B$15/$A5*Inputs!$B$17, (UW!$B$17/Inputs!$B$18)/((E$3/12)/(1-(1+E$3/12)^(-Inputs!$B$16))*12), UW!$B$17/Inputs!$B$19)</f>
        <v>7760863.5</v>
      </c>
      <c r="F5" s="10" t="n">
        <f aca="false">MIN(UW!$B$15/$A5*Inputs!$B$17, (UW!$B$17/Inputs!$B$18)/((F$3/12)/(1-(1+F$3/12)^(-Inputs!$B$16))*12), UW!$B$17/Inputs!$B$19)</f>
        <v>7760863.5</v>
      </c>
    </row>
    <row r="6" customFormat="false" ht="30" hidden="false" customHeight="true" outlineLevel="0" collapsed="false">
      <c r="A6" s="14" t="n">
        <v>0.0775</v>
      </c>
      <c r="B6" s="10" t="n">
        <f aca="false">MIN(UW!$B$15/$A6*Inputs!$B$17, (UW!$B$17/Inputs!$B$18)/((B$3/12)/(1-(1+B$3/12)^(-Inputs!$B$16))*12), UW!$B$17/Inputs!$B$19)</f>
        <v>7510513.06451613</v>
      </c>
      <c r="C6" s="10" t="n">
        <f aca="false">MIN(UW!$B$15/$A6*Inputs!$B$17, (UW!$B$17/Inputs!$B$18)/((C$3/12)/(1-(1+C$3/12)^(-Inputs!$B$16))*12), UW!$B$17/Inputs!$B$19)</f>
        <v>7510513.06451613</v>
      </c>
      <c r="D6" s="10" t="n">
        <f aca="false">MIN(UW!$B$15/$A6*Inputs!$B$17, (UW!$B$17/Inputs!$B$18)/((D$3/12)/(1-(1+D$3/12)^(-Inputs!$B$16))*12), UW!$B$17/Inputs!$B$19)</f>
        <v>7510513.06451613</v>
      </c>
      <c r="E6" s="10" t="n">
        <f aca="false">MIN(UW!$B$15/$A6*Inputs!$B$17, (UW!$B$17/Inputs!$B$18)/((E$3/12)/(1-(1+E$3/12)^(-Inputs!$B$16))*12), UW!$B$17/Inputs!$B$19)</f>
        <v>7510513.06451613</v>
      </c>
      <c r="F6" s="10" t="n">
        <f aca="false">MIN(UW!$B$15/$A6*Inputs!$B$17, (UW!$B$17/Inputs!$B$18)/((F$3/12)/(1-(1+F$3/12)^(-Inputs!$B$16))*12), UW!$B$17/Inputs!$B$19)</f>
        <v>7510513.06451613</v>
      </c>
    </row>
    <row r="7" customFormat="false" ht="30" hidden="false" customHeight="true" outlineLevel="0" collapsed="false">
      <c r="A7" s="14" t="n">
        <v>0.08</v>
      </c>
      <c r="B7" s="10" t="n">
        <f aca="false">MIN(UW!$B$15/$A7*Inputs!$B$17, (UW!$B$17/Inputs!$B$18)/((B$3/12)/(1-(1+B$3/12)^(-Inputs!$B$16))*12), UW!$B$17/Inputs!$B$19)</f>
        <v>7275809.53125</v>
      </c>
      <c r="C7" s="10" t="n">
        <f aca="false">MIN(UW!$B$15/$A7*Inputs!$B$17, (UW!$B$17/Inputs!$B$18)/((C$3/12)/(1-(1+C$3/12)^(-Inputs!$B$16))*12), UW!$B$17/Inputs!$B$19)</f>
        <v>7275809.53125</v>
      </c>
      <c r="D7" s="10" t="n">
        <f aca="false">MIN(UW!$B$15/$A7*Inputs!$B$17, (UW!$B$17/Inputs!$B$18)/((D$3/12)/(1-(1+D$3/12)^(-Inputs!$B$16))*12), UW!$B$17/Inputs!$B$19)</f>
        <v>7275809.53125</v>
      </c>
      <c r="E7" s="10" t="n">
        <f aca="false">MIN(UW!$B$15/$A7*Inputs!$B$17, (UW!$B$17/Inputs!$B$18)/((E$3/12)/(1-(1+E$3/12)^(-Inputs!$B$16))*12), UW!$B$17/Inputs!$B$19)</f>
        <v>7275809.53125</v>
      </c>
      <c r="F7" s="10" t="n">
        <f aca="false">MIN(UW!$B$15/$A7*Inputs!$B$17, (UW!$B$17/Inputs!$B$18)/((F$3/12)/(1-(1+F$3/12)^(-Inputs!$B$16))*12), UW!$B$17/Inputs!$B$19)</f>
        <v>7275809.53125</v>
      </c>
    </row>
    <row r="8" customFormat="false" ht="30" hidden="false" customHeight="true" outlineLevel="0" collapsed="false">
      <c r="A8" s="14" t="n">
        <v>0.0825</v>
      </c>
      <c r="B8" s="10" t="n">
        <f aca="false">MIN(UW!$B$15/$A8*Inputs!$B$17, (UW!$B$17/Inputs!$B$18)/((B$3/12)/(1-(1+B$3/12)^(-Inputs!$B$16))*12), UW!$B$17/Inputs!$B$19)</f>
        <v>7055330.45454545</v>
      </c>
      <c r="C8" s="10" t="n">
        <f aca="false">MIN(UW!$B$15/$A8*Inputs!$B$17, (UW!$B$17/Inputs!$B$18)/((C$3/12)/(1-(1+C$3/12)^(-Inputs!$B$16))*12), UW!$B$17/Inputs!$B$19)</f>
        <v>7055330.45454545</v>
      </c>
      <c r="D8" s="10" t="n">
        <f aca="false">MIN(UW!$B$15/$A8*Inputs!$B$17, (UW!$B$17/Inputs!$B$18)/((D$3/12)/(1-(1+D$3/12)^(-Inputs!$B$16))*12), UW!$B$17/Inputs!$B$19)</f>
        <v>7055330.45454545</v>
      </c>
      <c r="E8" s="10" t="n">
        <f aca="false">MIN(UW!$B$15/$A8*Inputs!$B$17, (UW!$B$17/Inputs!$B$18)/((E$3/12)/(1-(1+E$3/12)^(-Inputs!$B$16))*12), UW!$B$17/Inputs!$B$19)</f>
        <v>7055330.45454545</v>
      </c>
      <c r="F8" s="10" t="n">
        <f aca="false">MIN(UW!$B$15/$A8*Inputs!$B$17, (UW!$B$17/Inputs!$B$18)/((F$3/12)/(1-(1+F$3/12)^(-Inputs!$B$16))*12), UW!$B$17/Inputs!$B$19)</f>
        <v>7055330.45454545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5"/>
    <col collapsed="false" customWidth="true" hidden="false" outlineLevel="0" max="3" min="3" style="0" width="30"/>
  </cols>
  <sheetData>
    <row r="1" customFormat="false" ht="30" hidden="false" customHeight="true" outlineLevel="0" collapsed="false">
      <c r="A1" s="1" t="s">
        <v>48</v>
      </c>
    </row>
    <row r="3" customFormat="false" ht="30" hidden="false" customHeight="true" outlineLevel="0" collapsed="false">
      <c r="A3" s="2" t="s">
        <v>49</v>
      </c>
      <c r="B3" s="2" t="s">
        <v>50</v>
      </c>
      <c r="C3" s="2" t="s">
        <v>51</v>
      </c>
    </row>
    <row r="4" customFormat="false" ht="30" hidden="false" customHeight="true" outlineLevel="0" collapsed="false">
      <c r="A4" s="4" t="s">
        <v>52</v>
      </c>
      <c r="B4" s="4" t="s">
        <v>53</v>
      </c>
      <c r="C4" s="4" t="s">
        <v>54</v>
      </c>
    </row>
    <row r="5" customFormat="false" ht="30" hidden="false" customHeight="true" outlineLevel="0" collapsed="false">
      <c r="A5" s="4" t="s">
        <v>55</v>
      </c>
      <c r="B5" s="4" t="s">
        <v>56</v>
      </c>
      <c r="C5" s="4" t="s">
        <v>57</v>
      </c>
    </row>
    <row r="6" customFormat="false" ht="30" hidden="false" customHeight="true" outlineLevel="0" collapsed="false">
      <c r="A6" s="4" t="s">
        <v>58</v>
      </c>
      <c r="B6" s="4" t="s">
        <v>59</v>
      </c>
      <c r="C6" s="4" t="s">
        <v>60</v>
      </c>
    </row>
    <row r="7" customFormat="false" ht="30" hidden="false" customHeight="true" outlineLevel="0" collapsed="false">
      <c r="A7" s="4" t="s">
        <v>61</v>
      </c>
      <c r="B7" s="4" t="s">
        <v>62</v>
      </c>
      <c r="C7" s="4" t="s">
        <v>60</v>
      </c>
    </row>
    <row r="8" customFormat="false" ht="30" hidden="false" customHeight="true" outlineLevel="0" collapsed="false">
      <c r="A8" s="4" t="s">
        <v>63</v>
      </c>
      <c r="B8" s="4" t="s">
        <v>64</v>
      </c>
      <c r="C8" s="4" t="s">
        <v>57</v>
      </c>
    </row>
    <row r="9" customFormat="false" ht="30" hidden="false" customHeight="true" outlineLevel="0" collapsed="false">
      <c r="A9" s="4" t="s">
        <v>65</v>
      </c>
      <c r="B9" s="4" t="s">
        <v>66</v>
      </c>
      <c r="C9" s="4" t="s">
        <v>57</v>
      </c>
    </row>
    <row r="10" customFormat="false" ht="30" hidden="false" customHeight="true" outlineLevel="0" collapsed="false">
      <c r="A10" s="4" t="s">
        <v>67</v>
      </c>
      <c r="B10" s="4" t="s">
        <v>68</v>
      </c>
      <c r="C10" s="4" t="s">
        <v>57</v>
      </c>
    </row>
    <row r="11" customFormat="false" ht="30" hidden="false" customHeight="true" outlineLevel="0" collapsed="false">
      <c r="A11" s="4" t="s">
        <v>69</v>
      </c>
      <c r="B11" s="4" t="s">
        <v>70</v>
      </c>
      <c r="C11" s="4" t="s">
        <v>57</v>
      </c>
    </row>
    <row r="12" customFormat="false" ht="30" hidden="false" customHeight="true" outlineLevel="0" collapsed="false">
      <c r="A12" s="4" t="s">
        <v>71</v>
      </c>
      <c r="B12" s="4" t="s">
        <v>72</v>
      </c>
      <c r="C12" s="4" t="s">
        <v>57</v>
      </c>
    </row>
    <row r="13" customFormat="false" ht="30" hidden="false" customHeight="true" outlineLevel="0" collapsed="false">
      <c r="A13" s="4" t="s">
        <v>73</v>
      </c>
      <c r="B13" s="4" t="s">
        <v>74</v>
      </c>
      <c r="C13" s="4" t="s">
        <v>57</v>
      </c>
    </row>
    <row r="14" customFormat="false" ht="30" hidden="false" customHeight="true" outlineLevel="0" collapsed="false">
      <c r="A14" s="4" t="s">
        <v>75</v>
      </c>
      <c r="B14" s="4" t="s">
        <v>76</v>
      </c>
      <c r="C14" s="4" t="s">
        <v>57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2026-09-07T13:33:58Z</dcterms:created>
  <dc:creator>openpyxl</dc:creator>
  <dc:description/>
  <dc:language>en-US</dc:language>
  <cp:lastModifiedBy/>
  <dcterms:modified xsi:type="dcterms:W3CDTF">2026-09-07T14:06:17Z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