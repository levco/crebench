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UW" sheetId="2" state="visible" r:id="rId2"/>
    <sheet xmlns:r="http://schemas.openxmlformats.org/officeDocument/2006/relationships" name="Debt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00%"/>
    <numFmt numFmtId="166" formatCode="0.00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1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40" customWidth="1" min="3" max="3"/>
  </cols>
  <sheetData>
    <row r="1" ht="30" customHeight="1">
      <c r="A1" s="1" t="inlineStr">
        <is>
          <t>Beacon Plaza — Underwriting Inputs</t>
        </is>
      </c>
    </row>
    <row r="3" ht="30" customHeight="1">
      <c r="A3" s="2" t="inlineStr">
        <is>
          <t>Gross potential rent (annual, all suites)</t>
        </is>
      </c>
      <c r="B3" s="3" t="n">
        <v>1618800</v>
      </c>
      <c r="C3" s="4" t="inlineStr">
        <is>
          <t>Certified roll monthly rents ×12 (before Suite 001 amendment; per instructions)</t>
        </is>
      </c>
    </row>
    <row r="4" ht="30" customHeight="1">
      <c r="A4" s="2" t="inlineStr">
        <is>
          <t>Other income per unit (annual)</t>
        </is>
      </c>
      <c r="B4" s="3" t="n">
        <v>350</v>
      </c>
    </row>
    <row r="5" ht="30" customHeight="1">
      <c r="A5" s="2" t="inlineStr">
        <is>
          <t>Unit count</t>
        </is>
      </c>
      <c r="B5" s="5" t="n">
        <v>12</v>
      </c>
    </row>
    <row r="6" ht="30" customHeight="1">
      <c r="A6" s="2" t="inlineStr">
        <is>
          <t>Economic loss %</t>
        </is>
      </c>
      <c r="B6" s="6" t="n">
        <v>0.05</v>
      </c>
    </row>
    <row r="7" ht="30" customHeight="1">
      <c r="A7" s="2" t="inlineStr">
        <is>
          <t>Real estate tax</t>
        </is>
      </c>
      <c r="B7" s="3" t="n">
        <v>169974</v>
      </c>
    </row>
    <row r="8" ht="30" customHeight="1">
      <c r="A8" s="2" t="inlineStr">
        <is>
          <t>Insurance expense</t>
        </is>
      </c>
      <c r="B8" s="3" t="n">
        <v>56658</v>
      </c>
    </row>
    <row r="9" ht="30" customHeight="1">
      <c r="A9" s="2" t="inlineStr">
        <is>
          <t>Other recurring opex</t>
        </is>
      </c>
      <c r="B9" s="3" t="n">
        <v>226632</v>
      </c>
    </row>
    <row r="10" ht="30" customHeight="1">
      <c r="A10" s="2" t="inlineStr">
        <is>
          <t>Management fee % of EGI</t>
        </is>
      </c>
      <c r="B10" s="6" t="n">
        <v>0.03</v>
      </c>
    </row>
    <row r="11" ht="30" customHeight="1">
      <c r="A11" s="2" t="inlineStr">
        <is>
          <t>Replacement reserve per unit</t>
        </is>
      </c>
      <c r="B11" s="3" t="n">
        <v>300</v>
      </c>
    </row>
    <row r="12" ht="30" customHeight="1">
      <c r="A12" s="2" t="inlineStr">
        <is>
          <t>Cap rate</t>
        </is>
      </c>
      <c r="B12" s="7" t="n">
        <v>0.075</v>
      </c>
    </row>
    <row r="13" ht="30" customHeight="1">
      <c r="A13" s="2" t="inlineStr">
        <is>
          <t>Note rate</t>
        </is>
      </c>
      <c r="B13" s="7" t="n">
        <v>0.0675</v>
      </c>
    </row>
    <row r="14" ht="30" customHeight="1">
      <c r="A14" s="2" t="inlineStr">
        <is>
          <t>UW rate floor</t>
        </is>
      </c>
      <c r="B14" s="7" t="n">
        <v>0.06</v>
      </c>
    </row>
    <row r="15" ht="30" customHeight="1">
      <c r="A15" s="2" t="inlineStr">
        <is>
          <t>Sizing rate (greater of above)</t>
        </is>
      </c>
      <c r="B15" s="8">
        <f>MAX(B13,B14)</f>
        <v/>
      </c>
    </row>
    <row r="16" ht="30" customHeight="1">
      <c r="A16" s="2" t="inlineStr">
        <is>
          <t>Amortization (months)</t>
        </is>
      </c>
      <c r="B16" s="5" t="n">
        <v>360</v>
      </c>
    </row>
    <row r="17" ht="30" customHeight="1">
      <c r="A17" s="2" t="inlineStr">
        <is>
          <t>Max LTV</t>
        </is>
      </c>
      <c r="B17" s="6" t="n">
        <v>0.6</v>
      </c>
    </row>
    <row r="18" ht="30" customHeight="1">
      <c r="A18" s="2" t="inlineStr">
        <is>
          <t>Min DSCR</t>
        </is>
      </c>
      <c r="B18" s="9" t="n">
        <v>1.25</v>
      </c>
    </row>
    <row r="19" ht="30" customHeight="1">
      <c r="A19" s="2" t="inlineStr">
        <is>
          <t>Min debt yield</t>
        </is>
      </c>
      <c r="B19" s="6" t="n">
        <v>0.09</v>
      </c>
    </row>
    <row r="20" ht="30" customHeight="1">
      <c r="A20" s="2" t="inlineStr">
        <is>
          <t>Origination fee %</t>
        </is>
      </c>
      <c r="B20" s="6" t="n">
        <v>0.01</v>
      </c>
    </row>
    <row r="21" ht="30" customHeight="1">
      <c r="A21" s="2" t="inlineStr">
        <is>
          <t>Closing costs</t>
        </is>
      </c>
      <c r="B21" s="3" t="n">
        <v>45000</v>
      </c>
    </row>
    <row r="22" ht="30" customHeight="1">
      <c r="A22" s="2" t="inlineStr">
        <is>
          <t>Existing payoff</t>
        </is>
      </c>
      <c r="B22" s="3" t="n">
        <v>6500000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</cols>
  <sheetData>
    <row r="1" ht="30" customHeight="1">
      <c r="A1" s="1" t="inlineStr">
        <is>
          <t>Underwriting</t>
        </is>
      </c>
    </row>
    <row r="3" ht="30" customHeight="1">
      <c r="A3" s="2" t="inlineStr">
        <is>
          <t>Gross potential rent</t>
        </is>
      </c>
      <c r="B3" s="10">
        <f>Inputs!B3</f>
        <v/>
      </c>
    </row>
    <row r="4" ht="30" customHeight="1">
      <c r="A4" s="2" t="inlineStr">
        <is>
          <t>Other income</t>
        </is>
      </c>
      <c r="B4" s="10">
        <f>Inputs!B4*Inputs!B5</f>
        <v/>
      </c>
    </row>
    <row r="5" ht="30" customHeight="1">
      <c r="A5" s="2" t="inlineStr">
        <is>
          <t>Gross income</t>
        </is>
      </c>
      <c r="B5" s="11">
        <f>B3+B4</f>
        <v/>
      </c>
    </row>
    <row r="6" ht="30" customHeight="1">
      <c r="A6" s="2" t="inlineStr">
        <is>
          <t>Economic loss</t>
        </is>
      </c>
      <c r="B6" s="10">
        <f>-B5*Inputs!B6</f>
        <v/>
      </c>
    </row>
    <row r="7" ht="30" customHeight="1">
      <c r="A7" s="2" t="inlineStr">
        <is>
          <t>Underwritten EGI</t>
        </is>
      </c>
      <c r="B7" s="11">
        <f>B5+B6</f>
        <v/>
      </c>
    </row>
    <row r="9" ht="30" customHeight="1">
      <c r="A9" s="2" t="inlineStr">
        <is>
          <t>Real estate tax</t>
        </is>
      </c>
      <c r="B9" s="10">
        <f>-Inputs!B7</f>
        <v/>
      </c>
    </row>
    <row r="10" ht="30" customHeight="1">
      <c r="A10" s="2" t="inlineStr">
        <is>
          <t>Insurance</t>
        </is>
      </c>
      <c r="B10" s="10">
        <f>-Inputs!B8</f>
        <v/>
      </c>
    </row>
    <row r="11" ht="30" customHeight="1">
      <c r="A11" s="2" t="inlineStr">
        <is>
          <t>Other recurring opex</t>
        </is>
      </c>
      <c r="B11" s="10">
        <f>-Inputs!B9</f>
        <v/>
      </c>
    </row>
    <row r="12" ht="30" customHeight="1">
      <c r="A12" s="2" t="inlineStr">
        <is>
          <t>Management fee</t>
        </is>
      </c>
      <c r="B12" s="10">
        <f>-B7*Inputs!B10</f>
        <v/>
      </c>
    </row>
    <row r="13" ht="30" customHeight="1">
      <c r="A13" s="2" t="inlineStr">
        <is>
          <t>Total operating expenses</t>
        </is>
      </c>
      <c r="B13" s="11">
        <f>SUM(B9:B12)</f>
        <v/>
      </c>
    </row>
    <row r="15" ht="30" customHeight="1">
      <c r="A15" s="2" t="inlineStr">
        <is>
          <t>Underwritten NOI (before reserves)</t>
        </is>
      </c>
      <c r="B15" s="11">
        <f>B7+B13</f>
        <v/>
      </c>
    </row>
    <row r="16" ht="30" customHeight="1">
      <c r="A16" s="2" t="inlineStr">
        <is>
          <t>Replacement reserves</t>
        </is>
      </c>
      <c r="B16" s="10">
        <f>-Inputs!B11*Inputs!B5</f>
        <v/>
      </c>
    </row>
    <row r="17" ht="30" customHeight="1">
      <c r="A17" s="2" t="inlineStr">
        <is>
          <t>Underwritten NCF</t>
        </is>
      </c>
      <c r="B17" s="11">
        <f>B15+B16</f>
        <v/>
      </c>
    </row>
    <row r="19" ht="30" customHeight="1">
      <c r="A19" s="2" t="inlineStr">
        <is>
          <t>Capitalization value (NOI / cap)</t>
        </is>
      </c>
      <c r="B19" s="11">
        <f>B15/Inputs!B12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</cols>
  <sheetData>
    <row r="1" ht="30" customHeight="1">
      <c r="A1" s="1" t="inlineStr">
        <is>
          <t>Debt sizing</t>
        </is>
      </c>
    </row>
    <row r="3" ht="30" customHeight="1">
      <c r="A3" s="2" t="inlineStr">
        <is>
          <t>Sizing rate</t>
        </is>
      </c>
      <c r="B3" s="12">
        <f>Inputs!B15</f>
        <v/>
      </c>
    </row>
    <row r="4" ht="30" customHeight="1">
      <c r="A4" s="2" t="inlineStr">
        <is>
          <t>Monthly constant</t>
        </is>
      </c>
      <c r="B4" s="13">
        <f>(B3/12)/(1-(1+B3/12)^(-Inputs!B16))</f>
        <v/>
      </c>
    </row>
    <row r="5" ht="30" customHeight="1">
      <c r="A5" s="2" t="inlineStr">
        <is>
          <t>Annual constant</t>
        </is>
      </c>
      <c r="B5" s="13">
        <f>B4*12</f>
        <v/>
      </c>
    </row>
    <row r="7" ht="30" customHeight="1">
      <c r="A7" s="2" t="inlineStr">
        <is>
          <t>LTV-constrained loan</t>
        </is>
      </c>
      <c r="B7" s="10">
        <f>UW!B19*Inputs!B17</f>
        <v/>
      </c>
    </row>
    <row r="8" ht="30" customHeight="1">
      <c r="A8" s="2" t="inlineStr">
        <is>
          <t>DSCR-constrained loan</t>
        </is>
      </c>
      <c r="B8" s="10">
        <f>(UW!B17/Inputs!B18)/B5</f>
        <v/>
      </c>
    </row>
    <row r="9" ht="30" customHeight="1">
      <c r="A9" s="2" t="inlineStr">
        <is>
          <t>Debt-yield-constrained loan</t>
        </is>
      </c>
      <c r="B9" s="10">
        <f>UW!B17/Inputs!B19</f>
        <v/>
      </c>
    </row>
    <row r="11" ht="30" customHeight="1">
      <c r="A11" s="2" t="inlineStr">
        <is>
          <t>Maximum loan</t>
        </is>
      </c>
      <c r="B11" s="11">
        <f>MIN(B7,B8,B9)</f>
        <v/>
      </c>
    </row>
    <row r="12" ht="30" customHeight="1">
      <c r="A12" s="2" t="inlineStr">
        <is>
          <t>Binding constraint</t>
        </is>
      </c>
      <c r="B12" s="4">
        <f>IF(B11=B7,"LTV",IF(B11=B8,"DSCR","Debt yield"))</f>
        <v/>
      </c>
    </row>
    <row r="14" ht="30" customHeight="1">
      <c r="A14" s="2" t="inlineStr">
        <is>
          <t>Origination fee</t>
        </is>
      </c>
      <c r="B14" s="10">
        <f>-B11*Inputs!B20</f>
        <v/>
      </c>
    </row>
    <row r="15" ht="30" customHeight="1">
      <c r="A15" s="2" t="inlineStr">
        <is>
          <t>Closing costs</t>
        </is>
      </c>
      <c r="B15" s="10">
        <f>-Inputs!B21</f>
        <v/>
      </c>
    </row>
    <row r="16" ht="30" customHeight="1">
      <c r="A16" s="2" t="inlineStr">
        <is>
          <t>Existing payoff</t>
        </is>
      </c>
      <c r="B16" s="10">
        <f>-Inputs!B22</f>
        <v/>
      </c>
    </row>
    <row r="17" ht="30" customHeight="1">
      <c r="A17" s="2" t="inlineStr">
        <is>
          <t>Net cash-out to sponsor</t>
        </is>
      </c>
      <c r="B17" s="11">
        <f>B11+B14+B15+B16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Max loan sensitivity — cap rate (rows) × sizing rate (cols)</t>
        </is>
      </c>
    </row>
    <row r="3" ht="30" customHeight="1">
      <c r="A3" s="2" t="inlineStr">
        <is>
          <t>Cap \ Sizing</t>
        </is>
      </c>
      <c r="B3" s="14" t="n">
        <v>0.06</v>
      </c>
      <c r="C3" s="14" t="n">
        <v>0.0625</v>
      </c>
      <c r="D3" s="14" t="n">
        <v>0.065</v>
      </c>
      <c r="E3" s="14" t="n">
        <v>0.0675</v>
      </c>
      <c r="F3" s="14" t="n">
        <v>0.07000000000000001</v>
      </c>
    </row>
    <row r="4" ht="30" customHeight="1">
      <c r="A4" s="14" t="n">
        <v>0.07000000000000001</v>
      </c>
      <c r="B4" s="10">
        <f>MIN(UW!$B$15/$A4*Inputs!$B$17, (UW!$B$17/Inputs!$B$18)/((B$3/12)/(1-(1+B$3/12)^(-Inputs!$B$16))*12), UW!$B$17/Inputs!$B$19)</f>
        <v/>
      </c>
      <c r="C4" s="10">
        <f>MIN(UW!$B$15/$A4*Inputs!$B$17, (UW!$B$17/Inputs!$B$18)/((C$3/12)/(1-(1+C$3/12)^(-Inputs!$B$16))*12), UW!$B$17/Inputs!$B$19)</f>
        <v/>
      </c>
      <c r="D4" s="10">
        <f>MIN(UW!$B$15/$A4*Inputs!$B$17, (UW!$B$17/Inputs!$B$18)/((D$3/12)/(1-(1+D$3/12)^(-Inputs!$B$16))*12), UW!$B$17/Inputs!$B$19)</f>
        <v/>
      </c>
      <c r="E4" s="10">
        <f>MIN(UW!$B$15/$A4*Inputs!$B$17, (UW!$B$17/Inputs!$B$18)/((E$3/12)/(1-(1+E$3/12)^(-Inputs!$B$16))*12), UW!$B$17/Inputs!$B$19)</f>
        <v/>
      </c>
      <c r="F4" s="10">
        <f>MIN(UW!$B$15/$A4*Inputs!$B$17, (UW!$B$17/Inputs!$B$18)/((F$3/12)/(1-(1+F$3/12)^(-Inputs!$B$16))*12), UW!$B$17/Inputs!$B$19)</f>
        <v/>
      </c>
    </row>
    <row r="5" ht="30" customHeight="1">
      <c r="A5" s="14" t="n">
        <v>0.0725</v>
      </c>
      <c r="B5" s="10">
        <f>MIN(UW!$B$15/$A5*Inputs!$B$17, (UW!$B$17/Inputs!$B$18)/((B$3/12)/(1-(1+B$3/12)^(-Inputs!$B$16))*12), UW!$B$17/Inputs!$B$19)</f>
        <v/>
      </c>
      <c r="C5" s="10">
        <f>MIN(UW!$B$15/$A5*Inputs!$B$17, (UW!$B$17/Inputs!$B$18)/((C$3/12)/(1-(1+C$3/12)^(-Inputs!$B$16))*12), UW!$B$17/Inputs!$B$19)</f>
        <v/>
      </c>
      <c r="D5" s="10">
        <f>MIN(UW!$B$15/$A5*Inputs!$B$17, (UW!$B$17/Inputs!$B$18)/((D$3/12)/(1-(1+D$3/12)^(-Inputs!$B$16))*12), UW!$B$17/Inputs!$B$19)</f>
        <v/>
      </c>
      <c r="E5" s="10">
        <f>MIN(UW!$B$15/$A5*Inputs!$B$17, (UW!$B$17/Inputs!$B$18)/((E$3/12)/(1-(1+E$3/12)^(-Inputs!$B$16))*12), UW!$B$17/Inputs!$B$19)</f>
        <v/>
      </c>
      <c r="F5" s="10">
        <f>MIN(UW!$B$15/$A5*Inputs!$B$17, (UW!$B$17/Inputs!$B$18)/((F$3/12)/(1-(1+F$3/12)^(-Inputs!$B$16))*12), UW!$B$17/Inputs!$B$19)</f>
        <v/>
      </c>
    </row>
    <row r="6" ht="30" customHeight="1">
      <c r="A6" s="14" t="n">
        <v>0.075</v>
      </c>
      <c r="B6" s="10">
        <f>MIN(UW!$B$15/$A6*Inputs!$B$17, (UW!$B$17/Inputs!$B$18)/((B$3/12)/(1-(1+B$3/12)^(-Inputs!$B$16))*12), UW!$B$17/Inputs!$B$19)</f>
        <v/>
      </c>
      <c r="C6" s="10">
        <f>MIN(UW!$B$15/$A6*Inputs!$B$17, (UW!$B$17/Inputs!$B$18)/((C$3/12)/(1-(1+C$3/12)^(-Inputs!$B$16))*12), UW!$B$17/Inputs!$B$19)</f>
        <v/>
      </c>
      <c r="D6" s="10">
        <f>MIN(UW!$B$15/$A6*Inputs!$B$17, (UW!$B$17/Inputs!$B$18)/((D$3/12)/(1-(1+D$3/12)^(-Inputs!$B$16))*12), UW!$B$17/Inputs!$B$19)</f>
        <v/>
      </c>
      <c r="E6" s="10">
        <f>MIN(UW!$B$15/$A6*Inputs!$B$17, (UW!$B$17/Inputs!$B$18)/((E$3/12)/(1-(1+E$3/12)^(-Inputs!$B$16))*12), UW!$B$17/Inputs!$B$19)</f>
        <v/>
      </c>
      <c r="F6" s="10">
        <f>MIN(UW!$B$15/$A6*Inputs!$B$17, (UW!$B$17/Inputs!$B$18)/((F$3/12)/(1-(1+F$3/12)^(-Inputs!$B$16))*12), UW!$B$17/Inputs!$B$19)</f>
        <v/>
      </c>
    </row>
    <row r="7" ht="30" customHeight="1">
      <c r="A7" s="14" t="n">
        <v>0.0775</v>
      </c>
      <c r="B7" s="10">
        <f>MIN(UW!$B$15/$A7*Inputs!$B$17, (UW!$B$17/Inputs!$B$18)/((B$3/12)/(1-(1+B$3/12)^(-Inputs!$B$16))*12), UW!$B$17/Inputs!$B$19)</f>
        <v/>
      </c>
      <c r="C7" s="10">
        <f>MIN(UW!$B$15/$A7*Inputs!$B$17, (UW!$B$17/Inputs!$B$18)/((C$3/12)/(1-(1+C$3/12)^(-Inputs!$B$16))*12), UW!$B$17/Inputs!$B$19)</f>
        <v/>
      </c>
      <c r="D7" s="10">
        <f>MIN(UW!$B$15/$A7*Inputs!$B$17, (UW!$B$17/Inputs!$B$18)/((D$3/12)/(1-(1+D$3/12)^(-Inputs!$B$16))*12), UW!$B$17/Inputs!$B$19)</f>
        <v/>
      </c>
      <c r="E7" s="10">
        <f>MIN(UW!$B$15/$A7*Inputs!$B$17, (UW!$B$17/Inputs!$B$18)/((E$3/12)/(1-(1+E$3/12)^(-Inputs!$B$16))*12), UW!$B$17/Inputs!$B$19)</f>
        <v/>
      </c>
      <c r="F7" s="10">
        <f>MIN(UW!$B$15/$A7*Inputs!$B$17, (UW!$B$17/Inputs!$B$18)/((F$3/12)/(1-(1+F$3/12)^(-Inputs!$B$16))*12), UW!$B$17/Inputs!$B$19)</f>
        <v/>
      </c>
    </row>
    <row r="8" ht="30" customHeight="1">
      <c r="A8" s="14" t="n">
        <v>0.08</v>
      </c>
      <c r="B8" s="10">
        <f>MIN(UW!$B$15/$A8*Inputs!$B$17, (UW!$B$17/Inputs!$B$18)/((B$3/12)/(1-(1+B$3/12)^(-Inputs!$B$16))*12), UW!$B$17/Inputs!$B$19)</f>
        <v/>
      </c>
      <c r="C8" s="10">
        <f>MIN(UW!$B$15/$A8*Inputs!$B$17, (UW!$B$17/Inputs!$B$18)/((C$3/12)/(1-(1+C$3/12)^(-Inputs!$B$16))*12), UW!$B$17/Inputs!$B$19)</f>
        <v/>
      </c>
      <c r="D8" s="10">
        <f>MIN(UW!$B$15/$A8*Inputs!$B$17, (UW!$B$17/Inputs!$B$18)/((D$3/12)/(1-(1+D$3/12)^(-Inputs!$B$16))*12), UW!$B$17/Inputs!$B$19)</f>
        <v/>
      </c>
      <c r="E8" s="10">
        <f>MIN(UW!$B$15/$A8*Inputs!$B$17, (UW!$B$17/Inputs!$B$18)/((E$3/12)/(1-(1+E$3/12)^(-Inputs!$B$16))*12), UW!$B$17/Inputs!$B$19)</f>
        <v/>
      </c>
      <c r="F8" s="10">
        <f>MIN(UW!$B$15/$A8*Inputs!$B$17, (UW!$B$17/Inputs!$B$18)/((F$3/12)/(1-(1+F$3/12)^(-Inputs!$B$16))*12), UW!$B$17/Inputs!$B$19)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 ht="30" customHeight="1">
      <c r="A1" s="1" t="inlineStr">
        <is>
          <t>Source register</t>
        </is>
      </c>
    </row>
    <row r="3" ht="30" customHeight="1">
      <c r="A3" s="2" t="inlineStr">
        <is>
          <t>Document</t>
        </is>
      </c>
      <c r="B3" s="2" t="inlineStr">
        <is>
          <t>Key facts used</t>
        </is>
      </c>
      <c r="C3" s="2" t="inlineStr">
        <is>
          <t>Location</t>
        </is>
      </c>
    </row>
    <row r="4" ht="30" customHeight="1">
      <c r="A4" s="4" t="inlineStr">
        <is>
          <t>rent-roll-certified.xlsx</t>
        </is>
      </c>
      <c r="B4" s="4" t="inlineStr">
        <is>
          <t>12 suites, statuses, monthly rents, area, expirations</t>
        </is>
      </c>
      <c r="C4" s="4" t="inlineStr">
        <is>
          <t>Rent Roll A4:G16</t>
        </is>
      </c>
    </row>
    <row r="5" ht="30" customHeight="1">
      <c r="A5" s="4" t="inlineStr">
        <is>
          <t>rent-roll-archive.xlsx</t>
        </is>
      </c>
      <c r="B5" s="4" t="inlineStr">
        <is>
          <t>Stale 2026-06-30 roll; superseded</t>
        </is>
      </c>
      <c r="C5" s="4" t="inlineStr">
        <is>
          <t>Rent Roll A2</t>
        </is>
      </c>
    </row>
    <row r="6" ht="30" customHeight="1">
      <c r="A6" s="4" t="inlineStr">
        <is>
          <t>lease-001.pdf</t>
        </is>
      </c>
      <c r="B6" s="4" t="inlineStr">
        <is>
          <t>Suite 001 executed base rent $11,050; area 5,380 SF; exp 2027-02-28</t>
        </is>
      </c>
      <c r="C6" s="4" t="inlineStr">
        <is>
          <t>p.1</t>
        </is>
      </c>
    </row>
    <row r="7" ht="30" customHeight="1">
      <c r="A7" s="4" t="inlineStr">
        <is>
          <t>lease-correspondence.pdf</t>
        </is>
      </c>
      <c r="B7" s="4" t="inlineStr">
        <is>
          <t>No amendments/concessions to Suite 001 as of 2026-08-31</t>
        </is>
      </c>
      <c r="C7" s="4" t="inlineStr">
        <is>
          <t>p.1</t>
        </is>
      </c>
    </row>
    <row r="8" ht="30" customHeight="1">
      <c r="A8" s="4" t="inlineStr">
        <is>
          <t>operating-statement.pdf</t>
        </is>
      </c>
      <c r="B8" s="4" t="inlineStr">
        <is>
          <t>T12 collections/expenses/reported NOI; roof capital not expensed</t>
        </is>
      </c>
      <c r="C8" s="4" t="inlineStr">
        <is>
          <t>p.1</t>
        </is>
      </c>
    </row>
    <row r="9" ht="30" customHeight="1">
      <c r="A9" s="4" t="inlineStr">
        <is>
          <t>insurance.pdf</t>
        </is>
      </c>
      <c r="B9" s="4" t="inlineStr">
        <is>
          <t>GL aggregate limit $2,000,000 (not expense)</t>
        </is>
      </c>
      <c r="C9" s="4" t="inlineStr">
        <is>
          <t>p.1</t>
        </is>
      </c>
    </row>
    <row r="10" ht="30" customHeight="1">
      <c r="A10" s="4" t="inlineStr">
        <is>
          <t>underwriting-instructions.pdf</t>
        </is>
      </c>
      <c r="B10" s="4" t="inlineStr">
        <is>
          <t>UW method, sizing, loss %, reserves, fees</t>
        </is>
      </c>
      <c r="C10" s="4" t="inlineStr">
        <is>
          <t>p.1</t>
        </is>
      </c>
    </row>
    <row r="11" ht="30" customHeight="1">
      <c r="A11" s="4" t="inlineStr">
        <is>
          <t>manager-cover.pdf</t>
        </is>
      </c>
      <c r="B11" s="4" t="inlineStr">
        <is>
          <t>Group A/B/C mapping; manager 10/12 headline includes pending</t>
        </is>
      </c>
      <c r="C11" s="4" t="inlineStr">
        <is>
          <t>p.1</t>
        </is>
      </c>
    </row>
    <row r="12" ht="30" customHeight="1">
      <c r="A12" s="4" t="inlineStr">
        <is>
          <t>diligence-status.pdf</t>
        </is>
      </c>
      <c r="B12" s="4" t="inlineStr">
        <is>
          <t>Legal/env/PCA/title incomplete; label definitions</t>
        </is>
      </c>
      <c r="C12" s="4" t="inlineStr">
        <is>
          <t>p.1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2026-09-07T13:31:01Z</dcterms:created>
  <dcterms:modified xmlns:dcterms="http://purl.org/dc/terms/" xmlns:xsi="http://www.w3.org/2001/XMLSchema-instance" xsi:type="dcterms:W3CDTF">2026-09-07T13:31:01Z</dcterms:modified>
</cp:coreProperties>
</file>