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 ht="30" customHeight="1">
      <c r="A1" s="1" t="inlineStr">
        <is>
          <t>Magnolia Terrace — Underwriting Inputs (Revised)</t>
        </is>
      </c>
    </row>
    <row r="2" ht="30" customHeight="1">
      <c r="A2" s="2" t="inlineStr">
        <is>
          <t>As of</t>
        </is>
      </c>
      <c r="B2" s="3" t="inlineStr">
        <is>
          <t>2026-09-01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 / note</t>
        </is>
      </c>
    </row>
    <row r="5" ht="30" customHeight="1">
      <c r="A5" s="3" t="inlineStr">
        <is>
          <t>Gross potential rent (annual)</t>
        </is>
      </c>
      <c r="B5" s="4" t="n">
        <v>977100</v>
      </c>
      <c r="C5" s="3" t="inlineStr">
        <is>
          <t>(16*1500 + 16*1650 + 15*1925 + 1*2150)*12 per revised roll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unchanged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unchanged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rent-roll-revised.xlsx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unchanged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unchanged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unchanged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unchanged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unchanged</t>
        </is>
      </c>
    </row>
    <row r="14" ht="30" customHeight="1">
      <c r="A14" s="3" t="inlineStr">
        <is>
          <t>Cap rate</t>
        </is>
      </c>
      <c r="B14" s="7" t="n">
        <v>0.06</v>
      </c>
      <c r="C14" s="3" t="inlineStr">
        <is>
          <t>REVISED: 5.75% + 25 bps</t>
        </is>
      </c>
    </row>
    <row r="15" ht="30" customHeight="1">
      <c r="A15" s="3" t="inlineStr">
        <is>
          <t>Sizing rate</t>
        </is>
      </c>
      <c r="B15" s="7" t="n">
        <v>0.07000000000000001</v>
      </c>
      <c r="C15" s="3" t="inlineStr">
        <is>
          <t>REVISED: initial sizing rate 6.25% + 75 bps = 7.00%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unchanged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unchanged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unchanged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unchanged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unchanged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unchanged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unchanged</t>
        </is>
      </c>
    </row>
    <row r="24" ht="30" customHeight="1">
      <c r="A24" s="3" t="inlineStr">
        <is>
          <t>Underwriting rate floor</t>
        </is>
      </c>
      <c r="B24" s="9" t="n">
        <v>0.06</v>
      </c>
      <c r="C24" s="3" t="inlineStr">
        <is>
          <t>Original floor 6.00%; still below revised sizing rate</t>
        </is>
      </c>
    </row>
    <row r="25" ht="30" customHeight="1">
      <c r="A25" s="3" t="inlineStr">
        <is>
          <t>Original note rate</t>
        </is>
      </c>
      <c r="B25" s="9" t="n">
        <v>0.0625</v>
      </c>
      <c r="C25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30" customHeight="1">
      <c r="A1" s="1" t="inlineStr">
        <is>
          <t>Underwritten Cash Flow &amp; Debt Sizing (Revised)</t>
        </is>
      </c>
    </row>
    <row r="3" ht="30" customHeight="1">
      <c r="A3" s="2" t="inlineStr">
        <is>
          <t>Gross potential rent</t>
        </is>
      </c>
      <c r="B3" s="10">
        <f>Inputs!B5</f>
        <v/>
      </c>
    </row>
    <row r="4" ht="30" customHeight="1">
      <c r="A4" s="3" t="inlineStr">
        <is>
          <t>Less: economic loss</t>
        </is>
      </c>
      <c r="B4" s="10">
        <f>-B3*Inputs!B6</f>
        <v/>
      </c>
    </row>
    <row r="5" ht="30" customHeight="1">
      <c r="A5" s="3" t="inlineStr">
        <is>
          <t>Plus: other income</t>
        </is>
      </c>
      <c r="B5" s="10">
        <f>Inputs!B7*Inputs!B8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3" t="inlineStr">
        <is>
          <t>Real estate tax</t>
        </is>
      </c>
      <c r="B8" s="10">
        <f>Inputs!B9</f>
        <v/>
      </c>
    </row>
    <row r="9" ht="30" customHeight="1">
      <c r="A9" s="3" t="inlineStr">
        <is>
          <t>Insurance</t>
        </is>
      </c>
      <c r="B9" s="10">
        <f>Inputs!B10</f>
        <v/>
      </c>
    </row>
    <row r="10" ht="30" customHeight="1">
      <c r="A10" s="3" t="inlineStr">
        <is>
          <t>Other recurring opex</t>
        </is>
      </c>
      <c r="B10" s="10">
        <f>Inputs!B11</f>
        <v/>
      </c>
    </row>
    <row r="11" ht="30" customHeight="1">
      <c r="A11" s="3" t="inlineStr">
        <is>
          <t>Management fee (3% of EGI)</t>
        </is>
      </c>
      <c r="B11" s="10">
        <f>B6*Inputs!B12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NOI before reserves (UW)</t>
        </is>
      </c>
      <c r="B14" s="12">
        <f>B6-B12</f>
        <v/>
      </c>
    </row>
    <row r="15" ht="30" customHeight="1">
      <c r="A15" s="3" t="inlineStr">
        <is>
          <t>Replacement reserves</t>
        </is>
      </c>
      <c r="B15" s="10">
        <f>Inputs!B13*Inputs!B8</f>
        <v/>
      </c>
    </row>
    <row r="16" ht="30" customHeight="1">
      <c r="A16" s="11" t="inlineStr">
        <is>
          <t>NCF after reserves</t>
        </is>
      </c>
      <c r="B16" s="12">
        <f>B14-B15</f>
        <v/>
      </c>
    </row>
    <row r="18" ht="30" customHeight="1">
      <c r="A18" s="3" t="inlineStr">
        <is>
          <t>Cap rate</t>
        </is>
      </c>
      <c r="B18" s="9">
        <f>Inputs!B14</f>
        <v/>
      </c>
    </row>
    <row r="19" ht="30" customHeight="1">
      <c r="A19" s="11" t="inlineStr">
        <is>
          <t>Capitalization value (NOI / cap)</t>
        </is>
      </c>
      <c r="B19" s="12">
        <f>B14/B18</f>
        <v/>
      </c>
    </row>
    <row r="21" ht="30" customHeight="1">
      <c r="A21" s="3" t="inlineStr">
        <is>
          <t>Sizing rate</t>
        </is>
      </c>
      <c r="B21" s="9">
        <f>Inputs!B15</f>
        <v/>
      </c>
    </row>
    <row r="22" ht="30" customHeight="1">
      <c r="A22" s="3" t="inlineStr">
        <is>
          <t>Monthly constant (rate, n=360)</t>
        </is>
      </c>
      <c r="B22" s="13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10">
        <f>Inputs!B17*B19</f>
        <v/>
      </c>
    </row>
    <row r="24" ht="30" customHeight="1">
      <c r="A24" s="3" t="inlineStr">
        <is>
          <t>DSCR-limited loan</t>
        </is>
      </c>
      <c r="B24" s="10">
        <f>B16/Inputs!B18/12/B22</f>
        <v/>
      </c>
    </row>
    <row r="25" ht="30" customHeight="1">
      <c r="A25" s="3" t="inlineStr">
        <is>
          <t>Debt-yield-limited loan</t>
        </is>
      </c>
      <c r="B25" s="10">
        <f>B16/Inputs!B19</f>
        <v/>
      </c>
    </row>
    <row r="26" ht="30" customHeight="1">
      <c r="A26" s="11" t="inlineStr">
        <is>
          <t>Maximum loan</t>
        </is>
      </c>
      <c r="B26" s="12">
        <f>MIN(B23,B24,B25)</f>
        <v/>
      </c>
    </row>
    <row r="28" ht="30" customHeight="1">
      <c r="A28" s="3" t="inlineStr">
        <is>
          <t>Origination fee</t>
        </is>
      </c>
      <c r="B28" s="10">
        <f>B26*Inputs!B20</f>
        <v/>
      </c>
    </row>
    <row r="29" ht="30" customHeight="1">
      <c r="A29" s="3" t="inlineStr">
        <is>
          <t>Closing costs</t>
        </is>
      </c>
      <c r="B29" s="10">
        <f>Inputs!B21</f>
        <v/>
      </c>
    </row>
    <row r="30" ht="30" customHeight="1">
      <c r="A30" s="3" t="inlineStr">
        <is>
          <t>Existing payoff</t>
        </is>
      </c>
      <c r="B30" s="10">
        <f>Inputs!B22</f>
        <v/>
      </c>
    </row>
    <row r="31" ht="30" customHeight="1">
      <c r="A31" s="11" t="inlineStr">
        <is>
          <t>Net cash-out (neg = additional equity)</t>
        </is>
      </c>
      <c r="B31" s="12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 ht="30" customHeight="1">
      <c r="A1" s="1" t="inlineStr">
        <is>
          <t>Reconciled Rent Roll (revised, as of 2026-09-01; Suite 001 in-place per amendment)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 ht="30" customHeight="1">
      <c r="A4" s="3" t="inlineStr">
        <is>
          <t>Total units</t>
        </is>
      </c>
      <c r="B4" s="11" t="n">
        <v>48</v>
      </c>
    </row>
    <row r="5" ht="30" customHeight="1">
      <c r="A5" s="3" t="inlineStr">
        <is>
          <t>Active (occupied) units</t>
        </is>
      </c>
      <c r="B5" s="11" t="n">
        <v>45</v>
      </c>
      <c r="C5" s="3" t="inlineStr">
        <is>
          <t>Suite 045 now active</t>
        </is>
      </c>
    </row>
    <row r="6" ht="30" customHeight="1">
      <c r="A6" s="3" t="inlineStr">
        <is>
          <t>Pending units</t>
        </is>
      </c>
      <c r="B6" s="11" t="n">
        <v>0</v>
      </c>
    </row>
    <row r="7" ht="30" customHeight="1">
      <c r="A7" s="3" t="inlineStr">
        <is>
          <t>Vacant units</t>
        </is>
      </c>
      <c r="B7" s="11" t="n">
        <v>3</v>
      </c>
      <c r="C7" s="3" t="inlineStr">
        <is>
          <t>Suites 046, 047, 048</t>
        </is>
      </c>
    </row>
    <row r="8" ht="30" customHeight="1">
      <c r="A8" s="3" t="inlineStr">
        <is>
          <t>Total area SF</t>
        </is>
      </c>
      <c r="B8" s="11" t="n">
        <v>40800</v>
      </c>
    </row>
    <row r="9" ht="30" customHeight="1">
      <c r="A9" s="3" t="inlineStr">
        <is>
          <t>Occupied area SF</t>
        </is>
      </c>
      <c r="B9" s="11" t="n">
        <v>39770</v>
      </c>
      <c r="C9" s="3" t="inlineStr">
        <is>
          <t>16*700+16*820+15*1030 - vacant 700+820+1030</t>
        </is>
      </c>
    </row>
    <row r="10" ht="30" customHeight="1">
      <c r="A10" s="3" t="inlineStr">
        <is>
          <t>Unit occupancy</t>
        </is>
      </c>
      <c r="B10" s="14">
        <f>B5/B4</f>
        <v/>
      </c>
    </row>
    <row r="11" ht="30" customHeight="1">
      <c r="A11" s="3" t="inlineStr">
        <is>
          <t>Area occupancy</t>
        </is>
      </c>
      <c r="B11" s="14">
        <f>B9/B8</f>
        <v/>
      </c>
    </row>
    <row r="13" ht="30" customHeight="1">
      <c r="A13" s="3" t="inlineStr">
        <is>
          <t>Suite 001 in-place monthly rent</t>
        </is>
      </c>
      <c r="B13" s="10" t="n">
        <v>1850</v>
      </c>
      <c r="C13" s="3" t="inlineStr">
        <is>
          <t>$1,500 base + $350 signed amendment</t>
        </is>
      </c>
    </row>
    <row r="14" ht="30" customHeight="1">
      <c r="A14" s="3" t="inlineStr">
        <is>
          <t>Suite 045 scheduled monthly rent (revised)</t>
        </is>
      </c>
      <c r="B14" s="10" t="n">
        <v>2150</v>
      </c>
      <c r="C14" s="3" t="inlineStr">
        <is>
          <t>prior $1,925 + $225 per revision</t>
        </is>
      </c>
    </row>
    <row r="15" ht="30" customHeight="1">
      <c r="A15" s="3" t="inlineStr">
        <is>
          <t>Annual in-place rent</t>
        </is>
      </c>
      <c r="B15" s="12" t="n">
        <v>920400</v>
      </c>
      <c r="C15" s="3" t="inlineStr">
        <is>
          <t>(1*1850+14*1500+15*1650+14*1925+1*2150)*12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15</v>
      </c>
      <c r="D6" s="3" t="n">
        <v>0</v>
      </c>
      <c r="E6" s="3" t="n">
        <v>1</v>
      </c>
    </row>
    <row r="7" ht="30" customHeight="1">
      <c r="A7" s="11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30" customHeight="1">
      <c r="A1" s="1" t="inlineStr">
        <is>
          <t>Historical T-12 vs Underwritten (Revised)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collections / EGI</t>
        </is>
      </c>
      <c r="B4" s="10" t="n">
        <v>876960</v>
      </c>
      <c r="C4" s="10">
        <f>UW!B6</f>
        <v/>
      </c>
    </row>
    <row r="5" ht="30" customHeight="1">
      <c r="A5" s="3" t="inlineStr">
        <is>
          <t>Real estate tax</t>
        </is>
      </c>
      <c r="B5" s="10" t="n">
        <v>102312</v>
      </c>
      <c r="C5" s="10">
        <f>UW!B8</f>
        <v/>
      </c>
    </row>
    <row r="6" ht="30" customHeight="1">
      <c r="A6" s="3" t="inlineStr">
        <is>
          <t>Insurance</t>
        </is>
      </c>
      <c r="B6" s="10" t="n">
        <v>34104</v>
      </c>
      <c r="C6" s="10">
        <f>UW!B9</f>
        <v/>
      </c>
    </row>
    <row r="7" ht="30" customHeight="1">
      <c r="A7" s="3" t="inlineStr">
        <is>
          <t>Other recurring opex</t>
        </is>
      </c>
      <c r="B7" s="10" t="n">
        <v>136416</v>
      </c>
      <c r="C7" s="10">
        <f>UW!B10</f>
        <v/>
      </c>
    </row>
    <row r="8" ht="30" customHeight="1">
      <c r="A8" s="3" t="inlineStr">
        <is>
          <t>Management fee</t>
        </is>
      </c>
      <c r="B8" s="10" t="n">
        <v>0</v>
      </c>
      <c r="C8" s="10">
        <f>UW!B11</f>
        <v/>
      </c>
    </row>
    <row r="9" ht="30" customHeight="1">
      <c r="A9" s="3" t="inlineStr">
        <is>
          <t>NOI before reserves</t>
        </is>
      </c>
      <c r="B9" s="12" t="n">
        <v>604128</v>
      </c>
      <c r="C9" s="12">
        <f>UW!B14</f>
        <v/>
      </c>
    </row>
    <row r="10" ht="30" customHeight="1">
      <c r="A10" s="3" t="inlineStr">
        <is>
          <t>Reserves</t>
        </is>
      </c>
      <c r="B10" s="10" t="n">
        <v>0</v>
      </c>
      <c r="C10" s="10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2">
        <f>UW!B16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</cols>
  <sheetData>
    <row r="1" ht="30" customHeight="1">
      <c r="A1" s="1" t="inlineStr">
        <is>
          <t>Sources &amp; Uses (Revised)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10">
        <f>UW!B26</f>
        <v/>
      </c>
      <c r="C4" s="3" t="inlineStr">
        <is>
          <t>Existing payoff</t>
        </is>
      </c>
      <c r="D4" s="10">
        <f>Inputs!B22</f>
        <v/>
      </c>
    </row>
    <row r="5" ht="30" customHeight="1">
      <c r="A5" s="3" t="inlineStr">
        <is>
          <t>Sponsor equity to close (plug)</t>
        </is>
      </c>
      <c r="B5" s="10">
        <f>MAX(0,D6-B4)</f>
        <v/>
      </c>
      <c r="C5" s="3" t="inlineStr">
        <is>
          <t>Origination fee</t>
        </is>
      </c>
      <c r="D5" s="10">
        <f>UW!B28</f>
        <v/>
      </c>
    </row>
    <row r="6" ht="30" customHeight="1">
      <c r="C6" s="3" t="inlineStr">
        <is>
          <t>Closing costs + payoff + fees</t>
        </is>
      </c>
      <c r="D6" s="10">
        <f>Inputs!B21+Inputs!B22+UW!B28</f>
        <v/>
      </c>
    </row>
    <row r="7" ht="30" customHeight="1">
      <c r="A7" s="11" t="inlineStr">
        <is>
          <t>Net cash-out to sponsor</t>
        </is>
      </c>
      <c r="B7" s="12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Sensitivity: Max loan by sizing rate x cap rate</t>
        </is>
      </c>
    </row>
    <row r="3" ht="30" customHeight="1">
      <c r="A3" s="2" t="inlineStr">
        <is>
          <t>Cap \ Sizing</t>
        </is>
      </c>
      <c r="B3" s="15" t="n">
        <v>0.065</v>
      </c>
      <c r="C3" s="15" t="n">
        <v>0.0675</v>
      </c>
      <c r="D3" s="15" t="n">
        <v>0.07000000000000001</v>
      </c>
      <c r="E3" s="15" t="n">
        <v>0.0725</v>
      </c>
      <c r="F3" s="15" t="n">
        <v>0.075</v>
      </c>
    </row>
    <row r="4" ht="30" customHeight="1">
      <c r="A4" s="15" t="n">
        <v>0.055</v>
      </c>
      <c r="B4" s="10">
        <f>MIN(Inputs!$B$17*UW!$B$14/$A4,UW!$B$16/Inputs!$B$18/12/((B$3/12)*(1+B$3/12)^Inputs!$B$16/((1+B$3/12)^Inputs!$B$16-1)),UW!$B$16/Inputs!$B$19)</f>
        <v/>
      </c>
      <c r="C4" s="10">
        <f>MIN(Inputs!$B$17*UW!$B$14/$A4,UW!$B$16/Inputs!$B$18/12/((C$3/12)*(1+C$3/12)^Inputs!$B$16/((1+C$3/12)^Inputs!$B$16-1)),UW!$B$16/Inputs!$B$19)</f>
        <v/>
      </c>
      <c r="D4" s="10">
        <f>MIN(Inputs!$B$17*UW!$B$14/$A4,UW!$B$16/Inputs!$B$18/12/((D$3/12)*(1+D$3/12)^Inputs!$B$16/((1+D$3/12)^Inputs!$B$16-1)),UW!$B$16/Inputs!$B$19)</f>
        <v/>
      </c>
      <c r="E4" s="10">
        <f>MIN(Inputs!$B$17*UW!$B$14/$A4,UW!$B$16/Inputs!$B$18/12/((E$3/12)*(1+E$3/12)^Inputs!$B$16/((1+E$3/12)^Inputs!$B$16-1)),UW!$B$16/Inputs!$B$19)</f>
        <v/>
      </c>
      <c r="F4" s="10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10">
        <f>MIN(Inputs!$B$17*UW!$B$14/$A5,UW!$B$16/Inputs!$B$18/12/((B$3/12)*(1+B$3/12)^Inputs!$B$16/((1+B$3/12)^Inputs!$B$16-1)),UW!$B$16/Inputs!$B$19)</f>
        <v/>
      </c>
      <c r="C5" s="10">
        <f>MIN(Inputs!$B$17*UW!$B$14/$A5,UW!$B$16/Inputs!$B$18/12/((C$3/12)*(1+C$3/12)^Inputs!$B$16/((1+C$3/12)^Inputs!$B$16-1)),UW!$B$16/Inputs!$B$19)</f>
        <v/>
      </c>
      <c r="D5" s="10">
        <f>MIN(Inputs!$B$17*UW!$B$14/$A5,UW!$B$16/Inputs!$B$18/12/((D$3/12)*(1+D$3/12)^Inputs!$B$16/((1+D$3/12)^Inputs!$B$16-1)),UW!$B$16/Inputs!$B$19)</f>
        <v/>
      </c>
      <c r="E5" s="10">
        <f>MIN(Inputs!$B$17*UW!$B$14/$A5,UW!$B$16/Inputs!$B$18/12/((E$3/12)*(1+E$3/12)^Inputs!$B$16/((1+E$3/12)^Inputs!$B$16-1)),UW!$B$16/Inputs!$B$19)</f>
        <v/>
      </c>
      <c r="F5" s="10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10">
        <f>MIN(Inputs!$B$17*UW!$B$14/$A6,UW!$B$16/Inputs!$B$18/12/((B$3/12)*(1+B$3/12)^Inputs!$B$16/((1+B$3/12)^Inputs!$B$16-1)),UW!$B$16/Inputs!$B$19)</f>
        <v/>
      </c>
      <c r="C6" s="10">
        <f>MIN(Inputs!$B$17*UW!$B$14/$A6,UW!$B$16/Inputs!$B$18/12/((C$3/12)*(1+C$3/12)^Inputs!$B$16/((1+C$3/12)^Inputs!$B$16-1)),UW!$B$16/Inputs!$B$19)</f>
        <v/>
      </c>
      <c r="D6" s="10">
        <f>MIN(Inputs!$B$17*UW!$B$14/$A6,UW!$B$16/Inputs!$B$18/12/((D$3/12)*(1+D$3/12)^Inputs!$B$16/((1+D$3/12)^Inputs!$B$16-1)),UW!$B$16/Inputs!$B$19)</f>
        <v/>
      </c>
      <c r="E6" s="10">
        <f>MIN(Inputs!$B$17*UW!$B$14/$A6,UW!$B$16/Inputs!$B$18/12/((E$3/12)*(1+E$3/12)^Inputs!$B$16/((1+E$3/12)^Inputs!$B$16-1)),UW!$B$16/Inputs!$B$19)</f>
        <v/>
      </c>
      <c r="F6" s="10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10">
        <f>MIN(Inputs!$B$17*UW!$B$14/$A7,UW!$B$16/Inputs!$B$18/12/((B$3/12)*(1+B$3/12)^Inputs!$B$16/((1+B$3/12)^Inputs!$B$16-1)),UW!$B$16/Inputs!$B$19)</f>
        <v/>
      </c>
      <c r="C7" s="10">
        <f>MIN(Inputs!$B$17*UW!$B$14/$A7,UW!$B$16/Inputs!$B$18/12/((C$3/12)*(1+C$3/12)^Inputs!$B$16/((1+C$3/12)^Inputs!$B$16-1)),UW!$B$16/Inputs!$B$19)</f>
        <v/>
      </c>
      <c r="D7" s="10">
        <f>MIN(Inputs!$B$17*UW!$B$14/$A7,UW!$B$16/Inputs!$B$18/12/((D$3/12)*(1+D$3/12)^Inputs!$B$16/((1+D$3/12)^Inputs!$B$16-1)),UW!$B$16/Inputs!$B$19)</f>
        <v/>
      </c>
      <c r="E7" s="10">
        <f>MIN(Inputs!$B$17*UW!$B$14/$A7,UW!$B$16/Inputs!$B$18/12/((E$3/12)*(1+E$3/12)^Inputs!$B$16/((1+E$3/12)^Inputs!$B$16-1)),UW!$B$16/Inputs!$B$19)</f>
        <v/>
      </c>
      <c r="F7" s="10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10">
        <f>MIN(Inputs!$B$17*UW!$B$14/$A8,UW!$B$16/Inputs!$B$18/12/((B$3/12)*(1+B$3/12)^Inputs!$B$16/((1+B$3/12)^Inputs!$B$16-1)),UW!$B$16/Inputs!$B$19)</f>
        <v/>
      </c>
      <c r="C8" s="10">
        <f>MIN(Inputs!$B$17*UW!$B$14/$A8,UW!$B$16/Inputs!$B$18/12/((C$3/12)*(1+C$3/12)^Inputs!$B$16/((1+C$3/12)^Inputs!$B$16-1)),UW!$B$16/Inputs!$B$19)</f>
        <v/>
      </c>
      <c r="D8" s="10">
        <f>MIN(Inputs!$B$17*UW!$B$14/$A8,UW!$B$16/Inputs!$B$18/12/((D$3/12)*(1+D$3/12)^Inputs!$B$16/((1+D$3/12)^Inputs!$B$16-1)),UW!$B$16/Inputs!$B$19)</f>
        <v/>
      </c>
      <c r="E8" s="10">
        <f>MIN(Inputs!$B$17*UW!$B$14/$A8,UW!$B$16/Inputs!$B$18/12/((E$3/12)*(1+E$3/12)^Inputs!$B$16/((1+E$3/12)^Inputs!$B$16-1)),UW!$B$16/Inputs!$B$19)</f>
        <v/>
      </c>
      <c r="F8" s="10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" t="inlineStr">
        <is>
          <t>Change Log — Initial vs Revised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Reason</t>
        </is>
      </c>
    </row>
    <row r="4" ht="30" customHeight="1">
      <c r="A4" s="3" t="inlineStr">
        <is>
          <t>As-of date</t>
        </is>
      </c>
      <c r="B4" s="3" t="inlineStr">
        <is>
          <t>2026-08-31</t>
        </is>
      </c>
      <c r="C4" s="3" t="inlineStr">
        <is>
          <t>2026-09-01</t>
        </is>
      </c>
      <c r="D4" s="3" t="inlineStr">
        <is>
          <t>revision-notice.pdf</t>
        </is>
      </c>
    </row>
    <row r="5" ht="30" customHeight="1">
      <c r="A5" s="3" t="inlineStr">
        <is>
          <t>Suite 045 status</t>
        </is>
      </c>
      <c r="B5" s="3" t="inlineStr">
        <is>
          <t>pending</t>
        </is>
      </c>
      <c r="C5" s="3" t="inlineStr">
        <is>
          <t>active</t>
        </is>
      </c>
      <c r="D5" s="3" t="inlineStr">
        <is>
          <t>Revised roll</t>
        </is>
      </c>
    </row>
    <row r="6" ht="30" customHeight="1">
      <c r="A6" s="3" t="inlineStr">
        <is>
          <t>Suite 045 scheduled rent</t>
        </is>
      </c>
      <c r="B6" s="3" t="inlineStr">
        <is>
          <t>$1,925</t>
        </is>
      </c>
      <c r="C6" s="3" t="inlineStr">
        <is>
          <t>$2,150</t>
        </is>
      </c>
      <c r="D6" s="3" t="inlineStr">
        <is>
          <t>+$225 revision</t>
        </is>
      </c>
    </row>
    <row r="7" ht="30" customHeight="1">
      <c r="A7" s="3" t="inlineStr">
        <is>
          <t>GPR</t>
        </is>
      </c>
      <c r="B7" s="3" t="inlineStr">
        <is>
          <t>$974,400</t>
        </is>
      </c>
      <c r="C7" s="3" t="inlineStr">
        <is>
          <t>$977,100</t>
        </is>
      </c>
      <c r="D7" s="3" t="inlineStr">
        <is>
          <t>New roll all-unit</t>
        </is>
      </c>
    </row>
    <row r="8" ht="30" customHeight="1">
      <c r="A8" s="3" t="inlineStr">
        <is>
          <t>Cap rate</t>
        </is>
      </c>
      <c r="B8" s="3" t="inlineStr">
        <is>
          <t>5.7500%</t>
        </is>
      </c>
      <c r="C8" s="3" t="inlineStr">
        <is>
          <t>6.0000%</t>
        </is>
      </c>
      <c r="D8" s="3" t="inlineStr">
        <is>
          <t>+25 bps</t>
        </is>
      </c>
    </row>
    <row r="9" ht="30" customHeight="1">
      <c r="A9" s="3" t="inlineStr">
        <is>
          <t>Sizing rate</t>
        </is>
      </c>
      <c r="B9" s="3" t="inlineStr">
        <is>
          <t>6.2500%</t>
        </is>
      </c>
      <c r="C9" s="3" t="inlineStr">
        <is>
          <t>7.0000%</t>
        </is>
      </c>
      <c r="D9" s="3" t="inlineStr">
        <is>
          <t>+75 bps</t>
        </is>
      </c>
    </row>
    <row r="10" ht="30" customHeight="1">
      <c r="A10" s="3" t="inlineStr">
        <is>
          <t>UW EGI</t>
        </is>
      </c>
      <c r="B10" s="3" t="inlineStr">
        <is>
          <t>$942,480</t>
        </is>
      </c>
      <c r="C10" s="3" t="inlineStr">
        <is>
          <t>$945,045</t>
        </is>
      </c>
    </row>
    <row r="11" ht="30" customHeight="1">
      <c r="A11" s="3" t="inlineStr">
        <is>
          <t>UW NOI</t>
        </is>
      </c>
      <c r="B11" s="3" t="inlineStr">
        <is>
          <t>$641,374</t>
        </is>
      </c>
      <c r="C11" s="3" t="inlineStr">
        <is>
          <t>$643,862</t>
        </is>
      </c>
    </row>
    <row r="12" ht="30" customHeight="1">
      <c r="A12" s="3" t="inlineStr">
        <is>
          <t>UW NCF</t>
        </is>
      </c>
      <c r="B12" s="3" t="inlineStr">
        <is>
          <t>$626,974</t>
        </is>
      </c>
      <c r="C12" s="3" t="inlineStr">
        <is>
          <t>$629,462</t>
        </is>
      </c>
    </row>
    <row r="13" ht="30" customHeight="1">
      <c r="A13" s="3" t="inlineStr">
        <is>
          <t>Capitalization value</t>
        </is>
      </c>
      <c r="B13" s="3" t="inlineStr">
        <is>
          <t>$11,154,323</t>
        </is>
      </c>
      <c r="C13" s="3" t="inlineStr">
        <is>
          <t>$10,731,028</t>
        </is>
      </c>
    </row>
    <row r="14" ht="30" customHeight="1">
      <c r="A14" s="3" t="inlineStr">
        <is>
          <t>Maximum loan</t>
        </is>
      </c>
      <c r="B14" s="3" t="inlineStr">
        <is>
          <t>$6,788,545</t>
        </is>
      </c>
      <c r="C14" s="3" t="inlineStr">
        <is>
          <t>$6,307,523</t>
        </is>
      </c>
      <c r="D14" s="3" t="inlineStr">
        <is>
          <t>DSCR binding in both</t>
        </is>
      </c>
    </row>
    <row r="15" ht="30" customHeight="1">
      <c r="A15" s="3" t="inlineStr">
        <is>
          <t>Net cash-out</t>
        </is>
      </c>
      <c r="B15" s="3" t="inlineStr">
        <is>
          <t>$2,475,660</t>
        </is>
      </c>
      <c r="C15" s="3" t="inlineStr">
        <is>
          <t>$1,999,448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Loc</t>
        </is>
      </c>
      <c r="C3" s="2" t="inlineStr">
        <is>
          <t>Fact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Effective 2026-09-01. Suite 045 active, +$225. Cap +25 bps, initial sizing rate +75 bps.</t>
        </is>
      </c>
    </row>
    <row r="5" ht="30" customHeight="1">
      <c r="A5" s="3" t="inlineStr">
        <is>
          <t>rent-roll-revised.xlsx</t>
        </is>
      </c>
      <c r="B5" s="3" t="inlineStr">
        <is>
          <t>A5:G52</t>
        </is>
      </c>
      <c r="C5" s="3" t="inlineStr">
        <is>
          <t>Controlling roll; Suite 045 active at $2,150; Suites 046-048 vacant</t>
        </is>
      </c>
    </row>
    <row r="6" ht="30" customHeight="1">
      <c r="A6" s="3" t="inlineStr">
        <is>
          <t>rent-roll-certified.xlsx</t>
        </is>
      </c>
      <c r="B6" s="3" t="inlineStr">
        <is>
          <t>-</t>
        </is>
      </c>
      <c r="C6" s="3" t="inlineStr">
        <is>
          <t>Superseded by revised roll</t>
        </is>
      </c>
    </row>
    <row r="7" ht="30" customHeight="1">
      <c r="A7" s="3" t="inlineStr">
        <is>
          <t>manager-cover.pdf</t>
        </is>
      </c>
      <c r="B7" s="3" t="inlineStr">
        <is>
          <t>p1</t>
        </is>
      </c>
      <c r="C7" s="3" t="inlineStr">
        <is>
          <t>Group mapping A/B/C = Studio/1BR/2BR</t>
        </is>
      </c>
    </row>
    <row r="8" ht="30" customHeight="1">
      <c r="A8" s="3" t="inlineStr">
        <is>
          <t>underwriting-instructions.pdf</t>
        </is>
      </c>
      <c r="B8" s="3" t="inlineStr">
        <is>
          <t>p1</t>
        </is>
      </c>
      <c r="C8" s="3" t="inlineStr">
        <is>
          <t>Base underwriting rules; original note 6.25%, floor 6.00%</t>
        </is>
      </c>
    </row>
    <row r="9" ht="30" customHeight="1">
      <c r="A9" s="3" t="inlineStr">
        <is>
          <t>operating-statement.pdf</t>
        </is>
      </c>
      <c r="B9" s="3" t="inlineStr">
        <is>
          <t>p1</t>
        </is>
      </c>
      <c r="C9" s="3" t="inlineStr">
        <is>
          <t>T-12 collections $876,960; tax/ins/other; roof capital; NOI $604,128</t>
        </is>
      </c>
    </row>
    <row r="10" ht="30" customHeight="1">
      <c r="A10" s="3" t="inlineStr">
        <is>
          <t>lease-001.pdf</t>
        </is>
      </c>
      <c r="B10" s="3" t="inlineStr">
        <is>
          <t>p1</t>
        </is>
      </c>
      <c r="C10" s="3" t="inlineStr">
        <is>
          <t>Suite 001 base $1,500; no free rent</t>
        </is>
      </c>
    </row>
    <row r="11" ht="30" customHeight="1">
      <c r="A11" s="3" t="inlineStr">
        <is>
          <t>lease-correspondence.pdf</t>
        </is>
      </c>
      <c r="B11" s="3" t="inlineStr">
        <is>
          <t>p1</t>
        </is>
      </c>
      <c r="C11" s="3" t="inlineStr">
        <is>
          <t>Signed amendment 2026-07-20 effective 2026-08-01; +$350 on Suite 001</t>
        </is>
      </c>
    </row>
    <row r="12" ht="30" customHeight="1">
      <c r="A12" s="3" t="inlineStr">
        <is>
          <t>insurance.pdf</t>
        </is>
      </c>
      <c r="B12" s="3" t="inlineStr">
        <is>
          <t>p1</t>
        </is>
      </c>
      <c r="C12" s="3" t="inlineStr">
        <is>
          <t>GL aggregate $2,000,000 through 2027-06-30</t>
        </is>
      </c>
    </row>
    <row r="13" ht="30" customHeight="1">
      <c r="A13" s="3" t="inlineStr">
        <is>
          <t>diligence-status.pdf</t>
        </is>
      </c>
      <c r="B13" s="3" t="inlineStr">
        <is>
          <t>p1</t>
        </is>
      </c>
      <c r="C13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2026-09-07T13:03:52Z</dcterms:created>
  <dcterms:modified xmlns:dcterms="http://purl.org/dc/terms/" xmlns:xsi="http://www.w3.org/2001/XMLSchema-instance" xsi:type="dcterms:W3CDTF">2026-09-07T13:03:52Z</dcterms:modified>
</cp:coreProperties>
</file>