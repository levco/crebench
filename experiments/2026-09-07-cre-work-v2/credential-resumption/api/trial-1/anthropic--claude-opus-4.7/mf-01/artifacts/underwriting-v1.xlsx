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Magnolia Terrace — Underwriting Inputs</t>
        </is>
      </c>
    </row>
    <row r="2" ht="30" customHeight="1">
      <c r="A2" s="2" t="inlineStr">
        <is>
          <t>As of</t>
        </is>
      </c>
      <c r="B2" s="3" t="inlineStr">
        <is>
          <t>2026-08-31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</t>
        </is>
      </c>
    </row>
    <row r="5" ht="30" customHeight="1">
      <c r="A5" s="3" t="inlineStr">
        <is>
          <t>Gross potential rent (annual)</t>
        </is>
      </c>
      <c r="B5" s="4" t="n">
        <v>974400</v>
      </c>
      <c r="C5" s="3" t="inlineStr">
        <is>
          <t>16×$1,500 + 16×$1,650 + 16×$1,925 ×12 (certified roll pre-amendment)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underwriting-instructions.pdf p1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underwriting-instructions.pdf p1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rent-roll-certified.xlsx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underwriting-instructions.pdf p1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underwriting-instructions.pdf p1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underwriting-instructions.pdf p1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underwriting-instructions.pdf p1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underwriting-instructions.pdf p1</t>
        </is>
      </c>
    </row>
    <row r="14" ht="30" customHeight="1">
      <c r="A14" s="3" t="inlineStr">
        <is>
          <t>Cap rate</t>
        </is>
      </c>
      <c r="B14" s="7" t="n">
        <v>0.0575</v>
      </c>
      <c r="C14" s="3" t="inlineStr">
        <is>
          <t>underwriting-instructions.pdf p1</t>
        </is>
      </c>
    </row>
    <row r="15" ht="30" customHeight="1">
      <c r="A15" s="3" t="inlineStr">
        <is>
          <t>Sizing rate</t>
        </is>
      </c>
      <c r="B15" s="7" t="n">
        <v>0.0625</v>
      </c>
      <c r="C15" s="3" t="inlineStr">
        <is>
          <t>Greater of note 6.25% and floor 6.00%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underwriting-instructions.pdf p1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underwriting-instructions.pdf p1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underwriting-instructions.pdf p1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underwriting-instructions.pdf p1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underwriting-instructions.pdf p1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underwriting-instructions.pdf p1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Underwritten Cash Flow &amp; Debt Sizing</t>
        </is>
      </c>
    </row>
    <row r="3" ht="30" customHeight="1">
      <c r="A3" s="2" t="inlineStr">
        <is>
          <t>Gross potential rent</t>
        </is>
      </c>
      <c r="B3" s="9">
        <f>Inputs!B5</f>
        <v/>
      </c>
    </row>
    <row r="4" ht="30" customHeight="1">
      <c r="A4" s="3" t="inlineStr">
        <is>
          <t>Less: economic loss</t>
        </is>
      </c>
      <c r="B4" s="9">
        <f>-B3*Inputs!B6</f>
        <v/>
      </c>
    </row>
    <row r="5" ht="30" customHeight="1">
      <c r="A5" s="3" t="inlineStr">
        <is>
          <t>Plus: other income</t>
        </is>
      </c>
      <c r="B5" s="9">
        <f>Inputs!B7*Inputs!B8</f>
        <v/>
      </c>
    </row>
    <row r="6" ht="30" customHeight="1">
      <c r="A6" s="10" t="inlineStr">
        <is>
          <t>Underwritten EGI</t>
        </is>
      </c>
      <c r="B6" s="9">
        <f>B3+B4+B5</f>
        <v/>
      </c>
    </row>
    <row r="8" ht="30" customHeight="1">
      <c r="A8" s="3" t="inlineStr">
        <is>
          <t>Real estate tax</t>
        </is>
      </c>
      <c r="B8" s="9">
        <f>Inputs!B9</f>
        <v/>
      </c>
    </row>
    <row r="9" ht="30" customHeight="1">
      <c r="A9" s="3" t="inlineStr">
        <is>
          <t>Insurance</t>
        </is>
      </c>
      <c r="B9" s="9">
        <f>Inputs!B10</f>
        <v/>
      </c>
    </row>
    <row r="10" ht="30" customHeight="1">
      <c r="A10" s="3" t="inlineStr">
        <is>
          <t>Other recurring opex</t>
        </is>
      </c>
      <c r="B10" s="9">
        <f>Inputs!B11</f>
        <v/>
      </c>
    </row>
    <row r="11" ht="30" customHeight="1">
      <c r="A11" s="3" t="inlineStr">
        <is>
          <t>Management fee (3% of EGI)</t>
        </is>
      </c>
      <c r="B11" s="9">
        <f>B6*Inputs!B12</f>
        <v/>
      </c>
    </row>
    <row r="12" ht="30" customHeight="1">
      <c r="A12" s="10" t="inlineStr">
        <is>
          <t>Total operating expenses</t>
        </is>
      </c>
      <c r="B12" s="9">
        <f>SUM(B8:B11)</f>
        <v/>
      </c>
    </row>
    <row r="14" ht="30" customHeight="1">
      <c r="A14" s="10" t="inlineStr">
        <is>
          <t>NOI before reserves (UW)</t>
        </is>
      </c>
      <c r="B14" s="9">
        <f>B6-B12</f>
        <v/>
      </c>
    </row>
    <row r="15" ht="30" customHeight="1">
      <c r="A15" s="3" t="inlineStr">
        <is>
          <t>Replacement reserves</t>
        </is>
      </c>
      <c r="B15" s="9">
        <f>Inputs!B13*Inputs!B8</f>
        <v/>
      </c>
    </row>
    <row r="16" ht="30" customHeight="1">
      <c r="A16" s="10" t="inlineStr">
        <is>
          <t>NCF after reserves</t>
        </is>
      </c>
      <c r="B16" s="9">
        <f>B14-B15</f>
        <v/>
      </c>
    </row>
    <row r="18" ht="30" customHeight="1">
      <c r="A18" s="3" t="inlineStr">
        <is>
          <t>Cap rate</t>
        </is>
      </c>
      <c r="B18" s="11">
        <f>Inputs!B14</f>
        <v/>
      </c>
    </row>
    <row r="19" ht="30" customHeight="1">
      <c r="A19" s="10" t="inlineStr">
        <is>
          <t>Capitalization value (NOI / cap)</t>
        </is>
      </c>
      <c r="B19" s="9">
        <f>B14/B18</f>
        <v/>
      </c>
    </row>
    <row r="21" ht="30" customHeight="1">
      <c r="A21" s="3" t="inlineStr">
        <is>
          <t>Sizing rate</t>
        </is>
      </c>
      <c r="B21" s="11">
        <f>Inputs!B15</f>
        <v/>
      </c>
    </row>
    <row r="22" ht="30" customHeight="1">
      <c r="A22" s="3" t="inlineStr">
        <is>
          <t>Monthly constant (rate,n=360)</t>
        </is>
      </c>
      <c r="B22" s="12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9">
        <f>Inputs!B17*B19</f>
        <v/>
      </c>
    </row>
    <row r="24" ht="30" customHeight="1">
      <c r="A24" s="3" t="inlineStr">
        <is>
          <t>DSCR-limited loan (NCF / DSCR / 12 / constant)</t>
        </is>
      </c>
      <c r="B24" s="9">
        <f>B16/Inputs!B18/12/B22</f>
        <v/>
      </c>
    </row>
    <row r="25" ht="30" customHeight="1">
      <c r="A25" s="3" t="inlineStr">
        <is>
          <t>Debt-yield-limited loan</t>
        </is>
      </c>
      <c r="B25" s="9">
        <f>B16/Inputs!B19</f>
        <v/>
      </c>
    </row>
    <row r="26" ht="30" customHeight="1">
      <c r="A26" s="10" t="inlineStr">
        <is>
          <t>Maximum loan</t>
        </is>
      </c>
      <c r="B26" s="9">
        <f>MIN(B23,B24,B25)</f>
        <v/>
      </c>
    </row>
    <row r="28" ht="30" customHeight="1">
      <c r="A28" s="3" t="inlineStr">
        <is>
          <t>Origination fee</t>
        </is>
      </c>
      <c r="B28" s="9">
        <f>B26*Inputs!B20</f>
        <v/>
      </c>
    </row>
    <row r="29" ht="30" customHeight="1">
      <c r="A29" s="3" t="inlineStr">
        <is>
          <t>Closing costs</t>
        </is>
      </c>
      <c r="B29" s="9">
        <f>Inputs!B21</f>
        <v/>
      </c>
    </row>
    <row r="30" ht="30" customHeight="1">
      <c r="A30" s="3" t="inlineStr">
        <is>
          <t>Existing payoff</t>
        </is>
      </c>
      <c r="B30" s="9">
        <f>Inputs!B22</f>
        <v/>
      </c>
    </row>
    <row r="31" ht="30" customHeight="1">
      <c r="A31" s="10" t="inlineStr">
        <is>
          <t>Net cash-out (neg = additional equity)</t>
        </is>
      </c>
      <c r="B31" s="9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Reconciled Rent Roll (certified, as of 2026-08-31; Suite 001 in-place per amendment)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Area SF</t>
        </is>
      </c>
      <c r="D3" s="2" t="inlineStr">
        <is>
          <t>Status</t>
        </is>
      </c>
      <c r="E3" s="2" t="inlineStr">
        <is>
          <t>In-place mo. rent</t>
        </is>
      </c>
      <c r="F3" s="2" t="inlineStr">
        <is>
          <t>Scheduled mo. rent</t>
        </is>
      </c>
      <c r="G3" s="2" t="inlineStr">
        <is>
          <t>Lease exp.</t>
        </is>
      </c>
    </row>
    <row r="4" ht="30" customHeight="1">
      <c r="A4" s="3" t="inlineStr">
        <is>
          <t>001</t>
        </is>
      </c>
      <c r="B4" s="3" t="inlineStr">
        <is>
          <t>Studio</t>
        </is>
      </c>
      <c r="C4" s="3" t="n">
        <v>700</v>
      </c>
      <c r="D4" s="3" t="inlineStr">
        <is>
          <t>active</t>
        </is>
      </c>
      <c r="E4" s="9" t="n">
        <v>1850</v>
      </c>
      <c r="F4" s="9" t="n">
        <v>1500</v>
      </c>
      <c r="G4" s="3" t="inlineStr">
        <is>
          <t>2029-08-31</t>
        </is>
      </c>
    </row>
    <row r="5" ht="30" customHeight="1">
      <c r="A5" s="3" t="inlineStr">
        <is>
          <t>002-016 Studio×15, 1BR×15, 2BR×15 (rows condensed)</t>
        </is>
      </c>
    </row>
    <row r="7" ht="30" customHeight="1">
      <c r="A7" s="2" t="inlineStr">
        <is>
          <t>Studios total (16 units)</t>
        </is>
      </c>
      <c r="C7" s="3" t="n">
        <v>11200</v>
      </c>
      <c r="E7" s="9" t="n">
        <v>24350</v>
      </c>
      <c r="F7" s="9" t="n">
        <v>24000</v>
      </c>
    </row>
    <row r="8" ht="30" customHeight="1">
      <c r="A8" s="2" t="inlineStr">
        <is>
          <t>1BR total (16 units)</t>
        </is>
      </c>
      <c r="C8" s="3" t="n">
        <v>13120</v>
      </c>
      <c r="E8" s="9" t="n">
        <v>26400</v>
      </c>
      <c r="F8" s="9" t="n">
        <v>26400</v>
      </c>
    </row>
    <row r="9" ht="30" customHeight="1">
      <c r="A9" s="2" t="inlineStr">
        <is>
          <t>2BR total (16 units, 1 pending, 1 vacant)</t>
        </is>
      </c>
      <c r="C9" s="3" t="n">
        <v>16480</v>
      </c>
      <c r="E9" s="9" t="n">
        <v>30800</v>
      </c>
      <c r="F9" s="9" t="n">
        <v>30800</v>
      </c>
    </row>
    <row r="11" ht="30" customHeight="1">
      <c r="A11" s="2" t="inlineStr">
        <is>
          <t>Physically occupied units (excl pending)</t>
        </is>
      </c>
      <c r="B11" s="10" t="n">
        <v>44</v>
      </c>
    </row>
    <row r="12" ht="30" customHeight="1">
      <c r="A12" s="2" t="inlineStr">
        <is>
          <t>Pending units</t>
        </is>
      </c>
      <c r="B12" s="10" t="n">
        <v>1</v>
      </c>
    </row>
    <row r="13" ht="30" customHeight="1">
      <c r="A13" s="2" t="inlineStr">
        <is>
          <t>Vacant units</t>
        </is>
      </c>
      <c r="B13" s="10" t="n">
        <v>3</v>
      </c>
    </row>
    <row r="14" ht="30" customHeight="1">
      <c r="A14" s="2" t="inlineStr">
        <is>
          <t>Total units</t>
        </is>
      </c>
      <c r="B14" s="10" t="n">
        <v>48</v>
      </c>
    </row>
    <row r="15" ht="30" customHeight="1">
      <c r="A15" s="2" t="inlineStr">
        <is>
          <t>Occupied area SF</t>
        </is>
      </c>
      <c r="B15" s="10" t="n">
        <v>37220</v>
      </c>
    </row>
    <row r="16" ht="30" customHeight="1">
      <c r="A16" s="2" t="inlineStr">
        <is>
          <t>Total area SF</t>
        </is>
      </c>
      <c r="B16" s="10" t="n">
        <v>40800</v>
      </c>
    </row>
    <row r="17" ht="30" customHeight="1">
      <c r="A17" s="2" t="inlineStr">
        <is>
          <t>Unit occupancy</t>
        </is>
      </c>
      <c r="B17" s="13">
        <f>B11/B14</f>
        <v/>
      </c>
    </row>
    <row r="18" ht="30" customHeight="1">
      <c r="A18" s="2" t="inlineStr">
        <is>
          <t>Area occupancy</t>
        </is>
      </c>
      <c r="B18" s="13">
        <f>B15/B16</f>
        <v/>
      </c>
    </row>
    <row r="20" ht="30" customHeight="1">
      <c r="A20" s="2" t="inlineStr">
        <is>
          <t>Annual in-place rent (44 active + Suite 001 amended)</t>
        </is>
      </c>
      <c r="B20" s="14" t="n">
        <v>894600</v>
      </c>
      <c r="C20" s="3" t="inlineStr">
        <is>
          <t>(1×$1,850 + 14×$1,500 + 15×$1,650 + 14×$1,925) × 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 units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14</v>
      </c>
      <c r="D6" s="3" t="n">
        <v>1</v>
      </c>
      <c r="E6" s="3" t="n">
        <v>1</v>
      </c>
    </row>
    <row r="7" ht="30" customHeight="1">
      <c r="A7" s="10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 ht="30" customHeight="1">
      <c r="A1" s="1" t="inlineStr">
        <is>
          <t>Historical T-12 vs Underwritten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&amp; ancillary collections / EGI</t>
        </is>
      </c>
      <c r="B4" s="9" t="n">
        <v>876960</v>
      </c>
      <c r="C4" s="9">
        <f>UW!B6</f>
        <v/>
      </c>
    </row>
    <row r="5" ht="30" customHeight="1">
      <c r="A5" s="3" t="inlineStr">
        <is>
          <t>Real estate tax</t>
        </is>
      </c>
      <c r="B5" s="9" t="n">
        <v>102312</v>
      </c>
      <c r="C5" s="9">
        <f>UW!B8</f>
        <v/>
      </c>
    </row>
    <row r="6" ht="30" customHeight="1">
      <c r="A6" s="3" t="inlineStr">
        <is>
          <t>Insurance</t>
        </is>
      </c>
      <c r="B6" s="9" t="n">
        <v>34104</v>
      </c>
      <c r="C6" s="9">
        <f>UW!B9</f>
        <v/>
      </c>
    </row>
    <row r="7" ht="30" customHeight="1">
      <c r="A7" s="3" t="inlineStr">
        <is>
          <t>Other recurring opex</t>
        </is>
      </c>
      <c r="B7" s="9" t="n">
        <v>136416</v>
      </c>
      <c r="C7" s="9">
        <f>UW!B10</f>
        <v/>
      </c>
    </row>
    <row r="8" ht="30" customHeight="1">
      <c r="A8" s="3" t="inlineStr">
        <is>
          <t>Management fee</t>
        </is>
      </c>
      <c r="B8" s="9" t="n">
        <v>0</v>
      </c>
      <c r="C8" s="9">
        <f>UW!B11</f>
        <v/>
      </c>
    </row>
    <row r="9" ht="30" customHeight="1">
      <c r="A9" s="3" t="inlineStr">
        <is>
          <t>Reported NOI (T-12) / UW NOI before reserves</t>
        </is>
      </c>
      <c r="B9" s="14" t="n">
        <v>604128</v>
      </c>
      <c r="C9" s="14">
        <f>UW!B14</f>
        <v/>
      </c>
    </row>
    <row r="10" ht="30" customHeight="1">
      <c r="A10" s="3" t="inlineStr">
        <is>
          <t>Reserves</t>
        </is>
      </c>
      <c r="B10" s="9" t="n">
        <v>0</v>
      </c>
      <c r="C10" s="9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4">
        <f>UW!B16</f>
        <v/>
      </c>
    </row>
    <row r="13" ht="30" customHeight="1">
      <c r="A13" s="3" t="inlineStr">
        <is>
          <t>Note: T-12 collections are cash, not annualized rent-roll; UW EGI uses scheduled GPR × (1-loss) +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18" customWidth="1" min="4" max="4"/>
  </cols>
  <sheetData>
    <row r="1" ht="30" customHeight="1">
      <c r="A1" s="1" t="inlineStr">
        <is>
          <t>Sources &amp; Uses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9">
        <f>UW!B26</f>
        <v/>
      </c>
      <c r="C4" s="3" t="inlineStr">
        <is>
          <t>Existing payoff</t>
        </is>
      </c>
      <c r="D4" s="9">
        <f>Inputs!B22</f>
        <v/>
      </c>
    </row>
    <row r="5" ht="30" customHeight="1">
      <c r="A5" s="3" t="inlineStr">
        <is>
          <t>Sponsor equity (plug)</t>
        </is>
      </c>
      <c r="B5" s="9">
        <f>MAX(0,D6-B4)</f>
        <v/>
      </c>
      <c r="C5" s="3" t="inlineStr">
        <is>
          <t>Origination fee</t>
        </is>
      </c>
      <c r="D5" s="9">
        <f>UW!B28</f>
        <v/>
      </c>
    </row>
    <row r="6" ht="30" customHeight="1">
      <c r="C6" s="3" t="inlineStr">
        <is>
          <t>Closing costs</t>
        </is>
      </c>
      <c r="D6" s="9">
        <f>Inputs!B21+Inputs!B22+UW!B28</f>
        <v/>
      </c>
    </row>
    <row r="7" ht="30" customHeight="1">
      <c r="A7" s="10" t="inlineStr">
        <is>
          <t>Net cash-out to sponsor</t>
        </is>
      </c>
      <c r="B7" s="14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Sensitivity: Max loan by sizing rate × cap rate</t>
        </is>
      </c>
    </row>
    <row r="3" ht="30" customHeight="1">
      <c r="A3" s="2" t="inlineStr">
        <is>
          <t>Cap rate ↓ / Sizing rate →</t>
        </is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0.07000000000000001</v>
      </c>
    </row>
    <row r="4" ht="30" customHeight="1">
      <c r="A4" s="15" t="n">
        <v>0.055</v>
      </c>
      <c r="B4" s="9">
        <f>MIN(Inputs!$B$17*UW!$B$14/$A4,UW!$B$16/Inputs!$B$18/12/((B$3/12)*(1+B$3/12)^Inputs!$B$16/((1+B$3/12)^Inputs!$B$16-1)),UW!$B$16/Inputs!$B$19)</f>
        <v/>
      </c>
      <c r="C4" s="9">
        <f>MIN(Inputs!$B$17*UW!$B$14/$A4,UW!$B$16/Inputs!$B$18/12/((C$3/12)*(1+C$3/12)^Inputs!$B$16/((1+C$3/12)^Inputs!$B$16-1)),UW!$B$16/Inputs!$B$19)</f>
        <v/>
      </c>
      <c r="D4" s="9">
        <f>MIN(Inputs!$B$17*UW!$B$14/$A4,UW!$B$16/Inputs!$B$18/12/((D$3/12)*(1+D$3/12)^Inputs!$B$16/((1+D$3/12)^Inputs!$B$16-1)),UW!$B$16/Inputs!$B$19)</f>
        <v/>
      </c>
      <c r="E4" s="9">
        <f>MIN(Inputs!$B$17*UW!$B$14/$A4,UW!$B$16/Inputs!$B$18/12/((E$3/12)*(1+E$3/12)^Inputs!$B$16/((1+E$3/12)^Inputs!$B$16-1)),UW!$B$16/Inputs!$B$19)</f>
        <v/>
      </c>
      <c r="F4" s="9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9">
        <f>MIN(Inputs!$B$17*UW!$B$14/$A5,UW!$B$16/Inputs!$B$18/12/((B$3/12)*(1+B$3/12)^Inputs!$B$16/((1+B$3/12)^Inputs!$B$16-1)),UW!$B$16/Inputs!$B$19)</f>
        <v/>
      </c>
      <c r="C5" s="9">
        <f>MIN(Inputs!$B$17*UW!$B$14/$A5,UW!$B$16/Inputs!$B$18/12/((C$3/12)*(1+C$3/12)^Inputs!$B$16/((1+C$3/12)^Inputs!$B$16-1)),UW!$B$16/Inputs!$B$19)</f>
        <v/>
      </c>
      <c r="D5" s="9">
        <f>MIN(Inputs!$B$17*UW!$B$14/$A5,UW!$B$16/Inputs!$B$18/12/((D$3/12)*(1+D$3/12)^Inputs!$B$16/((1+D$3/12)^Inputs!$B$16-1)),UW!$B$16/Inputs!$B$19)</f>
        <v/>
      </c>
      <c r="E5" s="9">
        <f>MIN(Inputs!$B$17*UW!$B$14/$A5,UW!$B$16/Inputs!$B$18/12/((E$3/12)*(1+E$3/12)^Inputs!$B$16/((1+E$3/12)^Inputs!$B$16-1)),UW!$B$16/Inputs!$B$19)</f>
        <v/>
      </c>
      <c r="F5" s="9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9">
        <f>MIN(Inputs!$B$17*UW!$B$14/$A6,UW!$B$16/Inputs!$B$18/12/((B$3/12)*(1+B$3/12)^Inputs!$B$16/((1+B$3/12)^Inputs!$B$16-1)),UW!$B$16/Inputs!$B$19)</f>
        <v/>
      </c>
      <c r="C6" s="9">
        <f>MIN(Inputs!$B$17*UW!$B$14/$A6,UW!$B$16/Inputs!$B$18/12/((C$3/12)*(1+C$3/12)^Inputs!$B$16/((1+C$3/12)^Inputs!$B$16-1)),UW!$B$16/Inputs!$B$19)</f>
        <v/>
      </c>
      <c r="D6" s="9">
        <f>MIN(Inputs!$B$17*UW!$B$14/$A6,UW!$B$16/Inputs!$B$18/12/((D$3/12)*(1+D$3/12)^Inputs!$B$16/((1+D$3/12)^Inputs!$B$16-1)),UW!$B$16/Inputs!$B$19)</f>
        <v/>
      </c>
      <c r="E6" s="9">
        <f>MIN(Inputs!$B$17*UW!$B$14/$A6,UW!$B$16/Inputs!$B$18/12/((E$3/12)*(1+E$3/12)^Inputs!$B$16/((1+E$3/12)^Inputs!$B$16-1)),UW!$B$16/Inputs!$B$19)</f>
        <v/>
      </c>
      <c r="F6" s="9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9">
        <f>MIN(Inputs!$B$17*UW!$B$14/$A7,UW!$B$16/Inputs!$B$18/12/((B$3/12)*(1+B$3/12)^Inputs!$B$16/((1+B$3/12)^Inputs!$B$16-1)),UW!$B$16/Inputs!$B$19)</f>
        <v/>
      </c>
      <c r="C7" s="9">
        <f>MIN(Inputs!$B$17*UW!$B$14/$A7,UW!$B$16/Inputs!$B$18/12/((C$3/12)*(1+C$3/12)^Inputs!$B$16/((1+C$3/12)^Inputs!$B$16-1)),UW!$B$16/Inputs!$B$19)</f>
        <v/>
      </c>
      <c r="D7" s="9">
        <f>MIN(Inputs!$B$17*UW!$B$14/$A7,UW!$B$16/Inputs!$B$18/12/((D$3/12)*(1+D$3/12)^Inputs!$B$16/((1+D$3/12)^Inputs!$B$16-1)),UW!$B$16/Inputs!$B$19)</f>
        <v/>
      </c>
      <c r="E7" s="9">
        <f>MIN(Inputs!$B$17*UW!$B$14/$A7,UW!$B$16/Inputs!$B$18/12/((E$3/12)*(1+E$3/12)^Inputs!$B$16/((1+E$3/12)^Inputs!$B$16-1)),UW!$B$16/Inputs!$B$19)</f>
        <v/>
      </c>
      <c r="F7" s="9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9">
        <f>MIN(Inputs!$B$17*UW!$B$14/$A8,UW!$B$16/Inputs!$B$18/12/((B$3/12)*(1+B$3/12)^Inputs!$B$16/((1+B$3/12)^Inputs!$B$16-1)),UW!$B$16/Inputs!$B$19)</f>
        <v/>
      </c>
      <c r="C8" s="9">
        <f>MIN(Inputs!$B$17*UW!$B$14/$A8,UW!$B$16/Inputs!$B$18/12/((C$3/12)*(1+C$3/12)^Inputs!$B$16/((1+C$3/12)^Inputs!$B$16-1)),UW!$B$16/Inputs!$B$19)</f>
        <v/>
      </c>
      <c r="D8" s="9">
        <f>MIN(Inputs!$B$17*UW!$B$14/$A8,UW!$B$16/Inputs!$B$18/12/((D$3/12)*(1+D$3/12)^Inputs!$B$16/((1+D$3/12)^Inputs!$B$16-1)),UW!$B$16/Inputs!$B$19)</f>
        <v/>
      </c>
      <c r="E8" s="9">
        <f>MIN(Inputs!$B$17*UW!$B$14/$A8,UW!$B$16/Inputs!$B$18/12/((E$3/12)*(1+E$3/12)^Inputs!$B$16/((1+E$3/12)^Inputs!$B$16-1)),UW!$B$16/Inputs!$B$19)</f>
        <v/>
      </c>
      <c r="F8" s="9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Page/Cell</t>
        </is>
      </c>
      <c r="C3" s="2" t="inlineStr">
        <is>
          <t>Fact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Manager counts 45 occupied (includes pending)</t>
        </is>
      </c>
    </row>
    <row r="5" ht="30" customHeight="1">
      <c r="A5" s="3" t="inlineStr">
        <is>
          <t>underwriting-instructions.pdf</t>
        </is>
      </c>
      <c r="B5" s="3" t="inlineStr">
        <is>
          <t>p1</t>
        </is>
      </c>
      <c r="C5" s="3" t="inlineStr">
        <is>
          <t>GPR = certified pre-amendment scheduled ×12; loss 5%; other income $350/unit; tax/ins/other opex; mgmt 3% EGI; reserve $300/unit; cap 5.75%; note 6.25%, floor 6.00%; LTV 65%, DSCR 1.25, DY 9%; 30-yr amort; orig 1%; closing $45,000; payoff $4,200,000</t>
        </is>
      </c>
    </row>
    <row r="6" ht="30" customHeight="1">
      <c r="A6" s="3" t="inlineStr">
        <is>
          <t>rent-roll-certified.xlsx</t>
        </is>
      </c>
      <c r="B6" s="3" t="inlineStr">
        <is>
          <t>A5:G52</t>
        </is>
      </c>
      <c r="C6" s="3" t="inlineStr">
        <is>
          <t>48 units; suite 45 pending, 46-48 vacant; scheduled rents</t>
        </is>
      </c>
    </row>
    <row r="7" ht="30" customHeight="1">
      <c r="A7" s="3" t="inlineStr">
        <is>
          <t>rent-roll-archive.xlsx</t>
        </is>
      </c>
      <c r="B7" s="3" t="inlineStr">
        <is>
          <t>A5:G52</t>
        </is>
      </c>
      <c r="C7" s="3" t="inlineStr">
        <is>
          <t>Stale as of 2026-06-30; superseded by certified</t>
        </is>
      </c>
    </row>
    <row r="8" ht="30" customHeight="1">
      <c r="A8" s="3" t="inlineStr">
        <is>
          <t>lease-001.pdf</t>
        </is>
      </c>
      <c r="B8" s="3" t="inlineStr">
        <is>
          <t>p1</t>
        </is>
      </c>
      <c r="C8" s="3" t="inlineStr">
        <is>
          <t>Suite 001 executed lease $1,500 mo; no free rent</t>
        </is>
      </c>
    </row>
    <row r="9" ht="30" customHeight="1">
      <c r="A9" s="3" t="inlineStr">
        <is>
          <t>lease-correspondence.pdf</t>
        </is>
      </c>
      <c r="B9" s="3" t="inlineStr">
        <is>
          <t>p1</t>
        </is>
      </c>
      <c r="C9" s="3" t="inlineStr">
        <is>
          <t>Signed amendment 2026-07-20 effective 2026-08-01: +$350 mo on Suite 001</t>
        </is>
      </c>
    </row>
    <row r="10" ht="30" customHeight="1">
      <c r="A10" s="3" t="inlineStr">
        <is>
          <t>operating-statement.pdf</t>
        </is>
      </c>
      <c r="B10" s="3" t="inlineStr">
        <is>
          <t>p1</t>
        </is>
      </c>
      <c r="C10" s="3" t="inlineStr">
        <is>
          <t>T-12 collections $876,960; tax $102,312; ins $34,104; other $136,416; roof $0; NOI $604,128</t>
        </is>
      </c>
    </row>
    <row r="11" ht="30" customHeight="1">
      <c r="A11" s="3" t="inlineStr">
        <is>
          <t>insurance.pdf</t>
        </is>
      </c>
      <c r="B11" s="3" t="inlineStr">
        <is>
          <t>p1</t>
        </is>
      </c>
      <c r="C11" s="3" t="inlineStr">
        <is>
          <t>GL aggregate limit $2,000,000; policy 2026-07-01 to 2027-06-30</t>
        </is>
      </c>
    </row>
    <row r="12" ht="30" customHeight="1">
      <c r="A12" s="3" t="inlineStr">
        <is>
          <t>diligence-status.pdf</t>
        </is>
      </c>
      <c r="B12" s="3" t="inlineStr">
        <is>
          <t>p1</t>
        </is>
      </c>
      <c r="C12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2026-09-07T12:59:55Z</dcterms:created>
  <dcterms:modified xmlns:dcterms="http://purl.org/dc/terms/" xmlns:xsi="http://www.w3.org/2001/XMLSchema-instance" xsi:type="dcterms:W3CDTF">2026-09-07T12:59:55Z</dcterms:modified>
</cp:coreProperties>
</file>