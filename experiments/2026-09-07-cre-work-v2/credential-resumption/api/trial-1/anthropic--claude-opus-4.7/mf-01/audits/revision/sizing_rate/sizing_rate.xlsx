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RentRoll" sheetId="3" state="visible" r:id="rId5"/>
    <sheet name="UnitMix" sheetId="4" state="visible" r:id="rId6"/>
    <sheet name="Historical" sheetId="5" state="visible" r:id="rId7"/>
    <sheet name="SourcesUses" sheetId="6" state="visible" r:id="rId8"/>
    <sheet name="Sensitivity" sheetId="7" state="visible" r:id="rId9"/>
    <sheet name="Changes" sheetId="8" state="visible" r:id="rId10"/>
    <sheet name="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<sst xmlns="http://schemas.openxmlformats.org/spreadsheetml/2006/main" count="211" uniqueCount="170">
  <si>
    <t xml:space="preserve">Magnolia Terrace — Underwriting Inputs (Revised)</t>
  </si>
  <si>
    <t xml:space="preserve">As of</t>
  </si>
  <si>
    <t xml:space="preserve">2026-09-01</t>
  </si>
  <si>
    <t xml:space="preserve">Input</t>
  </si>
  <si>
    <t xml:space="preserve">Value</t>
  </si>
  <si>
    <t xml:space="preserve">Source / note</t>
  </si>
  <si>
    <t xml:space="preserve">Gross potential rent (annual)</t>
  </si>
  <si>
    <t xml:space="preserve">(16*1500 + 16*1650 + 15*1925 + 1*2150)*12 per revised roll</t>
  </si>
  <si>
    <t xml:space="preserve">Economic loss %</t>
  </si>
  <si>
    <t xml:space="preserve">unchanged</t>
  </si>
  <si>
    <t xml:space="preserve">Other income per unit (annual)</t>
  </si>
  <si>
    <t xml:space="preserve">Total units</t>
  </si>
  <si>
    <t xml:space="preserve">rent-roll-revised.xlsx rows 5-52</t>
  </si>
  <si>
    <t xml:space="preserve">Real estate tax expense</t>
  </si>
  <si>
    <t xml:space="preserve">Insurance expense</t>
  </si>
  <si>
    <t xml:space="preserve">Other recurring opex</t>
  </si>
  <si>
    <t xml:space="preserve">Management fee % of EGI</t>
  </si>
  <si>
    <t xml:space="preserve">Replacement reserve per unit</t>
  </si>
  <si>
    <t xml:space="preserve">Cap rate</t>
  </si>
  <si>
    <t xml:space="preserve">REVISED: 5.75% + 25 bps</t>
  </si>
  <si>
    <t xml:space="preserve">Sizing rate</t>
  </si>
  <si>
    <t xml:space="preserve">REVISED: initial sizing rate 6.25% + 75 bps = 7.00%</t>
  </si>
  <si>
    <t xml:space="preserve">Amortization (months)</t>
  </si>
  <si>
    <t xml:space="preserve">Max LTV</t>
  </si>
  <si>
    <t xml:space="preserve">Min DSCR</t>
  </si>
  <si>
    <t xml:space="preserve">Min debt yield</t>
  </si>
  <si>
    <t xml:space="preserve">Origination fee %</t>
  </si>
  <si>
    <t xml:space="preserve">Closing costs</t>
  </si>
  <si>
    <t xml:space="preserve">Existing loan payoff</t>
  </si>
  <si>
    <t xml:space="preserve">Underwriting rate floor</t>
  </si>
  <si>
    <t xml:space="preserve">Original floor 6.00%; still below revised sizing rate</t>
  </si>
  <si>
    <t xml:space="preserve">Original note rate</t>
  </si>
  <si>
    <t xml:space="preserve">underwriting-instructions.pdf p1</t>
  </si>
  <si>
    <t xml:space="preserve">Underwritten Cash Flow &amp; Debt Sizing (Revised)</t>
  </si>
  <si>
    <t xml:space="preserve">Gross potential rent</t>
  </si>
  <si>
    <t xml:space="preserve">Less: economic loss</t>
  </si>
  <si>
    <t xml:space="preserve">Plus: other income</t>
  </si>
  <si>
    <t xml:space="preserve">Underwritten EGI</t>
  </si>
  <si>
    <t xml:space="preserve">Real estate tax</t>
  </si>
  <si>
    <t xml:space="preserve">Insurance</t>
  </si>
  <si>
    <t xml:space="preserve">Management fee (3% of EGI)</t>
  </si>
  <si>
    <t xml:space="preserve">Total operating expenses</t>
  </si>
  <si>
    <t xml:space="preserve">NOI before reserves (UW)</t>
  </si>
  <si>
    <t xml:space="preserve">Replacement reserves</t>
  </si>
  <si>
    <t xml:space="preserve">NCF after reserves</t>
  </si>
  <si>
    <t xml:space="preserve">Capitalization value (NOI / cap)</t>
  </si>
  <si>
    <t xml:space="preserve">Monthly constant (rate, n=360)</t>
  </si>
  <si>
    <t xml:space="preserve">LTV-limited loan</t>
  </si>
  <si>
    <t xml:space="preserve">DSCR-limited loan</t>
  </si>
  <si>
    <t xml:space="preserve">Debt-yield-limited loan</t>
  </si>
  <si>
    <t xml:space="preserve">Maximum loan</t>
  </si>
  <si>
    <t xml:space="preserve">Origination fee</t>
  </si>
  <si>
    <t xml:space="preserve">Existing payoff</t>
  </si>
  <si>
    <t xml:space="preserve">Net cash-out (neg = additional equity)</t>
  </si>
  <si>
    <t xml:space="preserve">Binding constraint</t>
  </si>
  <si>
    <t xml:space="preserve">Reconciled Rent Roll (revised, as of 2026-09-01; Suite 001 in-place per amendment)</t>
  </si>
  <si>
    <t xml:space="preserve">Metric</t>
  </si>
  <si>
    <t xml:space="preserve">Note</t>
  </si>
  <si>
    <t xml:space="preserve">Active (occupied) units</t>
  </si>
  <si>
    <t xml:space="preserve">Suite 045 now active</t>
  </si>
  <si>
    <t xml:space="preserve">Pending units</t>
  </si>
  <si>
    <t xml:space="preserve">Vacant units</t>
  </si>
  <si>
    <t xml:space="preserve">Suites 046, 047, 048</t>
  </si>
  <si>
    <t xml:space="preserve">Total area SF</t>
  </si>
  <si>
    <t xml:space="preserve">Occupied area SF</t>
  </si>
  <si>
    <t xml:space="preserve">16*700+16*820+15*1030 - vacant 700+820+1030</t>
  </si>
  <si>
    <t xml:space="preserve">Unit occupancy</t>
  </si>
  <si>
    <t xml:space="preserve">Area occupancy</t>
  </si>
  <si>
    <t xml:space="preserve">Suite 001 in-place monthly rent</t>
  </si>
  <si>
    <t xml:space="preserve">$1,500 base + $350 signed amendment</t>
  </si>
  <si>
    <t xml:space="preserve">Suite 045 scheduled monthly rent (revised)</t>
  </si>
  <si>
    <t xml:space="preserve">prior $1,925 + $225 per revision</t>
  </si>
  <si>
    <t xml:space="preserve">Annual in-place rent</t>
  </si>
  <si>
    <t xml:space="preserve">(1*1850+14*1500+15*1650+14*1925+1*2150)*12</t>
  </si>
  <si>
    <t xml:space="preserve">Unit Group Mapping (A=Studio, B=1BR, C=2BR)</t>
  </si>
  <si>
    <t xml:space="preserve">Group</t>
  </si>
  <si>
    <t xml:space="preserve">Total</t>
  </si>
  <si>
    <t xml:space="preserve">Occupied</t>
  </si>
  <si>
    <t xml:space="preserve">Pending</t>
  </si>
  <si>
    <t xml:space="preserve">Vacant</t>
  </si>
  <si>
    <t xml:space="preserve">A - Studio</t>
  </si>
  <si>
    <t xml:space="preserve">B - 1BR</t>
  </si>
  <si>
    <t xml:space="preserve">C - 2BR</t>
  </si>
  <si>
    <t xml:space="preserve">Historical T-12 vs Underwritten (Revised)</t>
  </si>
  <si>
    <t xml:space="preserve">Item</t>
  </si>
  <si>
    <t xml:space="preserve">T-12 actual</t>
  </si>
  <si>
    <t xml:space="preserve">Underwritten</t>
  </si>
  <si>
    <t xml:space="preserve">Rental collections / EGI</t>
  </si>
  <si>
    <t xml:space="preserve">Management fee</t>
  </si>
  <si>
    <t xml:space="preserve">NOI before reserves</t>
  </si>
  <si>
    <t xml:space="preserve">Reserves</t>
  </si>
  <si>
    <t xml:space="preserve">Unknown</t>
  </si>
  <si>
    <t xml:space="preserve">Sources &amp; Uses (Revised)</t>
  </si>
  <si>
    <t xml:space="preserve">Sources</t>
  </si>
  <si>
    <t xml:space="preserve">$</t>
  </si>
  <si>
    <t xml:space="preserve">Uses</t>
  </si>
  <si>
    <t xml:space="preserve">Sponsor equity to close (plug)</t>
  </si>
  <si>
    <t xml:space="preserve">Closing costs + payoff + fees</t>
  </si>
  <si>
    <t xml:space="preserve">Net cash-out to sponsor</t>
  </si>
  <si>
    <t xml:space="preserve">Sensitivity: Max loan by sizing rate x cap rate</t>
  </si>
  <si>
    <t xml:space="preserve">Cap \ Sizing</t>
  </si>
  <si>
    <t xml:space="preserve">Change Log — Initial vs Revised</t>
  </si>
  <si>
    <t xml:space="preserve">Initial</t>
  </si>
  <si>
    <t xml:space="preserve">Revised</t>
  </si>
  <si>
    <t xml:space="preserve">Reason</t>
  </si>
  <si>
    <t xml:space="preserve">As-of date</t>
  </si>
  <si>
    <t xml:space="preserve">2026-08-31</t>
  </si>
  <si>
    <t xml:space="preserve">revision-notice.pdf</t>
  </si>
  <si>
    <t xml:space="preserve">Suite 045 status</t>
  </si>
  <si>
    <t xml:space="preserve">pending</t>
  </si>
  <si>
    <t xml:space="preserve">active</t>
  </si>
  <si>
    <t xml:space="preserve">Revised roll</t>
  </si>
  <si>
    <t xml:space="preserve">Suite 045 scheduled rent</t>
  </si>
  <si>
    <t xml:space="preserve">$1,925</t>
  </si>
  <si>
    <t xml:space="preserve">$2,150</t>
  </si>
  <si>
    <t xml:space="preserve">+$225 revision</t>
  </si>
  <si>
    <t xml:space="preserve">GPR</t>
  </si>
  <si>
    <t xml:space="preserve">$974,400</t>
  </si>
  <si>
    <t xml:space="preserve">$977,100</t>
  </si>
  <si>
    <t xml:space="preserve">New roll all-unit</t>
  </si>
  <si>
    <t xml:space="preserve">5.7500%</t>
  </si>
  <si>
    <t xml:space="preserve">6.0000%</t>
  </si>
  <si>
    <t xml:space="preserve">+25 bps</t>
  </si>
  <si>
    <t xml:space="preserve">6.2500%</t>
  </si>
  <si>
    <t xml:space="preserve">7.0000%</t>
  </si>
  <si>
    <t xml:space="preserve">+75 bps</t>
  </si>
  <si>
    <t xml:space="preserve">UW EGI</t>
  </si>
  <si>
    <t xml:space="preserve">$942,480</t>
  </si>
  <si>
    <t xml:space="preserve">$945,045</t>
  </si>
  <si>
    <t xml:space="preserve">UW NOI</t>
  </si>
  <si>
    <t xml:space="preserve">$641,374</t>
  </si>
  <si>
    <t xml:space="preserve">$643,862</t>
  </si>
  <si>
    <t xml:space="preserve">UW NCF</t>
  </si>
  <si>
    <t xml:space="preserve">$626,974</t>
  </si>
  <si>
    <t xml:space="preserve">$629,462</t>
  </si>
  <si>
    <t xml:space="preserve">Capitalization value</t>
  </si>
  <si>
    <t xml:space="preserve">$11,154,323</t>
  </si>
  <si>
    <t xml:space="preserve">$10,731,028</t>
  </si>
  <si>
    <t xml:space="preserve">$6,788,545</t>
  </si>
  <si>
    <t xml:space="preserve">$6,307,523</t>
  </si>
  <si>
    <t xml:space="preserve">DSCR binding in both</t>
  </si>
  <si>
    <t xml:space="preserve">Net cash-out</t>
  </si>
  <si>
    <t xml:space="preserve">$2,475,660</t>
  </si>
  <si>
    <t xml:space="preserve">$1,999,448</t>
  </si>
  <si>
    <t xml:space="preserve">Source Register</t>
  </si>
  <si>
    <t xml:space="preserve">File</t>
  </si>
  <si>
    <t xml:space="preserve">Loc</t>
  </si>
  <si>
    <t xml:space="preserve">Fact</t>
  </si>
  <si>
    <t xml:space="preserve">p1</t>
  </si>
  <si>
    <t xml:space="preserve">Effective 2026-09-01. Suite 045 active, +$225. Cap +25 bps, initial sizing rate +75 bps.</t>
  </si>
  <si>
    <t xml:space="preserve">rent-roll-revised.xlsx</t>
  </si>
  <si>
    <t xml:space="preserve">A5:G52</t>
  </si>
  <si>
    <t xml:space="preserve">Controlling roll; Suite 045 active at $2,150; Suites 046-048 vacant</t>
  </si>
  <si>
    <t xml:space="preserve">rent-roll-certified.xlsx</t>
  </si>
  <si>
    <t xml:space="preserve">-</t>
  </si>
  <si>
    <t xml:space="preserve">Superseded by revised roll</t>
  </si>
  <si>
    <t xml:space="preserve">manager-cover.pdf</t>
  </si>
  <si>
    <t xml:space="preserve">Group mapping A/B/C = Studio/1BR/2BR</t>
  </si>
  <si>
    <t xml:space="preserve">underwriting-instructions.pdf</t>
  </si>
  <si>
    <t xml:space="preserve">Base underwriting rules; original note 6.25%, floor 6.00%</t>
  </si>
  <si>
    <t xml:space="preserve">operating-statement.pdf</t>
  </si>
  <si>
    <t xml:space="preserve">T-12 collections $876,960; tax/ins/other; roof capital; NOI $604,128</t>
  </si>
  <si>
    <t xml:space="preserve">lease-001.pdf</t>
  </si>
  <si>
    <t xml:space="preserve">Suite 001 base $1,500; no free rent</t>
  </si>
  <si>
    <t xml:space="preserve">lease-correspondence.pdf</t>
  </si>
  <si>
    <t xml:space="preserve">Signed amendment 2026-07-20 effective 2026-08-01; +$350 on Suite 001</t>
  </si>
  <si>
    <t xml:space="preserve">insurance.pdf</t>
  </si>
  <si>
    <t xml:space="preserve">GL aggregate $2,000,000 through 2027-06-30</t>
  </si>
  <si>
    <t xml:space="preserve">diligence-status.pdf</t>
  </si>
  <si>
    <t xml:space="preserve">Legal/enviro/PCA/title pending; no defects asserted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</si>
</sst>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3" t="s">
        <v>2</v>
      </c>
    </row>
    <row r="4" customFormat="false" ht="30" hidden="false" customHeight="true" outlineLevel="0" collapsed="false">
      <c r="A4" s="2" t="s">
        <v>3</v>
      </c>
      <c r="B4" s="2" t="s">
        <v>4</v>
      </c>
      <c r="C4" s="2" t="s">
        <v>5</v>
      </c>
    </row>
    <row r="5" customFormat="false" ht="30" hidden="false" customHeight="true" outlineLevel="0" collapsed="false">
      <c r="A5" s="3" t="s">
        <v>6</v>
      </c>
      <c r="B5" s="4" t="n">
        <v>977100</v>
      </c>
      <c r="C5" s="3" t="s">
        <v>7</v>
      </c>
    </row>
    <row r="6" customFormat="false" ht="30" hidden="false" customHeight="true" outlineLevel="0" collapsed="false">
      <c r="A6" s="3" t="s">
        <v>8</v>
      </c>
      <c r="B6" s="5" t="n">
        <v>0.05</v>
      </c>
      <c r="C6" s="3" t="s">
        <v>9</v>
      </c>
    </row>
    <row r="7" customFormat="false" ht="30" hidden="false" customHeight="true" outlineLevel="0" collapsed="false">
      <c r="A7" s="3" t="s">
        <v>10</v>
      </c>
      <c r="B7" s="4" t="n">
        <v>350</v>
      </c>
      <c r="C7" s="3" t="s">
        <v>9</v>
      </c>
    </row>
    <row r="8" customFormat="false" ht="30" hidden="false" customHeight="true" outlineLevel="0" collapsed="false">
      <c r="A8" s="3" t="s">
        <v>11</v>
      </c>
      <c r="B8" s="6" t="n">
        <v>48</v>
      </c>
      <c r="C8" s="3" t="s">
        <v>12</v>
      </c>
    </row>
    <row r="9" customFormat="false" ht="30" hidden="false" customHeight="true" outlineLevel="0" collapsed="false">
      <c r="A9" s="3" t="s">
        <v>13</v>
      </c>
      <c r="B9" s="4" t="n">
        <v>102312</v>
      </c>
      <c r="C9" s="3" t="s">
        <v>9</v>
      </c>
    </row>
    <row r="10" customFormat="false" ht="30" hidden="false" customHeight="true" outlineLevel="0" collapsed="false">
      <c r="A10" s="3" t="s">
        <v>14</v>
      </c>
      <c r="B10" s="4" t="n">
        <v>34104</v>
      </c>
      <c r="C10" s="3" t="s">
        <v>9</v>
      </c>
    </row>
    <row r="11" customFormat="false" ht="30" hidden="false" customHeight="true" outlineLevel="0" collapsed="false">
      <c r="A11" s="3" t="s">
        <v>15</v>
      </c>
      <c r="B11" s="4" t="n">
        <v>136416</v>
      </c>
      <c r="C11" s="3" t="s">
        <v>9</v>
      </c>
    </row>
    <row r="12" customFormat="false" ht="30" hidden="false" customHeight="true" outlineLevel="0" collapsed="false">
      <c r="A12" s="3" t="s">
        <v>16</v>
      </c>
      <c r="B12" s="5" t="n">
        <v>0.03</v>
      </c>
      <c r="C12" s="3" t="s">
        <v>9</v>
      </c>
    </row>
    <row r="13" customFormat="false" ht="30" hidden="false" customHeight="true" outlineLevel="0" collapsed="false">
      <c r="A13" s="3" t="s">
        <v>17</v>
      </c>
      <c r="B13" s="4" t="n">
        <v>300</v>
      </c>
      <c r="C13" s="3" t="s">
        <v>9</v>
      </c>
    </row>
    <row r="14" customFormat="false" ht="30" hidden="false" customHeight="true" outlineLevel="0" collapsed="false">
      <c r="A14" s="3" t="s">
        <v>18</v>
      </c>
      <c r="B14" s="7" t="n">
        <v>0.06</v>
      </c>
      <c r="C14" s="3" t="s">
        <v>19</v>
      </c>
    </row>
    <row r="15" customFormat="false" ht="30" hidden="false" customHeight="true" outlineLevel="0" collapsed="false">
      <c r="A15" s="3" t="s">
        <v>20</v>
      </c>
      <c r="B15" s="7" t="n">
        <v>0.08</v>
      </c>
      <c r="C15" s="3" t="s">
        <v>21</v>
      </c>
    </row>
    <row r="16" customFormat="false" ht="30" hidden="false" customHeight="true" outlineLevel="0" collapsed="false">
      <c r="A16" s="3" t="s">
        <v>22</v>
      </c>
      <c r="B16" s="6" t="n">
        <v>360</v>
      </c>
      <c r="C16" s="3" t="s">
        <v>9</v>
      </c>
    </row>
    <row r="17" customFormat="false" ht="30" hidden="false" customHeight="true" outlineLevel="0" collapsed="false">
      <c r="A17" s="3" t="s">
        <v>23</v>
      </c>
      <c r="B17" s="5" t="n">
        <v>0.65</v>
      </c>
      <c r="C17" s="3" t="s">
        <v>9</v>
      </c>
    </row>
    <row r="18" customFormat="false" ht="30" hidden="false" customHeight="true" outlineLevel="0" collapsed="false">
      <c r="A18" s="3" t="s">
        <v>24</v>
      </c>
      <c r="B18" s="8" t="n">
        <v>1.25</v>
      </c>
      <c r="C18" s="3" t="s">
        <v>9</v>
      </c>
    </row>
    <row r="19" customFormat="false" ht="30" hidden="false" customHeight="true" outlineLevel="0" collapsed="false">
      <c r="A19" s="3" t="s">
        <v>25</v>
      </c>
      <c r="B19" s="5" t="n">
        <v>0.09</v>
      </c>
      <c r="C19" s="3" t="s">
        <v>9</v>
      </c>
    </row>
    <row r="20" customFormat="false" ht="30" hidden="false" customHeight="true" outlineLevel="0" collapsed="false">
      <c r="A20" s="3" t="s">
        <v>26</v>
      </c>
      <c r="B20" s="5" t="n">
        <v>0.01</v>
      </c>
      <c r="C20" s="3" t="s">
        <v>9</v>
      </c>
    </row>
    <row r="21" customFormat="false" ht="30" hidden="false" customHeight="true" outlineLevel="0" collapsed="false">
      <c r="A21" s="3" t="s">
        <v>27</v>
      </c>
      <c r="B21" s="4" t="n">
        <v>45000</v>
      </c>
      <c r="C21" s="3" t="s">
        <v>9</v>
      </c>
    </row>
    <row r="22" customFormat="false" ht="30" hidden="false" customHeight="true" outlineLevel="0" collapsed="false">
      <c r="A22" s="3" t="s">
        <v>28</v>
      </c>
      <c r="B22" s="4" t="n">
        <v>4200000</v>
      </c>
      <c r="C22" s="3" t="s">
        <v>9</v>
      </c>
    </row>
    <row r="24" customFormat="false" ht="30" hidden="false" customHeight="true" outlineLevel="0" collapsed="false">
      <c r="A24" s="3" t="s">
        <v>29</v>
      </c>
      <c r="B24" s="9" t="n">
        <v>0.06</v>
      </c>
      <c r="C24" s="3" t="s">
        <v>30</v>
      </c>
    </row>
    <row r="25" customFormat="false" ht="30" hidden="false" customHeight="true" outlineLevel="0" collapsed="false">
      <c r="A25" s="3" t="s">
        <v>31</v>
      </c>
      <c r="B25" s="9" t="n">
        <v>0.0625</v>
      </c>
      <c r="C25" s="3" t="s">
        <v>32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33</v>
      </c>
    </row>
    <row r="3" customFormat="false" ht="30" hidden="false" customHeight="true" outlineLevel="0" collapsed="false">
      <c r="A3" s="2" t="s">
        <v>34</v>
      </c>
      <c r="B3" s="10" t="n">
        <f aca="false">Inputs!B5</f>
        <v>977100</v>
      </c>
    </row>
    <row r="4" customFormat="false" ht="30" hidden="false" customHeight="true" outlineLevel="0" collapsed="false">
      <c r="A4" s="3" t="s">
        <v>35</v>
      </c>
      <c r="B4" s="10" t="n">
        <f aca="false">-B3*Inputs!B6</f>
        <v>-48855</v>
      </c>
    </row>
    <row r="5" customFormat="false" ht="30" hidden="false" customHeight="true" outlineLevel="0" collapsed="false">
      <c r="A5" s="3" t="s">
        <v>36</v>
      </c>
      <c r="B5" s="10" t="n">
        <f aca="false">Inputs!B7*Inputs!B8</f>
        <v>16800</v>
      </c>
    </row>
    <row r="6" customFormat="false" ht="30" hidden="false" customHeight="true" outlineLevel="0" collapsed="false">
      <c r="A6" s="11" t="s">
        <v>37</v>
      </c>
      <c r="B6" s="12" t="n">
        <f aca="false">B3+B4+B5</f>
        <v>945045</v>
      </c>
    </row>
    <row r="8" customFormat="false" ht="30" hidden="false" customHeight="true" outlineLevel="0" collapsed="false">
      <c r="A8" s="3" t="s">
        <v>38</v>
      </c>
      <c r="B8" s="10" t="n">
        <f aca="false">Inputs!B9</f>
        <v>102312</v>
      </c>
    </row>
    <row r="9" customFormat="false" ht="30" hidden="false" customHeight="true" outlineLevel="0" collapsed="false">
      <c r="A9" s="3" t="s">
        <v>39</v>
      </c>
      <c r="B9" s="10" t="n">
        <f aca="false">Inputs!B10</f>
        <v>34104</v>
      </c>
    </row>
    <row r="10" customFormat="false" ht="30" hidden="false" customHeight="true" outlineLevel="0" collapsed="false">
      <c r="A10" s="3" t="s">
        <v>15</v>
      </c>
      <c r="B10" s="10" t="n">
        <f aca="false">Inputs!B11</f>
        <v>136416</v>
      </c>
    </row>
    <row r="11" customFormat="false" ht="30" hidden="false" customHeight="true" outlineLevel="0" collapsed="false">
      <c r="A11" s="3" t="s">
        <v>40</v>
      </c>
      <c r="B11" s="10" t="n">
        <f aca="false">B6*Inputs!B12</f>
        <v>28351.35</v>
      </c>
    </row>
    <row r="12" customFormat="false" ht="30" hidden="false" customHeight="true" outlineLevel="0" collapsed="false">
      <c r="A12" s="11" t="s">
        <v>41</v>
      </c>
      <c r="B12" s="12" t="n">
        <f aca="false">SUM(B8:B11)</f>
        <v>301183.35</v>
      </c>
    </row>
    <row r="14" customFormat="false" ht="30" hidden="false" customHeight="true" outlineLevel="0" collapsed="false">
      <c r="A14" s="11" t="s">
        <v>42</v>
      </c>
      <c r="B14" s="12" t="n">
        <f aca="false">B6-B12</f>
        <v>643861.65</v>
      </c>
    </row>
    <row r="15" customFormat="false" ht="30" hidden="false" customHeight="true" outlineLevel="0" collapsed="false">
      <c r="A15" s="3" t="s">
        <v>43</v>
      </c>
      <c r="B15" s="10" t="n">
        <f aca="false">Inputs!B13*Inputs!B8</f>
        <v>14400</v>
      </c>
    </row>
    <row r="16" customFormat="false" ht="30" hidden="false" customHeight="true" outlineLevel="0" collapsed="false">
      <c r="A16" s="11" t="s">
        <v>44</v>
      </c>
      <c r="B16" s="12" t="n">
        <f aca="false">B14-B15</f>
        <v>629461.65</v>
      </c>
    </row>
    <row r="18" customFormat="false" ht="30" hidden="false" customHeight="true" outlineLevel="0" collapsed="false">
      <c r="A18" s="3" t="s">
        <v>18</v>
      </c>
      <c r="B18" s="9" t="n">
        <f aca="false">Inputs!B14</f>
        <v>0.06</v>
      </c>
    </row>
    <row r="19" customFormat="false" ht="30" hidden="false" customHeight="true" outlineLevel="0" collapsed="false">
      <c r="A19" s="11" t="s">
        <v>45</v>
      </c>
      <c r="B19" s="12" t="n">
        <f aca="false">B14/B18</f>
        <v>10731027.5</v>
      </c>
    </row>
    <row r="21" customFormat="false" ht="30" hidden="false" customHeight="true" outlineLevel="0" collapsed="false">
      <c r="A21" s="3" t="s">
        <v>20</v>
      </c>
      <c r="B21" s="9" t="n">
        <f aca="false">Inputs!B15</f>
        <v>0.08</v>
      </c>
    </row>
    <row r="22" customFormat="false" ht="30" hidden="false" customHeight="true" outlineLevel="0" collapsed="false">
      <c r="A22" s="3" t="s">
        <v>46</v>
      </c>
      <c r="B22" s="13" t="n">
        <f aca="false">(B21/12)*(1+B21/12)^Inputs!B16/((1+B21/12)^Inputs!B16-1)</f>
        <v>0.00733764573879378</v>
      </c>
    </row>
    <row r="23" customFormat="false" ht="30" hidden="false" customHeight="true" outlineLevel="0" collapsed="false">
      <c r="A23" s="3" t="s">
        <v>47</v>
      </c>
      <c r="B23" s="10" t="n">
        <f aca="false">Inputs!B17*B19</f>
        <v>6975167.875</v>
      </c>
    </row>
    <row r="24" customFormat="false" ht="30" hidden="false" customHeight="true" outlineLevel="0" collapsed="false">
      <c r="A24" s="3" t="s">
        <v>48</v>
      </c>
      <c r="B24" s="10" t="n">
        <f aca="false">B16/Inputs!B18/12/B22</f>
        <v>5719015.53902197</v>
      </c>
    </row>
    <row r="25" customFormat="false" ht="30" hidden="false" customHeight="true" outlineLevel="0" collapsed="false">
      <c r="A25" s="3" t="s">
        <v>49</v>
      </c>
      <c r="B25" s="10" t="n">
        <f aca="false">B16/Inputs!B19</f>
        <v>6994018.33333333</v>
      </c>
    </row>
    <row r="26" customFormat="false" ht="30" hidden="false" customHeight="true" outlineLevel="0" collapsed="false">
      <c r="A26" s="11" t="s">
        <v>50</v>
      </c>
      <c r="B26" s="12" t="n">
        <f aca="false">MIN(B23,B24,B25)</f>
        <v>5719015.53902197</v>
      </c>
    </row>
    <row r="28" customFormat="false" ht="30" hidden="false" customHeight="true" outlineLevel="0" collapsed="false">
      <c r="A28" s="3" t="s">
        <v>51</v>
      </c>
      <c r="B28" s="10" t="n">
        <f aca="false">B26*Inputs!B20</f>
        <v>57190.1553902198</v>
      </c>
    </row>
    <row r="29" customFormat="false" ht="30" hidden="false" customHeight="true" outlineLevel="0" collapsed="false">
      <c r="A29" s="3" t="s">
        <v>27</v>
      </c>
      <c r="B29" s="10" t="n">
        <f aca="false">Inputs!B21</f>
        <v>45000</v>
      </c>
    </row>
    <row r="30" customFormat="false" ht="30" hidden="false" customHeight="true" outlineLevel="0" collapsed="false">
      <c r="A30" s="3" t="s">
        <v>52</v>
      </c>
      <c r="B30" s="10" t="n">
        <f aca="false">Inputs!B22</f>
        <v>4200000</v>
      </c>
    </row>
    <row r="31" customFormat="false" ht="30" hidden="false" customHeight="true" outlineLevel="0" collapsed="false">
      <c r="A31" s="11" t="s">
        <v>53</v>
      </c>
      <c r="B31" s="12" t="n">
        <f aca="false">B26-B28-B29-B30</f>
        <v>1416825.38363175</v>
      </c>
    </row>
    <row r="33" customFormat="false" ht="30" hidden="false" customHeight="true" outlineLevel="0" collapsed="false">
      <c r="A33" s="3" t="s">
        <v>54</v>
      </c>
      <c r="B33" s="3" t="str">
        <f aca="false">IF(B26=B23,"LTV",IF(B26=B24,"DSCR","Debt Yield"))</f>
        <v>DSCR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30"/>
  </cols>
  <sheetData>
    <row r="1" customFormat="false" ht="30" hidden="false" customHeight="true" outlineLevel="0" collapsed="false">
      <c r="A1" s="1" t="s">
        <v>55</v>
      </c>
    </row>
    <row r="3" customFormat="false" ht="30" hidden="false" customHeight="true" outlineLevel="0" collapsed="false">
      <c r="A3" s="2" t="s">
        <v>56</v>
      </c>
      <c r="B3" s="2" t="s">
        <v>4</v>
      </c>
      <c r="C3" s="2" t="s">
        <v>57</v>
      </c>
    </row>
    <row r="4" customFormat="false" ht="30" hidden="false" customHeight="true" outlineLevel="0" collapsed="false">
      <c r="A4" s="3" t="s">
        <v>11</v>
      </c>
      <c r="B4" s="11" t="n">
        <v>48</v>
      </c>
    </row>
    <row r="5" customFormat="false" ht="30" hidden="false" customHeight="true" outlineLevel="0" collapsed="false">
      <c r="A5" s="3" t="s">
        <v>58</v>
      </c>
      <c r="B5" s="11" t="n">
        <v>45</v>
      </c>
      <c r="C5" s="3" t="s">
        <v>59</v>
      </c>
    </row>
    <row r="6" customFormat="false" ht="30" hidden="false" customHeight="true" outlineLevel="0" collapsed="false">
      <c r="A6" s="3" t="s">
        <v>60</v>
      </c>
      <c r="B6" s="11" t="n">
        <v>0</v>
      </c>
    </row>
    <row r="7" customFormat="false" ht="30" hidden="false" customHeight="true" outlineLevel="0" collapsed="false">
      <c r="A7" s="3" t="s">
        <v>61</v>
      </c>
      <c r="B7" s="11" t="n">
        <v>3</v>
      </c>
      <c r="C7" s="3" t="s">
        <v>62</v>
      </c>
    </row>
    <row r="8" customFormat="false" ht="30" hidden="false" customHeight="true" outlineLevel="0" collapsed="false">
      <c r="A8" s="3" t="s">
        <v>63</v>
      </c>
      <c r="B8" s="11" t="n">
        <v>40800</v>
      </c>
    </row>
    <row r="9" customFormat="false" ht="30" hidden="false" customHeight="true" outlineLevel="0" collapsed="false">
      <c r="A9" s="3" t="s">
        <v>64</v>
      </c>
      <c r="B9" s="11" t="n">
        <v>39770</v>
      </c>
      <c r="C9" s="3" t="s">
        <v>65</v>
      </c>
    </row>
    <row r="10" customFormat="false" ht="30" hidden="false" customHeight="true" outlineLevel="0" collapsed="false">
      <c r="A10" s="3" t="s">
        <v>66</v>
      </c>
      <c r="B10" s="14" t="n">
        <f aca="false">B5/B4</f>
        <v>0.9375</v>
      </c>
    </row>
    <row r="11" customFormat="false" ht="30" hidden="false" customHeight="true" outlineLevel="0" collapsed="false">
      <c r="A11" s="3" t="s">
        <v>67</v>
      </c>
      <c r="B11" s="14" t="n">
        <f aca="false">B9/B8</f>
        <v>0.974754901960784</v>
      </c>
    </row>
    <row r="13" customFormat="false" ht="30" hidden="false" customHeight="true" outlineLevel="0" collapsed="false">
      <c r="A13" s="3" t="s">
        <v>68</v>
      </c>
      <c r="B13" s="10" t="n">
        <v>1850</v>
      </c>
      <c r="C13" s="3" t="s">
        <v>69</v>
      </c>
    </row>
    <row r="14" customFormat="false" ht="30" hidden="false" customHeight="true" outlineLevel="0" collapsed="false">
      <c r="A14" s="3" t="s">
        <v>70</v>
      </c>
      <c r="B14" s="10" t="n">
        <v>2150</v>
      </c>
      <c r="C14" s="3" t="s">
        <v>71</v>
      </c>
    </row>
    <row r="15" customFormat="false" ht="30" hidden="false" customHeight="true" outlineLevel="0" collapsed="false">
      <c r="A15" s="3" t="s">
        <v>72</v>
      </c>
      <c r="B15" s="12" t="n">
        <v>920400</v>
      </c>
      <c r="C15" s="3" t="s">
        <v>73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2"/>
  </cols>
  <sheetData>
    <row r="1" customFormat="false" ht="30" hidden="false" customHeight="true" outlineLevel="0" collapsed="false">
      <c r="A1" s="1" t="s">
        <v>74</v>
      </c>
    </row>
    <row r="3" customFormat="false" ht="30" hidden="false" customHeight="true" outlineLevel="0" collapsed="false">
      <c r="A3" s="2" t="s">
        <v>75</v>
      </c>
      <c r="B3" s="2" t="s">
        <v>76</v>
      </c>
      <c r="C3" s="2" t="s">
        <v>77</v>
      </c>
      <c r="D3" s="2" t="s">
        <v>78</v>
      </c>
      <c r="E3" s="2" t="s">
        <v>79</v>
      </c>
    </row>
    <row r="4" customFormat="false" ht="30" hidden="false" customHeight="true" outlineLevel="0" collapsed="false">
      <c r="A4" s="3" t="s">
        <v>80</v>
      </c>
      <c r="B4" s="3" t="n">
        <v>16</v>
      </c>
      <c r="C4" s="3" t="n">
        <v>15</v>
      </c>
      <c r="D4" s="3" t="n">
        <v>0</v>
      </c>
      <c r="E4" s="3" t="n">
        <v>1</v>
      </c>
    </row>
    <row r="5" customFormat="false" ht="30" hidden="false" customHeight="true" outlineLevel="0" collapsed="false">
      <c r="A5" s="3" t="s">
        <v>81</v>
      </c>
      <c r="B5" s="3" t="n">
        <v>16</v>
      </c>
      <c r="C5" s="3" t="n">
        <v>15</v>
      </c>
      <c r="D5" s="3" t="n">
        <v>0</v>
      </c>
      <c r="E5" s="3" t="n">
        <v>1</v>
      </c>
    </row>
    <row r="6" customFormat="false" ht="30" hidden="false" customHeight="true" outlineLevel="0" collapsed="false">
      <c r="A6" s="3" t="s">
        <v>82</v>
      </c>
      <c r="B6" s="3" t="n">
        <v>16</v>
      </c>
      <c r="C6" s="3" t="n">
        <v>15</v>
      </c>
      <c r="D6" s="3" t="n">
        <v>0</v>
      </c>
      <c r="E6" s="3" t="n">
        <v>1</v>
      </c>
    </row>
    <row r="7" customFormat="false" ht="30" hidden="false" customHeight="true" outlineLevel="0" collapsed="false">
      <c r="A7" s="11" t="s">
        <v>76</v>
      </c>
      <c r="B7" s="11" t="n">
        <f aca="false">SUM(B4:B6)</f>
        <v>48</v>
      </c>
      <c r="C7" s="11" t="n">
        <f aca="false">SUM(C4:C6)</f>
        <v>45</v>
      </c>
      <c r="D7" s="11" t="n">
        <f aca="false">SUM(D4:D6)</f>
        <v>0</v>
      </c>
      <c r="E7" s="11" t="n">
        <f aca="false">SUM(E4:E6)</f>
        <v>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8"/>
  </cols>
  <sheetData>
    <row r="1" customFormat="false" ht="30" hidden="false" customHeight="true" outlineLevel="0" collapsed="false">
      <c r="A1" s="1" t="s">
        <v>83</v>
      </c>
    </row>
    <row r="3" customFormat="false" ht="30" hidden="false" customHeight="true" outlineLevel="0" collapsed="false">
      <c r="A3" s="2" t="s">
        <v>84</v>
      </c>
      <c r="B3" s="2" t="s">
        <v>85</v>
      </c>
      <c r="C3" s="2" t="s">
        <v>86</v>
      </c>
    </row>
    <row r="4" customFormat="false" ht="30" hidden="false" customHeight="true" outlineLevel="0" collapsed="false">
      <c r="A4" s="3" t="s">
        <v>87</v>
      </c>
      <c r="B4" s="10" t="n">
        <v>876960</v>
      </c>
      <c r="C4" s="10" t="n">
        <f aca="false">UW!B6</f>
        <v>945045</v>
      </c>
    </row>
    <row r="5" customFormat="false" ht="30" hidden="false" customHeight="true" outlineLevel="0" collapsed="false">
      <c r="A5" s="3" t="s">
        <v>38</v>
      </c>
      <c r="B5" s="10" t="n">
        <v>102312</v>
      </c>
      <c r="C5" s="10" t="n">
        <f aca="false">UW!B8</f>
        <v>102312</v>
      </c>
    </row>
    <row r="6" customFormat="false" ht="30" hidden="false" customHeight="true" outlineLevel="0" collapsed="false">
      <c r="A6" s="3" t="s">
        <v>39</v>
      </c>
      <c r="B6" s="10" t="n">
        <v>34104</v>
      </c>
      <c r="C6" s="10" t="n">
        <f aca="false">UW!B9</f>
        <v>34104</v>
      </c>
    </row>
    <row r="7" customFormat="false" ht="30" hidden="false" customHeight="true" outlineLevel="0" collapsed="false">
      <c r="A7" s="3" t="s">
        <v>15</v>
      </c>
      <c r="B7" s="10" t="n">
        <v>136416</v>
      </c>
      <c r="C7" s="10" t="n">
        <f aca="false">UW!B10</f>
        <v>136416</v>
      </c>
    </row>
    <row r="8" customFormat="false" ht="30" hidden="false" customHeight="true" outlineLevel="0" collapsed="false">
      <c r="A8" s="3" t="s">
        <v>88</v>
      </c>
      <c r="B8" s="10" t="n">
        <v>0</v>
      </c>
      <c r="C8" s="10" t="n">
        <f aca="false">UW!B11</f>
        <v>28351.35</v>
      </c>
    </row>
    <row r="9" customFormat="false" ht="30" hidden="false" customHeight="true" outlineLevel="0" collapsed="false">
      <c r="A9" s="3" t="s">
        <v>89</v>
      </c>
      <c r="B9" s="12" t="n">
        <v>604128</v>
      </c>
      <c r="C9" s="12" t="n">
        <f aca="false">UW!B14</f>
        <v>643861.65</v>
      </c>
    </row>
    <row r="10" customFormat="false" ht="30" hidden="false" customHeight="true" outlineLevel="0" collapsed="false">
      <c r="A10" s="3" t="s">
        <v>90</v>
      </c>
      <c r="B10" s="10" t="n">
        <v>0</v>
      </c>
      <c r="C10" s="10" t="n">
        <f aca="false">UW!B15</f>
        <v>14400</v>
      </c>
    </row>
    <row r="11" customFormat="false" ht="30" hidden="false" customHeight="true" outlineLevel="0" collapsed="false">
      <c r="A11" s="3" t="s">
        <v>44</v>
      </c>
      <c r="B11" s="3" t="s">
        <v>91</v>
      </c>
      <c r="C11" s="12" t="n">
        <f aca="false">UW!B16</f>
        <v>629461.65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6"/>
  </cols>
  <sheetData>
    <row r="1" customFormat="false" ht="30" hidden="false" customHeight="true" outlineLevel="0" collapsed="false">
      <c r="A1" s="1" t="s">
        <v>92</v>
      </c>
    </row>
    <row r="3" customFormat="false" ht="30" hidden="false" customHeight="true" outlineLevel="0" collapsed="false">
      <c r="A3" s="2" t="s">
        <v>93</v>
      </c>
      <c r="B3" s="2" t="s">
        <v>94</v>
      </c>
      <c r="C3" s="2" t="s">
        <v>95</v>
      </c>
      <c r="D3" s="2" t="s">
        <v>94</v>
      </c>
    </row>
    <row r="4" customFormat="false" ht="30" hidden="false" customHeight="true" outlineLevel="0" collapsed="false">
      <c r="A4" s="3" t="s">
        <v>50</v>
      </c>
      <c r="B4" s="10" t="n">
        <f aca="false">UW!B26</f>
        <v>5719015.53902197</v>
      </c>
      <c r="C4" s="3" t="s">
        <v>52</v>
      </c>
      <c r="D4" s="10" t="n">
        <f aca="false">Inputs!B22</f>
        <v>4200000</v>
      </c>
    </row>
    <row r="5" customFormat="false" ht="30" hidden="false" customHeight="true" outlineLevel="0" collapsed="false">
      <c r="A5" s="3" t="s">
        <v>96</v>
      </c>
      <c r="B5" s="10" t="n">
        <f aca="false">MAX(0,D6-B4)</f>
        <v>0</v>
      </c>
      <c r="C5" s="3" t="s">
        <v>51</v>
      </c>
      <c r="D5" s="10" t="n">
        <f aca="false">UW!B28</f>
        <v>57190.1553902198</v>
      </c>
    </row>
    <row r="6" customFormat="false" ht="30" hidden="false" customHeight="true" outlineLevel="0" collapsed="false">
      <c r="C6" s="3" t="s">
        <v>97</v>
      </c>
      <c r="D6" s="10" t="n">
        <f aca="false">Inputs!B21+Inputs!B22+UW!B28</f>
        <v>4302190.15539022</v>
      </c>
    </row>
    <row r="7" customFormat="false" ht="30" hidden="false" customHeight="true" outlineLevel="0" collapsed="false">
      <c r="A7" s="11" t="s">
        <v>98</v>
      </c>
      <c r="B7" s="12" t="n">
        <f aca="false">UW!B31</f>
        <v>1416825.38363175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4"/>
  </cols>
  <sheetData>
    <row r="1" customFormat="false" ht="30" hidden="false" customHeight="true" outlineLevel="0" collapsed="false">
      <c r="A1" s="1" t="s">
        <v>99</v>
      </c>
    </row>
    <row r="3" customFormat="false" ht="30" hidden="false" customHeight="true" outlineLevel="0" collapsed="false">
      <c r="A3" s="2" t="s">
        <v>100</v>
      </c>
      <c r="B3" s="15" t="n">
        <v>0.065</v>
      </c>
      <c r="C3" s="15" t="n">
        <v>0.0675</v>
      </c>
      <c r="D3" s="15" t="n">
        <v>0.07</v>
      </c>
      <c r="E3" s="15" t="n">
        <v>0.0725</v>
      </c>
      <c r="F3" s="15" t="n">
        <v>0.075</v>
      </c>
    </row>
    <row r="4" customFormat="false" ht="30" hidden="false" customHeight="true" outlineLevel="0" collapsed="false">
      <c r="A4" s="15" t="n">
        <v>0.055</v>
      </c>
      <c r="B4" s="10" t="n">
        <f aca="false">MIN(Inputs!$B$17*UW!$B$14/$A4,UW!$B$16/Inputs!$B$18/12/((B$3/12)*(1+B$3/12)^Inputs!$B$16/((1+B$3/12)^Inputs!$B$16-1)),UW!$B$16/Inputs!$B$19)</f>
        <v>6639176.23424388</v>
      </c>
      <c r="C4" s="10" t="n">
        <f aca="false">MIN(Inputs!$B$17*UW!$B$14/$A4,UW!$B$16/Inputs!$B$18/12/((C$3/12)*(1+C$3/12)^Inputs!$B$16/((1+C$3/12)^Inputs!$B$16-1)),UW!$B$16/Inputs!$B$19)</f>
        <v>6469971.19202715</v>
      </c>
      <c r="D4" s="10" t="n">
        <f aca="false">MIN(Inputs!$B$17*UW!$B$14/$A4,UW!$B$16/Inputs!$B$18/12/((D$3/12)*(1+D$3/12)^Inputs!$B$16/((1+D$3/12)^Inputs!$B$16-1)),UW!$B$16/Inputs!$B$19)</f>
        <v>6307523.31519485</v>
      </c>
      <c r="E4" s="10" t="n">
        <f aca="false">MIN(Inputs!$B$17*UW!$B$14/$A4,UW!$B$16/Inputs!$B$18/12/((E$3/12)*(1+E$3/12)^Inputs!$B$16/((1+E$3/12)^Inputs!$B$16-1)),UW!$B$16/Inputs!$B$19)</f>
        <v>6151505.29662853</v>
      </c>
      <c r="F4" s="10" t="n">
        <f aca="false">MIN(Inputs!$B$17*UW!$B$14/$A4,UW!$B$16/Inputs!$B$18/12/((F$3/12)*(1+F$3/12)^Inputs!$B$16/((1+F$3/12)^Inputs!$B$16-1)),UW!$B$16/Inputs!$B$19)</f>
        <v>6001607.44473919</v>
      </c>
    </row>
    <row r="5" customFormat="false" ht="30" hidden="false" customHeight="true" outlineLevel="0" collapsed="false">
      <c r="A5" s="15" t="n">
        <v>0.0575</v>
      </c>
      <c r="B5" s="10" t="n">
        <f aca="false">MIN(Inputs!$B$17*UW!$B$14/$A5,UW!$B$16/Inputs!$B$18/12/((B$3/12)*(1+B$3/12)^Inputs!$B$16/((1+B$3/12)^Inputs!$B$16-1)),UW!$B$16/Inputs!$B$19)</f>
        <v>6639176.23424388</v>
      </c>
      <c r="C5" s="10" t="n">
        <f aca="false">MIN(Inputs!$B$17*UW!$B$14/$A5,UW!$B$16/Inputs!$B$18/12/((C$3/12)*(1+C$3/12)^Inputs!$B$16/((1+C$3/12)^Inputs!$B$16-1)),UW!$B$16/Inputs!$B$19)</f>
        <v>6469971.19202715</v>
      </c>
      <c r="D5" s="10" t="n">
        <f aca="false">MIN(Inputs!$B$17*UW!$B$14/$A5,UW!$B$16/Inputs!$B$18/12/((D$3/12)*(1+D$3/12)^Inputs!$B$16/((1+D$3/12)^Inputs!$B$16-1)),UW!$B$16/Inputs!$B$19)</f>
        <v>6307523.31519485</v>
      </c>
      <c r="E5" s="10" t="n">
        <f aca="false">MIN(Inputs!$B$17*UW!$B$14/$A5,UW!$B$16/Inputs!$B$18/12/((E$3/12)*(1+E$3/12)^Inputs!$B$16/((1+E$3/12)^Inputs!$B$16-1)),UW!$B$16/Inputs!$B$19)</f>
        <v>6151505.29662853</v>
      </c>
      <c r="F5" s="10" t="n">
        <f aca="false">MIN(Inputs!$B$17*UW!$B$14/$A5,UW!$B$16/Inputs!$B$18/12/((F$3/12)*(1+F$3/12)^Inputs!$B$16/((1+F$3/12)^Inputs!$B$16-1)),UW!$B$16/Inputs!$B$19)</f>
        <v>6001607.44473919</v>
      </c>
    </row>
    <row r="6" customFormat="false" ht="30" hidden="false" customHeight="true" outlineLevel="0" collapsed="false">
      <c r="A6" s="15" t="n">
        <v>0.06</v>
      </c>
      <c r="B6" s="10" t="n">
        <f aca="false">MIN(Inputs!$B$17*UW!$B$14/$A6,UW!$B$16/Inputs!$B$18/12/((B$3/12)*(1+B$3/12)^Inputs!$B$16/((1+B$3/12)^Inputs!$B$16-1)),UW!$B$16/Inputs!$B$19)</f>
        <v>6639176.23424388</v>
      </c>
      <c r="C6" s="10" t="n">
        <f aca="false">MIN(Inputs!$B$17*UW!$B$14/$A6,UW!$B$16/Inputs!$B$18/12/((C$3/12)*(1+C$3/12)^Inputs!$B$16/((1+C$3/12)^Inputs!$B$16-1)),UW!$B$16/Inputs!$B$19)</f>
        <v>6469971.19202715</v>
      </c>
      <c r="D6" s="10" t="n">
        <f aca="false">MIN(Inputs!$B$17*UW!$B$14/$A6,UW!$B$16/Inputs!$B$18/12/((D$3/12)*(1+D$3/12)^Inputs!$B$16/((1+D$3/12)^Inputs!$B$16-1)),UW!$B$16/Inputs!$B$19)</f>
        <v>6307523.31519485</v>
      </c>
      <c r="E6" s="10" t="n">
        <f aca="false">MIN(Inputs!$B$17*UW!$B$14/$A6,UW!$B$16/Inputs!$B$18/12/((E$3/12)*(1+E$3/12)^Inputs!$B$16/((1+E$3/12)^Inputs!$B$16-1)),UW!$B$16/Inputs!$B$19)</f>
        <v>6151505.29662853</v>
      </c>
      <c r="F6" s="10" t="n">
        <f aca="false">MIN(Inputs!$B$17*UW!$B$14/$A6,UW!$B$16/Inputs!$B$18/12/((F$3/12)*(1+F$3/12)^Inputs!$B$16/((1+F$3/12)^Inputs!$B$16-1)),UW!$B$16/Inputs!$B$19)</f>
        <v>6001607.44473919</v>
      </c>
    </row>
    <row r="7" customFormat="false" ht="30" hidden="false" customHeight="true" outlineLevel="0" collapsed="false">
      <c r="A7" s="15" t="n">
        <v>0.0625</v>
      </c>
      <c r="B7" s="10" t="n">
        <f aca="false">MIN(Inputs!$B$17*UW!$B$14/$A7,UW!$B$16/Inputs!$B$18/12/((B$3/12)*(1+B$3/12)^Inputs!$B$16/((1+B$3/12)^Inputs!$B$16-1)),UW!$B$16/Inputs!$B$19)</f>
        <v>6639176.23424388</v>
      </c>
      <c r="C7" s="10" t="n">
        <f aca="false">MIN(Inputs!$B$17*UW!$B$14/$A7,UW!$B$16/Inputs!$B$18/12/((C$3/12)*(1+C$3/12)^Inputs!$B$16/((1+C$3/12)^Inputs!$B$16-1)),UW!$B$16/Inputs!$B$19)</f>
        <v>6469971.19202715</v>
      </c>
      <c r="D7" s="10" t="n">
        <f aca="false">MIN(Inputs!$B$17*UW!$B$14/$A7,UW!$B$16/Inputs!$B$18/12/((D$3/12)*(1+D$3/12)^Inputs!$B$16/((1+D$3/12)^Inputs!$B$16-1)),UW!$B$16/Inputs!$B$19)</f>
        <v>6307523.31519485</v>
      </c>
      <c r="E7" s="10" t="n">
        <f aca="false">MIN(Inputs!$B$17*UW!$B$14/$A7,UW!$B$16/Inputs!$B$18/12/((E$3/12)*(1+E$3/12)^Inputs!$B$16/((1+E$3/12)^Inputs!$B$16-1)),UW!$B$16/Inputs!$B$19)</f>
        <v>6151505.29662853</v>
      </c>
      <c r="F7" s="10" t="n">
        <f aca="false">MIN(Inputs!$B$17*UW!$B$14/$A7,UW!$B$16/Inputs!$B$18/12/((F$3/12)*(1+F$3/12)^Inputs!$B$16/((1+F$3/12)^Inputs!$B$16-1)),UW!$B$16/Inputs!$B$19)</f>
        <v>6001607.44473919</v>
      </c>
    </row>
    <row r="8" customFormat="false" ht="30" hidden="false" customHeight="true" outlineLevel="0" collapsed="false">
      <c r="A8" s="15" t="n">
        <v>0.065</v>
      </c>
      <c r="B8" s="10" t="n">
        <f aca="false">MIN(Inputs!$B$17*UW!$B$14/$A8,UW!$B$16/Inputs!$B$18/12/((B$3/12)*(1+B$3/12)^Inputs!$B$16/((1+B$3/12)^Inputs!$B$16-1)),UW!$B$16/Inputs!$B$19)</f>
        <v>6438616.5</v>
      </c>
      <c r="C8" s="10" t="n">
        <f aca="false">MIN(Inputs!$B$17*UW!$B$14/$A8,UW!$B$16/Inputs!$B$18/12/((C$3/12)*(1+C$3/12)^Inputs!$B$16/((1+C$3/12)^Inputs!$B$16-1)),UW!$B$16/Inputs!$B$19)</f>
        <v>6438616.5</v>
      </c>
      <c r="D8" s="10" t="n">
        <f aca="false">MIN(Inputs!$B$17*UW!$B$14/$A8,UW!$B$16/Inputs!$B$18/12/((D$3/12)*(1+D$3/12)^Inputs!$B$16/((1+D$3/12)^Inputs!$B$16-1)),UW!$B$16/Inputs!$B$19)</f>
        <v>6307523.31519485</v>
      </c>
      <c r="E8" s="10" t="n">
        <f aca="false">MIN(Inputs!$B$17*UW!$B$14/$A8,UW!$B$16/Inputs!$B$18/12/((E$3/12)*(1+E$3/12)^Inputs!$B$16/((1+E$3/12)^Inputs!$B$16-1)),UW!$B$16/Inputs!$B$19)</f>
        <v>6151505.29662853</v>
      </c>
      <c r="F8" s="10" t="n">
        <f aca="false">MIN(Inputs!$B$17*UW!$B$14/$A8,UW!$B$16/Inputs!$B$18/12/((F$3/12)*(1+F$3/12)^Inputs!$B$16/((1+F$3/12)^Inputs!$B$16-1)),UW!$B$16/Inputs!$B$19)</f>
        <v>6001607.44473919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2"/>
    <col collapsed="false" customWidth="true" hidden="false" outlineLevel="0" max="4" min="4" style="0" width="30"/>
  </cols>
  <sheetData>
    <row r="1" customFormat="false" ht="30" hidden="false" customHeight="true" outlineLevel="0" collapsed="false">
      <c r="A1" s="1" t="s">
        <v>101</v>
      </c>
    </row>
    <row r="3" customFormat="false" ht="30" hidden="false" customHeight="true" outlineLevel="0" collapsed="false">
      <c r="A3" s="2" t="s">
        <v>84</v>
      </c>
      <c r="B3" s="2" t="s">
        <v>102</v>
      </c>
      <c r="C3" s="2" t="s">
        <v>103</v>
      </c>
      <c r="D3" s="2" t="s">
        <v>104</v>
      </c>
    </row>
    <row r="4" customFormat="false" ht="30" hidden="false" customHeight="true" outlineLevel="0" collapsed="false">
      <c r="A4" s="3" t="s">
        <v>105</v>
      </c>
      <c r="B4" s="3" t="s">
        <v>106</v>
      </c>
      <c r="C4" s="3" t="s">
        <v>2</v>
      </c>
      <c r="D4" s="3" t="s">
        <v>107</v>
      </c>
    </row>
    <row r="5" customFormat="false" ht="30" hidden="false" customHeight="true" outlineLevel="0" collapsed="false">
      <c r="A5" s="3" t="s">
        <v>108</v>
      </c>
      <c r="B5" s="3" t="s">
        <v>109</v>
      </c>
      <c r="C5" s="3" t="s">
        <v>110</v>
      </c>
      <c r="D5" s="3" t="s">
        <v>111</v>
      </c>
    </row>
    <row r="6" customFormat="false" ht="30" hidden="false" customHeight="true" outlineLevel="0" collapsed="false">
      <c r="A6" s="3" t="s">
        <v>112</v>
      </c>
      <c r="B6" s="3" t="s">
        <v>113</v>
      </c>
      <c r="C6" s="3" t="s">
        <v>114</v>
      </c>
      <c r="D6" s="3" t="s">
        <v>115</v>
      </c>
    </row>
    <row r="7" customFormat="false" ht="30" hidden="false" customHeight="true" outlineLevel="0" collapsed="false">
      <c r="A7" s="3" t="s">
        <v>116</v>
      </c>
      <c r="B7" s="3" t="s">
        <v>117</v>
      </c>
      <c r="C7" s="3" t="s">
        <v>118</v>
      </c>
      <c r="D7" s="3" t="s">
        <v>119</v>
      </c>
    </row>
    <row r="8" customFormat="false" ht="30" hidden="false" customHeight="true" outlineLevel="0" collapsed="false">
      <c r="A8" s="3" t="s">
        <v>18</v>
      </c>
      <c r="B8" s="3" t="s">
        <v>120</v>
      </c>
      <c r="C8" s="3" t="s">
        <v>121</v>
      </c>
      <c r="D8" s="3" t="s">
        <v>122</v>
      </c>
    </row>
    <row r="9" customFormat="false" ht="30" hidden="false" customHeight="true" outlineLevel="0" collapsed="false">
      <c r="A9" s="3" t="s">
        <v>20</v>
      </c>
      <c r="B9" s="3" t="s">
        <v>123</v>
      </c>
      <c r="C9" s="3" t="s">
        <v>124</v>
      </c>
      <c r="D9" s="3" t="s">
        <v>125</v>
      </c>
    </row>
    <row r="10" customFormat="false" ht="30" hidden="false" customHeight="true" outlineLevel="0" collapsed="false">
      <c r="A10" s="3" t="s">
        <v>126</v>
      </c>
      <c r="B10" s="3" t="s">
        <v>127</v>
      </c>
      <c r="C10" s="3" t="s">
        <v>128</v>
      </c>
    </row>
    <row r="11" customFormat="false" ht="30" hidden="false" customHeight="true" outlineLevel="0" collapsed="false">
      <c r="A11" s="3" t="s">
        <v>129</v>
      </c>
      <c r="B11" s="3" t="s">
        <v>130</v>
      </c>
      <c r="C11" s="3" t="s">
        <v>131</v>
      </c>
    </row>
    <row r="12" customFormat="false" ht="30" hidden="false" customHeight="true" outlineLevel="0" collapsed="false">
      <c r="A12" s="3" t="s">
        <v>132</v>
      </c>
      <c r="B12" s="3" t="s">
        <v>133</v>
      </c>
      <c r="C12" s="3" t="s">
        <v>134</v>
      </c>
    </row>
    <row r="13" customFormat="false" ht="30" hidden="false" customHeight="true" outlineLevel="0" collapsed="false">
      <c r="A13" s="3" t="s">
        <v>135</v>
      </c>
      <c r="B13" s="3" t="s">
        <v>136</v>
      </c>
      <c r="C13" s="3" t="s">
        <v>137</v>
      </c>
    </row>
    <row r="14" customFormat="false" ht="30" hidden="false" customHeight="true" outlineLevel="0" collapsed="false">
      <c r="A14" s="3" t="s">
        <v>50</v>
      </c>
      <c r="B14" s="3" t="s">
        <v>138</v>
      </c>
      <c r="C14" s="3" t="s">
        <v>139</v>
      </c>
      <c r="D14" s="3" t="s">
        <v>140</v>
      </c>
    </row>
    <row r="15" customFormat="false" ht="30" hidden="false" customHeight="true" outlineLevel="0" collapsed="false">
      <c r="A15" s="3" t="s">
        <v>141</v>
      </c>
      <c r="B15" s="3" t="s">
        <v>142</v>
      </c>
      <c r="C15" s="3" t="s">
        <v>143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144</v>
      </c>
    </row>
    <row r="3" customFormat="false" ht="30" hidden="false" customHeight="true" outlineLevel="0" collapsed="false">
      <c r="A3" s="2" t="s">
        <v>145</v>
      </c>
      <c r="B3" s="2" t="s">
        <v>146</v>
      </c>
      <c r="C3" s="2" t="s">
        <v>147</v>
      </c>
    </row>
    <row r="4" customFormat="false" ht="30" hidden="false" customHeight="true" outlineLevel="0" collapsed="false">
      <c r="A4" s="3" t="s">
        <v>107</v>
      </c>
      <c r="B4" s="3" t="s">
        <v>148</v>
      </c>
      <c r="C4" s="3" t="s">
        <v>149</v>
      </c>
    </row>
    <row r="5" customFormat="false" ht="30" hidden="false" customHeight="true" outlineLevel="0" collapsed="false">
      <c r="A5" s="3" t="s">
        <v>150</v>
      </c>
      <c r="B5" s="3" t="s">
        <v>151</v>
      </c>
      <c r="C5" s="3" t="s">
        <v>152</v>
      </c>
    </row>
    <row r="6" customFormat="false" ht="30" hidden="false" customHeight="true" outlineLevel="0" collapsed="false">
      <c r="A6" s="3" t="s">
        <v>153</v>
      </c>
      <c r="B6" s="3" t="s">
        <v>154</v>
      </c>
      <c r="C6" s="3" t="s">
        <v>155</v>
      </c>
    </row>
    <row r="7" customFormat="false" ht="30" hidden="false" customHeight="true" outlineLevel="0" collapsed="false">
      <c r="A7" s="3" t="s">
        <v>156</v>
      </c>
      <c r="B7" s="3" t="s">
        <v>148</v>
      </c>
      <c r="C7" s="3" t="s">
        <v>157</v>
      </c>
    </row>
    <row r="8" customFormat="false" ht="30" hidden="false" customHeight="true" outlineLevel="0" collapsed="false">
      <c r="A8" s="3" t="s">
        <v>158</v>
      </c>
      <c r="B8" s="3" t="s">
        <v>148</v>
      </c>
      <c r="C8" s="3" t="s">
        <v>159</v>
      </c>
    </row>
    <row r="9" customFormat="false" ht="30" hidden="false" customHeight="true" outlineLevel="0" collapsed="false">
      <c r="A9" s="3" t="s">
        <v>160</v>
      </c>
      <c r="B9" s="3" t="s">
        <v>148</v>
      </c>
      <c r="C9" s="3" t="s">
        <v>161</v>
      </c>
    </row>
    <row r="10" customFormat="false" ht="30" hidden="false" customHeight="true" outlineLevel="0" collapsed="false">
      <c r="A10" s="3" t="s">
        <v>162</v>
      </c>
      <c r="B10" s="3" t="s">
        <v>148</v>
      </c>
      <c r="C10" s="3" t="s">
        <v>163</v>
      </c>
    </row>
    <row r="11" customFormat="false" ht="30" hidden="false" customHeight="true" outlineLevel="0" collapsed="false">
      <c r="A11" s="3" t="s">
        <v>164</v>
      </c>
      <c r="B11" s="3" t="s">
        <v>148</v>
      </c>
      <c r="C11" s="3" t="s">
        <v>165</v>
      </c>
    </row>
    <row r="12" customFormat="false" ht="30" hidden="false" customHeight="true" outlineLevel="0" collapsed="false">
      <c r="A12" s="3" t="s">
        <v>166</v>
      </c>
      <c r="B12" s="3" t="s">
        <v>148</v>
      </c>
      <c r="C12" s="3" t="s">
        <v>167</v>
      </c>
    </row>
    <row r="13" customFormat="false" ht="30" hidden="false" customHeight="true" outlineLevel="0" collapsed="false">
      <c r="A13" s="3" t="s">
        <v>168</v>
      </c>
      <c r="B13" s="3" t="s">
        <v>148</v>
      </c>
      <c r="C13" s="3" t="s">
        <v>169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2026-09-07T13:03:52Z</dcterms:created>
  <dc:creator>openpyxl</dc:creator>
  <dc:description/>
  <dc:language>en-US</dc:language>
  <cp:lastModifiedBy/>
  <dcterms:modified xsi:type="dcterms:W3CDTF">2026-09-07T13:13:36Z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