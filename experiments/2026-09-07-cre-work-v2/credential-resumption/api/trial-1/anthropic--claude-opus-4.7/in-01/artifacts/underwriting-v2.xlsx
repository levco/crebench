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 (Revised)</t>
        </is>
      </c>
    </row>
    <row r="2" ht="30" customHeight="1">
      <c r="A2" s="2" t="inlineStr">
        <is>
          <t>Effective 2026-09-01 per revision-notice.pdf</t>
        </is>
      </c>
    </row>
    <row r="4" ht="30" customHeight="1">
      <c r="A4" s="3" t="inlineStr">
        <is>
          <t>Gross potential rent (all suites x12, revised roll)</t>
        </is>
      </c>
      <c r="B4" s="4" t="n">
        <v>1405500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 (prior 6.25% + 25 bps)</t>
        </is>
      </c>
      <c r="B14" s="7" t="n">
        <v>0.065</v>
      </c>
    </row>
    <row r="15" ht="30" customHeight="1">
      <c r="A15" s="3" t="inlineStr">
        <is>
          <t>Sizing rate (prior 7.00% + 75 bps)</t>
        </is>
      </c>
      <c r="B15" s="7" t="n">
        <v>0.0775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 (initial)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 (Revised)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</t>
        </is>
      </c>
    </row>
    <row r="3" ht="30" customHeight="1">
      <c r="A3" s="3" t="inlineStr">
        <is>
          <t>Cap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0.0675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0.07000000000000001</v>
      </c>
      <c r="B7" s="9">
        <f>B$3/$A7</f>
        <v/>
      </c>
      <c r="C7" s="9">
        <f>C$3/$A7</f>
        <v/>
      </c>
      <c r="D7" s="9">
        <f>D$3/$A7</f>
        <v/>
      </c>
    </row>
    <row r="10" ht="30" customHeight="1">
      <c r="A10" s="1" t="inlineStr">
        <is>
          <t>Max loan sensitivity (DSCR-bound test)</t>
        </is>
      </c>
    </row>
    <row r="12" ht="30" customHeight="1">
      <c r="A12" s="3" t="inlineStr">
        <is>
          <t>Rate \ NCF</t>
        </is>
      </c>
      <c r="B12" s="14">
        <f>UW!B17*0.95</f>
        <v/>
      </c>
      <c r="C12" s="14">
        <f>UW!B17</f>
        <v/>
      </c>
      <c r="D12" s="14">
        <f>UW!B17*1.05</f>
        <v/>
      </c>
    </row>
    <row r="13" ht="30" customHeight="1">
      <c r="A13" s="15" t="n">
        <v>0.0725</v>
      </c>
      <c r="B13" s="9">
        <f>B$12/(Inputs!$B$20*(-PMT($A13/12,Inputs!$B$18,1)*12))</f>
        <v/>
      </c>
      <c r="C13" s="9">
        <f>C$12/(Inputs!$B$20*(-PMT($A13/12,Inputs!$B$18,1)*12))</f>
        <v/>
      </c>
      <c r="D13" s="9">
        <f>D$12/(Inputs!$B$20*(-PMT($A13/12,Inputs!$B$18,1)*12))</f>
        <v/>
      </c>
    </row>
    <row r="14" ht="30" customHeight="1">
      <c r="A14" s="15" t="n">
        <v>0.0775</v>
      </c>
      <c r="B14" s="9">
        <f>B$12/(Inputs!$B$20*(-PMT($A14/12,Inputs!$B$18,1)*12))</f>
        <v/>
      </c>
      <c r="C14" s="9">
        <f>C$12/(Inputs!$B$20*(-PMT($A14/12,Inputs!$B$18,1)*12))</f>
        <v/>
      </c>
      <c r="D14" s="9">
        <f>D$12/(Inputs!$B$20*(-PMT($A14/12,Inputs!$B$18,1)*12))</f>
        <v/>
      </c>
    </row>
    <row r="15" ht="30" customHeight="1">
      <c r="A15" s="15" t="n">
        <v>0.0825</v>
      </c>
      <c r="B15" s="9">
        <f>B$12/(Inputs!$B$20*(-PMT($A15/12,Inputs!$B$18,1)*12))</f>
        <v/>
      </c>
      <c r="C15" s="9">
        <f>C$12/(Inputs!$B$20*(-PMT($A15/12,Inputs!$B$18,1)*12))</f>
        <v/>
      </c>
      <c r="D15" s="9">
        <f>D$12/(Inputs!$B$20*(-PMT($A15/12,Inputs!$B$18,1)*12))</f>
        <v/>
      </c>
    </row>
    <row r="16" ht="30" customHeight="1">
      <c r="A16" s="15" t="n">
        <v>0.08749999999999999</v>
      </c>
      <c r="B16" s="9">
        <f>B$12/(Inputs!$B$20*(-PMT($A16/12,Inputs!$B$18,1)*12))</f>
        <v/>
      </c>
      <c r="C16" s="9">
        <f>C$12/(Inputs!$B$20*(-PMT($A16/12,Inputs!$B$18,1)*12))</f>
        <v/>
      </c>
      <c r="D16" s="9">
        <f>D$12/(Inputs!$B$20*(-PMT($A16/12,Inputs!$B$18,1)*12))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Revised certified rent roll (2026-09-01)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14825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30" customHeight="1">
      <c r="A1" s="1" t="inlineStr">
        <is>
          <t>Revision change log</t>
        </is>
      </c>
    </row>
    <row r="3" ht="30" customHeight="1">
      <c r="A3" s="3" t="inlineStr">
        <is>
          <t>Item</t>
        </is>
      </c>
      <c r="B3" s="3" t="inlineStr">
        <is>
          <t>Prior</t>
        </is>
      </c>
      <c r="C3" s="3" t="inlineStr">
        <is>
          <t>Revised</t>
        </is>
      </c>
    </row>
    <row r="4" ht="30" customHeight="1">
      <c r="A4" s="2" t="inlineStr">
        <is>
          <t>Certified roll as-of</t>
        </is>
      </c>
      <c r="B4" s="2" t="inlineStr">
        <is>
          <t>2026-08-31</t>
        </is>
      </c>
      <c r="C4" s="2" t="inlineStr">
        <is>
          <t>2026-09-01</t>
        </is>
      </c>
    </row>
    <row r="5" ht="30" customHeight="1">
      <c r="A5" s="2" t="inlineStr">
        <is>
          <t>Suite 002 status</t>
        </is>
      </c>
      <c r="B5" s="2" t="inlineStr">
        <is>
          <t>active</t>
        </is>
      </c>
      <c r="C5" s="2" t="inlineStr">
        <is>
          <t>active (still)</t>
        </is>
      </c>
    </row>
    <row r="6" ht="30" customHeight="1">
      <c r="A6" s="2" t="inlineStr">
        <is>
          <t>Suite 002 monthly rent</t>
        </is>
      </c>
      <c r="B6" s="2" t="n">
        <v>14600</v>
      </c>
      <c r="C6" s="2" t="n">
        <v>14825</v>
      </c>
    </row>
    <row r="7" ht="30" customHeight="1">
      <c r="A7" s="2" t="inlineStr">
        <is>
          <t>Cap rate</t>
        </is>
      </c>
      <c r="B7" s="2" t="n">
        <v>0.0625</v>
      </c>
      <c r="C7" s="2" t="n">
        <v>0.065</v>
      </c>
    </row>
    <row r="8" ht="30" customHeight="1">
      <c r="A8" s="2" t="inlineStr">
        <is>
          <t>Sizing rate</t>
        </is>
      </c>
      <c r="B8" s="2" t="n">
        <v>0.07000000000000001</v>
      </c>
      <c r="C8" s="2" t="n">
        <v>0.0775</v>
      </c>
    </row>
    <row r="9" ht="30" customHeight="1">
      <c r="A9" s="2" t="inlineStr">
        <is>
          <t>GPR (annual)</t>
        </is>
      </c>
      <c r="B9" s="2" t="n">
        <v>1402800</v>
      </c>
      <c r="C9" s="2" t="n">
        <v>1405500</v>
      </c>
    </row>
    <row r="10" ht="30" customHeight="1">
      <c r="A10" s="2" t="inlineStr">
        <is>
          <t>UW EGI</t>
        </is>
      </c>
      <c r="B10" s="2" t="n">
        <v>1335320</v>
      </c>
      <c r="C10" s="2" t="n">
        <v>1337885</v>
      </c>
    </row>
    <row r="11" ht="30" customHeight="1">
      <c r="A11" s="2" t="inlineStr">
        <is>
          <t>UW NOI</t>
        </is>
      </c>
      <c r="B11" s="2" t="n">
        <v>902476.4</v>
      </c>
      <c r="C11" s="2" t="n">
        <v>904964.45</v>
      </c>
    </row>
    <row r="12" ht="30" customHeight="1">
      <c r="A12" s="2" t="inlineStr">
        <is>
          <t>UW NCF</t>
        </is>
      </c>
      <c r="B12" s="2" t="n">
        <v>900076.4</v>
      </c>
      <c r="C12" s="2" t="n">
        <v>902564.45</v>
      </c>
    </row>
    <row r="13" ht="30" customHeight="1">
      <c r="A13" s="2" t="inlineStr">
        <is>
          <t>Cap value</t>
        </is>
      </c>
      <c r="B13" s="2" t="n">
        <v>14439622</v>
      </c>
      <c r="C13" s="2" t="n">
        <v>13922530</v>
      </c>
    </row>
    <row r="14" ht="30" customHeight="1">
      <c r="A14" s="2" t="inlineStr">
        <is>
          <t>Max loan</t>
        </is>
      </c>
      <c r="B14" s="2" t="n">
        <v>9019220</v>
      </c>
      <c r="C14" s="2" t="n">
        <v>8398930</v>
      </c>
    </row>
    <row r="15" ht="30" customHeight="1">
      <c r="A15" s="2" t="inlineStr">
        <is>
          <t>Net cash-out</t>
        </is>
      </c>
      <c r="B15" s="2" t="n">
        <v>1084027</v>
      </c>
      <c r="C15" s="2" t="n">
        <v>469941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Revised certified rent roll as-of</t>
        </is>
      </c>
      <c r="B4" s="2" t="inlineStr">
        <is>
          <t>2026-09-01</t>
        </is>
      </c>
      <c r="C4" s="2" t="inlineStr">
        <is>
          <t>rent-roll-revised.xlsx B2 (controlling)</t>
        </is>
      </c>
    </row>
    <row r="5" ht="30" customHeight="1">
      <c r="A5" s="2" t="inlineStr">
        <is>
          <t>Prior certified rent roll</t>
        </is>
      </c>
      <c r="B5" s="2" t="inlineStr">
        <is>
          <t>2026-08-31</t>
        </is>
      </c>
      <c r="C5" s="2" t="inlineStr">
        <is>
          <t>rent-roll-certified.xlsx B2 (superseded)</t>
        </is>
      </c>
    </row>
    <row r="6" ht="30" customHeight="1">
      <c r="A6" s="2" t="inlineStr">
        <is>
          <t>Archive rent roll</t>
        </is>
      </c>
      <c r="B6" s="2" t="inlineStr">
        <is>
          <t>2026-06-30</t>
        </is>
      </c>
      <c r="C6" s="2" t="inlineStr">
        <is>
          <t>rent-roll-archive.xlsx B2 (stale)</t>
        </is>
      </c>
    </row>
    <row r="7" ht="30" customHeight="1">
      <c r="A7" s="2" t="inlineStr">
        <is>
          <t>Suite 002 rent step</t>
        </is>
      </c>
      <c r="B7" s="9" t="n">
        <v>225</v>
      </c>
      <c r="C7" s="2" t="inlineStr">
        <is>
          <t>revision-notice.pdf p.1 ($225 increase)</t>
        </is>
      </c>
    </row>
    <row r="8" ht="30" customHeight="1">
      <c r="A8" s="2" t="inlineStr">
        <is>
          <t>Cap rate adjustment</t>
        </is>
      </c>
      <c r="B8" s="2" t="inlineStr">
        <is>
          <t>+25 bps</t>
        </is>
      </c>
      <c r="C8" s="2" t="inlineStr">
        <is>
          <t>revision-notice.pdf p.1</t>
        </is>
      </c>
    </row>
    <row r="9" ht="30" customHeight="1">
      <c r="A9" s="2" t="inlineStr">
        <is>
          <t>Sizing rate adjustment</t>
        </is>
      </c>
      <c r="B9" s="2" t="inlineStr">
        <is>
          <t>+75 bps</t>
        </is>
      </c>
      <c r="C9" s="2" t="inlineStr">
        <is>
          <t>revision-notice.pdf p.1</t>
        </is>
      </c>
    </row>
    <row r="10" ht="30" customHeight="1">
      <c r="A10" s="2" t="inlineStr">
        <is>
          <t>Suite 001 base rent</t>
        </is>
      </c>
      <c r="B10" s="9" t="n">
        <v>14450</v>
      </c>
      <c r="C10" s="2" t="inlineStr">
        <is>
          <t>lease-001.pdf p.1; lease-correspondence.pdf p.1</t>
        </is>
      </c>
    </row>
    <row r="11" ht="30" customHeight="1">
      <c r="A11" s="2" t="inlineStr">
        <is>
          <t>Reported T12 NOI</t>
        </is>
      </c>
      <c r="B11" s="9" t="n">
        <v>869736</v>
      </c>
      <c r="C11" s="2" t="inlineStr">
        <is>
          <t>operating-statement.pdf p.1</t>
        </is>
      </c>
    </row>
    <row r="12" ht="30" customHeight="1">
      <c r="A12" s="2" t="inlineStr">
        <is>
          <t>Insurance GL aggregate limit</t>
        </is>
      </c>
      <c r="B12" s="9" t="n">
        <v>2000000</v>
      </c>
      <c r="C12" s="2" t="inlineStr">
        <is>
          <t>insurance.pdf 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2026-09-07T14:30:29Z</dcterms:created>
  <dcterms:modified xmlns:dcterms="http://purl.org/dc/terms/" xmlns:xsi="http://www.w3.org/2001/XMLSchema-instance" xsi:type="dcterms:W3CDTF">2026-09-07T14:30:29Z</dcterms:modified>
</cp:coreProperties>
</file>