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<sst xmlns="http://schemas.openxmlformats.org/spreadsheetml/2006/main" count="148" uniqueCount="119">
  <si>
    <t xml:space="preserve">Falcon Distribution — Underwriting Inputs (Revised)</t>
  </si>
  <si>
    <t xml:space="preserve">Effective 2026-09-01 per revision-notice.pdf</t>
  </si>
  <si>
    <t xml:space="preserve">Gross potential rent (all suites x12, revised roll)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</si>
  <si>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</si>
  <si>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</si>
  <si>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</si>
  <si>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</si>
  <si>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</si>
  <si>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</si>
  <si>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</si>
  <si>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</si>
  <si>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 (prior 6.25% + 25 bps)</t>
  </si>
  <si>
    <t xml:space="preserve">Sizing rate (prior 7.00% + 75 bps)</t>
  </si>
  <si>
    <t xml:space="preserve">Note rate</t>
  </si>
  <si>
    <t xml:space="preserve">UW rate floor (initial)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</si>
  <si>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</si>
  <si>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</si>
  <si>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</si>
  <si>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</si>
  <si>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</si>
  <si>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</si>
  <si>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</si>
  <si>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 (Revised)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</si>
  <si>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</si>
  <si>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</si>
  <si>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</si>
  <si>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</si>
  <si>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</si>
  <si>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</si>
  <si>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</si>
  <si>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</si>
  <si>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</si>
  <si>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</si>
  <si>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</si>
  <si>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</t>
  </si>
  <si>
    <t xml:space="preserve">Debt sizing (Revised)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</si>
  <si>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</si>
  <si>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</si>
  <si>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</si>
  <si>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</si>
  <si>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</si>
  <si>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</si>
  <si>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</si>
  <si>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</si>
  <si>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</si>
  <si>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</si>
  <si>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</si>
  <si>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</si>
  <si>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</si>
  <si>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</t>
  </si>
  <si>
    <t xml:space="preserve">Cap \ NOI</t>
  </si>
  <si>
    <t xml:space="preserve">Max loan sensitivity (DSCR-bound test)</t>
  </si>
  <si>
    <t xml:space="preserve">Rate \ NCF</t>
  </si>
  <si>
    <t xml:space="preserve">Revised certified rent roll (2026-09-01)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</si>
  <si>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</si>
  <si>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</si>
  <si>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</si>
  <si>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</si>
  <si>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</si>
  <si>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</si>
  <si>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</si>
  <si>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</si>
  <si>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</si>
  <si>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</si>
  <si>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</si>
  <si>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</si>
  <si>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</si>
  <si>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</si>
  <si>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</si>
  <si>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</si>
  <si>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</si>
  <si>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</si>
  <si>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</si>
  <si>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</si>
  <si>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</si>
  <si>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</si>
  <si>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</si>
  <si>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</si>
  <si>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</si>
  <si>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Revision change log</t>
  </si>
  <si>
    <t xml:space="preserve">Item</t>
  </si>
  <si>
    <t xml:space="preserve">Prior</t>
  </si>
  <si>
    <t xml:space="preserve">Revised</t>
  </si>
  <si>
    <t xml:space="preserve">Certified roll as-of</t>
  </si>
  <si>
    <t xml:space="preserve">2026-08-31</t>
  </si>
  <si>
    <t xml:space="preserve">2026-09-01</t>
  </si>
  <si>
    <t xml:space="preserve">Suite 002 status</t>
  </si>
  <si>
    <t xml:space="preserve">active (still)</t>
  </si>
  <si>
    <t xml:space="preserve">Suite 002 monthly rent</t>
  </si>
  <si>
    <t xml:space="preserve">Cap rate</t>
  </si>
  <si>
    <t xml:space="preserve">GPR (annual)</t>
  </si>
  <si>
    <t xml:space="preserve">UW EGI</t>
  </si>
  <si>
    <t xml:space="preserve">UW NOI</t>
  </si>
  <si>
    <t xml:space="preserve">Cap value</t>
  </si>
  <si>
    <t xml:space="preserve">Max loan</t>
  </si>
  <si>
    <t xml:space="preserve">Net cash-out</t>
  </si>
  <si>
    <t xml:space="preserve">Source register (Revised)</t>
  </si>
  <si>
    <t xml:space="preserve">Value</t>
  </si>
  <si>
    <t xml:space="preserve">Source</t>
  </si>
  <si>
    <t xml:space="preserve">Revised certified rent roll as-of</t>
  </si>
  <si>
    <t xml:space="preserve">rent-roll-revised.xlsx B2 (controlling)</t>
  </si>
  <si>
    <t xml:space="preserve">Prior certified rent roll</t>
  </si>
  <si>
    <t xml:space="preserve">rent-roll-certified.xlsx B2 (superseded)</t>
  </si>
  <si>
    <t xml:space="preserve">Archive rent roll</t>
  </si>
  <si>
    <t xml:space="preserve">2026-06-30</t>
  </si>
  <si>
    <t xml:space="preserve">rent-roll-archive.xlsx B2 (stale)</t>
  </si>
  <si>
    <t xml:space="preserve">Suite 002 rent step</t>
  </si>
  <si>
    <t xml:space="preserve">revision-notice.pdf p.1 ($225 increase)</t>
  </si>
  <si>
    <t xml:space="preserve">Cap rate adjustment</t>
  </si>
  <si>
    <t xml:space="preserve">+25 bps</t>
  </si>
  <si>
    <t xml:space="preserve">revision-notice.pdf p.1</t>
  </si>
  <si>
    <t xml:space="preserve">Sizing rate adjustment</t>
  </si>
  <si>
    <t xml:space="preserve">+75 bps</t>
  </si>
  <si>
    <t xml:space="preserve">Suite 001 base rent</t>
  </si>
  <si>
    <t xml:space="preserve">lease-001.pdf p.1; lease-correspondence.pdf p.1</t>
  </si>
  <si>
    <t xml:space="preserve">Reported T12 NOI</t>
  </si>
  <si>
    <t xml:space="preserve">operating-statement.pdf p.1</t>
  </si>
  <si>
    <t xml:space="preserve">Insurance GL aggregate limit</t>
  </si>
  <si>
    <t xml:space="preserve">insurance.pdf p.1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</si>
</sst>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1405500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0.065</v>
      </c>
    </row>
    <row r="15" customFormat="false" ht="30" hidden="false" customHeight="true" outlineLevel="0" collapsed="false">
      <c r="A15" s="3" t="s">
        <v>12</v>
      </c>
      <c r="B15" s="7" t="n">
        <v>0.0775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1405500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1408300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-70415</v>
      </c>
    </row>
    <row r="7" customFormat="false" ht="30" hidden="false" customHeight="true" outlineLevel="0" collapsed="false">
      <c r="A7" s="10" t="s">
        <v>27</v>
      </c>
      <c r="B7" s="9" t="n">
        <f aca="false">B5+B6</f>
        <v>1337885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40136.55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432920.55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904964.45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902564.45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13922530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0.0775</v>
      </c>
    </row>
    <row r="4" customFormat="false" ht="30" hidden="false" customHeight="true" outlineLevel="0" collapsed="false">
      <c r="A4" s="3" t="s">
        <v>37</v>
      </c>
      <c r="B4" s="12" t="n">
        <f aca="false">B3/12</f>
        <v>0.00645833333333333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0.0859694694670852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9049644.5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8398930.04430427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10028493.8888889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8398930.04430427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8398930.04430427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83989.3004430427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469940.743861224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859716.2275</v>
      </c>
      <c r="C3" s="14" t="n">
        <f aca="false">UW!B15</f>
        <v>904964.45</v>
      </c>
      <c r="D3" s="14" t="n">
        <f aca="false">UW!B15*1.05</f>
        <v>950212.6725</v>
      </c>
    </row>
    <row r="4" customFormat="false" ht="30" hidden="false" customHeight="true" outlineLevel="0" collapsed="false">
      <c r="A4" s="15" t="n">
        <v>0.0625</v>
      </c>
      <c r="B4" s="9" t="n">
        <f aca="false">B$3/$A4</f>
        <v>13755459.64</v>
      </c>
      <c r="C4" s="9" t="n">
        <f aca="false">C$3/$A4</f>
        <v>14479431.2</v>
      </c>
      <c r="D4" s="9" t="n">
        <f aca="false">D$3/$A4</f>
        <v>15203402.76</v>
      </c>
    </row>
    <row r="5" customFormat="false" ht="30" hidden="false" customHeight="true" outlineLevel="0" collapsed="false">
      <c r="A5" s="15" t="n">
        <v>0.065</v>
      </c>
      <c r="B5" s="9" t="n">
        <f aca="false">B$3/$A5</f>
        <v>13226403.5</v>
      </c>
      <c r="C5" s="9" t="n">
        <f aca="false">C$3/$A5</f>
        <v>13922530</v>
      </c>
      <c r="D5" s="9" t="n">
        <f aca="false">D$3/$A5</f>
        <v>14618656.5</v>
      </c>
    </row>
    <row r="6" customFormat="false" ht="30" hidden="false" customHeight="true" outlineLevel="0" collapsed="false">
      <c r="A6" s="15" t="n">
        <v>0.0675</v>
      </c>
      <c r="B6" s="9" t="n">
        <f aca="false">B$3/$A6</f>
        <v>12736536.7037037</v>
      </c>
      <c r="C6" s="9" t="n">
        <f aca="false">C$3/$A6</f>
        <v>13406880.7407407</v>
      </c>
      <c r="D6" s="9" t="n">
        <f aca="false">D$3/$A6</f>
        <v>14077224.7777778</v>
      </c>
    </row>
    <row r="7" customFormat="false" ht="30" hidden="false" customHeight="true" outlineLevel="0" collapsed="false">
      <c r="A7" s="15" t="n">
        <v>0.07</v>
      </c>
      <c r="B7" s="9" t="n">
        <f aca="false">B$3/$A7</f>
        <v>12281660.3928571</v>
      </c>
      <c r="C7" s="9" t="n">
        <f aca="false">C$3/$A7</f>
        <v>12928063.5714286</v>
      </c>
      <c r="D7" s="9" t="n">
        <f aca="false">D$3/$A7</f>
        <v>13574466.75</v>
      </c>
    </row>
    <row r="10" customFormat="false" ht="30" hidden="false" customHeight="true" outlineLevel="0" collapsed="false">
      <c r="A10" s="1" t="s">
        <v>51</v>
      </c>
    </row>
    <row r="12" customFormat="false" ht="30" hidden="false" customHeight="true" outlineLevel="0" collapsed="false">
      <c r="A12" s="3" t="s">
        <v>52</v>
      </c>
      <c r="B12" s="14" t="n">
        <f aca="false">UW!B17*0.95</f>
        <v>857436.2275</v>
      </c>
      <c r="C12" s="14" t="n">
        <f aca="false">UW!B17</f>
        <v>902564.45</v>
      </c>
      <c r="D12" s="14" t="n">
        <f aca="false">UW!B17*1.05</f>
        <v>947692.6725</v>
      </c>
    </row>
    <row r="13" customFormat="false" ht="30" hidden="false" customHeight="true" outlineLevel="0" collapsed="false">
      <c r="A13" s="15" t="n">
        <v>0.0725</v>
      </c>
      <c r="B13" s="9" t="n">
        <f aca="false">B$12/(Inputs!$B$20*(-PMT($A13/12,Inputs!$B$18,1)*12))</f>
        <v>8379419.92969297</v>
      </c>
      <c r="C13" s="9" t="n">
        <f aca="false">C$12/(Inputs!$B$20*(-PMT($A13/12,Inputs!$B$18,1)*12))</f>
        <v>8820442.03125576</v>
      </c>
      <c r="D13" s="9" t="n">
        <f aca="false">D$12/(Inputs!$B$20*(-PMT($A13/12,Inputs!$B$18,1)*12))</f>
        <v>9261464.13281854</v>
      </c>
    </row>
    <row r="14" customFormat="false" ht="30" hidden="false" customHeight="true" outlineLevel="0" collapsed="false">
      <c r="A14" s="15" t="n">
        <v>0.0775</v>
      </c>
      <c r="B14" s="9" t="n">
        <f aca="false">B$12/(Inputs!$B$20*(-PMT($A14/12,Inputs!$B$18,1)*12))</f>
        <v>7978983.54208905</v>
      </c>
      <c r="C14" s="9" t="n">
        <f aca="false">C$12/(Inputs!$B$20*(-PMT($A14/12,Inputs!$B$18,1)*12))</f>
        <v>8398930.04430427</v>
      </c>
      <c r="D14" s="9" t="n">
        <f aca="false">D$12/(Inputs!$B$20*(-PMT($A14/12,Inputs!$B$18,1)*12))</f>
        <v>8818876.54651948</v>
      </c>
    </row>
    <row r="15" customFormat="false" ht="30" hidden="false" customHeight="true" outlineLevel="0" collapsed="false">
      <c r="A15" s="15" t="n">
        <v>0.0825</v>
      </c>
      <c r="B15" s="9" t="n">
        <f aca="false">B$12/(Inputs!$B$20*(-PMT($A15/12,Inputs!$B$18,1)*12))</f>
        <v>7608805.56362279</v>
      </c>
      <c r="C15" s="9" t="n">
        <f aca="false">C$12/(Inputs!$B$20*(-PMT($A15/12,Inputs!$B$18,1)*12))</f>
        <v>8009269.01433978</v>
      </c>
      <c r="D15" s="9" t="n">
        <f aca="false">D$12/(Inputs!$B$20*(-PMT($A15/12,Inputs!$B$18,1)*12))</f>
        <v>8409732.46505677</v>
      </c>
    </row>
    <row r="16" customFormat="false" ht="30" hidden="false" customHeight="true" outlineLevel="0" collapsed="false">
      <c r="A16" s="15" t="n">
        <v>0.0875</v>
      </c>
      <c r="B16" s="9" t="n">
        <f aca="false">B$12/(Inputs!$B$20*(-PMT($A16/12,Inputs!$B$18,1)*12))</f>
        <v>7266097.07568391</v>
      </c>
      <c r="C16" s="9" t="n">
        <f aca="false">C$12/(Inputs!$B$20*(-PMT($A16/12,Inputs!$B$18,1)*12))</f>
        <v>7648523.23756201</v>
      </c>
      <c r="D16" s="9" t="n">
        <f aca="false">D$12/(Inputs!$B$20*(-PMT($A16/12,Inputs!$B$18,1)*12))</f>
        <v>8030949.39944011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14825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117125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102525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1230300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62</v>
      </c>
      <c r="C5" s="2" t="s">
        <v>87</v>
      </c>
    </row>
    <row r="6" customFormat="false" ht="30" hidden="false" customHeight="true" outlineLevel="0" collapsed="false">
      <c r="A6" s="2" t="s">
        <v>88</v>
      </c>
      <c r="B6" s="2" t="n">
        <v>14600</v>
      </c>
      <c r="C6" s="2" t="n">
        <v>14825</v>
      </c>
    </row>
    <row r="7" customFormat="false" ht="30" hidden="false" customHeight="true" outlineLevel="0" collapsed="false">
      <c r="A7" s="2" t="s">
        <v>89</v>
      </c>
      <c r="B7" s="2" t="n">
        <v>0.0625</v>
      </c>
      <c r="C7" s="2" t="n">
        <v>0.065</v>
      </c>
    </row>
    <row r="8" customFormat="false" ht="30" hidden="false" customHeight="true" outlineLevel="0" collapsed="false">
      <c r="A8" s="2" t="s">
        <v>36</v>
      </c>
      <c r="B8" s="2" t="n">
        <v>0.07</v>
      </c>
      <c r="C8" s="2" t="n">
        <v>0.0775</v>
      </c>
    </row>
    <row r="9" customFormat="false" ht="30" hidden="false" customHeight="true" outlineLevel="0" collapsed="false">
      <c r="A9" s="2" t="s">
        <v>90</v>
      </c>
      <c r="B9" s="2" t="n">
        <v>1402800</v>
      </c>
      <c r="C9" s="2" t="n">
        <v>1405500</v>
      </c>
    </row>
    <row r="10" customFormat="false" ht="30" hidden="false" customHeight="true" outlineLevel="0" collapsed="false">
      <c r="A10" s="2" t="s">
        <v>91</v>
      </c>
      <c r="B10" s="2" t="n">
        <v>1335320</v>
      </c>
      <c r="C10" s="2" t="n">
        <v>1337885</v>
      </c>
    </row>
    <row r="11" customFormat="false" ht="30" hidden="false" customHeight="true" outlineLevel="0" collapsed="false">
      <c r="A11" s="2" t="s">
        <v>92</v>
      </c>
      <c r="B11" s="2" t="n">
        <v>902476.4</v>
      </c>
      <c r="C11" s="2" t="n">
        <v>904964.45</v>
      </c>
    </row>
    <row r="12" customFormat="false" ht="30" hidden="false" customHeight="true" outlineLevel="0" collapsed="false">
      <c r="A12" s="2" t="s">
        <v>33</v>
      </c>
      <c r="B12" s="2" t="n">
        <v>900076.4</v>
      </c>
      <c r="C12" s="2" t="n">
        <v>902564.45</v>
      </c>
    </row>
    <row r="13" customFormat="false" ht="30" hidden="false" customHeight="true" outlineLevel="0" collapsed="false">
      <c r="A13" s="2" t="s">
        <v>93</v>
      </c>
      <c r="B13" s="2" t="n">
        <v>14439622</v>
      </c>
      <c r="C13" s="2" t="n">
        <v>13922530</v>
      </c>
    </row>
    <row r="14" customFormat="false" ht="30" hidden="false" customHeight="true" outlineLevel="0" collapsed="false">
      <c r="A14" s="2" t="s">
        <v>94</v>
      </c>
      <c r="B14" s="2" t="n">
        <v>9019220</v>
      </c>
      <c r="C14" s="2" t="n">
        <v>8398930</v>
      </c>
    </row>
    <row r="15" customFormat="false" ht="30" hidden="false" customHeight="true" outlineLevel="0" collapsed="false">
      <c r="A15" s="2" t="s">
        <v>95</v>
      </c>
      <c r="B15" s="2" t="n">
        <v>1084027</v>
      </c>
      <c r="C15" s="2" t="n">
        <v>469941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96</v>
      </c>
    </row>
    <row r="3" customFormat="false" ht="30" hidden="false" customHeight="true" outlineLevel="0" collapsed="false">
      <c r="A3" s="3" t="s">
        <v>80</v>
      </c>
      <c r="B3" s="3" t="s">
        <v>97</v>
      </c>
      <c r="C3" s="3" t="s">
        <v>98</v>
      </c>
    </row>
    <row r="4" customFormat="false" ht="30" hidden="false" customHeight="true" outlineLevel="0" collapsed="false">
      <c r="A4" s="2" t="s">
        <v>99</v>
      </c>
      <c r="B4" s="2" t="s">
        <v>85</v>
      </c>
      <c r="C4" s="2" t="s">
        <v>100</v>
      </c>
    </row>
    <row r="5" customFormat="false" ht="30" hidden="false" customHeight="true" outlineLevel="0" collapsed="false">
      <c r="A5" s="2" t="s">
        <v>101</v>
      </c>
      <c r="B5" s="2" t="s">
        <v>84</v>
      </c>
      <c r="C5" s="2" t="s">
        <v>102</v>
      </c>
    </row>
    <row r="6" customFormat="false" ht="30" hidden="false" customHeight="true" outlineLevel="0" collapsed="false">
      <c r="A6" s="2" t="s">
        <v>103</v>
      </c>
      <c r="B6" s="2" t="s">
        <v>104</v>
      </c>
      <c r="C6" s="2" t="s">
        <v>105</v>
      </c>
    </row>
    <row r="7" customFormat="false" ht="30" hidden="false" customHeight="true" outlineLevel="0" collapsed="false">
      <c r="A7" s="2" t="s">
        <v>106</v>
      </c>
      <c r="B7" s="9" t="n">
        <v>225</v>
      </c>
      <c r="C7" s="2" t="s">
        <v>107</v>
      </c>
    </row>
    <row r="8" customFormat="false" ht="30" hidden="false" customHeight="true" outlineLevel="0" collapsed="false">
      <c r="A8" s="2" t="s">
        <v>108</v>
      </c>
      <c r="B8" s="2" t="s">
        <v>109</v>
      </c>
      <c r="C8" s="2" t="s">
        <v>110</v>
      </c>
    </row>
    <row r="9" customFormat="false" ht="30" hidden="false" customHeight="true" outlineLevel="0" collapsed="false">
      <c r="A9" s="2" t="s">
        <v>111</v>
      </c>
      <c r="B9" s="2" t="s">
        <v>112</v>
      </c>
      <c r="C9" s="2" t="s">
        <v>110</v>
      </c>
    </row>
    <row r="10" customFormat="false" ht="30" hidden="false" customHeight="true" outlineLevel="0" collapsed="false">
      <c r="A10" s="2" t="s">
        <v>113</v>
      </c>
      <c r="B10" s="9" t="n">
        <v>14450</v>
      </c>
      <c r="C10" s="2" t="s">
        <v>114</v>
      </c>
    </row>
    <row r="11" customFormat="false" ht="30" hidden="false" customHeight="true" outlineLevel="0" collapsed="false">
      <c r="A11" s="2" t="s">
        <v>115</v>
      </c>
      <c r="B11" s="9" t="n">
        <v>869736</v>
      </c>
      <c r="C11" s="2" t="s">
        <v>116</v>
      </c>
    </row>
    <row r="12" customFormat="false" ht="30" hidden="false" customHeight="true" outlineLevel="0" collapsed="false">
      <c r="A12" s="2" t="s">
        <v>117</v>
      </c>
      <c r="B12" s="9" t="n">
        <v>2000000</v>
      </c>
      <c r="C12" s="2" t="s">
        <v>118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2026-09-07T14:30:29Z</dcterms:created>
  <dc:creator>openpyxl</dc:creator>
  <dc:description/>
  <dc:language>en-US</dc:language>
  <cp:lastModifiedBy/>
  <dcterms:modified xsi:type="dcterms:W3CDTF">2026-09-07T14:30:29Z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