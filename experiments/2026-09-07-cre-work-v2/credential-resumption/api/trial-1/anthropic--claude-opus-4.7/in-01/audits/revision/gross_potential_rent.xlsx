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UW" sheetId="2" state="visible" r:id="rId2"/>
    <sheet xmlns:r="http://schemas.openxmlformats.org/officeDocument/2006/relationships" name="Debt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RentRoll" sheetId="5" state="visible" r:id="rId5"/>
    <sheet xmlns:r="http://schemas.openxmlformats.org/officeDocument/2006/relationships" name="Changes" sheetId="6" state="visible" r:id="rId6"/>
    <sheet xmlns:r="http://schemas.openxmlformats.org/officeDocument/2006/relationships" name="Sourc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"/>
    <numFmt numFmtId="165" formatCode="0.0000%"/>
    <numFmt numFmtId="166" formatCode="0.000000%"/>
    <numFmt numFmtId="167" formatCode="0.00000000"/>
    <numFmt numFmtId="168" formatCode="0.0000"/>
  </numFmts>
  <fonts count="5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sz val="10"/>
    </font>
    <font>
      <name val="Arial"/>
      <b val="1"/>
      <sz val="10"/>
    </font>
    <font>
      <name val="Arial"/>
      <color rgb="00185CB5"/>
      <sz val="10"/>
    </font>
  </fonts>
  <fills count="3">
    <fill>
      <patternFill/>
    </fill>
    <fill>
      <patternFill patternType="gray125"/>
    </fill>
    <fill>
      <patternFill patternType="solid">
        <fgColor rgb="00E5E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0" fontId="4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2" fontId="4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  <xf numFmtId="166" fontId="2" fillId="0" borderId="0" applyAlignment="1" pivotButton="0" quotePrefix="0" xfId="0">
      <alignment vertical="top" wrapText="1"/>
    </xf>
    <xf numFmtId="167" fontId="2" fillId="0" borderId="0" applyAlignment="1" pivotButton="0" quotePrefix="0" xfId="0">
      <alignment vertical="top" wrapText="1"/>
    </xf>
    <xf numFmtId="164" fontId="3" fillId="2" borderId="0" applyAlignment="1" pivotButton="0" quotePrefix="0" xfId="0">
      <alignment vertical="top" wrapText="1"/>
    </xf>
    <xf numFmtId="10" fontId="3" fillId="2" borderId="0" applyAlignment="1" pivotButton="0" quotePrefix="0" xfId="0">
      <alignment vertical="top" wrapText="1"/>
    </xf>
    <xf numFmtId="168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24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8" customWidth="1" min="2" max="2"/>
  </cols>
  <sheetData>
    <row r="1" ht="30" customHeight="1">
      <c r="A1" s="1" t="inlineStr">
        <is>
          <t>Falcon Distribution — Underwriting Inputs (Revised)</t>
        </is>
      </c>
    </row>
    <row r="2" ht="30" customHeight="1">
      <c r="A2" s="2" t="inlineStr">
        <is>
          <t>Effective 2026-09-01 per revision-notice.pdf</t>
        </is>
      </c>
    </row>
    <row r="4" ht="30" customHeight="1">
      <c r="A4" s="3" t="inlineStr">
        <is>
          <t>Gross potential rent (all suites x12, revised roll)</t>
        </is>
      </c>
      <c r="B4" s="4" t="n">
        <v>1335225</v>
      </c>
    </row>
    <row r="5" ht="30" customHeight="1">
      <c r="A5" s="3" t="inlineStr">
        <is>
          <t>Other income $/unit/yr</t>
        </is>
      </c>
      <c r="B5" s="4" t="n">
        <v>350</v>
      </c>
    </row>
    <row r="6" ht="30" customHeight="1">
      <c r="A6" s="3" t="inlineStr">
        <is>
          <t>Units</t>
        </is>
      </c>
      <c r="B6" s="5" t="n">
        <v>8</v>
      </c>
    </row>
    <row r="7" ht="30" customHeight="1">
      <c r="A7" s="3" t="inlineStr">
        <is>
          <t>Economic loss %</t>
        </is>
      </c>
      <c r="B7" s="6" t="n">
        <v>0.05</v>
      </c>
    </row>
    <row r="8" ht="30" customHeight="1">
      <c r="A8" s="3" t="inlineStr">
        <is>
          <t>Real estate tax</t>
        </is>
      </c>
      <c r="B8" s="4" t="n">
        <v>147294</v>
      </c>
    </row>
    <row r="9" ht="30" customHeight="1">
      <c r="A9" s="3" t="inlineStr">
        <is>
          <t>Insurance expense</t>
        </is>
      </c>
      <c r="B9" s="4" t="n">
        <v>49098</v>
      </c>
    </row>
    <row r="10" ht="30" customHeight="1">
      <c r="A10" s="3" t="inlineStr">
        <is>
          <t>Other recurring opex</t>
        </is>
      </c>
      <c r="B10" s="4" t="n">
        <v>196392</v>
      </c>
    </row>
    <row r="11" ht="30" customHeight="1">
      <c r="A11" s="3" t="inlineStr">
        <is>
          <t>Management % of EGI</t>
        </is>
      </c>
      <c r="B11" s="6" t="n">
        <v>0.03</v>
      </c>
    </row>
    <row r="12" ht="30" customHeight="1">
      <c r="A12" s="3" t="inlineStr">
        <is>
          <t>Replacement reserve $/unit/yr</t>
        </is>
      </c>
      <c r="B12" s="4" t="n">
        <v>300</v>
      </c>
    </row>
    <row r="14" ht="30" customHeight="1">
      <c r="A14" s="3" t="inlineStr">
        <is>
          <t>Cap rate (prior 6.25% + 25 bps)</t>
        </is>
      </c>
      <c r="B14" s="7" t="n">
        <v>0.065</v>
      </c>
    </row>
    <row r="15" ht="30" customHeight="1">
      <c r="A15" s="3" t="inlineStr">
        <is>
          <t>Sizing rate (prior 7.00% + 75 bps)</t>
        </is>
      </c>
      <c r="B15" s="7" t="n">
        <v>0.0775</v>
      </c>
    </row>
    <row r="16" ht="30" customHeight="1">
      <c r="A16" s="3" t="inlineStr">
        <is>
          <t>Note rate</t>
        </is>
      </c>
      <c r="B16" s="7" t="n">
        <v>0.061</v>
      </c>
    </row>
    <row r="17" ht="30" customHeight="1">
      <c r="A17" s="3" t="inlineStr">
        <is>
          <t>UW rate floor (initial)</t>
        </is>
      </c>
      <c r="B17" s="7" t="n">
        <v>0.07000000000000001</v>
      </c>
    </row>
    <row r="18" ht="30" customHeight="1">
      <c r="A18" s="3" t="inlineStr">
        <is>
          <t>Amortization months</t>
        </is>
      </c>
      <c r="B18" s="5" t="n">
        <v>360</v>
      </c>
    </row>
    <row r="19" ht="30" customHeight="1">
      <c r="A19" s="3" t="inlineStr">
        <is>
          <t>Max LTV</t>
        </is>
      </c>
      <c r="B19" s="6" t="n">
        <v>0.65</v>
      </c>
    </row>
    <row r="20" ht="30" customHeight="1">
      <c r="A20" s="3" t="inlineStr">
        <is>
          <t>Min DSCR</t>
        </is>
      </c>
      <c r="B20" s="8" t="n">
        <v>1.25</v>
      </c>
    </row>
    <row r="21" ht="30" customHeight="1">
      <c r="A21" s="3" t="inlineStr">
        <is>
          <t>Min NCF debt yield</t>
        </is>
      </c>
      <c r="B21" s="6" t="n">
        <v>0.09</v>
      </c>
    </row>
    <row r="22" ht="30" customHeight="1">
      <c r="A22" s="3" t="inlineStr">
        <is>
          <t>Origination fee %</t>
        </is>
      </c>
      <c r="B22" s="6" t="n">
        <v>0.01</v>
      </c>
    </row>
    <row r="23" ht="30" customHeight="1">
      <c r="A23" s="3" t="inlineStr">
        <is>
          <t>Closing costs</t>
        </is>
      </c>
      <c r="B23" s="4" t="n">
        <v>45000</v>
      </c>
    </row>
    <row r="24" ht="30" customHeight="1">
      <c r="A24" s="3" t="inlineStr">
        <is>
          <t>Existing payoff</t>
        </is>
      </c>
      <c r="B24" s="4" t="n">
        <v>7800000</v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9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8" customWidth="1" min="2" max="2"/>
  </cols>
  <sheetData>
    <row r="1" ht="30" customHeight="1">
      <c r="A1" s="1" t="inlineStr">
        <is>
          <t>Underwriting build (Revised)</t>
        </is>
      </c>
    </row>
    <row r="3" ht="30" customHeight="1">
      <c r="A3" s="3" t="inlineStr">
        <is>
          <t>Gross potential rent</t>
        </is>
      </c>
      <c r="B3" s="9">
        <f>Inputs!B4</f>
        <v/>
      </c>
    </row>
    <row r="4" ht="30" customHeight="1">
      <c r="A4" s="3" t="inlineStr">
        <is>
          <t>Other income</t>
        </is>
      </c>
      <c r="B4" s="9">
        <f>Inputs!B5*Inputs!B6</f>
        <v/>
      </c>
    </row>
    <row r="5" ht="30" customHeight="1">
      <c r="A5" s="10" t="inlineStr">
        <is>
          <t>Gross potential income</t>
        </is>
      </c>
      <c r="B5" s="9">
        <f>B3+B4</f>
        <v/>
      </c>
    </row>
    <row r="6" ht="30" customHeight="1">
      <c r="A6" s="3" t="inlineStr">
        <is>
          <t>Economic loss (5%)</t>
        </is>
      </c>
      <c r="B6" s="9">
        <f>-B5*Inputs!B7</f>
        <v/>
      </c>
    </row>
    <row r="7" ht="30" customHeight="1">
      <c r="A7" s="10" t="inlineStr">
        <is>
          <t>Underwritten EGI</t>
        </is>
      </c>
      <c r="B7" s="9">
        <f>B5+B6</f>
        <v/>
      </c>
    </row>
    <row r="9" ht="30" customHeight="1">
      <c r="A9" s="3" t="inlineStr">
        <is>
          <t>Real estate tax</t>
        </is>
      </c>
      <c r="B9" s="9">
        <f>Inputs!B8</f>
        <v/>
      </c>
    </row>
    <row r="10" ht="30" customHeight="1">
      <c r="A10" s="3" t="inlineStr">
        <is>
          <t>Insurance</t>
        </is>
      </c>
      <c r="B10" s="9">
        <f>Inputs!B9</f>
        <v/>
      </c>
    </row>
    <row r="11" ht="30" customHeight="1">
      <c r="A11" s="3" t="inlineStr">
        <is>
          <t>Other recurring opex</t>
        </is>
      </c>
      <c r="B11" s="9">
        <f>Inputs!B10</f>
        <v/>
      </c>
    </row>
    <row r="12" ht="30" customHeight="1">
      <c r="A12" s="3" t="inlineStr">
        <is>
          <t>Management fee (3% EGI)</t>
        </is>
      </c>
      <c r="B12" s="9">
        <f>B7*Inputs!B11</f>
        <v/>
      </c>
    </row>
    <row r="13" ht="30" customHeight="1">
      <c r="A13" s="10" t="inlineStr">
        <is>
          <t>Total operating expenses</t>
        </is>
      </c>
      <c r="B13" s="9">
        <f>SUM(B9:B12)</f>
        <v/>
      </c>
    </row>
    <row r="15" ht="30" customHeight="1">
      <c r="A15" s="10" t="inlineStr">
        <is>
          <t>UW NOI (before reserves)</t>
        </is>
      </c>
      <c r="B15" s="9">
        <f>B7-B13</f>
        <v/>
      </c>
    </row>
    <row r="16" ht="30" customHeight="1">
      <c r="A16" s="3" t="inlineStr">
        <is>
          <t>Replacement reserves</t>
        </is>
      </c>
      <c r="B16" s="9">
        <f>Inputs!B12*Inputs!B6</f>
        <v/>
      </c>
    </row>
    <row r="17" ht="30" customHeight="1">
      <c r="A17" s="10" t="inlineStr">
        <is>
          <t>UW NCF</t>
        </is>
      </c>
      <c r="B17" s="9">
        <f>B15-B16</f>
        <v/>
      </c>
    </row>
    <row r="19" ht="30" customHeight="1">
      <c r="A19" s="10" t="inlineStr">
        <is>
          <t>Capitalization value</t>
        </is>
      </c>
      <c r="B19" s="9">
        <f>B15/Inputs!B14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20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8" customWidth="1" min="2" max="2"/>
  </cols>
  <sheetData>
    <row r="1" ht="30" customHeight="1">
      <c r="A1" s="1" t="inlineStr">
        <is>
          <t>Debt sizing (Revised)</t>
        </is>
      </c>
    </row>
    <row r="3" ht="30" customHeight="1">
      <c r="A3" s="3" t="inlineStr">
        <is>
          <t>Sizing rate</t>
        </is>
      </c>
      <c r="B3" s="11">
        <f>Inputs!B15</f>
        <v/>
      </c>
    </row>
    <row r="4" ht="30" customHeight="1">
      <c r="A4" s="3" t="inlineStr">
        <is>
          <t>Monthly rate</t>
        </is>
      </c>
      <c r="B4" s="12">
        <f>B3/12</f>
        <v/>
      </c>
    </row>
    <row r="5" ht="30" customHeight="1">
      <c r="A5" s="3" t="inlineStr">
        <is>
          <t>Amort months</t>
        </is>
      </c>
      <c r="B5" s="2">
        <f>Inputs!B18</f>
        <v/>
      </c>
    </row>
    <row r="6" ht="30" customHeight="1">
      <c r="A6" s="3" t="inlineStr">
        <is>
          <t>Annual debt service per $1 loan</t>
        </is>
      </c>
      <c r="B6" s="13">
        <f>-PMT(B4,B5,1)*12</f>
        <v/>
      </c>
    </row>
    <row r="8" ht="30" customHeight="1">
      <c r="A8" s="3" t="inlineStr">
        <is>
          <t>LTV-constrained loan</t>
        </is>
      </c>
      <c r="B8" s="9">
        <f>UW!B19*Inputs!B19</f>
        <v/>
      </c>
    </row>
    <row r="9" ht="30" customHeight="1">
      <c r="A9" s="3" t="inlineStr">
        <is>
          <t>DSCR-constrained loan</t>
        </is>
      </c>
      <c r="B9" s="9">
        <f>UW!B17/(Inputs!B20*B6)</f>
        <v/>
      </c>
    </row>
    <row r="10" ht="30" customHeight="1">
      <c r="A10" s="3" t="inlineStr">
        <is>
          <t>Debt-yield-constrained loan</t>
        </is>
      </c>
      <c r="B10" s="9">
        <f>UW!B17/Inputs!B21</f>
        <v/>
      </c>
    </row>
    <row r="12" ht="30" customHeight="1">
      <c r="A12" s="10" t="inlineStr">
        <is>
          <t>Maximum loan (min)</t>
        </is>
      </c>
      <c r="B12" s="9">
        <f>MIN(B8,B9,B10)</f>
        <v/>
      </c>
    </row>
    <row r="13" ht="30" customHeight="1">
      <c r="A13" s="3" t="inlineStr">
        <is>
          <t>Binding constraint</t>
        </is>
      </c>
      <c r="B13" s="2">
        <f>IF(B12=B8,"LTV",IF(B12=B9,"DSCR","Debt yield"))</f>
        <v/>
      </c>
    </row>
    <row r="15" ht="30" customHeight="1">
      <c r="A15" s="1" t="inlineStr">
        <is>
          <t>Sources &amp; Uses</t>
        </is>
      </c>
    </row>
    <row r="16" ht="30" customHeight="1">
      <c r="A16" s="3" t="inlineStr">
        <is>
          <t>Loan proceeds</t>
        </is>
      </c>
      <c r="B16" s="9">
        <f>B12</f>
        <v/>
      </c>
    </row>
    <row r="17" ht="30" customHeight="1">
      <c r="A17" s="3" t="inlineStr">
        <is>
          <t>Origination fee</t>
        </is>
      </c>
      <c r="B17" s="9">
        <f>B12*Inputs!B22</f>
        <v/>
      </c>
    </row>
    <row r="18" ht="30" customHeight="1">
      <c r="A18" s="3" t="inlineStr">
        <is>
          <t>Closing costs</t>
        </is>
      </c>
      <c r="B18" s="9">
        <f>Inputs!B23</f>
        <v/>
      </c>
    </row>
    <row r="19" ht="30" customHeight="1">
      <c r="A19" s="3" t="inlineStr">
        <is>
          <t>Existing payoff</t>
        </is>
      </c>
      <c r="B19" s="9">
        <f>Inputs!B24</f>
        <v/>
      </c>
    </row>
    <row r="20" ht="30" customHeight="1">
      <c r="A20" s="10" t="inlineStr">
        <is>
          <t>Net cash-out (negative = equity in)</t>
        </is>
      </c>
      <c r="B20" s="9">
        <f>B16-B17-B18-B19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</cols>
  <sheetData>
    <row r="1" ht="30" customHeight="1">
      <c r="A1" s="1" t="inlineStr">
        <is>
          <t>Cap value sensitivity</t>
        </is>
      </c>
    </row>
    <row r="3" ht="30" customHeight="1">
      <c r="A3" s="3" t="inlineStr">
        <is>
          <t>Cap \ NOI</t>
        </is>
      </c>
      <c r="B3" s="14">
        <f>UW!B15*0.95</f>
        <v/>
      </c>
      <c r="C3" s="14">
        <f>UW!B15</f>
        <v/>
      </c>
      <c r="D3" s="14">
        <f>UW!B15*1.05</f>
        <v/>
      </c>
    </row>
    <row r="4" ht="30" customHeight="1">
      <c r="A4" s="15" t="n">
        <v>0.0625</v>
      </c>
      <c r="B4" s="9">
        <f>B$3/$A4</f>
        <v/>
      </c>
      <c r="C4" s="9">
        <f>C$3/$A4</f>
        <v/>
      </c>
      <c r="D4" s="9">
        <f>D$3/$A4</f>
        <v/>
      </c>
    </row>
    <row r="5" ht="30" customHeight="1">
      <c r="A5" s="15" t="n">
        <v>0.065</v>
      </c>
      <c r="B5" s="9">
        <f>B$3/$A5</f>
        <v/>
      </c>
      <c r="C5" s="9">
        <f>C$3/$A5</f>
        <v/>
      </c>
      <c r="D5" s="9">
        <f>D$3/$A5</f>
        <v/>
      </c>
    </row>
    <row r="6" ht="30" customHeight="1">
      <c r="A6" s="15" t="n">
        <v>0.0675</v>
      </c>
      <c r="B6" s="9">
        <f>B$3/$A6</f>
        <v/>
      </c>
      <c r="C6" s="9">
        <f>C$3/$A6</f>
        <v/>
      </c>
      <c r="D6" s="9">
        <f>D$3/$A6</f>
        <v/>
      </c>
    </row>
    <row r="7" ht="30" customHeight="1">
      <c r="A7" s="15" t="n">
        <v>0.07000000000000001</v>
      </c>
      <c r="B7" s="9">
        <f>B$3/$A7</f>
        <v/>
      </c>
      <c r="C7" s="9">
        <f>C$3/$A7</f>
        <v/>
      </c>
      <c r="D7" s="9">
        <f>D$3/$A7</f>
        <v/>
      </c>
    </row>
    <row r="10" ht="30" customHeight="1">
      <c r="A10" s="1" t="inlineStr">
        <is>
          <t>Max loan sensitivity (DSCR-bound test)</t>
        </is>
      </c>
    </row>
    <row r="12" ht="30" customHeight="1">
      <c r="A12" s="3" t="inlineStr">
        <is>
          <t>Rate \ NCF</t>
        </is>
      </c>
      <c r="B12" s="14">
        <f>UW!B17*0.95</f>
        <v/>
      </c>
      <c r="C12" s="14">
        <f>UW!B17</f>
        <v/>
      </c>
      <c r="D12" s="14">
        <f>UW!B17*1.05</f>
        <v/>
      </c>
    </row>
    <row r="13" ht="30" customHeight="1">
      <c r="A13" s="15" t="n">
        <v>0.0725</v>
      </c>
      <c r="B13" s="9">
        <f>B$12/(Inputs!$B$20*(-PMT($A13/12,Inputs!$B$18,1)*12))</f>
        <v/>
      </c>
      <c r="C13" s="9">
        <f>C$12/(Inputs!$B$20*(-PMT($A13/12,Inputs!$B$18,1)*12))</f>
        <v/>
      </c>
      <c r="D13" s="9">
        <f>D$12/(Inputs!$B$20*(-PMT($A13/12,Inputs!$B$18,1)*12))</f>
        <v/>
      </c>
    </row>
    <row r="14" ht="30" customHeight="1">
      <c r="A14" s="15" t="n">
        <v>0.0775</v>
      </c>
      <c r="B14" s="9">
        <f>B$12/(Inputs!$B$20*(-PMT($A14/12,Inputs!$B$18,1)*12))</f>
        <v/>
      </c>
      <c r="C14" s="9">
        <f>C$12/(Inputs!$B$20*(-PMT($A14/12,Inputs!$B$18,1)*12))</f>
        <v/>
      </c>
      <c r="D14" s="9">
        <f>D$12/(Inputs!$B$20*(-PMT($A14/12,Inputs!$B$18,1)*12))</f>
        <v/>
      </c>
    </row>
    <row r="15" ht="30" customHeight="1">
      <c r="A15" s="15" t="n">
        <v>0.0825</v>
      </c>
      <c r="B15" s="9">
        <f>B$12/(Inputs!$B$20*(-PMT($A15/12,Inputs!$B$18,1)*12))</f>
        <v/>
      </c>
      <c r="C15" s="9">
        <f>C$12/(Inputs!$B$20*(-PMT($A15/12,Inputs!$B$18,1)*12))</f>
        <v/>
      </c>
      <c r="D15" s="9">
        <f>D$12/(Inputs!$B$20*(-PMT($A15/12,Inputs!$B$18,1)*12))</f>
        <v/>
      </c>
    </row>
    <row r="16" ht="30" customHeight="1">
      <c r="A16" s="15" t="n">
        <v>0.08749999999999999</v>
      </c>
      <c r="B16" s="9">
        <f>B$12/(Inputs!$B$20*(-PMT($A16/12,Inputs!$B$18,1)*12))</f>
        <v/>
      </c>
      <c r="C16" s="9">
        <f>C$12/(Inputs!$B$20*(-PMT($A16/12,Inputs!$B$18,1)*12))</f>
        <v/>
      </c>
      <c r="D16" s="9">
        <f>D$12/(Inputs!$B$20*(-PMT($A16/12,Inputs!$B$18,1)*12))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12" customWidth="1" min="4" max="4"/>
    <col width="14" customWidth="1" min="5" max="5"/>
    <col width="14" customWidth="1" min="6" max="6"/>
  </cols>
  <sheetData>
    <row r="1" ht="30" customHeight="1">
      <c r="A1" s="1" t="inlineStr">
        <is>
          <t>Revised certified rent roll (2026-09-01) — controlling</t>
        </is>
      </c>
    </row>
    <row r="3" ht="30" customHeight="1">
      <c r="A3" s="3" t="inlineStr">
        <is>
          <t>Suite</t>
        </is>
      </c>
      <c r="B3" s="3" t="inlineStr">
        <is>
          <t>Type/Group</t>
        </is>
      </c>
      <c r="C3" s="3" t="inlineStr">
        <is>
          <t>Area SF</t>
        </is>
      </c>
      <c r="D3" s="3" t="inlineStr">
        <is>
          <t>Possession</t>
        </is>
      </c>
      <c r="E3" s="3" t="inlineStr">
        <is>
          <t>Monthly rent</t>
        </is>
      </c>
      <c r="F3" s="3" t="inlineStr">
        <is>
          <t>Expiration</t>
        </is>
      </c>
    </row>
    <row r="4" ht="30" customHeight="1">
      <c r="A4" s="2" t="inlineStr">
        <is>
          <t>001</t>
        </is>
      </c>
      <c r="B4" s="2" t="inlineStr">
        <is>
          <t>Small (A)</t>
        </is>
      </c>
      <c r="C4" s="2" t="n">
        <v>21880</v>
      </c>
      <c r="D4" s="2" t="inlineStr">
        <is>
          <t>active</t>
        </is>
      </c>
      <c r="E4" s="9" t="n">
        <v>14450</v>
      </c>
      <c r="F4" s="2" t="inlineStr">
        <is>
          <t>2029-08-31</t>
        </is>
      </c>
    </row>
    <row r="5" ht="30" customHeight="1">
      <c r="A5" s="2" t="inlineStr">
        <is>
          <t>002</t>
        </is>
      </c>
      <c r="B5" s="2" t="inlineStr">
        <is>
          <t>Standard (B)</t>
        </is>
      </c>
      <c r="C5" s="2" t="n">
        <v>22000</v>
      </c>
      <c r="D5" s="2" t="inlineStr">
        <is>
          <t>active</t>
        </is>
      </c>
      <c r="E5" s="9" t="n">
        <v>14825</v>
      </c>
      <c r="F5" s="2" t="inlineStr">
        <is>
          <t>2029-08-31</t>
        </is>
      </c>
    </row>
    <row r="6" ht="30" customHeight="1">
      <c r="A6" s="2" t="inlineStr">
        <is>
          <t>003</t>
        </is>
      </c>
      <c r="B6" s="2" t="inlineStr">
        <is>
          <t>Large (C)</t>
        </is>
      </c>
      <c r="C6" s="2" t="n">
        <v>22210</v>
      </c>
      <c r="D6" s="2" t="inlineStr">
        <is>
          <t>active</t>
        </is>
      </c>
      <c r="E6" s="9" t="n">
        <v>14875</v>
      </c>
      <c r="F6" s="2" t="inlineStr">
        <is>
          <t>2029-08-31</t>
        </is>
      </c>
    </row>
    <row r="7" ht="30" customHeight="1">
      <c r="A7" s="2" t="inlineStr">
        <is>
          <t>004</t>
        </is>
      </c>
      <c r="B7" s="2" t="inlineStr">
        <is>
          <t>Small (A)</t>
        </is>
      </c>
      <c r="C7" s="2" t="n">
        <v>21880</v>
      </c>
      <c r="D7" s="2" t="inlineStr">
        <is>
          <t>active</t>
        </is>
      </c>
      <c r="E7" s="9" t="n">
        <v>14450</v>
      </c>
      <c r="F7" s="2" t="inlineStr">
        <is>
          <t>2029-08-31</t>
        </is>
      </c>
    </row>
    <row r="8" ht="30" customHeight="1">
      <c r="A8" s="2" t="inlineStr">
        <is>
          <t>005</t>
        </is>
      </c>
      <c r="B8" s="2" t="inlineStr">
        <is>
          <t>Standard (B)</t>
        </is>
      </c>
      <c r="C8" s="2" t="n">
        <v>22000</v>
      </c>
      <c r="D8" s="2" t="inlineStr">
        <is>
          <t>active</t>
        </is>
      </c>
      <c r="E8" s="9" t="n">
        <v>14600</v>
      </c>
      <c r="F8" s="2" t="inlineStr">
        <is>
          <t>2029-08-31</t>
        </is>
      </c>
    </row>
    <row r="9" ht="30" customHeight="1">
      <c r="A9" s="2" t="inlineStr">
        <is>
          <t>006</t>
        </is>
      </c>
      <c r="B9" s="2" t="inlineStr">
        <is>
          <t>Large (C)</t>
        </is>
      </c>
      <c r="C9" s="2" t="n">
        <v>22210</v>
      </c>
      <c r="D9" s="2" t="inlineStr">
        <is>
          <t>active</t>
        </is>
      </c>
      <c r="E9" s="9" t="n">
        <v>14875</v>
      </c>
      <c r="F9" s="2" t="inlineStr">
        <is>
          <t>2029-08-31</t>
        </is>
      </c>
    </row>
    <row r="10" ht="30" customHeight="1">
      <c r="A10" s="2" t="inlineStr">
        <is>
          <t>007</t>
        </is>
      </c>
      <c r="B10" s="2" t="inlineStr">
        <is>
          <t>Small (A)</t>
        </is>
      </c>
      <c r="C10" s="2" t="n">
        <v>21880</v>
      </c>
      <c r="D10" s="2" t="inlineStr">
        <is>
          <t>active</t>
        </is>
      </c>
      <c r="E10" s="9" t="n">
        <v>14450</v>
      </c>
      <c r="F10" s="2" t="inlineStr">
        <is>
          <t>2029-08-31</t>
        </is>
      </c>
    </row>
    <row r="11" ht="30" customHeight="1">
      <c r="A11" s="2" t="inlineStr">
        <is>
          <t>008</t>
        </is>
      </c>
      <c r="B11" s="2" t="inlineStr">
        <is>
          <t>Standard (B)</t>
        </is>
      </c>
      <c r="C11" s="2" t="n">
        <v>22000</v>
      </c>
      <c r="D11" s="2" t="inlineStr">
        <is>
          <t>vacant</t>
        </is>
      </c>
      <c r="E11" s="9" t="n">
        <v>14600</v>
      </c>
      <c r="F11" s="2" t="inlineStr">
        <is>
          <t>2029-08-31</t>
        </is>
      </c>
    </row>
    <row r="13" ht="30" customHeight="1">
      <c r="A13" s="10" t="inlineStr">
        <is>
          <t>Totals</t>
        </is>
      </c>
      <c r="C13" s="2">
        <f>SUM(C4:C11)</f>
        <v/>
      </c>
      <c r="E13" s="9">
        <f>SUM(E4:E11)</f>
        <v/>
      </c>
    </row>
    <row r="14" ht="30" customHeight="1">
      <c r="A14" s="10" t="inlineStr">
        <is>
          <t>Occupied (active only)</t>
        </is>
      </c>
      <c r="C14" s="2">
        <f>SUMIF(D4:D11,"active",C4:C11)</f>
        <v/>
      </c>
      <c r="E14" s="9">
        <f>SUMIF(D4:D11,"active",E4:E11)</f>
        <v/>
      </c>
    </row>
    <row r="15" ht="30" customHeight="1">
      <c r="A15" s="10" t="inlineStr">
        <is>
          <t>Annual in-place rent</t>
        </is>
      </c>
      <c r="E15" s="9">
        <f>E14*12</f>
        <v/>
      </c>
    </row>
    <row r="16" ht="30" customHeight="1">
      <c r="A16" s="10" t="inlineStr">
        <is>
          <t>Unit occupancy</t>
        </is>
      </c>
      <c r="E16" s="16">
        <f>COUNTIF(D4:D11,"active")/COUNTA(A4:A11)</f>
        <v/>
      </c>
    </row>
    <row r="17" ht="30" customHeight="1">
      <c r="A17" s="10" t="inlineStr">
        <is>
          <t>Area occupancy</t>
        </is>
      </c>
      <c r="E17" s="16">
        <f>C14/C13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</cols>
  <sheetData>
    <row r="1" ht="30" customHeight="1">
      <c r="A1" s="1" t="inlineStr">
        <is>
          <t>Revision change log</t>
        </is>
      </c>
    </row>
    <row r="3" ht="30" customHeight="1">
      <c r="A3" s="3" t="inlineStr">
        <is>
          <t>Item</t>
        </is>
      </c>
      <c r="B3" s="3" t="inlineStr">
        <is>
          <t>Prior</t>
        </is>
      </c>
      <c r="C3" s="3" t="inlineStr">
        <is>
          <t>Revised</t>
        </is>
      </c>
    </row>
    <row r="4" ht="30" customHeight="1">
      <c r="A4" s="2" t="inlineStr">
        <is>
          <t>Certified roll as-of</t>
        </is>
      </c>
      <c r="B4" s="2" t="inlineStr">
        <is>
          <t>2026-08-31</t>
        </is>
      </c>
      <c r="C4" s="2" t="inlineStr">
        <is>
          <t>2026-09-01</t>
        </is>
      </c>
    </row>
    <row r="5" ht="30" customHeight="1">
      <c r="A5" s="2" t="inlineStr">
        <is>
          <t>Suite 002 status</t>
        </is>
      </c>
      <c r="B5" s="2" t="inlineStr">
        <is>
          <t>active</t>
        </is>
      </c>
      <c r="C5" s="2" t="inlineStr">
        <is>
          <t>active (still)</t>
        </is>
      </c>
    </row>
    <row r="6" ht="30" customHeight="1">
      <c r="A6" s="2" t="inlineStr">
        <is>
          <t>Suite 002 monthly rent</t>
        </is>
      </c>
      <c r="B6" s="2" t="n">
        <v>14600</v>
      </c>
      <c r="C6" s="2" t="n">
        <v>14825</v>
      </c>
    </row>
    <row r="7" ht="30" customHeight="1">
      <c r="A7" s="2" t="inlineStr">
        <is>
          <t>Cap rate</t>
        </is>
      </c>
      <c r="B7" s="2" t="n">
        <v>0.0625</v>
      </c>
      <c r="C7" s="2" t="n">
        <v>0.065</v>
      </c>
    </row>
    <row r="8" ht="30" customHeight="1">
      <c r="A8" s="2" t="inlineStr">
        <is>
          <t>Sizing rate</t>
        </is>
      </c>
      <c r="B8" s="2" t="n">
        <v>0.07000000000000001</v>
      </c>
      <c r="C8" s="2" t="n">
        <v>0.0775</v>
      </c>
    </row>
    <row r="9" ht="30" customHeight="1">
      <c r="A9" s="2" t="inlineStr">
        <is>
          <t>GPR (annual)</t>
        </is>
      </c>
      <c r="B9" s="2" t="n">
        <v>1402800</v>
      </c>
      <c r="C9" s="2" t="n">
        <v>1405500</v>
      </c>
    </row>
    <row r="10" ht="30" customHeight="1">
      <c r="A10" s="2" t="inlineStr">
        <is>
          <t>UW EGI</t>
        </is>
      </c>
      <c r="B10" s="2" t="n">
        <v>1335320</v>
      </c>
      <c r="C10" s="2" t="n">
        <v>1337885</v>
      </c>
    </row>
    <row r="11" ht="30" customHeight="1">
      <c r="A11" s="2" t="inlineStr">
        <is>
          <t>UW NOI</t>
        </is>
      </c>
      <c r="B11" s="2" t="n">
        <v>902476.4</v>
      </c>
      <c r="C11" s="2" t="n">
        <v>904964.45</v>
      </c>
    </row>
    <row r="12" ht="30" customHeight="1">
      <c r="A12" s="2" t="inlineStr">
        <is>
          <t>UW NCF</t>
        </is>
      </c>
      <c r="B12" s="2" t="n">
        <v>900076.4</v>
      </c>
      <c r="C12" s="2" t="n">
        <v>902564.45</v>
      </c>
    </row>
    <row r="13" ht="30" customHeight="1">
      <c r="A13" s="2" t="inlineStr">
        <is>
          <t>Cap value</t>
        </is>
      </c>
      <c r="B13" s="2" t="n">
        <v>14439622</v>
      </c>
      <c r="C13" s="2" t="n">
        <v>13922530</v>
      </c>
    </row>
    <row r="14" ht="30" customHeight="1">
      <c r="A14" s="2" t="inlineStr">
        <is>
          <t>Max loan</t>
        </is>
      </c>
      <c r="B14" s="2" t="n">
        <v>9019220</v>
      </c>
      <c r="C14" s="2" t="n">
        <v>8398930</v>
      </c>
    </row>
    <row r="15" ht="30" customHeight="1">
      <c r="A15" s="2" t="inlineStr">
        <is>
          <t>Net cash-out</t>
        </is>
      </c>
      <c r="B15" s="2" t="n">
        <v>1084027</v>
      </c>
      <c r="C15" s="2" t="n">
        <v>469941</v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60" customWidth="1" min="3" max="3"/>
  </cols>
  <sheetData>
    <row r="1" ht="30" customHeight="1">
      <c r="A1" s="1" t="inlineStr">
        <is>
          <t>Source register (Revised)</t>
        </is>
      </c>
    </row>
    <row r="3" ht="30" customHeight="1">
      <c r="A3" s="3" t="inlineStr">
        <is>
          <t>Item</t>
        </is>
      </c>
      <c r="B3" s="3" t="inlineStr">
        <is>
          <t>Value</t>
        </is>
      </c>
      <c r="C3" s="3" t="inlineStr">
        <is>
          <t>Source</t>
        </is>
      </c>
    </row>
    <row r="4" ht="30" customHeight="1">
      <c r="A4" s="2" t="inlineStr">
        <is>
          <t>Revised certified rent roll as-of</t>
        </is>
      </c>
      <c r="B4" s="2" t="inlineStr">
        <is>
          <t>2026-09-01</t>
        </is>
      </c>
      <c r="C4" s="2" t="inlineStr">
        <is>
          <t>rent-roll-revised.xlsx B2 (controlling)</t>
        </is>
      </c>
    </row>
    <row r="5" ht="30" customHeight="1">
      <c r="A5" s="2" t="inlineStr">
        <is>
          <t>Prior certified rent roll</t>
        </is>
      </c>
      <c r="B5" s="2" t="inlineStr">
        <is>
          <t>2026-08-31</t>
        </is>
      </c>
      <c r="C5" s="2" t="inlineStr">
        <is>
          <t>rent-roll-certified.xlsx B2 (superseded)</t>
        </is>
      </c>
    </row>
    <row r="6" ht="30" customHeight="1">
      <c r="A6" s="2" t="inlineStr">
        <is>
          <t>Archive rent roll</t>
        </is>
      </c>
      <c r="B6" s="2" t="inlineStr">
        <is>
          <t>2026-06-30</t>
        </is>
      </c>
      <c r="C6" s="2" t="inlineStr">
        <is>
          <t>rent-roll-archive.xlsx B2 (stale)</t>
        </is>
      </c>
    </row>
    <row r="7" ht="30" customHeight="1">
      <c r="A7" s="2" t="inlineStr">
        <is>
          <t>Suite 002 rent step</t>
        </is>
      </c>
      <c r="B7" s="9" t="n">
        <v>225</v>
      </c>
      <c r="C7" s="2" t="inlineStr">
        <is>
          <t>revision-notice.pdf p.1 ($225 increase)</t>
        </is>
      </c>
    </row>
    <row r="8" ht="30" customHeight="1">
      <c r="A8" s="2" t="inlineStr">
        <is>
          <t>Cap rate adjustment</t>
        </is>
      </c>
      <c r="B8" s="2" t="inlineStr">
        <is>
          <t>+25 bps</t>
        </is>
      </c>
      <c r="C8" s="2" t="inlineStr">
        <is>
          <t>revision-notice.pdf p.1</t>
        </is>
      </c>
    </row>
    <row r="9" ht="30" customHeight="1">
      <c r="A9" s="2" t="inlineStr">
        <is>
          <t>Sizing rate adjustment</t>
        </is>
      </c>
      <c r="B9" s="2" t="inlineStr">
        <is>
          <t>+75 bps</t>
        </is>
      </c>
      <c r="C9" s="2" t="inlineStr">
        <is>
          <t>revision-notice.pdf p.1</t>
        </is>
      </c>
    </row>
    <row r="10" ht="30" customHeight="1">
      <c r="A10" s="2" t="inlineStr">
        <is>
          <t>Suite 001 base rent</t>
        </is>
      </c>
      <c r="B10" s="9" t="n">
        <v>14450</v>
      </c>
      <c r="C10" s="2" t="inlineStr">
        <is>
          <t>lease-001.pdf p.1; lease-correspondence.pdf p.1</t>
        </is>
      </c>
    </row>
    <row r="11" ht="30" customHeight="1">
      <c r="A11" s="2" t="inlineStr">
        <is>
          <t>Reported T12 NOI</t>
        </is>
      </c>
      <c r="B11" s="9" t="n">
        <v>869736</v>
      </c>
      <c r="C11" s="2" t="inlineStr">
        <is>
          <t>operating-statement.pdf p.1</t>
        </is>
      </c>
    </row>
    <row r="12" ht="30" customHeight="1">
      <c r="A12" s="2" t="inlineStr">
        <is>
          <t>Insurance GL aggregate limit</t>
        </is>
      </c>
      <c r="B12" s="9" t="n">
        <v>2000000</v>
      </c>
      <c r="C12" s="2" t="inlineStr">
        <is>
          <t>insurance.pdf p.1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2026-09-07T14:30:29Z</dcterms:created>
  <dcterms:modified xmlns:dcterms="http://purl.org/dc/terms/" xmlns:xsi="http://www.w3.org/2001/XMLSchema-instance" xsi:type="dcterms:W3CDTF">2026-09-07T14:34:18Z</dcterms:modified>
</cp:coreProperties>
</file>