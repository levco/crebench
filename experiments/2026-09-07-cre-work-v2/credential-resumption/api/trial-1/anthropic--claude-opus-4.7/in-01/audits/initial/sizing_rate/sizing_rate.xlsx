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<sst xmlns="http://schemas.openxmlformats.org/spreadsheetml/2006/main" count="136" uniqueCount="106">
  <si>
    <t xml:space="preserve">Falcon Distribution — Underwriting Inputs</t>
  </si>
  <si>
    <t xml:space="preserve">As of 2026-08-31</t>
  </si>
  <si>
    <t xml:space="preserve">Gross potential rent (all suites x12, certified pre-amendment)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</si>
  <si>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</si>
  <si>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</si>
  <si>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</si>
  <si>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</si>
  <si>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</si>
  <si>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</si>
  <si>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</si>
  <si>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</si>
  <si>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</t>
  </si>
  <si>
    <t xml:space="preserve">Sizing rate (greater of note rate &amp; floor)</t>
  </si>
  <si>
    <t xml:space="preserve">Note rate</t>
  </si>
  <si>
    <t xml:space="preserve">UW rate floor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</si>
  <si>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</si>
  <si>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</si>
  <si>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</si>
  <si>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</si>
  <si>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</si>
  <si>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</si>
  <si>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</si>
  <si>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</si>
  <si>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</si>
  <si>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</si>
  <si>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</si>
  <si>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</si>
  <si>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</si>
  <si>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</si>
  <si>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</si>
  <si>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</si>
  <si>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</si>
  <si>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</si>
  <si>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</si>
  <si>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 (NOI / cap)</t>
  </si>
  <si>
    <t xml:space="preserve">Debt sizing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</si>
  <si>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</si>
  <si>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</si>
  <si>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</si>
  <si>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</si>
  <si>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</si>
  <si>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</si>
  <si>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</si>
  <si>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</si>
  <si>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</si>
  <si>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</si>
  <si>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</si>
  <si>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</si>
  <si>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</si>
  <si>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 — NOI vs cap rate</t>
  </si>
  <si>
    <t xml:space="preserve">Cap rate \ NOI</t>
  </si>
  <si>
    <t xml:space="preserve">Max loan sensitivity — sizing rate vs NCF</t>
  </si>
  <si>
    <t xml:space="preserve">Sizing rate \ NCF</t>
  </si>
  <si>
    <t xml:space="preserve">Certified rent roll (2026-08-31)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</si>
  <si>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</si>
  <si>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</si>
  <si>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</si>
  <si>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</si>
  <si>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</si>
  <si>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</si>
  <si>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</si>
  <si>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</si>
  <si>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</si>
  <si>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</si>
  <si>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</si>
  <si>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</si>
  <si>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</si>
  <si>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</si>
  <si>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</si>
  <si>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</si>
  <si>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</si>
  <si>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</si>
  <si>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</si>
  <si>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</si>
  <si>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</si>
  <si>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</si>
  <si>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</si>
  <si>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</si>
  <si>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</si>
  <si>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Source register</t>
  </si>
  <si>
    <t xml:space="preserve">Item</t>
  </si>
  <si>
    <t xml:space="preserve">Value</t>
  </si>
  <si>
    <t xml:space="preserve">Source</t>
  </si>
  <si>
    <t xml:space="preserve">Certified rent roll as-of</t>
  </si>
  <si>
    <t xml:space="preserve">2026-08-31</t>
  </si>
  <si>
    <t xml:space="preserve">rent-roll-certified.xlsx B2</t>
  </si>
  <si>
    <t xml:space="preserve">Archive rent roll as-of</t>
  </si>
  <si>
    <t xml:space="preserve">2026-06-30</t>
  </si>
  <si>
    <t xml:space="preserve">rent-roll-archive.xlsx B2 (stale)</t>
  </si>
  <si>
    <t xml:space="preserve">Suite 001 base rent</t>
  </si>
  <si>
    <t xml:space="preserve">lease-001.pdf p.1; confirmed lease-correspondence.pdf p.1</t>
  </si>
  <si>
    <t xml:space="preserve">Reported T12 NOI</t>
  </si>
  <si>
    <t xml:space="preserve">operating-statement.pdf p.1</t>
  </si>
  <si>
    <t xml:space="preserve">Real estate tax (UW)</t>
  </si>
  <si>
    <t xml:space="preserve">underwriting-instructions.pdf p.1</t>
  </si>
  <si>
    <t xml:space="preserve">Insurance expense (UW)</t>
  </si>
  <si>
    <t xml:space="preserve">Other opex (UW)</t>
  </si>
  <si>
    <t xml:space="preserve">Note rate / floor</t>
  </si>
  <si>
    <t xml:space="preserve">6.10% / 7.00%</t>
  </si>
  <si>
    <t xml:space="preserve">LTV / DSCR / DY</t>
  </si>
  <si>
    <t xml:space="preserve">65% / 1.25 / 9%</t>
  </si>
  <si>
    <t xml:space="preserve">Insurance GL aggregate limit</t>
  </si>
  <si>
    <t xml:space="preserve">insurance.pdf p.1</t>
  </si>
  <si>
    <t xml:space="preserve">Manager occupancy claim</t>
  </si>
  <si>
    <t xml:space="preserve">7 of 8 (incl. pending)</t>
  </si>
  <si>
    <t xml:space="preserve">manager-cover.pdf p.1 (overstates physical occupancy)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</si>
</sst>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1402800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0.0625</v>
      </c>
    </row>
    <row r="15" customFormat="false" ht="30" hidden="false" customHeight="true" outlineLevel="0" collapsed="false">
      <c r="A15" s="3" t="s">
        <v>12</v>
      </c>
      <c r="B15" s="7" t="n">
        <v>0.08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1402800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1405600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-70280</v>
      </c>
    </row>
    <row r="7" customFormat="false" ht="30" hidden="false" customHeight="true" outlineLevel="0" collapsed="false">
      <c r="A7" s="10" t="s">
        <v>27</v>
      </c>
      <c r="B7" s="9" t="n">
        <f aca="false">B5+B6</f>
        <v>1335320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40059.6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432843.6</v>
      </c>
    </row>
    <row r="15" customFormat="false" ht="30" hidden="false" customHeight="true" outlineLevel="0" collapsed="false">
      <c r="A15" s="10" t="s">
        <v>31</v>
      </c>
      <c r="B15" s="9" t="n">
        <f aca="false">B7-B13</f>
        <v>902476.4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900076.4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14439622.4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0.08</v>
      </c>
    </row>
    <row r="4" customFormat="false" ht="30" hidden="false" customHeight="true" outlineLevel="0" collapsed="false">
      <c r="A4" s="3" t="s">
        <v>37</v>
      </c>
      <c r="B4" s="12" t="n">
        <f aca="false">B3/12</f>
        <v>0.00666666666666667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0.0880517488655251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9385754.56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8177703.78530125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10000848.8888889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8177703.78530125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8177703.78530125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81777.0378530125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250926.747448238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857352.58</v>
      </c>
      <c r="C3" s="14" t="n">
        <f aca="false">UW!B15</f>
        <v>902476.4</v>
      </c>
      <c r="D3" s="14" t="n">
        <f aca="false">UW!B15*1.05</f>
        <v>947600.22</v>
      </c>
    </row>
    <row r="4" customFormat="false" ht="30" hidden="false" customHeight="true" outlineLevel="0" collapsed="false">
      <c r="A4" s="15" t="n">
        <v>0.06</v>
      </c>
      <c r="B4" s="9" t="n">
        <f aca="false">B$3/$A4</f>
        <v>14289209.6666667</v>
      </c>
      <c r="C4" s="9" t="n">
        <f aca="false">C$3/$A4</f>
        <v>15041273.3333333</v>
      </c>
      <c r="D4" s="9" t="n">
        <f aca="false">D$3/$A4</f>
        <v>15793337</v>
      </c>
    </row>
    <row r="5" customFormat="false" ht="30" hidden="false" customHeight="true" outlineLevel="0" collapsed="false">
      <c r="A5" s="15" t="n">
        <v>0.0625</v>
      </c>
      <c r="B5" s="9" t="n">
        <f aca="false">B$3/$A5</f>
        <v>13717641.28</v>
      </c>
      <c r="C5" s="9" t="n">
        <f aca="false">C$3/$A5</f>
        <v>14439622.4</v>
      </c>
      <c r="D5" s="9" t="n">
        <f aca="false">D$3/$A5</f>
        <v>15161603.52</v>
      </c>
    </row>
    <row r="6" customFormat="false" ht="30" hidden="false" customHeight="true" outlineLevel="0" collapsed="false">
      <c r="A6" s="15" t="n">
        <v>0.065</v>
      </c>
      <c r="B6" s="9" t="n">
        <f aca="false">B$3/$A6</f>
        <v>13190039.6923077</v>
      </c>
      <c r="C6" s="9" t="n">
        <f aca="false">C$3/$A6</f>
        <v>13884252.3076923</v>
      </c>
      <c r="D6" s="9" t="n">
        <f aca="false">D$3/$A6</f>
        <v>14578464.9230769</v>
      </c>
    </row>
    <row r="7" customFormat="false" ht="30" hidden="false" customHeight="true" outlineLevel="0" collapsed="false">
      <c r="A7" s="15" t="n">
        <v>0.0675</v>
      </c>
      <c r="B7" s="9" t="n">
        <f aca="false">B$3/$A7</f>
        <v>12701519.7037037</v>
      </c>
      <c r="C7" s="9" t="n">
        <f aca="false">C$3/$A7</f>
        <v>13370020.7407407</v>
      </c>
      <c r="D7" s="9" t="n">
        <f aca="false">D$3/$A7</f>
        <v>14038521.7777778</v>
      </c>
    </row>
    <row r="8" customFormat="false" ht="30" hidden="false" customHeight="true" outlineLevel="0" collapsed="false">
      <c r="A8" s="15" t="n">
        <v>0.07</v>
      </c>
      <c r="B8" s="9" t="n">
        <f aca="false">B$3/$A8</f>
        <v>12247894</v>
      </c>
      <c r="C8" s="9" t="n">
        <f aca="false">C$3/$A8</f>
        <v>12892520</v>
      </c>
      <c r="D8" s="9" t="n">
        <f aca="false">D$3/$A8</f>
        <v>13537146</v>
      </c>
    </row>
    <row r="11" customFormat="false" ht="30" hidden="false" customHeight="true" outlineLevel="0" collapsed="false">
      <c r="A11" s="1" t="s">
        <v>51</v>
      </c>
    </row>
    <row r="13" customFormat="false" ht="30" hidden="false" customHeight="true" outlineLevel="0" collapsed="false">
      <c r="A13" s="3" t="s">
        <v>52</v>
      </c>
      <c r="B13" s="14" t="n">
        <f aca="false">UW!B17*0.95</f>
        <v>855072.58</v>
      </c>
      <c r="C13" s="14" t="n">
        <f aca="false">UW!B17</f>
        <v>900076.4</v>
      </c>
      <c r="D13" s="14" t="n">
        <f aca="false">UW!B17*1.05</f>
        <v>945080.22</v>
      </c>
    </row>
    <row r="14" customFormat="false" ht="30" hidden="false" customHeight="true" outlineLevel="0" collapsed="false">
      <c r="A14" s="15" t="n">
        <v>0.065</v>
      </c>
      <c r="B14" s="9" t="n">
        <f aca="false">B$13/(Inputs!$B$20*(-PMT($A14/12,Inputs!$B$18,1)*12))</f>
        <v>9018782.24303199</v>
      </c>
      <c r="C14" s="9" t="n">
        <f aca="false">C$13/(Inputs!$B$20*(-PMT($A14/12,Inputs!$B$18,1)*12))</f>
        <v>9493454.99266525</v>
      </c>
      <c r="D14" s="9" t="n">
        <f aca="false">D$13/(Inputs!$B$20*(-PMT($A14/12,Inputs!$B$18,1)*12))</f>
        <v>9968127.74229851</v>
      </c>
    </row>
    <row r="15" customFormat="false" ht="30" hidden="false" customHeight="true" outlineLevel="0" collapsed="false">
      <c r="A15" s="15" t="n">
        <v>0.07</v>
      </c>
      <c r="B15" s="9" t="n">
        <f aca="false">B$13/(Inputs!$B$20*(-PMT($A15/12,Inputs!$B$18,1)*12))</f>
        <v>8568258.66124458</v>
      </c>
      <c r="C15" s="9" t="n">
        <f aca="false">C$13/(Inputs!$B$20*(-PMT($A15/12,Inputs!$B$18,1)*12))</f>
        <v>9019219.64341535</v>
      </c>
      <c r="D15" s="9" t="n">
        <f aca="false">D$13/(Inputs!$B$20*(-PMT($A15/12,Inputs!$B$18,1)*12))</f>
        <v>9470180.62558612</v>
      </c>
    </row>
    <row r="16" customFormat="false" ht="30" hidden="false" customHeight="true" outlineLevel="0" collapsed="false">
      <c r="A16" s="15" t="n">
        <v>0.075</v>
      </c>
      <c r="B16" s="9" t="n">
        <f aca="false">B$13/(Inputs!$B$20*(-PMT($A16/12,Inputs!$B$18,1)*12))</f>
        <v>8152696.77178956</v>
      </c>
      <c r="C16" s="9" t="n">
        <f aca="false">C$13/(Inputs!$B$20*(-PMT($A16/12,Inputs!$B$18,1)*12))</f>
        <v>8581786.07556796</v>
      </c>
      <c r="D16" s="9" t="n">
        <f aca="false">D$13/(Inputs!$B$20*(-PMT($A16/12,Inputs!$B$18,1)*12))</f>
        <v>9010875.37934636</v>
      </c>
    </row>
    <row r="17" customFormat="false" ht="30" hidden="false" customHeight="true" outlineLevel="0" collapsed="false">
      <c r="A17" s="15" t="n">
        <v>0.08</v>
      </c>
      <c r="B17" s="9" t="n">
        <f aca="false">B$13/(Inputs!$B$20*(-PMT($A17/12,Inputs!$B$18,1)*12))</f>
        <v>7768818.59603619</v>
      </c>
      <c r="C17" s="9" t="n">
        <f aca="false">C$13/(Inputs!$B$20*(-PMT($A17/12,Inputs!$B$18,1)*12))</f>
        <v>8177703.78530125</v>
      </c>
      <c r="D17" s="9" t="n">
        <f aca="false">D$13/(Inputs!$B$20*(-PMT($A17/12,Inputs!$B$18,1)*12))</f>
        <v>8586588.97456631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14600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116900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102300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1227600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87</v>
      </c>
      <c r="C5" s="2" t="s">
        <v>88</v>
      </c>
    </row>
    <row r="6" customFormat="false" ht="30" hidden="false" customHeight="true" outlineLevel="0" collapsed="false">
      <c r="A6" s="2" t="s">
        <v>89</v>
      </c>
      <c r="B6" s="9" t="n">
        <v>14450</v>
      </c>
      <c r="C6" s="2" t="s">
        <v>90</v>
      </c>
    </row>
    <row r="7" customFormat="false" ht="30" hidden="false" customHeight="true" outlineLevel="0" collapsed="false">
      <c r="A7" s="2" t="s">
        <v>91</v>
      </c>
      <c r="B7" s="9" t="n">
        <v>869736</v>
      </c>
      <c r="C7" s="2" t="s">
        <v>92</v>
      </c>
    </row>
    <row r="8" customFormat="false" ht="30" hidden="false" customHeight="true" outlineLevel="0" collapsed="false">
      <c r="A8" s="2" t="s">
        <v>93</v>
      </c>
      <c r="B8" s="9" t="n">
        <v>147294</v>
      </c>
      <c r="C8" s="2" t="s">
        <v>94</v>
      </c>
    </row>
    <row r="9" customFormat="false" ht="30" hidden="false" customHeight="true" outlineLevel="0" collapsed="false">
      <c r="A9" s="2" t="s">
        <v>95</v>
      </c>
      <c r="B9" s="9" t="n">
        <v>49098</v>
      </c>
      <c r="C9" s="2" t="s">
        <v>94</v>
      </c>
    </row>
    <row r="10" customFormat="false" ht="30" hidden="false" customHeight="true" outlineLevel="0" collapsed="false">
      <c r="A10" s="2" t="s">
        <v>96</v>
      </c>
      <c r="B10" s="9" t="n">
        <v>196392</v>
      </c>
      <c r="C10" s="2" t="s">
        <v>94</v>
      </c>
    </row>
    <row r="11" customFormat="false" ht="30" hidden="false" customHeight="true" outlineLevel="0" collapsed="false">
      <c r="A11" s="2" t="s">
        <v>11</v>
      </c>
      <c r="B11" s="11" t="n">
        <v>0.0625</v>
      </c>
      <c r="C11" s="2" t="s">
        <v>94</v>
      </c>
    </row>
    <row r="12" customFormat="false" ht="30" hidden="false" customHeight="true" outlineLevel="0" collapsed="false">
      <c r="A12" s="2" t="s">
        <v>97</v>
      </c>
      <c r="B12" s="2" t="s">
        <v>98</v>
      </c>
      <c r="C12" s="2" t="s">
        <v>94</v>
      </c>
    </row>
    <row r="13" customFormat="false" ht="30" hidden="false" customHeight="true" outlineLevel="0" collapsed="false">
      <c r="A13" s="2" t="s">
        <v>99</v>
      </c>
      <c r="B13" s="2" t="s">
        <v>100</v>
      </c>
      <c r="C13" s="2" t="s">
        <v>94</v>
      </c>
    </row>
    <row r="14" customFormat="false" ht="30" hidden="false" customHeight="true" outlineLevel="0" collapsed="false">
      <c r="A14" s="2" t="s">
        <v>21</v>
      </c>
      <c r="B14" s="9" t="n">
        <v>7800000</v>
      </c>
      <c r="C14" s="2" t="s">
        <v>94</v>
      </c>
    </row>
    <row r="15" customFormat="false" ht="30" hidden="false" customHeight="true" outlineLevel="0" collapsed="false">
      <c r="A15" s="2" t="s">
        <v>101</v>
      </c>
      <c r="B15" s="9" t="n">
        <v>2000000</v>
      </c>
      <c r="C15" s="2" t="s">
        <v>102</v>
      </c>
    </row>
    <row r="16" customFormat="false" ht="30" hidden="false" customHeight="true" outlineLevel="0" collapsed="false">
      <c r="A16" s="2" t="s">
        <v>103</v>
      </c>
      <c r="B16" s="2" t="s">
        <v>104</v>
      </c>
      <c r="C16" s="2" t="s">
        <v>105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2026-09-07T14:27:21Z</dcterms:created>
  <dc:creator>openpyxl</dc:creator>
  <dc:description/>
  <dc:language>en-US</dc:language>
  <cp:lastModifiedBy/>
  <dcterms:modified xsi:type="dcterms:W3CDTF">2026-09-07T14:34:15Z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