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<sst xmlns="http://schemas.openxmlformats.org/spreadsheetml/2006/main" count="148" uniqueCount="119">
  <si>
    <t xml:space="preserve">Falcon Distribution — Underwriting Inputs (Revised)</t>
  </si>
  <si>
    <t xml:space="preserve">Effective 2026-09-01 per revision-notice.pdf</t>
  </si>
  <si>
    <t xml:space="preserve">Gross potential rent (all suites x12, revised roll)</t>
  </si>
  <si>
    <t xml:space="preserve">Other income $/unit/yr</t>
  </si>
  <si>
    <t xml:space="preserve">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</si>
  <si>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</si>
  <si>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</si>
  <si>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</si>
  <si>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</si>
  <si>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</si>
  <si>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$/unit/yr</t>
  </si>
  <si>
    <t xml:space="preserve">Cap rate (prior 6.25% + 25 bps)</t>
  </si>
  <si>
    <t xml:space="preserve">Sizing rate (prior 7.00% + 75 bps)</t>
  </si>
  <si>
    <t xml:space="preserve">Note rate</t>
  </si>
  <si>
    <t xml:space="preserve">UW rate floor (initial)</t>
  </si>
  <si>
    <t xml:space="preserve">Amortization months</t>
  </si>
  <si>
    <t xml:space="preserve">Max LTV</t>
  </si>
  <si>
    <t xml:space="preserve">Min DSCR</t>
  </si>
  <si>
    <t xml:space="preserve">Min NCF debt yield</t>
  </si>
  <si>
    <t xml:space="preserve">Origination fee %</t>
  </si>
  <si>
    <t xml:space="preserve">Closing costs</t>
  </si>
  <si>
    <t xml:space="preserve">Existing payoff</t>
  </si>
  <si>
    <t xml:space="preserve">Underwriting build (Revised)</t>
  </si>
  <si>
    <t xml:space="preserve">Gross potential rent</t>
  </si>
  <si>
    <t xml:space="preserve">Other income</t>
  </si>
  <si>
    <t xml:space="preserve">Gross potential income</t>
  </si>
  <si>
    <t xml:space="preserve">Economic loss (5%)</t>
  </si>
  <si>
    <t xml:space="preserve">Underwritten EGI</t>
  </si>
  <si>
    <t xml:space="preserve">Insurance</t>
  </si>
  <si>
    <t xml:space="preserve">Management fee (3% EGI)</t>
  </si>
  <si>
    <t xml:space="preserve">Total operating expenses</t>
  </si>
  <si>
    <t xml:space="preserve">UW NOI (before reserves)</t>
  </si>
  <si>
    <t xml:space="preserve">Replacement reserves</t>
  </si>
  <si>
    <t xml:space="preserve">UW NCF</t>
  </si>
  <si>
    <t xml:space="preserve">Capitalization value</t>
  </si>
  <si>
    <t xml:space="preserve">Debt sizing (Revised)</t>
  </si>
  <si>
    <t xml:space="preserve">Sizing rate</t>
  </si>
  <si>
    <t xml:space="preserve">Monthly rate</t>
  </si>
  <si>
    <t xml:space="preserve">Amort months</t>
  </si>
  <si>
    <t xml:space="preserve">Annual debt service per $1 loan</t>
  </si>
  <si>
    <t xml:space="preserve">LTV-constrained loan</t>
  </si>
  <si>
    <t xml:space="preserve">DSCR-constrained loan</t>
  </si>
  <si>
    <t xml:space="preserve">Debt-yield-constrained loan</t>
  </si>
  <si>
    <t xml:space="preserve">Maximum loan (min)</t>
  </si>
  <si>
    <t xml:space="preserve">Binding constraint</t>
  </si>
  <si>
    <t xml:space="preserve">Sources &amp; Uses</t>
  </si>
  <si>
    <t xml:space="preserve">Loan proceeds</t>
  </si>
  <si>
    <t xml:space="preserve">Origination fee</t>
  </si>
  <si>
    <t xml:space="preserve">Net cash-out (negative = equity in)</t>
  </si>
  <si>
    <t xml:space="preserve">Cap value sensitivity</t>
  </si>
  <si>
    <t xml:space="preserve">Cap \ NOI</t>
  </si>
  <si>
    <t xml:space="preserve">Max loan sensitivity (DSCR-bound test)</t>
  </si>
  <si>
    <t xml:space="preserve">Rate \ NCF</t>
  </si>
  <si>
    <t xml:space="preserve">Revised certified rent roll (2026-09-01) — controlling</t>
  </si>
  <si>
    <t xml:space="preserve">Suite</t>
  </si>
  <si>
    <t xml:space="preserve">Type/Group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</si>
  <si>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</si>
  <si>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</si>
  <si>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</si>
  <si>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</si>
  <si>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001</t>
  </si>
  <si>
    <t xml:space="preserve">Small (A)</t>
  </si>
  <si>
    <t xml:space="preserve">active</t>
  </si>
  <si>
    <t xml:space="preserve">2029-08-31</t>
  </si>
  <si>
    <t xml:space="preserve">002</t>
  </si>
  <si>
    <t xml:space="preserve">Standard (B)</t>
  </si>
  <si>
    <t xml:space="preserve">003</t>
  </si>
  <si>
    <t xml:space="preserve">Large (C)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</si>
  <si>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</si>
  <si>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</si>
  <si>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</si>
  <si>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</si>
  <si>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</si>
  <si>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</si>
  <si>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</si>
  <si>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Occupied (active only)</t>
  </si>
  <si>
    <t xml:space="preserve">Annual in-place rent</t>
  </si>
  <si>
    <t xml:space="preserve">Unit occupancy</t>
  </si>
  <si>
    <t xml:space="preserve">Area occupancy</t>
  </si>
  <si>
    <t xml:space="preserve">Revision change log</t>
  </si>
  <si>
    <t xml:space="preserve">Item</t>
  </si>
  <si>
    <t xml:space="preserve">Prior</t>
  </si>
  <si>
    <t xml:space="preserve">Revised</t>
  </si>
  <si>
    <t xml:space="preserve">Certified roll as-of</t>
  </si>
  <si>
    <t xml:space="preserve">2026-08-31</t>
  </si>
  <si>
    <t xml:space="preserve">2026-09-01</t>
  </si>
  <si>
    <t xml:space="preserve">Suite 002 status</t>
  </si>
  <si>
    <t xml:space="preserve">active (still)</t>
  </si>
  <si>
    <t xml:space="preserve">Suite 002 monthly rent</t>
  </si>
  <si>
    <t xml:space="preserve">Cap rate</t>
  </si>
  <si>
    <t xml:space="preserve">GPR (annual)</t>
  </si>
  <si>
    <t xml:space="preserve">UW EGI</t>
  </si>
  <si>
    <t xml:space="preserve">UW NOI</t>
  </si>
  <si>
    <t xml:space="preserve">Cap value</t>
  </si>
  <si>
    <t xml:space="preserve">Max loan</t>
  </si>
  <si>
    <t xml:space="preserve">Net cash-out</t>
  </si>
  <si>
    <t xml:space="preserve">Source register (Revised)</t>
  </si>
  <si>
    <t xml:space="preserve">Value</t>
  </si>
  <si>
    <t xml:space="preserve">Source</t>
  </si>
  <si>
    <t xml:space="preserve">Revised certified rent roll as-of</t>
  </si>
  <si>
    <t xml:space="preserve">rent-roll-revised.xlsx B2 (controlling)</t>
  </si>
  <si>
    <t xml:space="preserve">Prior certified rent roll</t>
  </si>
  <si>
    <t xml:space="preserve">rent-roll-certified.xlsx B2 (superseded)</t>
  </si>
  <si>
    <t xml:space="preserve">Archive rent roll</t>
  </si>
  <si>
    <t xml:space="preserve">2026-06-30</t>
  </si>
  <si>
    <t xml:space="preserve">rent-roll-archive.xlsx B2 (stale)</t>
  </si>
  <si>
    <t xml:space="preserve">Suite 002 rent step</t>
  </si>
  <si>
    <t xml:space="preserve">revision-notice.pdf p.1 ($225 increase)</t>
  </si>
  <si>
    <t xml:space="preserve">Cap rate adjustment</t>
  </si>
  <si>
    <t xml:space="preserve">+25 bps</t>
  </si>
  <si>
    <t xml:space="preserve">revision-notice.pdf p.1</t>
  </si>
  <si>
    <t xml:space="preserve">Sizing rate adjustment</t>
  </si>
  <si>
    <t xml:space="preserve">+75 bps</t>
  </si>
  <si>
    <t xml:space="preserve">Suite 001 base rent</t>
  </si>
  <si>
    <t xml:space="preserve">lease-001.pdf p.1; lease-correspondence.pdf p.1</t>
  </si>
  <si>
    <t xml:space="preserve">Reported T12 NOI</t>
  </si>
  <si>
    <t xml:space="preserve">operating-statement.pdf p.1</t>
  </si>
  <si>
    <t xml:space="preserve">Insurance GL aggregate limit</t>
  </si>
  <si>
    <t xml:space="preserve">insurance.pdf p.1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</si>
</sst>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%"/>
    <numFmt numFmtId="170" formatCode="0.00000000"/>
    <numFmt numFmtId="171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n">
        <v>1335225</v>
      </c>
    </row>
    <row r="5" customFormat="false" ht="30" hidden="false" customHeight="true" outlineLevel="0" collapsed="false">
      <c r="A5" s="3" t="s">
        <v>3</v>
      </c>
      <c r="B5" s="4" t="n">
        <v>350</v>
      </c>
    </row>
    <row r="6" customFormat="false" ht="30" hidden="false" customHeight="true" outlineLevel="0" collapsed="false">
      <c r="A6" s="3" t="s">
        <v>4</v>
      </c>
      <c r="B6" s="5" t="n">
        <v>8</v>
      </c>
    </row>
    <row r="7" customFormat="false" ht="30" hidden="false" customHeight="true" outlineLevel="0" collapsed="false">
      <c r="A7" s="3" t="s">
        <v>5</v>
      </c>
      <c r="B7" s="6" t="n">
        <v>0.05</v>
      </c>
    </row>
    <row r="8" customFormat="false" ht="30" hidden="false" customHeight="true" outlineLevel="0" collapsed="false">
      <c r="A8" s="3" t="s">
        <v>6</v>
      </c>
      <c r="B8" s="4" t="n">
        <v>147294</v>
      </c>
    </row>
    <row r="9" customFormat="false" ht="30" hidden="false" customHeight="true" outlineLevel="0" collapsed="false">
      <c r="A9" s="3" t="s">
        <v>7</v>
      </c>
      <c r="B9" s="4" t="n">
        <v>49098</v>
      </c>
    </row>
    <row r="10" customFormat="false" ht="30" hidden="false" customHeight="true" outlineLevel="0" collapsed="false">
      <c r="A10" s="3" t="s">
        <v>8</v>
      </c>
      <c r="B10" s="4" t="n">
        <v>196392</v>
      </c>
    </row>
    <row r="11" customFormat="false" ht="30" hidden="false" customHeight="true" outlineLevel="0" collapsed="false">
      <c r="A11" s="3" t="s">
        <v>9</v>
      </c>
      <c r="B11" s="6" t="n">
        <v>0.03</v>
      </c>
    </row>
    <row r="12" customFormat="false" ht="30" hidden="false" customHeight="true" outlineLevel="0" collapsed="false">
      <c r="A12" s="3" t="s">
        <v>10</v>
      </c>
      <c r="B12" s="4" t="n">
        <v>300</v>
      </c>
    </row>
    <row r="14" customFormat="false" ht="30" hidden="false" customHeight="true" outlineLevel="0" collapsed="false">
      <c r="A14" s="3" t="s">
        <v>11</v>
      </c>
      <c r="B14" s="7" t="n">
        <v>0.065</v>
      </c>
    </row>
    <row r="15" customFormat="false" ht="30" hidden="false" customHeight="true" outlineLevel="0" collapsed="false">
      <c r="A15" s="3" t="s">
        <v>12</v>
      </c>
      <c r="B15" s="7" t="n">
        <v>0.0775</v>
      </c>
    </row>
    <row r="16" customFormat="false" ht="30" hidden="false" customHeight="true" outlineLevel="0" collapsed="false">
      <c r="A16" s="3" t="s">
        <v>13</v>
      </c>
      <c r="B16" s="7" t="n">
        <v>0.061</v>
      </c>
    </row>
    <row r="17" customFormat="false" ht="30" hidden="false" customHeight="true" outlineLevel="0" collapsed="false">
      <c r="A17" s="3" t="s">
        <v>14</v>
      </c>
      <c r="B17" s="7" t="n">
        <v>0.07</v>
      </c>
    </row>
    <row r="18" customFormat="false" ht="30" hidden="false" customHeight="true" outlineLevel="0" collapsed="false">
      <c r="A18" s="3" t="s">
        <v>15</v>
      </c>
      <c r="B18" s="5" t="n">
        <v>360</v>
      </c>
    </row>
    <row r="19" customFormat="false" ht="30" hidden="false" customHeight="true" outlineLevel="0" collapsed="false">
      <c r="A19" s="3" t="s">
        <v>16</v>
      </c>
      <c r="B19" s="6" t="n">
        <v>0.65</v>
      </c>
    </row>
    <row r="20" customFormat="false" ht="30" hidden="false" customHeight="true" outlineLevel="0" collapsed="false">
      <c r="A20" s="3" t="s">
        <v>17</v>
      </c>
      <c r="B20" s="8" t="n">
        <v>1.25</v>
      </c>
    </row>
    <row r="21" customFormat="false" ht="30" hidden="false" customHeight="true" outlineLevel="0" collapsed="false">
      <c r="A21" s="3" t="s">
        <v>18</v>
      </c>
      <c r="B21" s="6" t="n">
        <v>0.09</v>
      </c>
    </row>
    <row r="22" customFormat="false" ht="30" hidden="false" customHeight="true" outlineLevel="0" collapsed="false">
      <c r="A22" s="3" t="s">
        <v>19</v>
      </c>
      <c r="B22" s="6" t="n">
        <v>0.01</v>
      </c>
    </row>
    <row r="23" customFormat="false" ht="30" hidden="false" customHeight="true" outlineLevel="0" collapsed="false">
      <c r="A23" s="3" t="s">
        <v>20</v>
      </c>
      <c r="B23" s="4" t="n">
        <v>45000</v>
      </c>
    </row>
    <row r="24" customFormat="false" ht="30" hidden="false" customHeight="true" outlineLevel="0" collapsed="false">
      <c r="A24" s="3" t="s">
        <v>21</v>
      </c>
      <c r="B24" s="4" t="n">
        <v>7800000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3" t="s">
        <v>23</v>
      </c>
      <c r="B3" s="9" t="n">
        <f aca="false">Inputs!B4</f>
        <v>1335225</v>
      </c>
    </row>
    <row r="4" customFormat="false" ht="30" hidden="false" customHeight="true" outlineLevel="0" collapsed="false">
      <c r="A4" s="3" t="s">
        <v>24</v>
      </c>
      <c r="B4" s="9" t="n">
        <f aca="false">Inputs!B5*Inputs!B6</f>
        <v>2800</v>
      </c>
    </row>
    <row r="5" customFormat="false" ht="30" hidden="false" customHeight="true" outlineLevel="0" collapsed="false">
      <c r="A5" s="10" t="s">
        <v>25</v>
      </c>
      <c r="B5" s="9" t="n">
        <f aca="false">B3+B4</f>
        <v>1338025</v>
      </c>
    </row>
    <row r="6" customFormat="false" ht="30" hidden="false" customHeight="true" outlineLevel="0" collapsed="false">
      <c r="A6" s="3" t="s">
        <v>26</v>
      </c>
      <c r="B6" s="9" t="n">
        <f aca="false">-B5*Inputs!B7</f>
        <v>-66901.25</v>
      </c>
    </row>
    <row r="7" customFormat="false" ht="30" hidden="false" customHeight="true" outlineLevel="0" collapsed="false">
      <c r="A7" s="10" t="s">
        <v>27</v>
      </c>
      <c r="B7" s="9" t="n">
        <f aca="false">B5+B6</f>
        <v>1271123.75</v>
      </c>
    </row>
    <row r="9" customFormat="false" ht="30" hidden="false" customHeight="true" outlineLevel="0" collapsed="false">
      <c r="A9" s="3" t="s">
        <v>6</v>
      </c>
      <c r="B9" s="9" t="n">
        <f aca="false">Inputs!B8</f>
        <v>147294</v>
      </c>
    </row>
    <row r="10" customFormat="false" ht="30" hidden="false" customHeight="true" outlineLevel="0" collapsed="false">
      <c r="A10" s="3" t="s">
        <v>28</v>
      </c>
      <c r="B10" s="9" t="n">
        <f aca="false">Inputs!B9</f>
        <v>49098</v>
      </c>
    </row>
    <row r="11" customFormat="false" ht="30" hidden="false" customHeight="true" outlineLevel="0" collapsed="false">
      <c r="A11" s="3" t="s">
        <v>8</v>
      </c>
      <c r="B11" s="9" t="n">
        <f aca="false">Inputs!B10</f>
        <v>196392</v>
      </c>
    </row>
    <row r="12" customFormat="false" ht="30" hidden="false" customHeight="true" outlineLevel="0" collapsed="false">
      <c r="A12" s="3" t="s">
        <v>29</v>
      </c>
      <c r="B12" s="9" t="n">
        <f aca="false">B7*Inputs!B11</f>
        <v>38133.7125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430917.7125</v>
      </c>
    </row>
    <row r="15" customFormat="false" ht="30" hidden="false" customHeight="true" outlineLevel="0" collapsed="false">
      <c r="A15" s="10" t="s">
        <v>31</v>
      </c>
      <c r="B15" s="9" t="n">
        <f aca="false">B7-B13</f>
        <v>840206.0375</v>
      </c>
    </row>
    <row r="16" customFormat="false" ht="30" hidden="false" customHeight="true" outlineLevel="0" collapsed="false">
      <c r="A16" s="3" t="s">
        <v>32</v>
      </c>
      <c r="B16" s="9" t="n">
        <f aca="false">Inputs!B12*Inputs!B6</f>
        <v>2400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837806.0375</v>
      </c>
    </row>
    <row r="19" customFormat="false" ht="30" hidden="false" customHeight="true" outlineLevel="0" collapsed="false">
      <c r="A19" s="10" t="s">
        <v>34</v>
      </c>
      <c r="B19" s="9" t="n">
        <f aca="false">B15/Inputs!B14</f>
        <v>12926246.7307692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3" t="s">
        <v>36</v>
      </c>
      <c r="B3" s="11" t="n">
        <f aca="false">Inputs!B15</f>
        <v>0.0775</v>
      </c>
    </row>
    <row r="4" customFormat="false" ht="30" hidden="false" customHeight="true" outlineLevel="0" collapsed="false">
      <c r="A4" s="3" t="s">
        <v>37</v>
      </c>
      <c r="B4" s="12" t="n">
        <f aca="false">B3/12</f>
        <v>0.00645833333333333</v>
      </c>
    </row>
    <row r="5" customFormat="false" ht="30" hidden="false" customHeight="true" outlineLevel="0" collapsed="false">
      <c r="A5" s="3" t="s">
        <v>38</v>
      </c>
      <c r="B5" s="2" t="n">
        <f aca="false">Inputs!B18</f>
        <v>360</v>
      </c>
    </row>
    <row r="6" customFormat="false" ht="30" hidden="false" customHeight="true" outlineLevel="0" collapsed="false">
      <c r="A6" s="3" t="s">
        <v>39</v>
      </c>
      <c r="B6" s="13" t="n">
        <f aca="false">-PMT(B4,B5,1)*12</f>
        <v>0.0859694694670852</v>
      </c>
    </row>
    <row r="8" customFormat="false" ht="30" hidden="false" customHeight="true" outlineLevel="0" collapsed="false">
      <c r="A8" s="3" t="s">
        <v>40</v>
      </c>
      <c r="B8" s="9" t="n">
        <f aca="false">UW!B19*Inputs!B19</f>
        <v>8402060.375</v>
      </c>
    </row>
    <row r="9" customFormat="false" ht="30" hidden="false" customHeight="true" outlineLevel="0" collapsed="false">
      <c r="A9" s="3" t="s">
        <v>41</v>
      </c>
      <c r="B9" s="9" t="n">
        <f aca="false">UW!B17/(Inputs!B20*B6)</f>
        <v>7796312.27405229</v>
      </c>
    </row>
    <row r="10" customFormat="false" ht="30" hidden="false" customHeight="true" outlineLevel="0" collapsed="false">
      <c r="A10" s="3" t="s">
        <v>42</v>
      </c>
      <c r="B10" s="9" t="n">
        <f aca="false">UW!B17/Inputs!B21</f>
        <v>9308955.97222222</v>
      </c>
    </row>
    <row r="12" customFormat="false" ht="30" hidden="false" customHeight="true" outlineLevel="0" collapsed="false">
      <c r="A12" s="10" t="s">
        <v>43</v>
      </c>
      <c r="B12" s="9" t="n">
        <f aca="false">MIN(B8,B9,B10)</f>
        <v>7796312.27405229</v>
      </c>
    </row>
    <row r="13" customFormat="false" ht="30" hidden="false" customHeight="true" outlineLevel="0" collapsed="false">
      <c r="A13" s="3" t="s">
        <v>44</v>
      </c>
      <c r="B13" s="2" t="str">
        <f aca="false">IF(B12=B8,"LTV",IF(B12=B9,"DSCR","Debt yield"))</f>
        <v>DSCR</v>
      </c>
    </row>
    <row r="15" customFormat="false" ht="30" hidden="false" customHeight="true" outlineLevel="0" collapsed="false">
      <c r="A15" s="1" t="s">
        <v>45</v>
      </c>
    </row>
    <row r="16" customFormat="false" ht="30" hidden="false" customHeight="true" outlineLevel="0" collapsed="false">
      <c r="A16" s="3" t="s">
        <v>46</v>
      </c>
      <c r="B16" s="9" t="n">
        <f aca="false">B12</f>
        <v>7796312.27405229</v>
      </c>
    </row>
    <row r="17" customFormat="false" ht="30" hidden="false" customHeight="true" outlineLevel="0" collapsed="false">
      <c r="A17" s="3" t="s">
        <v>47</v>
      </c>
      <c r="B17" s="9" t="n">
        <f aca="false">B12*Inputs!B22</f>
        <v>77963.1227405229</v>
      </c>
    </row>
    <row r="18" customFormat="false" ht="30" hidden="false" customHeight="true" outlineLevel="0" collapsed="false">
      <c r="A18" s="3" t="s">
        <v>20</v>
      </c>
      <c r="B18" s="9" t="n">
        <f aca="false">Inputs!B23</f>
        <v>45000</v>
      </c>
    </row>
    <row r="19" customFormat="false" ht="30" hidden="false" customHeight="true" outlineLevel="0" collapsed="false">
      <c r="A19" s="3" t="s">
        <v>21</v>
      </c>
      <c r="B19" s="9" t="n">
        <f aca="false">Inputs!B24</f>
        <v>7800000</v>
      </c>
    </row>
    <row r="20" customFormat="false" ht="30" hidden="false" customHeight="true" outlineLevel="0" collapsed="false">
      <c r="A20" s="10" t="s">
        <v>48</v>
      </c>
      <c r="B20" s="9" t="n">
        <f aca="false">B16-B17-B18-B19</f>
        <v>-126650.848688231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3" t="s">
        <v>50</v>
      </c>
      <c r="B3" s="14" t="n">
        <f aca="false">UW!B15*0.95</f>
        <v>798195.735625</v>
      </c>
      <c r="C3" s="14" t="n">
        <f aca="false">UW!B15</f>
        <v>840206.0375</v>
      </c>
      <c r="D3" s="14" t="n">
        <f aca="false">UW!B15*1.05</f>
        <v>882216.339375</v>
      </c>
    </row>
    <row r="4" customFormat="false" ht="30" hidden="false" customHeight="true" outlineLevel="0" collapsed="false">
      <c r="A4" s="15" t="n">
        <v>0.0625</v>
      </c>
      <c r="B4" s="9" t="n">
        <f aca="false">B$3/$A4</f>
        <v>12771131.77</v>
      </c>
      <c r="C4" s="9" t="n">
        <f aca="false">C$3/$A4</f>
        <v>13443296.6</v>
      </c>
      <c r="D4" s="9" t="n">
        <f aca="false">D$3/$A4</f>
        <v>14115461.43</v>
      </c>
    </row>
    <row r="5" customFormat="false" ht="30" hidden="false" customHeight="true" outlineLevel="0" collapsed="false">
      <c r="A5" s="15" t="n">
        <v>0.065</v>
      </c>
      <c r="B5" s="9" t="n">
        <f aca="false">B$3/$A5</f>
        <v>12279934.3942308</v>
      </c>
      <c r="C5" s="9" t="n">
        <f aca="false">C$3/$A5</f>
        <v>12926246.7307692</v>
      </c>
      <c r="D5" s="9" t="n">
        <f aca="false">D$3/$A5</f>
        <v>13572559.0673077</v>
      </c>
    </row>
    <row r="6" customFormat="false" ht="30" hidden="false" customHeight="true" outlineLevel="0" collapsed="false">
      <c r="A6" s="15" t="n">
        <v>0.0675</v>
      </c>
      <c r="B6" s="9" t="n">
        <f aca="false">B$3/$A6</f>
        <v>11825122.0092593</v>
      </c>
      <c r="C6" s="9" t="n">
        <f aca="false">C$3/$A6</f>
        <v>12447496.8518519</v>
      </c>
      <c r="D6" s="9" t="n">
        <f aca="false">D$3/$A6</f>
        <v>13069871.6944444</v>
      </c>
    </row>
    <row r="7" customFormat="false" ht="30" hidden="false" customHeight="true" outlineLevel="0" collapsed="false">
      <c r="A7" s="15" t="n">
        <v>0.07</v>
      </c>
      <c r="B7" s="9" t="n">
        <f aca="false">B$3/$A7</f>
        <v>11402796.2232143</v>
      </c>
      <c r="C7" s="9" t="n">
        <f aca="false">C$3/$A7</f>
        <v>12002943.3928571</v>
      </c>
      <c r="D7" s="9" t="n">
        <f aca="false">D$3/$A7</f>
        <v>12603090.5625</v>
      </c>
    </row>
    <row r="10" customFormat="false" ht="30" hidden="false" customHeight="true" outlineLevel="0" collapsed="false">
      <c r="A10" s="1" t="s">
        <v>51</v>
      </c>
    </row>
    <row r="12" customFormat="false" ht="30" hidden="false" customHeight="true" outlineLevel="0" collapsed="false">
      <c r="A12" s="3" t="s">
        <v>52</v>
      </c>
      <c r="B12" s="14" t="n">
        <f aca="false">UW!B17*0.95</f>
        <v>795915.735625</v>
      </c>
      <c r="C12" s="14" t="n">
        <f aca="false">UW!B17</f>
        <v>837806.0375</v>
      </c>
      <c r="D12" s="14" t="n">
        <f aca="false">UW!B17*1.05</f>
        <v>879696.339375</v>
      </c>
    </row>
    <row r="13" customFormat="false" ht="30" hidden="false" customHeight="true" outlineLevel="0" collapsed="false">
      <c r="A13" s="15" t="n">
        <v>0.0725</v>
      </c>
      <c r="B13" s="9" t="n">
        <f aca="false">B$12/(Inputs!$B$20*(-PMT($A13/12,Inputs!$B$18,1)*12))</f>
        <v>7778201.99748017</v>
      </c>
      <c r="C13" s="9" t="n">
        <f aca="false">C$12/(Inputs!$B$20*(-PMT($A13/12,Inputs!$B$18,1)*12))</f>
        <v>8187581.04997913</v>
      </c>
      <c r="D13" s="9" t="n">
        <f aca="false">D$12/(Inputs!$B$20*(-PMT($A13/12,Inputs!$B$18,1)*12))</f>
        <v>8596960.10247809</v>
      </c>
    </row>
    <row r="14" customFormat="false" ht="30" hidden="false" customHeight="true" outlineLevel="0" collapsed="false">
      <c r="A14" s="15" t="n">
        <v>0.0775</v>
      </c>
      <c r="B14" s="9" t="n">
        <f aca="false">B$12/(Inputs!$B$20*(-PMT($A14/12,Inputs!$B$18,1)*12))</f>
        <v>7406496.66034968</v>
      </c>
      <c r="C14" s="9" t="n">
        <f aca="false">C$12/(Inputs!$B$20*(-PMT($A14/12,Inputs!$B$18,1)*12))</f>
        <v>7796312.27405229</v>
      </c>
      <c r="D14" s="9" t="n">
        <f aca="false">D$12/(Inputs!$B$20*(-PMT($A14/12,Inputs!$B$18,1)*12))</f>
        <v>8186127.88775491</v>
      </c>
    </row>
    <row r="15" customFormat="false" ht="30" hidden="false" customHeight="true" outlineLevel="0" collapsed="false">
      <c r="A15" s="15" t="n">
        <v>0.0825</v>
      </c>
      <c r="B15" s="9" t="n">
        <f aca="false">B$12/(Inputs!$B$20*(-PMT($A15/12,Inputs!$B$18,1)*12))</f>
        <v>7062878.71117322</v>
      </c>
      <c r="C15" s="9" t="n">
        <f aca="false">C$12/(Inputs!$B$20*(-PMT($A15/12,Inputs!$B$18,1)*12))</f>
        <v>7434609.16965602</v>
      </c>
      <c r="D15" s="9" t="n">
        <f aca="false">D$12/(Inputs!$B$20*(-PMT($A15/12,Inputs!$B$18,1)*12))</f>
        <v>7806339.62813882</v>
      </c>
    </row>
    <row r="16" customFormat="false" ht="30" hidden="false" customHeight="true" outlineLevel="0" collapsed="false">
      <c r="A16" s="15" t="n">
        <v>0.0875</v>
      </c>
      <c r="B16" s="9" t="n">
        <f aca="false">B$12/(Inputs!$B$20*(-PMT($A16/12,Inputs!$B$18,1)*12))</f>
        <v>6744759.33443764</v>
      </c>
      <c r="C16" s="9" t="n">
        <f aca="false">C$12/(Inputs!$B$20*(-PMT($A16/12,Inputs!$B$18,1)*12))</f>
        <v>7099746.6678291</v>
      </c>
      <c r="D16" s="9" t="n">
        <f aca="false">D$12/(Inputs!$B$20*(-PMT($A16/12,Inputs!$B$18,1)*12))</f>
        <v>7454734.00122055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</row>
    <row r="4" customFormat="false" ht="30" hidden="false" customHeight="true" outlineLevel="0" collapsed="false">
      <c r="A4" s="2" t="s">
        <v>60</v>
      </c>
      <c r="B4" s="2" t="s">
        <v>61</v>
      </c>
      <c r="C4" s="2" t="n">
        <v>21880</v>
      </c>
      <c r="D4" s="2" t="s">
        <v>62</v>
      </c>
      <c r="E4" s="9" t="n">
        <v>14450</v>
      </c>
      <c r="F4" s="2" t="s">
        <v>63</v>
      </c>
    </row>
    <row r="5" customFormat="false" ht="30" hidden="false" customHeight="true" outlineLevel="0" collapsed="false">
      <c r="A5" s="2" t="s">
        <v>64</v>
      </c>
      <c r="B5" s="2" t="s">
        <v>65</v>
      </c>
      <c r="C5" s="2" t="n">
        <v>22000</v>
      </c>
      <c r="D5" s="2" t="s">
        <v>62</v>
      </c>
      <c r="E5" s="9" t="n">
        <v>14825</v>
      </c>
      <c r="F5" s="2" t="s">
        <v>63</v>
      </c>
    </row>
    <row r="6" customFormat="false" ht="30" hidden="false" customHeight="true" outlineLevel="0" collapsed="false">
      <c r="A6" s="2" t="s">
        <v>66</v>
      </c>
      <c r="B6" s="2" t="s">
        <v>67</v>
      </c>
      <c r="C6" s="2" t="n">
        <v>22210</v>
      </c>
      <c r="D6" s="2" t="s">
        <v>62</v>
      </c>
      <c r="E6" s="9" t="n">
        <v>14875</v>
      </c>
      <c r="F6" s="2" t="s">
        <v>63</v>
      </c>
    </row>
    <row r="7" customFormat="false" ht="30" hidden="false" customHeight="true" outlineLevel="0" collapsed="false">
      <c r="A7" s="2" t="s">
        <v>68</v>
      </c>
      <c r="B7" s="2" t="s">
        <v>61</v>
      </c>
      <c r="C7" s="2" t="n">
        <v>21880</v>
      </c>
      <c r="D7" s="2" t="s">
        <v>62</v>
      </c>
      <c r="E7" s="9" t="n">
        <v>14450</v>
      </c>
      <c r="F7" s="2" t="s">
        <v>63</v>
      </c>
    </row>
    <row r="8" customFormat="false" ht="30" hidden="false" customHeight="true" outlineLevel="0" collapsed="false">
      <c r="A8" s="2" t="s">
        <v>69</v>
      </c>
      <c r="B8" s="2" t="s">
        <v>65</v>
      </c>
      <c r="C8" s="2" t="n">
        <v>22000</v>
      </c>
      <c r="D8" s="2" t="s">
        <v>62</v>
      </c>
      <c r="E8" s="9" t="n">
        <v>14600</v>
      </c>
      <c r="F8" s="2" t="s">
        <v>63</v>
      </c>
    </row>
    <row r="9" customFormat="false" ht="30" hidden="false" customHeight="true" outlineLevel="0" collapsed="false">
      <c r="A9" s="2" t="s">
        <v>70</v>
      </c>
      <c r="B9" s="2" t="s">
        <v>67</v>
      </c>
      <c r="C9" s="2" t="n">
        <v>22210</v>
      </c>
      <c r="D9" s="2" t="s">
        <v>62</v>
      </c>
      <c r="E9" s="9" t="n">
        <v>14875</v>
      </c>
      <c r="F9" s="2" t="s">
        <v>63</v>
      </c>
    </row>
    <row r="10" customFormat="false" ht="30" hidden="false" customHeight="true" outlineLevel="0" collapsed="false">
      <c r="A10" s="2" t="s">
        <v>71</v>
      </c>
      <c r="B10" s="2" t="s">
        <v>61</v>
      </c>
      <c r="C10" s="2" t="n">
        <v>21880</v>
      </c>
      <c r="D10" s="2" t="s">
        <v>62</v>
      </c>
      <c r="E10" s="9" t="n">
        <v>14450</v>
      </c>
      <c r="F10" s="2" t="s">
        <v>63</v>
      </c>
    </row>
    <row r="11" customFormat="false" ht="30" hidden="false" customHeight="true" outlineLevel="0" collapsed="false">
      <c r="A11" s="2" t="s">
        <v>72</v>
      </c>
      <c r="B11" s="2" t="s">
        <v>65</v>
      </c>
      <c r="C11" s="2" t="n">
        <v>22000</v>
      </c>
      <c r="D11" s="2" t="s">
        <v>73</v>
      </c>
      <c r="E11" s="9" t="n">
        <v>14600</v>
      </c>
      <c r="F11" s="2" t="s">
        <v>63</v>
      </c>
    </row>
    <row r="13" customFormat="false" ht="30" hidden="false" customHeight="true" outlineLevel="0" collapsed="false">
      <c r="A13" s="10" t="s">
        <v>74</v>
      </c>
      <c r="C13" s="2" t="n">
        <f aca="false">SUM(C4:C11)</f>
        <v>176060</v>
      </c>
      <c r="E13" s="9" t="n">
        <f aca="false">SUM(E4:E11)</f>
        <v>117125</v>
      </c>
    </row>
    <row r="14" customFormat="false" ht="30" hidden="false" customHeight="true" outlineLevel="0" collapsed="false">
      <c r="A14" s="10" t="s">
        <v>75</v>
      </c>
      <c r="C14" s="2" t="n">
        <f aca="false">SUMIF(D4:D11,"active",C4:C11)</f>
        <v>154060</v>
      </c>
      <c r="E14" s="9" t="n">
        <f aca="false">SUMIF(D4:D11,"active",E4:E11)</f>
        <v>102525</v>
      </c>
    </row>
    <row r="15" customFormat="false" ht="30" hidden="false" customHeight="true" outlineLevel="0" collapsed="false">
      <c r="A15" s="10" t="s">
        <v>76</v>
      </c>
      <c r="E15" s="9" t="n">
        <f aca="false">E14*12</f>
        <v>1230300</v>
      </c>
    </row>
    <row r="16" customFormat="false" ht="30" hidden="false" customHeight="true" outlineLevel="0" collapsed="false">
      <c r="A16" s="10" t="s">
        <v>77</v>
      </c>
      <c r="E16" s="16" t="n">
        <f aca="false">COUNTIF(D4:D11,"active")/COUNTA(A4:A11)</f>
        <v>0.875</v>
      </c>
    </row>
    <row r="17" customFormat="false" ht="30" hidden="false" customHeight="true" outlineLevel="0" collapsed="false">
      <c r="A17" s="10" t="s">
        <v>78</v>
      </c>
      <c r="E17" s="16" t="n">
        <f aca="false">C14/C13</f>
        <v>0.875042599113938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79</v>
      </c>
    </row>
    <row r="3" customFormat="false" ht="30" hidden="false" customHeight="true" outlineLevel="0" collapsed="false">
      <c r="A3" s="3" t="s">
        <v>80</v>
      </c>
      <c r="B3" s="3" t="s">
        <v>81</v>
      </c>
      <c r="C3" s="3" t="s">
        <v>82</v>
      </c>
    </row>
    <row r="4" customFormat="false" ht="30" hidden="false" customHeight="true" outlineLevel="0" collapsed="false">
      <c r="A4" s="2" t="s">
        <v>83</v>
      </c>
      <c r="B4" s="2" t="s">
        <v>84</v>
      </c>
      <c r="C4" s="2" t="s">
        <v>85</v>
      </c>
    </row>
    <row r="5" customFormat="false" ht="30" hidden="false" customHeight="true" outlineLevel="0" collapsed="false">
      <c r="A5" s="2" t="s">
        <v>86</v>
      </c>
      <c r="B5" s="2" t="s">
        <v>62</v>
      </c>
      <c r="C5" s="2" t="s">
        <v>87</v>
      </c>
    </row>
    <row r="6" customFormat="false" ht="30" hidden="false" customHeight="true" outlineLevel="0" collapsed="false">
      <c r="A6" s="2" t="s">
        <v>88</v>
      </c>
      <c r="B6" s="2" t="n">
        <v>14600</v>
      </c>
      <c r="C6" s="2" t="n">
        <v>14825</v>
      </c>
    </row>
    <row r="7" customFormat="false" ht="30" hidden="false" customHeight="true" outlineLevel="0" collapsed="false">
      <c r="A7" s="2" t="s">
        <v>89</v>
      </c>
      <c r="B7" s="2" t="n">
        <v>0.0625</v>
      </c>
      <c r="C7" s="2" t="n">
        <v>0.065</v>
      </c>
    </row>
    <row r="8" customFormat="false" ht="30" hidden="false" customHeight="true" outlineLevel="0" collapsed="false">
      <c r="A8" s="2" t="s">
        <v>36</v>
      </c>
      <c r="B8" s="2" t="n">
        <v>0.07</v>
      </c>
      <c r="C8" s="2" t="n">
        <v>0.0775</v>
      </c>
    </row>
    <row r="9" customFormat="false" ht="30" hidden="false" customHeight="true" outlineLevel="0" collapsed="false">
      <c r="A9" s="2" t="s">
        <v>90</v>
      </c>
      <c r="B9" s="2" t="n">
        <v>1402800</v>
      </c>
      <c r="C9" s="2" t="n">
        <v>1405500</v>
      </c>
    </row>
    <row r="10" customFormat="false" ht="30" hidden="false" customHeight="true" outlineLevel="0" collapsed="false">
      <c r="A10" s="2" t="s">
        <v>91</v>
      </c>
      <c r="B10" s="2" t="n">
        <v>1335320</v>
      </c>
      <c r="C10" s="2" t="n">
        <v>1337885</v>
      </c>
    </row>
    <row r="11" customFormat="false" ht="30" hidden="false" customHeight="true" outlineLevel="0" collapsed="false">
      <c r="A11" s="2" t="s">
        <v>92</v>
      </c>
      <c r="B11" s="2" t="n">
        <v>902476.4</v>
      </c>
      <c r="C11" s="2" t="n">
        <v>904964.45</v>
      </c>
    </row>
    <row r="12" customFormat="false" ht="30" hidden="false" customHeight="true" outlineLevel="0" collapsed="false">
      <c r="A12" s="2" t="s">
        <v>33</v>
      </c>
      <c r="B12" s="2" t="n">
        <v>900076.4</v>
      </c>
      <c r="C12" s="2" t="n">
        <v>902564.45</v>
      </c>
    </row>
    <row r="13" customFormat="false" ht="30" hidden="false" customHeight="true" outlineLevel="0" collapsed="false">
      <c r="A13" s="2" t="s">
        <v>93</v>
      </c>
      <c r="B13" s="2" t="n">
        <v>14439622</v>
      </c>
      <c r="C13" s="2" t="n">
        <v>13922530</v>
      </c>
    </row>
    <row r="14" customFormat="false" ht="30" hidden="false" customHeight="true" outlineLevel="0" collapsed="false">
      <c r="A14" s="2" t="s">
        <v>94</v>
      </c>
      <c r="B14" s="2" t="n">
        <v>9019220</v>
      </c>
      <c r="C14" s="2" t="n">
        <v>8398930</v>
      </c>
    </row>
    <row r="15" customFormat="false" ht="30" hidden="false" customHeight="true" outlineLevel="0" collapsed="false">
      <c r="A15" s="2" t="s">
        <v>95</v>
      </c>
      <c r="B15" s="2" t="n">
        <v>1084027</v>
      </c>
      <c r="C15" s="2" t="n">
        <v>469941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96</v>
      </c>
    </row>
    <row r="3" customFormat="false" ht="30" hidden="false" customHeight="true" outlineLevel="0" collapsed="false">
      <c r="A3" s="3" t="s">
        <v>80</v>
      </c>
      <c r="B3" s="3" t="s">
        <v>97</v>
      </c>
      <c r="C3" s="3" t="s">
        <v>98</v>
      </c>
    </row>
    <row r="4" customFormat="false" ht="30" hidden="false" customHeight="true" outlineLevel="0" collapsed="false">
      <c r="A4" s="2" t="s">
        <v>99</v>
      </c>
      <c r="B4" s="2" t="s">
        <v>85</v>
      </c>
      <c r="C4" s="2" t="s">
        <v>100</v>
      </c>
    </row>
    <row r="5" customFormat="false" ht="30" hidden="false" customHeight="true" outlineLevel="0" collapsed="false">
      <c r="A5" s="2" t="s">
        <v>101</v>
      </c>
      <c r="B5" s="2" t="s">
        <v>84</v>
      </c>
      <c r="C5" s="2" t="s">
        <v>102</v>
      </c>
    </row>
    <row r="6" customFormat="false" ht="30" hidden="false" customHeight="true" outlineLevel="0" collapsed="false">
      <c r="A6" s="2" t="s">
        <v>103</v>
      </c>
      <c r="B6" s="2" t="s">
        <v>104</v>
      </c>
      <c r="C6" s="2" t="s">
        <v>105</v>
      </c>
    </row>
    <row r="7" customFormat="false" ht="30" hidden="false" customHeight="true" outlineLevel="0" collapsed="false">
      <c r="A7" s="2" t="s">
        <v>106</v>
      </c>
      <c r="B7" s="9" t="n">
        <v>225</v>
      </c>
      <c r="C7" s="2" t="s">
        <v>107</v>
      </c>
    </row>
    <row r="8" customFormat="false" ht="30" hidden="false" customHeight="true" outlineLevel="0" collapsed="false">
      <c r="A8" s="2" t="s">
        <v>108</v>
      </c>
      <c r="B8" s="2" t="s">
        <v>109</v>
      </c>
      <c r="C8" s="2" t="s">
        <v>110</v>
      </c>
    </row>
    <row r="9" customFormat="false" ht="30" hidden="false" customHeight="true" outlineLevel="0" collapsed="false">
      <c r="A9" s="2" t="s">
        <v>111</v>
      </c>
      <c r="B9" s="2" t="s">
        <v>112</v>
      </c>
      <c r="C9" s="2" t="s">
        <v>110</v>
      </c>
    </row>
    <row r="10" customFormat="false" ht="30" hidden="false" customHeight="true" outlineLevel="0" collapsed="false">
      <c r="A10" s="2" t="s">
        <v>113</v>
      </c>
      <c r="B10" s="9" t="n">
        <v>14450</v>
      </c>
      <c r="C10" s="2" t="s">
        <v>114</v>
      </c>
    </row>
    <row r="11" customFormat="false" ht="30" hidden="false" customHeight="true" outlineLevel="0" collapsed="false">
      <c r="A11" s="2" t="s">
        <v>115</v>
      </c>
      <c r="B11" s="9" t="n">
        <v>869736</v>
      </c>
      <c r="C11" s="2" t="s">
        <v>116</v>
      </c>
    </row>
    <row r="12" customFormat="false" ht="30" hidden="false" customHeight="true" outlineLevel="0" collapsed="false">
      <c r="A12" s="2" t="s">
        <v>117</v>
      </c>
      <c r="B12" s="9" t="n">
        <v>2000000</v>
      </c>
      <c r="C12" s="2" t="s">
        <v>118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2026-09-07T14:30:29Z</dcterms:created>
  <dc:creator>openpyxl</dc:creator>
  <dc:description/>
  <dc:language>en-US</dc:language>
  <cp:lastModifiedBy/>
  <dcterms:modified xsi:type="dcterms:W3CDTF">2026-09-07T14:34:18Z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