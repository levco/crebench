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RentRoll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<sst xmlns="http://schemas.openxmlformats.org/spreadsheetml/2006/main" count="136" uniqueCount="106">
  <si>
    <t xml:space="preserve">Falcon Distribution — Underwriting Inputs</t>
  </si>
  <si>
    <t xml:space="preserve">As of 2026-08-31</t>
  </si>
  <si>
    <t xml:space="preserve">Gross potential rent (all suites x12, certified pre-amendment)</t>
  </si>
  <si>
    <t xml:space="preserve">Other income $/unit/yr</t>
  </si>
  <si>
    <t xml:space="preserve">Units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</si>
  <si>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</si>
  <si>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</si>
  <si>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</si>
  <si>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</si>
  <si>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% of EGI</t>
  </si>
  <si>
    <t xml:space="preserve">Replacement reserve $/unit/yr</t>
  </si>
  <si>
    <t xml:space="preserve">Cap rate</t>
  </si>
  <si>
    <t xml:space="preserve">Sizing rate (greater of note rate &amp; floor)</t>
  </si>
  <si>
    <t xml:space="preserve">Note rate</t>
  </si>
  <si>
    <t xml:space="preserve">UW rate floor</t>
  </si>
  <si>
    <t xml:space="preserve">Amortization months</t>
  </si>
  <si>
    <t xml:space="preserve">Max LTV</t>
  </si>
  <si>
    <t xml:space="preserve">Min DSCR</t>
  </si>
  <si>
    <t xml:space="preserve">Min NCF debt yield</t>
  </si>
  <si>
    <t xml:space="preserve">Origination fee %</t>
  </si>
  <si>
    <t xml:space="preserve">Closing costs</t>
  </si>
  <si>
    <t xml:space="preserve">Existing payoff</t>
  </si>
  <si>
    <t xml:space="preserve">Underwriting build</t>
  </si>
  <si>
    <t xml:space="preserve">Gross potential rent</t>
  </si>
  <si>
    <t xml:space="preserve">Other income</t>
  </si>
  <si>
    <t xml:space="preserve">Gross potential income</t>
  </si>
  <si>
    <t xml:space="preserve">Economic loss (5%)</t>
  </si>
  <si>
    <t xml:space="preserve">Underwritten EGI</t>
  </si>
  <si>
    <t xml:space="preserve">Insurance</t>
  </si>
  <si>
    <t xml:space="preserve">Management fee (3% EGI)</t>
  </si>
  <si>
    <t xml:space="preserve">Total operating expenses</t>
  </si>
  <si>
    <t xml:space="preserve">UW NOI (before reserves)</t>
  </si>
  <si>
    <t xml:space="preserve">Replacement reserves</t>
  </si>
  <si>
    <t xml:space="preserve">UW NCF</t>
  </si>
  <si>
    <t xml:space="preserve">Capitalization value (NOI / cap)</t>
  </si>
  <si>
    <t xml:space="preserve">Debt sizing</t>
  </si>
  <si>
    <t xml:space="preserve">Sizing rate</t>
  </si>
  <si>
    <t xml:space="preserve">Monthly rate</t>
  </si>
  <si>
    <t xml:space="preserve">Amort months</t>
  </si>
  <si>
    <t xml:space="preserve">Annual debt service per $1 loan</t>
  </si>
  <si>
    <t xml:space="preserve">LTV-constrained loan</t>
  </si>
  <si>
    <t xml:space="preserve">DSCR-constrained loan</t>
  </si>
  <si>
    <t xml:space="preserve">Debt-yield-constrained loan</t>
  </si>
  <si>
    <t xml:space="preserve">Maximum loan (min)</t>
  </si>
  <si>
    <t xml:space="preserve">Binding constraint</t>
  </si>
  <si>
    <t xml:space="preserve">Sources &amp; Uses</t>
  </si>
  <si>
    <t xml:space="preserve">Loan proceeds</t>
  </si>
  <si>
    <t xml:space="preserve">Origination fee</t>
  </si>
  <si>
    <t xml:space="preserve">Net cash-out (negative = equity in)</t>
  </si>
  <si>
    <t xml:space="preserve">Cap value sensitivity — NOI vs cap rate</t>
  </si>
  <si>
    <t xml:space="preserve">Cap rate \ NOI</t>
  </si>
  <si>
    <t xml:space="preserve">Max loan sensitivity — sizing rate vs NCF</t>
  </si>
  <si>
    <t xml:space="preserve">Sizing rate \ NCF</t>
  </si>
  <si>
    <t xml:space="preserve">Certified rent roll (2026-08-31) — controlling</t>
  </si>
  <si>
    <t xml:space="preserve">Suite</t>
  </si>
  <si>
    <t xml:space="preserve">Type/Group</t>
  </si>
  <si>
    <t xml:space="preserve">Area SF</t>
  </si>
  <si>
    <t xml:space="preserve">Possession</t>
  </si>
  <si>
    <t xml:space="preserve">Monthly rent</t>
  </si>
  <si>
    <t xml:space="preserve">Expiration</t>
  </si>
  <si>
    <t xml:space="preserve">001</t>
  </si>
  <si>
    <t xml:space="preserve">Small (A)</t>
  </si>
  <si>
    <t xml:space="preserve">active</t>
  </si>
  <si>
    <t xml:space="preserve">2029-08-31</t>
  </si>
  <si>
    <t xml:space="preserve">002</t>
  </si>
  <si>
    <t xml:space="preserve">Standard (B)</t>
  </si>
  <si>
    <t xml:space="preserve">003</t>
  </si>
  <si>
    <t xml:space="preserve">Large (C)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</si>
  <si>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</si>
  <si>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</si>
  <si>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</si>
  <si>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</si>
  <si>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</si>
  <si>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</si>
  <si>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Totals</t>
  </si>
  <si>
    <t xml:space="preserve">Occupied (active only)</t>
  </si>
  <si>
    <t xml:space="preserve">Annual in-place rent</t>
  </si>
  <si>
    <t xml:space="preserve">Unit occupancy</t>
  </si>
  <si>
    <t xml:space="preserve">Area occupancy</t>
  </si>
  <si>
    <t xml:space="preserve">Source register</t>
  </si>
  <si>
    <t xml:space="preserve">Item</t>
  </si>
  <si>
    <t xml:space="preserve">Value</t>
  </si>
  <si>
    <t xml:space="preserve">Source</t>
  </si>
  <si>
    <t xml:space="preserve">Certified rent roll as-of</t>
  </si>
  <si>
    <t xml:space="preserve">2026-08-31</t>
  </si>
  <si>
    <t xml:space="preserve">rent-roll-certified.xlsx B2</t>
  </si>
  <si>
    <t xml:space="preserve">Archive rent roll as-of</t>
  </si>
  <si>
    <t xml:space="preserve">2026-06-30</t>
  </si>
  <si>
    <t xml:space="preserve">rent-roll-archive.xlsx B2 (stale)</t>
  </si>
  <si>
    <t xml:space="preserve">Suite 001 base rent</t>
  </si>
  <si>
    <t xml:space="preserve">lease-001.pdf p.1; confirmed lease-correspondence.pdf p.1</t>
  </si>
  <si>
    <t xml:space="preserve">Reported T12 NOI</t>
  </si>
  <si>
    <t xml:space="preserve">operating-statement.pdf p.1</t>
  </si>
  <si>
    <t xml:space="preserve">Real estate tax (UW)</t>
  </si>
  <si>
    <t xml:space="preserve">underwriting-instructions.pdf p.1</t>
  </si>
  <si>
    <t xml:space="preserve">Insurance expense (UW)</t>
  </si>
  <si>
    <t xml:space="preserve">Other opex (UW)</t>
  </si>
  <si>
    <t xml:space="preserve">Note rate / floor</t>
  </si>
  <si>
    <t xml:space="preserve">6.10% / 7.00%</t>
  </si>
  <si>
    <t xml:space="preserve">LTV / DSCR / DY</t>
  </si>
  <si>
    <t xml:space="preserve">65% / 1.25 / 9%</t>
  </si>
  <si>
    <t xml:space="preserve">Insurance GL aggregate limit</t>
  </si>
  <si>
    <t xml:space="preserve">insurance.pdf p.1</t>
  </si>
  <si>
    <t xml:space="preserve">Manager occupancy claim</t>
  </si>
  <si>
    <t xml:space="preserve">7 of 8 (incl. pending)</t>
  </si>
  <si>
    <t xml:space="preserve">manager-cover.pdf p.1 (overstates physical occupancy)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</si>
</sst>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%"/>
    <numFmt numFmtId="170" formatCode="0.00000000"/>
    <numFmt numFmtId="171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n">
        <v>1402800</v>
      </c>
    </row>
    <row r="5" customFormat="false" ht="30" hidden="false" customHeight="true" outlineLevel="0" collapsed="false">
      <c r="A5" s="3" t="s">
        <v>3</v>
      </c>
      <c r="B5" s="4" t="n">
        <v>350</v>
      </c>
    </row>
    <row r="6" customFormat="false" ht="30" hidden="false" customHeight="true" outlineLevel="0" collapsed="false">
      <c r="A6" s="3" t="s">
        <v>4</v>
      </c>
      <c r="B6" s="5" t="n">
        <v>8</v>
      </c>
    </row>
    <row r="7" customFormat="false" ht="30" hidden="false" customHeight="true" outlineLevel="0" collapsed="false">
      <c r="A7" s="3" t="s">
        <v>5</v>
      </c>
      <c r="B7" s="6" t="n">
        <v>0.05</v>
      </c>
    </row>
    <row r="8" customFormat="false" ht="30" hidden="false" customHeight="true" outlineLevel="0" collapsed="false">
      <c r="A8" s="3" t="s">
        <v>6</v>
      </c>
      <c r="B8" s="4" t="n">
        <v>147294</v>
      </c>
    </row>
    <row r="9" customFormat="false" ht="30" hidden="false" customHeight="true" outlineLevel="0" collapsed="false">
      <c r="A9" s="3" t="s">
        <v>7</v>
      </c>
      <c r="B9" s="4" t="n">
        <v>49098</v>
      </c>
    </row>
    <row r="10" customFormat="false" ht="30" hidden="false" customHeight="true" outlineLevel="0" collapsed="false">
      <c r="A10" s="3" t="s">
        <v>8</v>
      </c>
      <c r="B10" s="4" t="n">
        <v>196392</v>
      </c>
    </row>
    <row r="11" customFormat="false" ht="30" hidden="false" customHeight="true" outlineLevel="0" collapsed="false">
      <c r="A11" s="3" t="s">
        <v>9</v>
      </c>
      <c r="B11" s="6" t="n">
        <v>0.03</v>
      </c>
    </row>
    <row r="12" customFormat="false" ht="30" hidden="false" customHeight="true" outlineLevel="0" collapsed="false">
      <c r="A12" s="3" t="s">
        <v>10</v>
      </c>
      <c r="B12" s="4" t="n">
        <v>300</v>
      </c>
    </row>
    <row r="14" customFormat="false" ht="30" hidden="false" customHeight="true" outlineLevel="0" collapsed="false">
      <c r="A14" s="3" t="s">
        <v>11</v>
      </c>
      <c r="B14" s="7" t="n">
        <v>0.0675</v>
      </c>
    </row>
    <row r="15" customFormat="false" ht="30" hidden="false" customHeight="true" outlineLevel="0" collapsed="false">
      <c r="A15" s="3" t="s">
        <v>12</v>
      </c>
      <c r="B15" s="7" t="n">
        <v>0.07</v>
      </c>
    </row>
    <row r="16" customFormat="false" ht="30" hidden="false" customHeight="true" outlineLevel="0" collapsed="false">
      <c r="A16" s="3" t="s">
        <v>13</v>
      </c>
      <c r="B16" s="7" t="n">
        <v>0.061</v>
      </c>
    </row>
    <row r="17" customFormat="false" ht="30" hidden="false" customHeight="true" outlineLevel="0" collapsed="false">
      <c r="A17" s="3" t="s">
        <v>14</v>
      </c>
      <c r="B17" s="7" t="n">
        <v>0.07</v>
      </c>
    </row>
    <row r="18" customFormat="false" ht="30" hidden="false" customHeight="true" outlineLevel="0" collapsed="false">
      <c r="A18" s="3" t="s">
        <v>15</v>
      </c>
      <c r="B18" s="5" t="n">
        <v>360</v>
      </c>
    </row>
    <row r="19" customFormat="false" ht="30" hidden="false" customHeight="true" outlineLevel="0" collapsed="false">
      <c r="A19" s="3" t="s">
        <v>16</v>
      </c>
      <c r="B19" s="6" t="n">
        <v>0.65</v>
      </c>
    </row>
    <row r="20" customFormat="false" ht="30" hidden="false" customHeight="true" outlineLevel="0" collapsed="false">
      <c r="A20" s="3" t="s">
        <v>17</v>
      </c>
      <c r="B20" s="8" t="n">
        <v>1.25</v>
      </c>
    </row>
    <row r="21" customFormat="false" ht="30" hidden="false" customHeight="true" outlineLevel="0" collapsed="false">
      <c r="A21" s="3" t="s">
        <v>18</v>
      </c>
      <c r="B21" s="6" t="n">
        <v>0.09</v>
      </c>
    </row>
    <row r="22" customFormat="false" ht="30" hidden="false" customHeight="true" outlineLevel="0" collapsed="false">
      <c r="A22" s="3" t="s">
        <v>19</v>
      </c>
      <c r="B22" s="6" t="n">
        <v>0.01</v>
      </c>
    </row>
    <row r="23" customFormat="false" ht="30" hidden="false" customHeight="true" outlineLevel="0" collapsed="false">
      <c r="A23" s="3" t="s">
        <v>20</v>
      </c>
      <c r="B23" s="4" t="n">
        <v>45000</v>
      </c>
    </row>
    <row r="24" customFormat="false" ht="30" hidden="false" customHeight="true" outlineLevel="0" collapsed="false">
      <c r="A24" s="3" t="s">
        <v>21</v>
      </c>
      <c r="B24" s="4" t="n">
        <v>7800000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22</v>
      </c>
    </row>
    <row r="3" customFormat="false" ht="30" hidden="false" customHeight="true" outlineLevel="0" collapsed="false">
      <c r="A3" s="3" t="s">
        <v>23</v>
      </c>
      <c r="B3" s="9" t="n">
        <f aca="false">Inputs!B4</f>
        <v>1402800</v>
      </c>
    </row>
    <row r="4" customFormat="false" ht="30" hidden="false" customHeight="true" outlineLevel="0" collapsed="false">
      <c r="A4" s="3" t="s">
        <v>24</v>
      </c>
      <c r="B4" s="9" t="n">
        <f aca="false">Inputs!B5*Inputs!B6</f>
        <v>2800</v>
      </c>
    </row>
    <row r="5" customFormat="false" ht="30" hidden="false" customHeight="true" outlineLevel="0" collapsed="false">
      <c r="A5" s="10" t="s">
        <v>25</v>
      </c>
      <c r="B5" s="9" t="n">
        <f aca="false">B3+B4</f>
        <v>1405600</v>
      </c>
    </row>
    <row r="6" customFormat="false" ht="30" hidden="false" customHeight="true" outlineLevel="0" collapsed="false">
      <c r="A6" s="3" t="s">
        <v>26</v>
      </c>
      <c r="B6" s="9" t="n">
        <f aca="false">-B5*Inputs!B7</f>
        <v>-70280</v>
      </c>
    </row>
    <row r="7" customFormat="false" ht="30" hidden="false" customHeight="true" outlineLevel="0" collapsed="false">
      <c r="A7" s="10" t="s">
        <v>27</v>
      </c>
      <c r="B7" s="9" t="n">
        <f aca="false">B5+B6</f>
        <v>1335320</v>
      </c>
    </row>
    <row r="9" customFormat="false" ht="30" hidden="false" customHeight="true" outlineLevel="0" collapsed="false">
      <c r="A9" s="3" t="s">
        <v>6</v>
      </c>
      <c r="B9" s="9" t="n">
        <f aca="false">Inputs!B8</f>
        <v>147294</v>
      </c>
    </row>
    <row r="10" customFormat="false" ht="30" hidden="false" customHeight="true" outlineLevel="0" collapsed="false">
      <c r="A10" s="3" t="s">
        <v>28</v>
      </c>
      <c r="B10" s="9" t="n">
        <f aca="false">Inputs!B9</f>
        <v>49098</v>
      </c>
    </row>
    <row r="11" customFormat="false" ht="30" hidden="false" customHeight="true" outlineLevel="0" collapsed="false">
      <c r="A11" s="3" t="s">
        <v>8</v>
      </c>
      <c r="B11" s="9" t="n">
        <f aca="false">Inputs!B10</f>
        <v>196392</v>
      </c>
    </row>
    <row r="12" customFormat="false" ht="30" hidden="false" customHeight="true" outlineLevel="0" collapsed="false">
      <c r="A12" s="3" t="s">
        <v>29</v>
      </c>
      <c r="B12" s="9" t="n">
        <f aca="false">B7*Inputs!B11</f>
        <v>40059.6</v>
      </c>
    </row>
    <row r="13" customFormat="false" ht="30" hidden="false" customHeight="true" outlineLevel="0" collapsed="false">
      <c r="A13" s="10" t="s">
        <v>30</v>
      </c>
      <c r="B13" s="9" t="n">
        <f aca="false">SUM(B9:B12)</f>
        <v>432843.6</v>
      </c>
    </row>
    <row r="15" customFormat="false" ht="30" hidden="false" customHeight="true" outlineLevel="0" collapsed="false">
      <c r="A15" s="10" t="s">
        <v>31</v>
      </c>
      <c r="B15" s="9" t="n">
        <f aca="false">B7-B13</f>
        <v>902476.4</v>
      </c>
    </row>
    <row r="16" customFormat="false" ht="30" hidden="false" customHeight="true" outlineLevel="0" collapsed="false">
      <c r="A16" s="3" t="s">
        <v>32</v>
      </c>
      <c r="B16" s="9" t="n">
        <f aca="false">Inputs!B12*Inputs!B6</f>
        <v>2400</v>
      </c>
    </row>
    <row r="17" customFormat="false" ht="30" hidden="false" customHeight="true" outlineLevel="0" collapsed="false">
      <c r="A17" s="10" t="s">
        <v>33</v>
      </c>
      <c r="B17" s="9" t="n">
        <f aca="false">B15-B16</f>
        <v>900076.4</v>
      </c>
    </row>
    <row r="19" customFormat="false" ht="30" hidden="false" customHeight="true" outlineLevel="0" collapsed="false">
      <c r="A19" s="10" t="s">
        <v>34</v>
      </c>
      <c r="B19" s="9" t="n">
        <f aca="false">B15/Inputs!B14</f>
        <v>13370020.7407407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35</v>
      </c>
    </row>
    <row r="3" customFormat="false" ht="30" hidden="false" customHeight="true" outlineLevel="0" collapsed="false">
      <c r="A3" s="3" t="s">
        <v>36</v>
      </c>
      <c r="B3" s="11" t="n">
        <f aca="false">Inputs!B15</f>
        <v>0.07</v>
      </c>
    </row>
    <row r="4" customFormat="false" ht="30" hidden="false" customHeight="true" outlineLevel="0" collapsed="false">
      <c r="A4" s="3" t="s">
        <v>37</v>
      </c>
      <c r="B4" s="12" t="n">
        <f aca="false">B3/12</f>
        <v>0.00583333333333333</v>
      </c>
    </row>
    <row r="5" customFormat="false" ht="30" hidden="false" customHeight="true" outlineLevel="0" collapsed="false">
      <c r="A5" s="3" t="s">
        <v>38</v>
      </c>
      <c r="B5" s="2" t="n">
        <f aca="false">Inputs!B18</f>
        <v>360</v>
      </c>
    </row>
    <row r="6" customFormat="false" ht="30" hidden="false" customHeight="true" outlineLevel="0" collapsed="false">
      <c r="A6" s="3" t="s">
        <v>39</v>
      </c>
      <c r="B6" s="13" t="n">
        <f aca="false">-PMT(B4,B5,1)*12</f>
        <v>0.079836299421502</v>
      </c>
    </row>
    <row r="8" customFormat="false" ht="30" hidden="false" customHeight="true" outlineLevel="0" collapsed="false">
      <c r="A8" s="3" t="s">
        <v>40</v>
      </c>
      <c r="B8" s="9" t="n">
        <f aca="false">UW!B19*Inputs!B19</f>
        <v>8690513.48148148</v>
      </c>
    </row>
    <row r="9" customFormat="false" ht="30" hidden="false" customHeight="true" outlineLevel="0" collapsed="false">
      <c r="A9" s="3" t="s">
        <v>41</v>
      </c>
      <c r="B9" s="9" t="n">
        <f aca="false">UW!B17/(Inputs!B20*B6)</f>
        <v>9019219.64341535</v>
      </c>
    </row>
    <row r="10" customFormat="false" ht="30" hidden="false" customHeight="true" outlineLevel="0" collapsed="false">
      <c r="A10" s="3" t="s">
        <v>42</v>
      </c>
      <c r="B10" s="9" t="n">
        <f aca="false">UW!B17/Inputs!B21</f>
        <v>10000848.8888889</v>
      </c>
    </row>
    <row r="12" customFormat="false" ht="30" hidden="false" customHeight="true" outlineLevel="0" collapsed="false">
      <c r="A12" s="10" t="s">
        <v>43</v>
      </c>
      <c r="B12" s="9" t="n">
        <f aca="false">MIN(B8,B9,B10)</f>
        <v>8690513.48148148</v>
      </c>
    </row>
    <row r="13" customFormat="false" ht="30" hidden="false" customHeight="true" outlineLevel="0" collapsed="false">
      <c r="A13" s="3" t="s">
        <v>44</v>
      </c>
      <c r="B13" s="2" t="str">
        <f aca="false">IF(B12=B8,"LTV",IF(B12=B9,"DSCR","Debt yield"))</f>
        <v>LTV</v>
      </c>
    </row>
    <row r="15" customFormat="false" ht="30" hidden="false" customHeight="true" outlineLevel="0" collapsed="false">
      <c r="A15" s="1" t="s">
        <v>45</v>
      </c>
    </row>
    <row r="16" customFormat="false" ht="30" hidden="false" customHeight="true" outlineLevel="0" collapsed="false">
      <c r="A16" s="3" t="s">
        <v>46</v>
      </c>
      <c r="B16" s="9" t="n">
        <f aca="false">B12</f>
        <v>8690513.48148148</v>
      </c>
    </row>
    <row r="17" customFormat="false" ht="30" hidden="false" customHeight="true" outlineLevel="0" collapsed="false">
      <c r="A17" s="3" t="s">
        <v>47</v>
      </c>
      <c r="B17" s="9" t="n">
        <f aca="false">B12*Inputs!B22</f>
        <v>86905.1348148148</v>
      </c>
    </row>
    <row r="18" customFormat="false" ht="30" hidden="false" customHeight="true" outlineLevel="0" collapsed="false">
      <c r="A18" s="3" t="s">
        <v>20</v>
      </c>
      <c r="B18" s="9" t="n">
        <f aca="false">Inputs!B23</f>
        <v>45000</v>
      </c>
    </row>
    <row r="19" customFormat="false" ht="30" hidden="false" customHeight="true" outlineLevel="0" collapsed="false">
      <c r="A19" s="3" t="s">
        <v>21</v>
      </c>
      <c r="B19" s="9" t="n">
        <f aca="false">Inputs!B24</f>
        <v>7800000</v>
      </c>
    </row>
    <row r="20" customFormat="false" ht="30" hidden="false" customHeight="true" outlineLevel="0" collapsed="false">
      <c r="A20" s="10" t="s">
        <v>48</v>
      </c>
      <c r="B20" s="9" t="n">
        <f aca="false">B16-B17-B18-B19</f>
        <v>758608.346666666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</cols>
  <sheetData>
    <row r="1" customFormat="false" ht="30" hidden="false" customHeight="true" outlineLevel="0" collapsed="false">
      <c r="A1" s="1" t="s">
        <v>49</v>
      </c>
    </row>
    <row r="3" customFormat="false" ht="30" hidden="false" customHeight="true" outlineLevel="0" collapsed="false">
      <c r="A3" s="3" t="s">
        <v>50</v>
      </c>
      <c r="B3" s="14" t="n">
        <f aca="false">UW!B15*0.95</f>
        <v>857352.58</v>
      </c>
      <c r="C3" s="14" t="n">
        <f aca="false">UW!B15</f>
        <v>902476.4</v>
      </c>
      <c r="D3" s="14" t="n">
        <f aca="false">UW!B15*1.05</f>
        <v>947600.22</v>
      </c>
    </row>
    <row r="4" customFormat="false" ht="30" hidden="false" customHeight="true" outlineLevel="0" collapsed="false">
      <c r="A4" s="15" t="n">
        <v>0.06</v>
      </c>
      <c r="B4" s="9" t="n">
        <f aca="false">B$3/$A4</f>
        <v>14289209.6666667</v>
      </c>
      <c r="C4" s="9" t="n">
        <f aca="false">C$3/$A4</f>
        <v>15041273.3333333</v>
      </c>
      <c r="D4" s="9" t="n">
        <f aca="false">D$3/$A4</f>
        <v>15793337</v>
      </c>
    </row>
    <row r="5" customFormat="false" ht="30" hidden="false" customHeight="true" outlineLevel="0" collapsed="false">
      <c r="A5" s="15" t="n">
        <v>0.0625</v>
      </c>
      <c r="B5" s="9" t="n">
        <f aca="false">B$3/$A5</f>
        <v>13717641.28</v>
      </c>
      <c r="C5" s="9" t="n">
        <f aca="false">C$3/$A5</f>
        <v>14439622.4</v>
      </c>
      <c r="D5" s="9" t="n">
        <f aca="false">D$3/$A5</f>
        <v>15161603.52</v>
      </c>
    </row>
    <row r="6" customFormat="false" ht="30" hidden="false" customHeight="true" outlineLevel="0" collapsed="false">
      <c r="A6" s="15" t="n">
        <v>0.065</v>
      </c>
      <c r="B6" s="9" t="n">
        <f aca="false">B$3/$A6</f>
        <v>13190039.6923077</v>
      </c>
      <c r="C6" s="9" t="n">
        <f aca="false">C$3/$A6</f>
        <v>13884252.3076923</v>
      </c>
      <c r="D6" s="9" t="n">
        <f aca="false">D$3/$A6</f>
        <v>14578464.9230769</v>
      </c>
    </row>
    <row r="7" customFormat="false" ht="30" hidden="false" customHeight="true" outlineLevel="0" collapsed="false">
      <c r="A7" s="15" t="n">
        <v>0.0675</v>
      </c>
      <c r="B7" s="9" t="n">
        <f aca="false">B$3/$A7</f>
        <v>12701519.7037037</v>
      </c>
      <c r="C7" s="9" t="n">
        <f aca="false">C$3/$A7</f>
        <v>13370020.7407407</v>
      </c>
      <c r="D7" s="9" t="n">
        <f aca="false">D$3/$A7</f>
        <v>14038521.7777778</v>
      </c>
    </row>
    <row r="8" customFormat="false" ht="30" hidden="false" customHeight="true" outlineLevel="0" collapsed="false">
      <c r="A8" s="15" t="n">
        <v>0.07</v>
      </c>
      <c r="B8" s="9" t="n">
        <f aca="false">B$3/$A8</f>
        <v>12247894</v>
      </c>
      <c r="C8" s="9" t="n">
        <f aca="false">C$3/$A8</f>
        <v>12892520</v>
      </c>
      <c r="D8" s="9" t="n">
        <f aca="false">D$3/$A8</f>
        <v>13537146</v>
      </c>
    </row>
    <row r="11" customFormat="false" ht="30" hidden="false" customHeight="true" outlineLevel="0" collapsed="false">
      <c r="A11" s="1" t="s">
        <v>51</v>
      </c>
    </row>
    <row r="13" customFormat="false" ht="30" hidden="false" customHeight="true" outlineLevel="0" collapsed="false">
      <c r="A13" s="3" t="s">
        <v>52</v>
      </c>
      <c r="B13" s="14" t="n">
        <f aca="false">UW!B17*0.95</f>
        <v>855072.58</v>
      </c>
      <c r="C13" s="14" t="n">
        <f aca="false">UW!B17</f>
        <v>900076.4</v>
      </c>
      <c r="D13" s="14" t="n">
        <f aca="false">UW!B17*1.05</f>
        <v>945080.22</v>
      </c>
    </row>
    <row r="14" customFormat="false" ht="30" hidden="false" customHeight="true" outlineLevel="0" collapsed="false">
      <c r="A14" s="15" t="n">
        <v>0.065</v>
      </c>
      <c r="B14" s="9" t="n">
        <f aca="false">B$13/(Inputs!$B$20*(-PMT($A14/12,Inputs!$B$18,1)*12))</f>
        <v>9018782.24303199</v>
      </c>
      <c r="C14" s="9" t="n">
        <f aca="false">C$13/(Inputs!$B$20*(-PMT($A14/12,Inputs!$B$18,1)*12))</f>
        <v>9493454.99266525</v>
      </c>
      <c r="D14" s="9" t="n">
        <f aca="false">D$13/(Inputs!$B$20*(-PMT($A14/12,Inputs!$B$18,1)*12))</f>
        <v>9968127.74229851</v>
      </c>
    </row>
    <row r="15" customFormat="false" ht="30" hidden="false" customHeight="true" outlineLevel="0" collapsed="false">
      <c r="A15" s="15" t="n">
        <v>0.07</v>
      </c>
      <c r="B15" s="9" t="n">
        <f aca="false">B$13/(Inputs!$B$20*(-PMT($A15/12,Inputs!$B$18,1)*12))</f>
        <v>8568258.66124458</v>
      </c>
      <c r="C15" s="9" t="n">
        <f aca="false">C$13/(Inputs!$B$20*(-PMT($A15/12,Inputs!$B$18,1)*12))</f>
        <v>9019219.64341535</v>
      </c>
      <c r="D15" s="9" t="n">
        <f aca="false">D$13/(Inputs!$B$20*(-PMT($A15/12,Inputs!$B$18,1)*12))</f>
        <v>9470180.62558612</v>
      </c>
    </row>
    <row r="16" customFormat="false" ht="30" hidden="false" customHeight="true" outlineLevel="0" collapsed="false">
      <c r="A16" s="15" t="n">
        <v>0.075</v>
      </c>
      <c r="B16" s="9" t="n">
        <f aca="false">B$13/(Inputs!$B$20*(-PMT($A16/12,Inputs!$B$18,1)*12))</f>
        <v>8152696.77178956</v>
      </c>
      <c r="C16" s="9" t="n">
        <f aca="false">C$13/(Inputs!$B$20*(-PMT($A16/12,Inputs!$B$18,1)*12))</f>
        <v>8581786.07556796</v>
      </c>
      <c r="D16" s="9" t="n">
        <f aca="false">D$13/(Inputs!$B$20*(-PMT($A16/12,Inputs!$B$18,1)*12))</f>
        <v>9010875.37934636</v>
      </c>
    </row>
    <row r="17" customFormat="false" ht="30" hidden="false" customHeight="true" outlineLevel="0" collapsed="false">
      <c r="A17" s="15" t="n">
        <v>0.08</v>
      </c>
      <c r="B17" s="9" t="n">
        <f aca="false">B$13/(Inputs!$B$20*(-PMT($A17/12,Inputs!$B$18,1)*12))</f>
        <v>7768818.59603619</v>
      </c>
      <c r="C17" s="9" t="n">
        <f aca="false">C$13/(Inputs!$B$20*(-PMT($A17/12,Inputs!$B$18,1)*12))</f>
        <v>8177703.78530125</v>
      </c>
      <c r="D17" s="9" t="n">
        <f aca="false">D$13/(Inputs!$B$20*(-PMT($A17/12,Inputs!$B$18,1)*12))</f>
        <v>8586588.97456631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6" min="5" style="0" width="14"/>
  </cols>
  <sheetData>
    <row r="1" customFormat="false" ht="30" hidden="false" customHeight="true" outlineLevel="0" collapsed="false">
      <c r="A1" s="1" t="s">
        <v>53</v>
      </c>
    </row>
    <row r="3" customFormat="false" ht="30" hidden="false" customHeight="true" outlineLevel="0" collapsed="false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59</v>
      </c>
    </row>
    <row r="4" customFormat="false" ht="30" hidden="false" customHeight="true" outlineLevel="0" collapsed="false">
      <c r="A4" s="2" t="s">
        <v>60</v>
      </c>
      <c r="B4" s="2" t="s">
        <v>61</v>
      </c>
      <c r="C4" s="2" t="n">
        <v>21880</v>
      </c>
      <c r="D4" s="2" t="s">
        <v>62</v>
      </c>
      <c r="E4" s="9" t="n">
        <v>14450</v>
      </c>
      <c r="F4" s="2" t="s">
        <v>63</v>
      </c>
    </row>
    <row r="5" customFormat="false" ht="30" hidden="false" customHeight="true" outlineLevel="0" collapsed="false">
      <c r="A5" s="2" t="s">
        <v>64</v>
      </c>
      <c r="B5" s="2" t="s">
        <v>65</v>
      </c>
      <c r="C5" s="2" t="n">
        <v>22000</v>
      </c>
      <c r="D5" s="2" t="s">
        <v>62</v>
      </c>
      <c r="E5" s="9" t="n">
        <v>14600</v>
      </c>
      <c r="F5" s="2" t="s">
        <v>63</v>
      </c>
    </row>
    <row r="6" customFormat="false" ht="30" hidden="false" customHeight="true" outlineLevel="0" collapsed="false">
      <c r="A6" s="2" t="s">
        <v>66</v>
      </c>
      <c r="B6" s="2" t="s">
        <v>67</v>
      </c>
      <c r="C6" s="2" t="n">
        <v>22210</v>
      </c>
      <c r="D6" s="2" t="s">
        <v>62</v>
      </c>
      <c r="E6" s="9" t="n">
        <v>14875</v>
      </c>
      <c r="F6" s="2" t="s">
        <v>63</v>
      </c>
    </row>
    <row r="7" customFormat="false" ht="30" hidden="false" customHeight="true" outlineLevel="0" collapsed="false">
      <c r="A7" s="2" t="s">
        <v>68</v>
      </c>
      <c r="B7" s="2" t="s">
        <v>61</v>
      </c>
      <c r="C7" s="2" t="n">
        <v>21880</v>
      </c>
      <c r="D7" s="2" t="s">
        <v>62</v>
      </c>
      <c r="E7" s="9" t="n">
        <v>14450</v>
      </c>
      <c r="F7" s="2" t="s">
        <v>63</v>
      </c>
    </row>
    <row r="8" customFormat="false" ht="30" hidden="false" customHeight="true" outlineLevel="0" collapsed="false">
      <c r="A8" s="2" t="s">
        <v>69</v>
      </c>
      <c r="B8" s="2" t="s">
        <v>65</v>
      </c>
      <c r="C8" s="2" t="n">
        <v>22000</v>
      </c>
      <c r="D8" s="2" t="s">
        <v>62</v>
      </c>
      <c r="E8" s="9" t="n">
        <v>14600</v>
      </c>
      <c r="F8" s="2" t="s">
        <v>63</v>
      </c>
    </row>
    <row r="9" customFormat="false" ht="30" hidden="false" customHeight="true" outlineLevel="0" collapsed="false">
      <c r="A9" s="2" t="s">
        <v>70</v>
      </c>
      <c r="B9" s="2" t="s">
        <v>67</v>
      </c>
      <c r="C9" s="2" t="n">
        <v>22210</v>
      </c>
      <c r="D9" s="2" t="s">
        <v>62</v>
      </c>
      <c r="E9" s="9" t="n">
        <v>14875</v>
      </c>
      <c r="F9" s="2" t="s">
        <v>63</v>
      </c>
    </row>
    <row r="10" customFormat="false" ht="30" hidden="false" customHeight="true" outlineLevel="0" collapsed="false">
      <c r="A10" s="2" t="s">
        <v>71</v>
      </c>
      <c r="B10" s="2" t="s">
        <v>61</v>
      </c>
      <c r="C10" s="2" t="n">
        <v>21880</v>
      </c>
      <c r="D10" s="2" t="s">
        <v>62</v>
      </c>
      <c r="E10" s="9" t="n">
        <v>14450</v>
      </c>
      <c r="F10" s="2" t="s">
        <v>63</v>
      </c>
    </row>
    <row r="11" customFormat="false" ht="30" hidden="false" customHeight="true" outlineLevel="0" collapsed="false">
      <c r="A11" s="2" t="s">
        <v>72</v>
      </c>
      <c r="B11" s="2" t="s">
        <v>65</v>
      </c>
      <c r="C11" s="2" t="n">
        <v>22000</v>
      </c>
      <c r="D11" s="2" t="s">
        <v>73</v>
      </c>
      <c r="E11" s="9" t="n">
        <v>14600</v>
      </c>
      <c r="F11" s="2" t="s">
        <v>63</v>
      </c>
    </row>
    <row r="13" customFormat="false" ht="30" hidden="false" customHeight="true" outlineLevel="0" collapsed="false">
      <c r="A13" s="10" t="s">
        <v>74</v>
      </c>
      <c r="C13" s="2" t="n">
        <f aca="false">SUM(C4:C11)</f>
        <v>176060</v>
      </c>
      <c r="E13" s="9" t="n">
        <f aca="false">SUM(E4:E11)</f>
        <v>116900</v>
      </c>
    </row>
    <row r="14" customFormat="false" ht="30" hidden="false" customHeight="true" outlineLevel="0" collapsed="false">
      <c r="A14" s="10" t="s">
        <v>75</v>
      </c>
      <c r="C14" s="2" t="n">
        <f aca="false">SUMIF(D4:D11,"active",C4:C11)</f>
        <v>154060</v>
      </c>
      <c r="E14" s="9" t="n">
        <f aca="false">SUMIF(D4:D11,"active",E4:E11)</f>
        <v>102300</v>
      </c>
    </row>
    <row r="15" customFormat="false" ht="30" hidden="false" customHeight="true" outlineLevel="0" collapsed="false">
      <c r="A15" s="10" t="s">
        <v>76</v>
      </c>
      <c r="E15" s="9" t="n">
        <f aca="false">E14*12</f>
        <v>1227600</v>
      </c>
    </row>
    <row r="16" customFormat="false" ht="30" hidden="false" customHeight="true" outlineLevel="0" collapsed="false">
      <c r="A16" s="10" t="s">
        <v>77</v>
      </c>
      <c r="E16" s="16" t="n">
        <f aca="false">COUNTIF(D4:D11,"active")/COUNTA(A4:A11)</f>
        <v>0.875</v>
      </c>
    </row>
    <row r="17" customFormat="false" ht="30" hidden="false" customHeight="true" outlineLevel="0" collapsed="false">
      <c r="A17" s="10" t="s">
        <v>78</v>
      </c>
      <c r="E17" s="16" t="n">
        <f aca="false">C14/C13</f>
        <v>0.875042599113938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79</v>
      </c>
    </row>
    <row r="3" customFormat="false" ht="30" hidden="false" customHeight="true" outlineLevel="0" collapsed="false">
      <c r="A3" s="3" t="s">
        <v>80</v>
      </c>
      <c r="B3" s="3" t="s">
        <v>81</v>
      </c>
      <c r="C3" s="3" t="s">
        <v>82</v>
      </c>
    </row>
    <row r="4" customFormat="false" ht="30" hidden="false" customHeight="true" outlineLevel="0" collapsed="false">
      <c r="A4" s="2" t="s">
        <v>83</v>
      </c>
      <c r="B4" s="2" t="s">
        <v>84</v>
      </c>
      <c r="C4" s="2" t="s">
        <v>85</v>
      </c>
    </row>
    <row r="5" customFormat="false" ht="30" hidden="false" customHeight="true" outlineLevel="0" collapsed="false">
      <c r="A5" s="2" t="s">
        <v>86</v>
      </c>
      <c r="B5" s="2" t="s">
        <v>87</v>
      </c>
      <c r="C5" s="2" t="s">
        <v>88</v>
      </c>
    </row>
    <row r="6" customFormat="false" ht="30" hidden="false" customHeight="true" outlineLevel="0" collapsed="false">
      <c r="A6" s="2" t="s">
        <v>89</v>
      </c>
      <c r="B6" s="9" t="n">
        <v>14450</v>
      </c>
      <c r="C6" s="2" t="s">
        <v>90</v>
      </c>
    </row>
    <row r="7" customFormat="false" ht="30" hidden="false" customHeight="true" outlineLevel="0" collapsed="false">
      <c r="A7" s="2" t="s">
        <v>91</v>
      </c>
      <c r="B7" s="9" t="n">
        <v>869736</v>
      </c>
      <c r="C7" s="2" t="s">
        <v>92</v>
      </c>
    </row>
    <row r="8" customFormat="false" ht="30" hidden="false" customHeight="true" outlineLevel="0" collapsed="false">
      <c r="A8" s="2" t="s">
        <v>93</v>
      </c>
      <c r="B8" s="9" t="n">
        <v>147294</v>
      </c>
      <c r="C8" s="2" t="s">
        <v>94</v>
      </c>
    </row>
    <row r="9" customFormat="false" ht="30" hidden="false" customHeight="true" outlineLevel="0" collapsed="false">
      <c r="A9" s="2" t="s">
        <v>95</v>
      </c>
      <c r="B9" s="9" t="n">
        <v>49098</v>
      </c>
      <c r="C9" s="2" t="s">
        <v>94</v>
      </c>
    </row>
    <row r="10" customFormat="false" ht="30" hidden="false" customHeight="true" outlineLevel="0" collapsed="false">
      <c r="A10" s="2" t="s">
        <v>96</v>
      </c>
      <c r="B10" s="9" t="n">
        <v>196392</v>
      </c>
      <c r="C10" s="2" t="s">
        <v>94</v>
      </c>
    </row>
    <row r="11" customFormat="false" ht="30" hidden="false" customHeight="true" outlineLevel="0" collapsed="false">
      <c r="A11" s="2" t="s">
        <v>11</v>
      </c>
      <c r="B11" s="11" t="n">
        <v>0.0625</v>
      </c>
      <c r="C11" s="2" t="s">
        <v>94</v>
      </c>
    </row>
    <row r="12" customFormat="false" ht="30" hidden="false" customHeight="true" outlineLevel="0" collapsed="false">
      <c r="A12" s="2" t="s">
        <v>97</v>
      </c>
      <c r="B12" s="2" t="s">
        <v>98</v>
      </c>
      <c r="C12" s="2" t="s">
        <v>94</v>
      </c>
    </row>
    <row r="13" customFormat="false" ht="30" hidden="false" customHeight="true" outlineLevel="0" collapsed="false">
      <c r="A13" s="2" t="s">
        <v>99</v>
      </c>
      <c r="B13" s="2" t="s">
        <v>100</v>
      </c>
      <c r="C13" s="2" t="s">
        <v>94</v>
      </c>
    </row>
    <row r="14" customFormat="false" ht="30" hidden="false" customHeight="true" outlineLevel="0" collapsed="false">
      <c r="A14" s="2" t="s">
        <v>21</v>
      </c>
      <c r="B14" s="9" t="n">
        <v>7800000</v>
      </c>
      <c r="C14" s="2" t="s">
        <v>94</v>
      </c>
    </row>
    <row r="15" customFormat="false" ht="30" hidden="false" customHeight="true" outlineLevel="0" collapsed="false">
      <c r="A15" s="2" t="s">
        <v>101</v>
      </c>
      <c r="B15" s="9" t="n">
        <v>2000000</v>
      </c>
      <c r="C15" s="2" t="s">
        <v>102</v>
      </c>
    </row>
    <row r="16" customFormat="false" ht="30" hidden="false" customHeight="true" outlineLevel="0" collapsed="false">
      <c r="A16" s="2" t="s">
        <v>103</v>
      </c>
      <c r="B16" s="2" t="s">
        <v>104</v>
      </c>
      <c r="C16" s="2" t="s">
        <v>105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2026-09-07T14:27:21Z</dcterms:created>
  <dc:creator>openpyxl</dc:creator>
  <dc:description/>
  <dc:language>en-US</dc:language>
  <cp:lastModifiedBy/>
  <dcterms:modified xsi:type="dcterms:W3CDTF">2026-09-07T14:34:13Z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