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</t>
        </is>
      </c>
    </row>
    <row r="2" ht="30" customHeight="1">
      <c r="A2" s="2" t="inlineStr">
        <is>
          <t>As of 2026-08-31</t>
        </is>
      </c>
    </row>
    <row r="4" ht="30" customHeight="1">
      <c r="A4" s="3" t="inlineStr">
        <is>
          <t>Gross potential rent (all suites x12, certified pre-amendment)</t>
        </is>
      </c>
      <c r="B4" s="4" t="n">
        <v>1402800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</t>
        </is>
      </c>
      <c r="B14" s="7" t="n">
        <v>0.0625</v>
      </c>
    </row>
    <row r="15" ht="30" customHeight="1">
      <c r="A15" s="3" t="inlineStr">
        <is>
          <t>Sizing rate (greater of note rate &amp; floor)</t>
        </is>
      </c>
      <c r="B15" s="7" t="n">
        <v>0.08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 (NOI / cap)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 — NOI vs cap rate</t>
        </is>
      </c>
    </row>
    <row r="3" ht="30" customHeight="1">
      <c r="A3" s="3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0.0625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0.0675</v>
      </c>
      <c r="B7" s="9">
        <f>B$3/$A7</f>
        <v/>
      </c>
      <c r="C7" s="9">
        <f>C$3/$A7</f>
        <v/>
      </c>
      <c r="D7" s="9">
        <f>D$3/$A7</f>
        <v/>
      </c>
    </row>
    <row r="8" ht="30" customHeight="1">
      <c r="A8" s="15" t="n">
        <v>0.07000000000000001</v>
      </c>
      <c r="B8" s="9">
        <f>B$3/$A8</f>
        <v/>
      </c>
      <c r="C8" s="9">
        <f>C$3/$A8</f>
        <v/>
      </c>
      <c r="D8" s="9">
        <f>D$3/$A8</f>
        <v/>
      </c>
    </row>
    <row r="11" ht="30" customHeight="1">
      <c r="A11" s="1" t="inlineStr">
        <is>
          <t>Max loan sensitivity — sizing rate vs NCF</t>
        </is>
      </c>
    </row>
    <row r="13" ht="30" customHeight="1">
      <c r="A13" s="3" t="inlineStr">
        <is>
          <t>Sizing rate \ NCF</t>
        </is>
      </c>
      <c r="B13" s="14">
        <f>UW!B17*0.95</f>
        <v/>
      </c>
      <c r="C13" s="14">
        <f>UW!B17</f>
        <v/>
      </c>
      <c r="D13" s="14">
        <f>UW!B17*1.05</f>
        <v/>
      </c>
    </row>
    <row r="14" ht="30" customHeight="1">
      <c r="A14" s="15" t="n">
        <v>0.065</v>
      </c>
      <c r="B14" s="9">
        <f>B$13/(Inputs!$B$20*(-PMT($A14/12,Inputs!$B$18,1)*12))</f>
        <v/>
      </c>
      <c r="C14" s="9">
        <f>C$13/(Inputs!$B$20*(-PMT($A14/12,Inputs!$B$18,1)*12))</f>
        <v/>
      </c>
      <c r="D14" s="9">
        <f>D$13/(Inputs!$B$20*(-PMT($A14/12,Inputs!$B$18,1)*12))</f>
        <v/>
      </c>
    </row>
    <row r="15" ht="30" customHeight="1">
      <c r="A15" s="15" t="n">
        <v>0.07000000000000001</v>
      </c>
      <c r="B15" s="9">
        <f>B$13/(Inputs!$B$20*(-PMT($A15/12,Inputs!$B$18,1)*12))</f>
        <v/>
      </c>
      <c r="C15" s="9">
        <f>C$13/(Inputs!$B$20*(-PMT($A15/12,Inputs!$B$18,1)*12))</f>
        <v/>
      </c>
      <c r="D15" s="9">
        <f>D$13/(Inputs!$B$20*(-PMT($A15/12,Inputs!$B$18,1)*12))</f>
        <v/>
      </c>
    </row>
    <row r="16" ht="30" customHeight="1">
      <c r="A16" s="15" t="n">
        <v>0.075</v>
      </c>
      <c r="B16" s="9">
        <f>B$13/(Inputs!$B$20*(-PMT($A16/12,Inputs!$B$18,1)*12))</f>
        <v/>
      </c>
      <c r="C16" s="9">
        <f>C$13/(Inputs!$B$20*(-PMT($A16/12,Inputs!$B$18,1)*12))</f>
        <v/>
      </c>
      <c r="D16" s="9">
        <f>D$13/(Inputs!$B$20*(-PMT($A16/12,Inputs!$B$18,1)*12))</f>
        <v/>
      </c>
    </row>
    <row r="17" ht="30" customHeight="1">
      <c r="A17" s="15" t="n">
        <v>0.08</v>
      </c>
      <c r="B17" s="9">
        <f>B$13/(Inputs!$B$20*(-PMT($A17/12,Inputs!$B$18,1)*12))</f>
        <v/>
      </c>
      <c r="C17" s="9">
        <f>C$13/(Inputs!$B$20*(-PMT($A17/12,Inputs!$B$18,1)*12))</f>
        <v/>
      </c>
      <c r="D17" s="9">
        <f>D$13/(Inputs!$B$20*(-PMT($A17/12,Inputs!$B$18,1)*12))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Certified rent roll (2026-08-31)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14600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Certified rent roll as-of</t>
        </is>
      </c>
      <c r="B4" s="2" t="inlineStr">
        <is>
          <t>2026-08-31</t>
        </is>
      </c>
      <c r="C4" s="2" t="inlineStr">
        <is>
          <t>rent-roll-certified.xlsx B2</t>
        </is>
      </c>
    </row>
    <row r="5" ht="30" customHeight="1">
      <c r="A5" s="2" t="inlineStr">
        <is>
          <t>Archive rent roll as-of</t>
        </is>
      </c>
      <c r="B5" s="2" t="inlineStr">
        <is>
          <t>2026-06-30</t>
        </is>
      </c>
      <c r="C5" s="2" t="inlineStr">
        <is>
          <t>rent-roll-archive.xlsx B2 (stale)</t>
        </is>
      </c>
    </row>
    <row r="6" ht="30" customHeight="1">
      <c r="A6" s="2" t="inlineStr">
        <is>
          <t>Suite 001 base rent</t>
        </is>
      </c>
      <c r="B6" s="9" t="n">
        <v>14450</v>
      </c>
      <c r="C6" s="2" t="inlineStr">
        <is>
          <t>lease-001.pdf p.1; confirmed lease-correspondence.pdf p.1</t>
        </is>
      </c>
    </row>
    <row r="7" ht="30" customHeight="1">
      <c r="A7" s="2" t="inlineStr">
        <is>
          <t>Reported T12 NOI</t>
        </is>
      </c>
      <c r="B7" s="9" t="n">
        <v>869736</v>
      </c>
      <c r="C7" s="2" t="inlineStr">
        <is>
          <t>operating-statement.pdf p.1</t>
        </is>
      </c>
    </row>
    <row r="8" ht="30" customHeight="1">
      <c r="A8" s="2" t="inlineStr">
        <is>
          <t>Real estate tax (UW)</t>
        </is>
      </c>
      <c r="B8" s="9" t="n">
        <v>147294</v>
      </c>
      <c r="C8" s="2" t="inlineStr">
        <is>
          <t>underwriting-instructions.pdf p.1</t>
        </is>
      </c>
    </row>
    <row r="9" ht="30" customHeight="1">
      <c r="A9" s="2" t="inlineStr">
        <is>
          <t>Insurance expense (UW)</t>
        </is>
      </c>
      <c r="B9" s="9" t="n">
        <v>49098</v>
      </c>
      <c r="C9" s="2" t="inlineStr">
        <is>
          <t>underwriting-instructions.pdf p.1</t>
        </is>
      </c>
    </row>
    <row r="10" ht="30" customHeight="1">
      <c r="A10" s="2" t="inlineStr">
        <is>
          <t>Other opex (UW)</t>
        </is>
      </c>
      <c r="B10" s="9" t="n">
        <v>196392</v>
      </c>
      <c r="C10" s="2" t="inlineStr">
        <is>
          <t>underwriting-instructions.pdf p.1</t>
        </is>
      </c>
    </row>
    <row r="11" ht="30" customHeight="1">
      <c r="A11" s="2" t="inlineStr">
        <is>
          <t>Cap rate</t>
        </is>
      </c>
      <c r="B11" s="11" t="n">
        <v>0.0625</v>
      </c>
      <c r="C11" s="2" t="inlineStr">
        <is>
          <t>underwriting-instructions.pdf p.1</t>
        </is>
      </c>
    </row>
    <row r="12" ht="30" customHeight="1">
      <c r="A12" s="2" t="inlineStr">
        <is>
          <t>Note rate / floor</t>
        </is>
      </c>
      <c r="B12" s="2" t="inlineStr">
        <is>
          <t>6.10% / 7.00%</t>
        </is>
      </c>
      <c r="C12" s="2" t="inlineStr">
        <is>
          <t>underwriting-instructions.pdf p.1</t>
        </is>
      </c>
    </row>
    <row r="13" ht="30" customHeight="1">
      <c r="A13" s="2" t="inlineStr">
        <is>
          <t>LTV / DSCR / DY</t>
        </is>
      </c>
      <c r="B13" s="2" t="inlineStr">
        <is>
          <t>65% / 1.25 / 9%</t>
        </is>
      </c>
      <c r="C13" s="2" t="inlineStr">
        <is>
          <t>underwriting-instructions.pdf p.1</t>
        </is>
      </c>
    </row>
    <row r="14" ht="30" customHeight="1">
      <c r="A14" s="2" t="inlineStr">
        <is>
          <t>Existing payoff</t>
        </is>
      </c>
      <c r="B14" s="9" t="n">
        <v>7800000</v>
      </c>
      <c r="C14" s="2" t="inlineStr">
        <is>
          <t>underwriting-instructions.pdf p.1</t>
        </is>
      </c>
    </row>
    <row r="15" ht="30" customHeight="1">
      <c r="A15" s="2" t="inlineStr">
        <is>
          <t>Insurance GL aggregate limit</t>
        </is>
      </c>
      <c r="B15" s="9" t="n">
        <v>2000000</v>
      </c>
      <c r="C15" s="2" t="inlineStr">
        <is>
          <t>insurance.pdf p.1</t>
        </is>
      </c>
    </row>
    <row r="16" ht="30" customHeight="1">
      <c r="A16" s="2" t="inlineStr">
        <is>
          <t>Manager occupancy claim</t>
        </is>
      </c>
      <c r="B16" s="2" t="inlineStr">
        <is>
          <t>7 of 8 (incl. pending)</t>
        </is>
      </c>
      <c r="C16" s="2" t="inlineStr">
        <is>
          <t>manager-cover.pdf p.1 (overstates physical occupancy)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2026-09-07T14:27:21Z</dcterms:created>
  <dcterms:modified xmlns:dcterms="http://purl.org/dc/terms/" xmlns:xsi="http://www.w3.org/2001/XMLSchema-instance" xsi:type="dcterms:W3CDTF">2026-09-07T14:34:15Z</dcterms:modified>
</cp:coreProperties>
</file>