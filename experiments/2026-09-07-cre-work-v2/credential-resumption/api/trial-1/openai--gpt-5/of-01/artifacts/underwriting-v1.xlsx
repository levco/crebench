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1618800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0.075</v>
      </c>
    </row>
    <row r="15" ht="30" customHeight="1">
      <c r="A15" s="3" t="inlineStr">
        <is>
          <t>Sizing rate</t>
        </is>
      </c>
      <c r="B15" s="7" t="n">
        <v>0.0675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C36/PMT(B15/12,360,1)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0.0625</v>
      </c>
      <c r="C4" s="10" t="n">
        <v>0.0675</v>
      </c>
      <c r="D4" s="10" t="n">
        <v>0.0725</v>
      </c>
    </row>
    <row r="5" ht="30" customHeight="1">
      <c r="A5" s="10" t="n">
        <v>0.07000000000000001</v>
      </c>
      <c r="B5" s="8">
        <f>MIN((UW!C27/A5)*UW!B16, (UW!C29/UW!B17/12)/PMT(B4/12,360,1), UW!C29/UW!B18)</f>
        <v/>
      </c>
      <c r="C5" s="9">
        <f>MIN((UW!C27/A5)*UW!B16, (UW!C29/UW!B17/12)/PMT(C4/12,360,1), UW!C29/UW!B18)</f>
        <v/>
      </c>
      <c r="D5" s="9">
        <f>MIN((UW!C27/A5)*UW!B16, (UW!C29/UW!B17/12)/PMT(D4/12,360,1), UW!C29/UW!B18)</f>
        <v/>
      </c>
    </row>
    <row r="6" ht="30" customHeight="1">
      <c r="A6" s="10" t="n">
        <v>0.075</v>
      </c>
      <c r="B6" s="9">
        <f>MIN((UW!C27/A6)*UW!B16, (UW!C29/UW!B17/12)/PMT(B4/12,360,1), UW!C29/UW!B18)</f>
        <v/>
      </c>
      <c r="C6" s="9">
        <f>MIN((UW!C27/A6)*UW!B16, (UW!C29/UW!B17/12)/PMT(C4/12,360,1), UW!C29/UW!B18)</f>
        <v/>
      </c>
      <c r="D6" s="9">
        <f>MIN((UW!C27/A6)*UW!B16, (UW!C29/UW!B17/12)/PMT(D4/12,360,1), UW!C29/UW!B18)</f>
        <v/>
      </c>
    </row>
    <row r="7" ht="30" customHeight="1">
      <c r="A7" s="10" t="n">
        <v>0.08</v>
      </c>
      <c r="B7" s="9">
        <f>MIN((UW!C27/A7)*UW!B16, (UW!C29/UW!B17/12)/PMT(B4/12,360,1), UW!C29/UW!B18)</f>
        <v/>
      </c>
      <c r="C7" s="9">
        <f>MIN((UW!C27/A7)*UW!B16, (UW!C29/UW!B17/12)/PMT(C4/12,360,1), UW!C29/UW!B18)</f>
        <v/>
      </c>
      <c r="D7" s="9">
        <f>MIN((UW!C27/A7)*UW!B16, (UW!C29/UW!B17/12)/PMT(D4/12,360,1),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Unit group mapping; headline counts include pending as leased</t>
        </is>
      </c>
    </row>
    <row r="5" ht="30" customHeight="1">
      <c r="A5" s="3" t="inlineStr">
        <is>
          <t>rent-roll-certified.xlsx</t>
        </is>
      </c>
      <c r="B5" s="3" t="inlineStr">
        <is>
          <t>Rent Roll!B2, rows 5-16</t>
        </is>
      </c>
      <c r="C5" s="3" t="inlineStr">
        <is>
          <t>Certified as-of date; unit mix, areas, occupancy,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 or new 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2026-09-07T13:08:53Z</dcterms:created>
  <dcterms:modified xmlns:dcterms="http://purl.org/dc/terms/" xmlns:xsi="http://www.w3.org/2001/XMLSchema-instance" xsi:type="dcterms:W3CDTF">2026-09-07T13:08:53Z</dcterms:modified>
</cp:coreProperties>
</file>