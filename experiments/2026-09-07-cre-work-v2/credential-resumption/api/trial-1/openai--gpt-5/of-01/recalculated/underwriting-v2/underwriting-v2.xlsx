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<sst xmlns="http://schemas.openxmlformats.org/spreadsheetml/2006/main" count="60" uniqueCount="56">
  <si>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Beacon Plaza - Underwriting Model</t>
  </si>
  <si>
    <t xml:space="preserve">Inputs</t>
  </si>
  <si>
    <t xml:space="preserve">Gross potential rent (annual)</t>
  </si>
  <si>
    <t xml:space="preserve">Economic loss %</t>
  </si>
  <si>
    <t xml:space="preserve">Annual other income</t>
  </si>
  <si>
    <t xml:space="preserve">Tax expense</t>
  </si>
  <si>
    <t xml:space="preserve">Insurance expense</t>
  </si>
  <si>
    <t xml:space="preserve">Other recurring opex</t>
  </si>
  <si>
    <t xml:space="preserve">Management fee %</t>
  </si>
  <si>
    <t xml:space="preserve">Replacement reserve per unit</t>
  </si>
  <si>
    <t xml:space="preserve">Units</t>
  </si>
  <si>
    <t xml:space="preserve">Cap rate</t>
  </si>
  <si>
    <t xml:space="preserve">Sizing rate</t>
  </si>
  <si>
    <t xml:space="preserve">LTV limit</t>
  </si>
  <si>
    <t xml:space="preserve">DSCR limit</t>
  </si>
  <si>
    <t xml:space="preserve">Debt yield limit</t>
  </si>
  <si>
    <t xml:space="preserve">Origination fee %</t>
  </si>
  <si>
    <t xml:space="preserve">Closing costs</t>
  </si>
  <si>
    <t xml:space="preserve">Existing payoff</t>
  </si>
  <si>
    <t xml:space="preserve">Outputs</t>
  </si>
  <si>
    <t xml:space="preserve">Underwritten EGI</t>
  </si>
  <si>
    <t xml:space="preserve">Management fee ($)</t>
  </si>
  <si>
    <t xml:space="preserve">Total operating expenses</t>
  </si>
  <si>
    <t xml:space="preserve">UW NOI before reserves</t>
  </si>
  <si>
    <t xml:space="preserve">Reserves ($)</t>
  </si>
  <si>
    <t xml:space="preserve">UW NCF (after reserves)</t>
  </si>
  <si>
    <t xml:space="preserve">Capitalization value</t>
  </si>
  <si>
    <t xml:space="preserve">Loan sizing</t>
  </si>
  <si>
    <t xml:space="preserve">Loan - LTV</t>
  </si>
  <si>
    <t xml:space="preserve">Annual DSCR-based debt service</t>
  </si>
  <si>
    <t xml:space="preserve">Monthly DSCR payment limit</t>
  </si>
  <si>
    <t xml:space="preserve">Loan - DSCR</t>
  </si>
  <si>
    <t xml:space="preserve">Loan - Debt Yield</t>
  </si>
  <si>
    <t xml:space="preserve">Maximum loan</t>
  </si>
  <si>
    <t xml:space="preserve">Origination fee ($)</t>
  </si>
  <si>
    <t xml:space="preserve">Net cash out</t>
  </si>
  <si>
    <t xml:space="preserve">Max Loan Sensitivity (by Cap Rate and Sizing Rate)</t>
  </si>
  <si>
    <t xml:space="preserve">Sizing Rate → / Cap Rate ↓</t>
  </si>
  <si>
    <t xml:space="preserve">Source Register</t>
  </si>
  <si>
    <t xml:space="preserve">File</t>
  </si>
  <si>
    <t xml:space="preserve">Location</t>
  </si>
  <si>
    <t xml:space="preserve">Note</t>
  </si>
  <si>
    <t xml:space="preserve">manager-cover.pdf</t>
  </si>
  <si>
    <t xml:space="preserve">p1</t>
  </si>
  <si>
    <t xml:space="preserve">Unit group mapping; headline counts include pending as leased</t>
  </si>
  <si>
    <t xml:space="preserve">rent-roll-certified.xlsx</t>
  </si>
  <si>
    <t xml:space="preserve">Rent Roll!B2, rows 5-16</t>
  </si>
  <si>
    <t xml:space="preserve">Certified as-of date; unit mix, areas, occupancy, rents</t>
  </si>
  <si>
    <t xml:space="preserve">operating-statement.pdf</t>
  </si>
  <si>
    <t xml:space="preserve">T12 taxes, insurance, other opex; reported NOI</t>
  </si>
  <si>
    <t xml:space="preserve">lease-001.pdf</t>
  </si>
  <si>
    <t xml:space="preserve">Suite 001 rent, area, expiration; no free rent</t>
  </si>
  <si>
    <t xml:space="preserve">lease-correspondence.pdf</t>
  </si>
  <si>
    <t xml:space="preserve">No amendments or new concessions for Suite 001 as of 2026-08-31</t>
  </si>
  <si>
    <t xml:space="preserve">insurance.pdf</t>
  </si>
  <si>
    <t xml:space="preserve">Policy aggregate limit and dates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</si>
</sst>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0%"/>
    <numFmt numFmtId="167" formatCode="0.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5" customFormat="false" ht="30" hidden="false" customHeight="true" outlineLevel="0" collapsed="false">
      <c r="A5" s="3" t="s">
        <v>2</v>
      </c>
      <c r="B5" s="4" t="n">
        <v>1618800</v>
      </c>
    </row>
    <row r="6" customFormat="false" ht="30" hidden="false" customHeight="true" outlineLevel="0" collapsed="false">
      <c r="A6" s="3" t="s">
        <v>3</v>
      </c>
      <c r="B6" s="5" t="n">
        <v>0.05</v>
      </c>
    </row>
    <row r="7" customFormat="false" ht="30" hidden="false" customHeight="true" outlineLevel="0" collapsed="false">
      <c r="A7" s="3" t="s">
        <v>4</v>
      </c>
      <c r="B7" s="4" t="n">
        <v>4200</v>
      </c>
    </row>
    <row r="8" customFormat="false" ht="30" hidden="false" customHeight="true" outlineLevel="0" collapsed="false">
      <c r="A8" s="3" t="s">
        <v>5</v>
      </c>
      <c r="B8" s="4" t="n">
        <v>169974</v>
      </c>
    </row>
    <row r="9" customFormat="false" ht="30" hidden="false" customHeight="true" outlineLevel="0" collapsed="false">
      <c r="A9" s="3" t="s">
        <v>6</v>
      </c>
      <c r="B9" s="4" t="n">
        <v>56658</v>
      </c>
    </row>
    <row r="10" customFormat="false" ht="30" hidden="false" customHeight="true" outlineLevel="0" collapsed="false">
      <c r="A10" s="3" t="s">
        <v>7</v>
      </c>
      <c r="B10" s="4" t="n">
        <v>226632</v>
      </c>
    </row>
    <row r="11" customFormat="false" ht="30" hidden="false" customHeight="true" outlineLevel="0" collapsed="false">
      <c r="A11" s="3" t="s">
        <v>8</v>
      </c>
      <c r="B11" s="5" t="n">
        <v>0.03</v>
      </c>
    </row>
    <row r="12" customFormat="false" ht="30" hidden="false" customHeight="true" outlineLevel="0" collapsed="false">
      <c r="A12" s="3" t="s">
        <v>9</v>
      </c>
      <c r="B12" s="4" t="n">
        <v>300</v>
      </c>
    </row>
    <row r="13" customFormat="false" ht="30" hidden="false" customHeight="true" outlineLevel="0" collapsed="false">
      <c r="A13" s="3" t="s">
        <v>10</v>
      </c>
      <c r="B13" s="6" t="n">
        <v>12</v>
      </c>
    </row>
    <row r="14" customFormat="false" ht="30" hidden="false" customHeight="true" outlineLevel="0" collapsed="false">
      <c r="A14" s="3" t="s">
        <v>11</v>
      </c>
      <c r="B14" s="7" t="n">
        <v>0.075</v>
      </c>
    </row>
    <row r="15" customFormat="false" ht="30" hidden="false" customHeight="true" outlineLevel="0" collapsed="false">
      <c r="A15" s="3" t="s">
        <v>12</v>
      </c>
      <c r="B15" s="7" t="n">
        <v>0.0675</v>
      </c>
    </row>
    <row r="16" customFormat="false" ht="30" hidden="false" customHeight="true" outlineLevel="0" collapsed="false">
      <c r="A16" s="3" t="s">
        <v>13</v>
      </c>
      <c r="B16" s="5" t="n">
        <v>0.6</v>
      </c>
    </row>
    <row r="17" customFormat="false" ht="30" hidden="false" customHeight="true" outlineLevel="0" collapsed="false">
      <c r="A17" s="3" t="s">
        <v>14</v>
      </c>
      <c r="B17" s="6" t="n">
        <v>1.25</v>
      </c>
    </row>
    <row r="18" customFormat="false" ht="30" hidden="false" customHeight="true" outlineLevel="0" collapsed="false">
      <c r="A18" s="3" t="s">
        <v>15</v>
      </c>
      <c r="B18" s="5" t="n">
        <v>0.09</v>
      </c>
    </row>
    <row r="19" customFormat="false" ht="30" hidden="false" customHeight="true" outlineLevel="0" collapsed="false">
      <c r="A19" s="3" t="s">
        <v>16</v>
      </c>
      <c r="B19" s="5" t="n">
        <v>0.01</v>
      </c>
    </row>
    <row r="20" customFormat="false" ht="30" hidden="false" customHeight="true" outlineLevel="0" collapsed="false">
      <c r="A20" s="3" t="s">
        <v>17</v>
      </c>
      <c r="B20" s="4" t="n">
        <v>45000</v>
      </c>
    </row>
    <row r="21" customFormat="false" ht="30" hidden="false" customHeight="true" outlineLevel="0" collapsed="false">
      <c r="A21" s="3" t="s">
        <v>18</v>
      </c>
      <c r="B21" s="4" t="n">
        <v>6500000</v>
      </c>
    </row>
    <row r="23" customFormat="false" ht="30" hidden="false" customHeight="true" outlineLevel="0" collapsed="false">
      <c r="A23" s="2" t="s">
        <v>19</v>
      </c>
    </row>
    <row r="24" customFormat="false" ht="30" hidden="false" customHeight="true" outlineLevel="0" collapsed="false">
      <c r="A24" s="3" t="s">
        <v>20</v>
      </c>
      <c r="C24" s="8" t="n">
        <f aca="false">B5*(1-B6)+B7</f>
        <v>1542060</v>
      </c>
    </row>
    <row r="25" customFormat="false" ht="30" hidden="false" customHeight="true" outlineLevel="0" collapsed="false">
      <c r="A25" s="3" t="s">
        <v>21</v>
      </c>
      <c r="C25" s="9" t="n">
        <f aca="false">C24*B11</f>
        <v>46261.8</v>
      </c>
    </row>
    <row r="26" customFormat="false" ht="30" hidden="false" customHeight="true" outlineLevel="0" collapsed="false">
      <c r="A26" s="3" t="s">
        <v>22</v>
      </c>
      <c r="C26" s="8" t="n">
        <f aca="false">B8+B9+B10+C25</f>
        <v>499525.8</v>
      </c>
    </row>
    <row r="27" customFormat="false" ht="30" hidden="false" customHeight="true" outlineLevel="0" collapsed="false">
      <c r="A27" s="3" t="s">
        <v>23</v>
      </c>
      <c r="C27" s="8" t="n">
        <f aca="false">C24-C26</f>
        <v>1042534.2</v>
      </c>
    </row>
    <row r="28" customFormat="false" ht="30" hidden="false" customHeight="true" outlineLevel="0" collapsed="false">
      <c r="A28" s="3" t="s">
        <v>24</v>
      </c>
      <c r="C28" s="9" t="n">
        <f aca="false">B12*B13</f>
        <v>3600</v>
      </c>
    </row>
    <row r="29" customFormat="false" ht="30" hidden="false" customHeight="true" outlineLevel="0" collapsed="false">
      <c r="A29" s="3" t="s">
        <v>25</v>
      </c>
      <c r="C29" s="8" t="n">
        <f aca="false">C27-C28</f>
        <v>1038934.2</v>
      </c>
    </row>
    <row r="31" customFormat="false" ht="30" hidden="false" customHeight="true" outlineLevel="0" collapsed="false">
      <c r="A31" s="3" t="s">
        <v>26</v>
      </c>
      <c r="C31" s="8" t="n">
        <f aca="false">C27/B14</f>
        <v>13900456</v>
      </c>
    </row>
    <row r="33" customFormat="false" ht="30" hidden="false" customHeight="true" outlineLevel="0" collapsed="false">
      <c r="A33" s="2" t="s">
        <v>27</v>
      </c>
    </row>
    <row r="34" customFormat="false" ht="30" hidden="false" customHeight="true" outlineLevel="0" collapsed="false">
      <c r="A34" s="3" t="s">
        <v>28</v>
      </c>
      <c r="C34" s="9" t="n">
        <f aca="false">C31*B16</f>
        <v>8340273.6</v>
      </c>
    </row>
    <row r="35" customFormat="false" ht="30" hidden="false" customHeight="true" outlineLevel="0" collapsed="false">
      <c r="A35" s="3" t="s">
        <v>29</v>
      </c>
      <c r="C35" s="9" t="n">
        <f aca="false">C29/B17</f>
        <v>831147.36</v>
      </c>
    </row>
    <row r="36" customFormat="false" ht="30" hidden="false" customHeight="true" outlineLevel="0" collapsed="false">
      <c r="A36" s="3" t="s">
        <v>30</v>
      </c>
      <c r="C36" s="9" t="n">
        <f aca="false">C35/12</f>
        <v>69262.28</v>
      </c>
    </row>
    <row r="37" customFormat="false" ht="30" hidden="false" customHeight="true" outlineLevel="0" collapsed="false">
      <c r="A37" s="3" t="s">
        <v>31</v>
      </c>
      <c r="C37" s="9" t="n">
        <f aca="false">C36/(-PMT(B15/12,360,1))</f>
        <v>10678767.0772505</v>
      </c>
    </row>
    <row r="38" customFormat="false" ht="30" hidden="false" customHeight="true" outlineLevel="0" collapsed="false">
      <c r="A38" s="3" t="s">
        <v>32</v>
      </c>
      <c r="C38" s="9" t="n">
        <f aca="false">C29/B18</f>
        <v>11543713.3333333</v>
      </c>
    </row>
    <row r="39" customFormat="false" ht="30" hidden="false" customHeight="true" outlineLevel="0" collapsed="false">
      <c r="A39" s="3" t="s">
        <v>33</v>
      </c>
      <c r="C39" s="8" t="n">
        <f aca="false">MIN(C34,C37,C38)</f>
        <v>8340273.6</v>
      </c>
    </row>
    <row r="40" customFormat="false" ht="30" hidden="false" customHeight="true" outlineLevel="0" collapsed="false">
      <c r="A40" s="3" t="s">
        <v>34</v>
      </c>
      <c r="C40" s="9" t="n">
        <f aca="false">C39*B19</f>
        <v>83402.736</v>
      </c>
    </row>
    <row r="41" customFormat="false" ht="30" hidden="false" customHeight="true" outlineLevel="0" collapsed="false">
      <c r="A41" s="3" t="s">
        <v>35</v>
      </c>
      <c r="C41" s="8" t="n">
        <f aca="false">C39-C40-B20-B21</f>
        <v>1711870.864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</row>
    <row r="4" customFormat="false" ht="30" hidden="false" customHeight="true" outlineLevel="0" collapsed="false">
      <c r="B4" s="10" t="n">
        <v>0.0625</v>
      </c>
      <c r="C4" s="10" t="n">
        <v>0.0675</v>
      </c>
      <c r="D4" s="10" t="n">
        <v>0.0725</v>
      </c>
    </row>
    <row r="5" customFormat="false" ht="30" hidden="false" customHeight="true" outlineLevel="0" collapsed="false">
      <c r="A5" s="10" t="n">
        <v>0.07</v>
      </c>
      <c r="B5" s="8" t="n">
        <f aca="false">MIN((UW!C27/A5)*UW!B16, (UW!C29/UW!B17/12)/(-PMT(B4/12,360,1)), UW!C29/UW!B18)</f>
        <v>8936007.42857143</v>
      </c>
      <c r="C5" s="9" t="n">
        <f aca="false">MIN((UW!C27/A5)*UW!B16, (UW!C29/UW!B17/12)/(-PMT(C4/12,360,1)), UW!C29/UW!B18)</f>
        <v>8936007.42857143</v>
      </c>
      <c r="D5" s="9" t="n">
        <f aca="false">MIN((UW!C27/A5)*UW!B16, (UW!C29/UW!B17/12)/(-PMT(D4/12,360,1)), UW!C29/UW!B18)</f>
        <v>8936007.42857143</v>
      </c>
    </row>
    <row r="6" customFormat="false" ht="30" hidden="false" customHeight="true" outlineLevel="0" collapsed="false">
      <c r="A6" s="10" t="n">
        <v>0.075</v>
      </c>
      <c r="B6" s="9" t="n">
        <f aca="false">MIN((UW!C27/A6)*UW!B16, (UW!C29/UW!B17/12)/(-PMT(B4/12,360,1)), UW!C29/UW!B18)</f>
        <v>8340273.6</v>
      </c>
      <c r="C6" s="9" t="n">
        <f aca="false">MIN((UW!C27/A6)*UW!B16, (UW!C29/UW!B17/12)/(-PMT(C4/12,360,1)), UW!C29/UW!B18)</f>
        <v>8340273.6</v>
      </c>
      <c r="D6" s="9" t="n">
        <f aca="false">MIN((UW!C27/A6)*UW!B16, (UW!C29/UW!B17/12)/(-PMT(D4/12,360,1)), UW!C29/UW!B18)</f>
        <v>8340273.6</v>
      </c>
    </row>
    <row r="7" customFormat="false" ht="30" hidden="false" customHeight="true" outlineLevel="0" collapsed="false">
      <c r="A7" s="10" t="n">
        <v>0.08</v>
      </c>
      <c r="B7" s="9" t="n">
        <f aca="false">MIN((UW!C27/A7)*UW!B16, (UW!C29/UW!B17/12)/(-PMT(B4/12,360,1)), UW!C29/UW!B18)</f>
        <v>7819006.5</v>
      </c>
      <c r="C7" s="9" t="n">
        <f aca="false">MIN((UW!C27/A7)*UW!B16, (UW!C29/UW!B17/12)/(-PMT(C4/12,360,1)), UW!C29/UW!B18)</f>
        <v>7819006.5</v>
      </c>
      <c r="D7" s="9" t="n">
        <f aca="false">MIN((UW!C27/A7)*UW!B16, (UW!C29/UW!B17/12)/(-PMT(D4/12,360,1)), UW!C29/UW!B18)</f>
        <v>7819006.5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38</v>
      </c>
    </row>
    <row r="3" customFormat="false" ht="30" hidden="false" customHeight="true" outlineLevel="0" collapsed="false">
      <c r="A3" s="3" t="s">
        <v>39</v>
      </c>
      <c r="B3" s="3" t="s">
        <v>40</v>
      </c>
      <c r="C3" s="3" t="s">
        <v>41</v>
      </c>
    </row>
    <row r="4" customFormat="false" ht="30" hidden="false" customHeight="true" outlineLevel="0" collapsed="false">
      <c r="A4" s="3" t="s">
        <v>42</v>
      </c>
      <c r="B4" s="3" t="s">
        <v>43</v>
      </c>
      <c r="C4" s="3" t="s">
        <v>44</v>
      </c>
    </row>
    <row r="5" customFormat="false" ht="30" hidden="false" customHeight="true" outlineLevel="0" collapsed="false">
      <c r="A5" s="3" t="s">
        <v>45</v>
      </c>
      <c r="B5" s="3" t="s">
        <v>46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43</v>
      </c>
      <c r="C6" s="3" t="s">
        <v>49</v>
      </c>
    </row>
    <row r="7" customFormat="false" ht="30" hidden="false" customHeight="true" outlineLevel="0" collapsed="false">
      <c r="A7" s="3" t="s">
        <v>50</v>
      </c>
      <c r="B7" s="3" t="s">
        <v>43</v>
      </c>
      <c r="C7" s="3" t="s">
        <v>51</v>
      </c>
    </row>
    <row r="8" customFormat="false" ht="30" hidden="false" customHeight="true" outlineLevel="0" collapsed="false">
      <c r="A8" s="3" t="s">
        <v>52</v>
      </c>
      <c r="B8" s="3" t="s">
        <v>43</v>
      </c>
      <c r="C8" s="3" t="s">
        <v>53</v>
      </c>
    </row>
    <row r="9" customFormat="false" ht="30" hidden="false" customHeight="true" outlineLevel="0" collapsed="false">
      <c r="A9" s="3" t="s">
        <v>54</v>
      </c>
      <c r="B9" s="3" t="s">
        <v>43</v>
      </c>
      <c r="C9" s="3" t="s">
        <v>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2026-09-07T13:10:05Z</dcterms:created>
  <dc:creator>openpyxl</dc:creator>
  <dc:description/>
  <dc:language>en-US</dc:language>
  <cp:lastModifiedBy/>
  <dcterms:modified xsi:type="dcterms:W3CDTF">2026-09-07T13:10:05Z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