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<sst xmlns="http://schemas.openxmlformats.org/spreadsheetml/2006/main" count="60" uniqueCount="56">
  <si>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 (Revised 2026-09-01)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</si>
  <si>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</si>
  <si>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</si>
  <si>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</si>
  <si>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</si>
  <si>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</si>
  <si>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</si>
  <si>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</si>
  <si>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</si>
  <si>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</si>
  <si>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</si>
  <si>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</si>
  <si>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</si>
  <si>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</si>
  <si>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</si>
  <si>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</si>
  <si>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</si>
  <si>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</si>
  <si>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</si>
  <si>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</si>
  <si>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</si>
  <si>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</si>
  <si>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</si>
  <si>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</si>
  <si>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</si>
  <si>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</si>
  <si>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</si>
  <si>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</si>
  <si>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</si>
  <si>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</si>
  <si>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</si>
  <si>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</si>
  <si>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</si>
  <si>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</si>
  <si>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</si>
  <si>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</si>
  <si>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 - Revised</t>
  </si>
  <si>
    <t xml:space="preserve">Sizing Rate → / Cap Rate ↓</t>
  </si>
  <si>
    <t xml:space="preserve">Source Register (Revised)</t>
  </si>
  <si>
    <t xml:space="preserve">File</t>
  </si>
  <si>
    <t xml:space="preserve">Location</t>
  </si>
  <si>
    <t xml:space="preserve">Note</t>
  </si>
  <si>
    <t xml:space="preserve">revision-notice.pdf</t>
  </si>
  <si>
    <t xml:space="preserve">p1</t>
  </si>
  <si>
    <t xml:space="preserve">Says Suite 010 active at +$225; raise sizing rate +75 bps to 7.50% and cap rate +25 bps to 7.75%.</t>
  </si>
  <si>
    <t xml:space="preserve">rent-roll-revised.xlsx</t>
  </si>
  <si>
    <t xml:space="preserve">Rent Roll!B2, rows 5-16</t>
  </si>
  <si>
    <t xml:space="preserve">Certified as-of 2026-09-01; updated occupancy and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</si>
  <si>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</si>
  <si>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</si>
  <si>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</si>
  <si>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</si>
  <si>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</si>
  <si>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amendments/concessions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</si>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</sst>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1621500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0.0825</v>
      </c>
    </row>
    <row r="15" customFormat="false" ht="30" hidden="false" customHeight="true" outlineLevel="0" collapsed="false">
      <c r="A15" s="3" t="s">
        <v>12</v>
      </c>
      <c r="B15" s="7" t="n">
        <v>0.075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1544625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46338.75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499602.75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1045022.25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1041422.25</v>
      </c>
    </row>
    <row r="31" customFormat="false" ht="30" hidden="false" customHeight="true" outlineLevel="0" collapsed="false">
      <c r="A31" s="3" t="s">
        <v>26</v>
      </c>
      <c r="C31" s="8" t="n">
        <f aca="false">C27/B14</f>
        <v>12666936.3636364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7600161.81818182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833137.8</v>
      </c>
    </row>
    <row r="36" customFormat="false" ht="30" hidden="false" customHeight="true" outlineLevel="0" collapsed="false">
      <c r="A36" s="3" t="s">
        <v>30</v>
      </c>
      <c r="C36" s="9" t="n">
        <f aca="false">C35/12</f>
        <v>69428.15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9929449.28212389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11571358.3333333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7600161.81818182</v>
      </c>
    </row>
    <row r="40" customFormat="false" ht="30" hidden="false" customHeight="true" outlineLevel="0" collapsed="false">
      <c r="A40" s="3" t="s">
        <v>34</v>
      </c>
      <c r="C40" s="9" t="n">
        <f aca="false">C39*B19</f>
        <v>76001.6181818182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979160.199999999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0.07</v>
      </c>
      <c r="C4" s="10" t="n">
        <v>0.075</v>
      </c>
      <c r="D4" s="10" t="n">
        <v>0.08</v>
      </c>
    </row>
    <row r="5" customFormat="false" ht="30" hidden="false" customHeight="true" outlineLevel="0" collapsed="false">
      <c r="A5" s="10" t="n">
        <v>0.075</v>
      </c>
      <c r="B5" s="8" t="n">
        <f aca="false">MIN((UW!C27/A5)*UW!B16, (UW!C29/UW!B17/12)/(-PMT(B4/12,360,1)), UW!C29/UW!B18)</f>
        <v>8360178</v>
      </c>
      <c r="C5" s="9" t="n">
        <f aca="false">MIN((UW!C27/A5)*UW!B16, (UW!C29/UW!B17/12)/(-PMT(C4/12,360,1)), UW!C29/UW!B18)</f>
        <v>8360178</v>
      </c>
      <c r="D5" s="9" t="n">
        <f aca="false">MIN((UW!C27/A5)*UW!B16, (UW!C29/UW!B17/12)/(-PMT(D4/12,360,1)), UW!C29/UW!B18)</f>
        <v>8360178</v>
      </c>
    </row>
    <row r="6" customFormat="false" ht="30" hidden="false" customHeight="true" outlineLevel="0" collapsed="false">
      <c r="A6" s="10" t="n">
        <v>0.0775</v>
      </c>
      <c r="B6" s="9" t="n">
        <f aca="false">MIN((UW!C27/A6)*UW!B16, (UW!C29/UW!B17/12)/(-PMT(B4/12,360,1)), UW!C29/UW!B18)</f>
        <v>8090494.83870968</v>
      </c>
      <c r="C6" s="9" t="n">
        <f aca="false">MIN((UW!C27/A6)*UW!B16, (UW!C29/UW!B17/12)/(-PMT(C4/12,360,1)), UW!C29/UW!B18)</f>
        <v>8090494.83870968</v>
      </c>
      <c r="D6" s="9" t="n">
        <f aca="false">MIN((UW!C27/A6)*UW!B16, (UW!C29/UW!B17/12)/(-PMT(D4/12,360,1)), UW!C29/UW!B18)</f>
        <v>8090494.83870968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7837666.875</v>
      </c>
      <c r="C7" s="9" t="n">
        <f aca="false">MIN((UW!C27/A7)*UW!B16, (UW!C29/UW!B17/12)/(-PMT(C4/12,360,1)), UW!C29/UW!B18)</f>
        <v>7837666.875</v>
      </c>
      <c r="D7" s="9" t="n">
        <f aca="false">MIN((UW!C27/A7)*UW!B16, (UW!C29/UW!B17/12)/(-PMT(D4/12,360,1)), UW!C29/UW!B18)</f>
        <v>7837666.875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2026-09-07T13:23:34Z</dcterms:created>
  <dc:creator>openpyxl</dc:creator>
  <dc:description/>
  <dc:language>en-US</dc:language>
  <cp:lastModifiedBy/>
  <dcterms:modified xsi:type="dcterms:W3CDTF">2026-09-07T13:28:26Z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