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<sst xmlns="http://schemas.openxmlformats.org/spreadsheetml/2006/main" count="60" uniqueCount="56">
  <si>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</si>
  <si>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</si>
  <si>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</si>
  <si>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</si>
  <si>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</si>
  <si>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</si>
  <si>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</si>
  <si>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</si>
  <si>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</si>
  <si>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</si>
  <si>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</si>
  <si>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</si>
  <si>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</si>
  <si>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</si>
  <si>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</si>
  <si>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</si>
  <si>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</si>
  <si>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</si>
  <si>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</si>
  <si>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</si>
  <si>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</si>
  <si>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</si>
  <si>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</si>
  <si>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</si>
  <si>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</si>
  <si>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</si>
  <si>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</si>
  <si>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</si>
  <si>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</si>
  <si>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</si>
  <si>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</si>
  <si>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</si>
  <si>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</si>
  <si>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</si>
  <si>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</si>
  <si>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</si>
  <si>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</t>
  </si>
  <si>
    <t xml:space="preserve">Sizing Rate → / Cap Rate ↓</t>
  </si>
  <si>
    <t xml:space="preserve">Source Register</t>
  </si>
  <si>
    <t xml:space="preserve">File</t>
  </si>
  <si>
    <t xml:space="preserve">Location</t>
  </si>
  <si>
    <t xml:space="preserve">Note</t>
  </si>
  <si>
    <t xml:space="preserve">manager-cover.pdf</t>
  </si>
  <si>
    <t xml:space="preserve">p1</t>
  </si>
  <si>
    <t xml:space="preserve">Unit group mapping; headline counts include pending as leased</t>
  </si>
  <si>
    <t xml:space="preserve">rent-roll-certified.xlsx</t>
  </si>
  <si>
    <t xml:space="preserve">Rent Roll!B2, rows 5-16</t>
  </si>
  <si>
    <t xml:space="preserve">Certified as-of date; unit mix, areas, occupancy,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</si>
  <si>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</si>
  <si>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</si>
  <si>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</si>
  <si>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</si>
  <si>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</si>
  <si>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 or new 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</si>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</sst>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1537860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0.075</v>
      </c>
    </row>
    <row r="15" customFormat="false" ht="30" hidden="false" customHeight="true" outlineLevel="0" collapsed="false">
      <c r="A15" s="3" t="s">
        <v>12</v>
      </c>
      <c r="B15" s="7" t="n">
        <v>0.0675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1465167</v>
      </c>
    </row>
    <row r="25" customFormat="false" ht="30" hidden="false" customHeight="true" outlineLevel="0" collapsed="false">
      <c r="A25" s="3" t="s">
        <v>21</v>
      </c>
      <c r="C25" s="9" t="n">
        <f aca="false">C24*B11</f>
        <v>43955.01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497219.01</v>
      </c>
    </row>
    <row r="27" customFormat="false" ht="30" hidden="false" customHeight="true" outlineLevel="0" collapsed="false">
      <c r="A27" s="3" t="s">
        <v>23</v>
      </c>
      <c r="C27" s="8" t="n">
        <f aca="false">C24-C26</f>
        <v>967947.99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964347.99</v>
      </c>
    </row>
    <row r="31" customFormat="false" ht="30" hidden="false" customHeight="true" outlineLevel="0" collapsed="false">
      <c r="A31" s="3" t="s">
        <v>26</v>
      </c>
      <c r="C31" s="8" t="n">
        <f aca="false">C27/B14</f>
        <v>12905973.2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7743583.92</v>
      </c>
    </row>
    <row r="35" customFormat="false" ht="30" hidden="false" customHeight="true" outlineLevel="0" collapsed="false">
      <c r="A35" s="3" t="s">
        <v>29</v>
      </c>
      <c r="C35" s="9" t="n">
        <f aca="false">C29/B17</f>
        <v>771478.392</v>
      </c>
    </row>
    <row r="36" customFormat="false" ht="30" hidden="false" customHeight="true" outlineLevel="0" collapsed="false">
      <c r="A36" s="3" t="s">
        <v>30</v>
      </c>
      <c r="C36" s="9" t="n">
        <f aca="false">C35/12</f>
        <v>64289.866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9912126.83789281</v>
      </c>
    </row>
    <row r="38" customFormat="false" ht="30" hidden="false" customHeight="true" outlineLevel="0" collapsed="false">
      <c r="A38" s="3" t="s">
        <v>32</v>
      </c>
      <c r="C38" s="9" t="n">
        <f aca="false">C29/B18</f>
        <v>10714977.6666667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7743583.92</v>
      </c>
    </row>
    <row r="40" customFormat="false" ht="30" hidden="false" customHeight="true" outlineLevel="0" collapsed="false">
      <c r="A40" s="3" t="s">
        <v>34</v>
      </c>
      <c r="C40" s="9" t="n">
        <f aca="false">C39*B19</f>
        <v>77435.8392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1121148.0808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0.0625</v>
      </c>
      <c r="C4" s="10" t="n">
        <v>0.0675</v>
      </c>
      <c r="D4" s="10" t="n">
        <v>0.0725</v>
      </c>
    </row>
    <row r="5" customFormat="false" ht="30" hidden="false" customHeight="true" outlineLevel="0" collapsed="false">
      <c r="A5" s="10" t="n">
        <v>0.07</v>
      </c>
      <c r="B5" s="8" t="n">
        <f aca="false">MIN((UW!C27/A5)*UW!B16, (UW!C29/UW!B17/12)/(-PMT(B4/12,360,1)), UW!C29/UW!B18)</f>
        <v>8296697.05714286</v>
      </c>
      <c r="C5" s="9" t="n">
        <f aca="false">MIN((UW!C27/A5)*UW!B16, (UW!C29/UW!B17/12)/(-PMT(C4/12,360,1)), UW!C29/UW!B18)</f>
        <v>8296697.05714286</v>
      </c>
      <c r="D5" s="9" t="n">
        <f aca="false">MIN((UW!C27/A5)*UW!B16, (UW!C29/UW!B17/12)/(-PMT(D4/12,360,1)), UW!C29/UW!B18)</f>
        <v>8296697.05714286</v>
      </c>
    </row>
    <row r="6" customFormat="false" ht="30" hidden="false" customHeight="true" outlineLevel="0" collapsed="false">
      <c r="A6" s="10" t="n">
        <v>0.075</v>
      </c>
      <c r="B6" s="9" t="n">
        <f aca="false">MIN((UW!C27/A6)*UW!B16, (UW!C29/UW!B17/12)/(-PMT(B4/12,360,1)), UW!C29/UW!B18)</f>
        <v>7743583.92</v>
      </c>
      <c r="C6" s="9" t="n">
        <f aca="false">MIN((UW!C27/A6)*UW!B16, (UW!C29/UW!B17/12)/(-PMT(C4/12,360,1)), UW!C29/UW!B18)</f>
        <v>7743583.92</v>
      </c>
      <c r="D6" s="9" t="n">
        <f aca="false">MIN((UW!C27/A6)*UW!B16, (UW!C29/UW!B17/12)/(-PMT(D4/12,360,1)), UW!C29/UW!B18)</f>
        <v>7743583.92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7259609.925</v>
      </c>
      <c r="C7" s="9" t="n">
        <f aca="false">MIN((UW!C27/A7)*UW!B16, (UW!C29/UW!B17/12)/(-PMT(C4/12,360,1)), UW!C29/UW!B18)</f>
        <v>7259609.925</v>
      </c>
      <c r="D7" s="9" t="n">
        <f aca="false">MIN((UW!C27/A7)*UW!B16, (UW!C29/UW!B17/12)/(-PMT(D4/12,360,1)), UW!C29/UW!B18)</f>
        <v>7259609.925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2026-09-07T13:10:05Z</dcterms:created>
  <dc:creator>openpyxl</dc:creator>
  <dc:description/>
  <dc:language>en-US</dc:language>
  <cp:lastModifiedBy/>
  <dcterms:modified xsi:type="dcterms:W3CDTF">2026-09-07T13:28:23Z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