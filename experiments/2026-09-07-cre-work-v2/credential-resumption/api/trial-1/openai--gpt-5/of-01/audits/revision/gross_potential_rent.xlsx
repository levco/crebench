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ource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</cols>
  <sheetData>
    <row r="1" ht="30" customHeight="1">
      <c r="A1" s="1" t="inlineStr">
        <is>
          <t>Beacon Plaza - Underwriting Model (Revised 2026-09-01)</t>
        </is>
      </c>
    </row>
    <row r="3" ht="30" customHeight="1">
      <c r="A3" s="2" t="inlineStr">
        <is>
          <t>Inputs</t>
        </is>
      </c>
    </row>
    <row r="5" ht="30" customHeight="1">
      <c r="A5" s="3" t="inlineStr">
        <is>
          <t>Gross potential rent (annual)</t>
        </is>
      </c>
      <c r="B5" s="4" t="n">
        <v>1540425</v>
      </c>
    </row>
    <row r="6" ht="30" customHeight="1">
      <c r="A6" s="3" t="inlineStr">
        <is>
          <t>Economic loss %</t>
        </is>
      </c>
      <c r="B6" s="5" t="n">
        <v>0.05</v>
      </c>
    </row>
    <row r="7" ht="30" customHeight="1">
      <c r="A7" s="3" t="inlineStr">
        <is>
          <t>Annual other income</t>
        </is>
      </c>
      <c r="B7" s="4" t="n">
        <v>4200</v>
      </c>
    </row>
    <row r="8" ht="30" customHeight="1">
      <c r="A8" s="3" t="inlineStr">
        <is>
          <t>Tax expense</t>
        </is>
      </c>
      <c r="B8" s="4" t="n">
        <v>169974</v>
      </c>
    </row>
    <row r="9" ht="30" customHeight="1">
      <c r="A9" s="3" t="inlineStr">
        <is>
          <t>Insurance expense</t>
        </is>
      </c>
      <c r="B9" s="4" t="n">
        <v>56658</v>
      </c>
    </row>
    <row r="10" ht="30" customHeight="1">
      <c r="A10" s="3" t="inlineStr">
        <is>
          <t>Other recurring opex</t>
        </is>
      </c>
      <c r="B10" s="4" t="n">
        <v>226632</v>
      </c>
    </row>
    <row r="11" ht="30" customHeight="1">
      <c r="A11" s="3" t="inlineStr">
        <is>
          <t>Management fee %</t>
        </is>
      </c>
      <c r="B11" s="5" t="n">
        <v>0.03</v>
      </c>
    </row>
    <row r="12" ht="30" customHeight="1">
      <c r="A12" s="3" t="inlineStr">
        <is>
          <t>Replacement reserve per unit</t>
        </is>
      </c>
      <c r="B12" s="4" t="n">
        <v>300</v>
      </c>
    </row>
    <row r="13" ht="30" customHeight="1">
      <c r="A13" s="3" t="inlineStr">
        <is>
          <t>Units</t>
        </is>
      </c>
      <c r="B13" s="6" t="n">
        <v>12</v>
      </c>
    </row>
    <row r="14" ht="30" customHeight="1">
      <c r="A14" s="3" t="inlineStr">
        <is>
          <t>Cap rate</t>
        </is>
      </c>
      <c r="B14" s="7" t="n">
        <v>0.0775</v>
      </c>
    </row>
    <row r="15" ht="30" customHeight="1">
      <c r="A15" s="3" t="inlineStr">
        <is>
          <t>Sizing rate</t>
        </is>
      </c>
      <c r="B15" s="7" t="n">
        <v>0.075</v>
      </c>
    </row>
    <row r="16" ht="30" customHeight="1">
      <c r="A16" s="3" t="inlineStr">
        <is>
          <t>LTV limit</t>
        </is>
      </c>
      <c r="B16" s="5" t="n">
        <v>0.6</v>
      </c>
    </row>
    <row r="17" ht="30" customHeight="1">
      <c r="A17" s="3" t="inlineStr">
        <is>
          <t>DSCR limit</t>
        </is>
      </c>
      <c r="B17" s="6" t="n">
        <v>1.25</v>
      </c>
    </row>
    <row r="18" ht="30" customHeight="1">
      <c r="A18" s="3" t="inlineStr">
        <is>
          <t>Debt yield limit</t>
        </is>
      </c>
      <c r="B18" s="5" t="n">
        <v>0.09</v>
      </c>
    </row>
    <row r="19" ht="30" customHeight="1">
      <c r="A19" s="3" t="inlineStr">
        <is>
          <t>Origination fee %</t>
        </is>
      </c>
      <c r="B19" s="5" t="n">
        <v>0.01</v>
      </c>
    </row>
    <row r="20" ht="30" customHeight="1">
      <c r="A20" s="3" t="inlineStr">
        <is>
          <t>Closing costs</t>
        </is>
      </c>
      <c r="B20" s="4" t="n">
        <v>45000</v>
      </c>
    </row>
    <row r="21" ht="30" customHeight="1">
      <c r="A21" s="3" t="inlineStr">
        <is>
          <t>Existing payoff</t>
        </is>
      </c>
      <c r="B21" s="4" t="n">
        <v>6500000</v>
      </c>
    </row>
    <row r="23" ht="30" customHeight="1">
      <c r="A23" s="2" t="inlineStr">
        <is>
          <t>Outputs</t>
        </is>
      </c>
    </row>
    <row r="24" ht="30" customHeight="1">
      <c r="A24" s="3" t="inlineStr">
        <is>
          <t>Underwritten EGI</t>
        </is>
      </c>
      <c r="C24" s="8">
        <f>B5*(1-B6)+B7</f>
        <v/>
      </c>
    </row>
    <row r="25" ht="30" customHeight="1">
      <c r="A25" s="3" t="inlineStr">
        <is>
          <t>Management fee ($)</t>
        </is>
      </c>
      <c r="C25" s="9">
        <f>C24*B11</f>
        <v/>
      </c>
    </row>
    <row r="26" ht="30" customHeight="1">
      <c r="A26" s="3" t="inlineStr">
        <is>
          <t>Total operating expenses</t>
        </is>
      </c>
      <c r="C26" s="8">
        <f>B8+B9+B10+C25</f>
        <v/>
      </c>
    </row>
    <row r="27" ht="30" customHeight="1">
      <c r="A27" s="3" t="inlineStr">
        <is>
          <t>UW NOI before reserves</t>
        </is>
      </c>
      <c r="C27" s="8">
        <f>C24-C26</f>
        <v/>
      </c>
    </row>
    <row r="28" ht="30" customHeight="1">
      <c r="A28" s="3" t="inlineStr">
        <is>
          <t>Reserves ($)</t>
        </is>
      </c>
      <c r="C28" s="9">
        <f>B12*B13</f>
        <v/>
      </c>
    </row>
    <row r="29" ht="30" customHeight="1">
      <c r="A29" s="3" t="inlineStr">
        <is>
          <t>UW NCF (after reserves)</t>
        </is>
      </c>
      <c r="C29" s="8">
        <f>C27-C28</f>
        <v/>
      </c>
    </row>
    <row r="31" ht="30" customHeight="1">
      <c r="A31" s="3" t="inlineStr">
        <is>
          <t>Capitalization value</t>
        </is>
      </c>
      <c r="C31" s="8">
        <f>C27/B14</f>
        <v/>
      </c>
    </row>
    <row r="33" ht="30" customHeight="1">
      <c r="A33" s="2" t="inlineStr">
        <is>
          <t>Loan sizing</t>
        </is>
      </c>
    </row>
    <row r="34" ht="30" customHeight="1">
      <c r="A34" s="3" t="inlineStr">
        <is>
          <t>Loan - LTV</t>
        </is>
      </c>
      <c r="C34" s="9">
        <f>C31*B16</f>
        <v/>
      </c>
    </row>
    <row r="35" ht="30" customHeight="1">
      <c r="A35" s="3" t="inlineStr">
        <is>
          <t>Annual DSCR-based debt service</t>
        </is>
      </c>
      <c r="C35" s="9">
        <f>C29/B17</f>
        <v/>
      </c>
    </row>
    <row r="36" ht="30" customHeight="1">
      <c r="A36" s="3" t="inlineStr">
        <is>
          <t>Monthly DSCR payment limit</t>
        </is>
      </c>
      <c r="C36" s="9">
        <f>C35/12</f>
        <v/>
      </c>
    </row>
    <row r="37" ht="30" customHeight="1">
      <c r="A37" s="3" t="inlineStr">
        <is>
          <t>Loan - DSCR</t>
        </is>
      </c>
      <c r="C37" s="9">
        <f>C36/(-PMT(B15/12,360,1))</f>
        <v/>
      </c>
    </row>
    <row r="38" ht="30" customHeight="1">
      <c r="A38" s="3" t="inlineStr">
        <is>
          <t>Loan - Debt Yield</t>
        </is>
      </c>
      <c r="C38" s="9">
        <f>C29/B18</f>
        <v/>
      </c>
    </row>
    <row r="39" ht="30" customHeight="1">
      <c r="A39" s="3" t="inlineStr">
        <is>
          <t>Maximum loan</t>
        </is>
      </c>
      <c r="C39" s="8">
        <f>MIN(C34,C37,C38)</f>
        <v/>
      </c>
    </row>
    <row r="40" ht="30" customHeight="1">
      <c r="A40" s="3" t="inlineStr">
        <is>
          <t>Origination fee ($)</t>
        </is>
      </c>
      <c r="C40" s="9">
        <f>C39*B19</f>
        <v/>
      </c>
    </row>
    <row r="41" ht="30" customHeight="1">
      <c r="A41" s="3" t="inlineStr">
        <is>
          <t>Net cash out</t>
        </is>
      </c>
      <c r="C41" s="8">
        <f>C39-C40-B20-B21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Max Loan Sensitivity (by Cap Rate and Sizing Rate) - Revised</t>
        </is>
      </c>
    </row>
    <row r="3" ht="30" customHeight="1">
      <c r="A3" s="2" t="inlineStr">
        <is>
          <t>Sizing Rate → / Cap Rate ↓</t>
        </is>
      </c>
    </row>
    <row r="4" ht="30" customHeight="1">
      <c r="B4" s="10" t="n">
        <v>0.07000000000000001</v>
      </c>
      <c r="C4" s="10" t="n">
        <v>0.075</v>
      </c>
      <c r="D4" s="10" t="n">
        <v>0.08</v>
      </c>
    </row>
    <row r="5" ht="30" customHeight="1">
      <c r="A5" s="10" t="n">
        <v>0.075</v>
      </c>
      <c r="B5" s="8">
        <f>MIN((UW!C27/A5)*UW!B16, (UW!C29/UW!B17/12)/(-PMT(B4/12,360,1)), UW!C29/UW!B18)</f>
        <v/>
      </c>
      <c r="C5" s="9">
        <f>MIN((UW!C27/A5)*UW!B16, (UW!C29/UW!B17/12)/(-PMT(C4/12,360,1)), UW!C29/UW!B18)</f>
        <v/>
      </c>
      <c r="D5" s="9">
        <f>MIN((UW!C27/A5)*UW!B16, (UW!C29/UW!B17/12)/(-PMT(D4/12,360,1)), UW!C29/UW!B18)</f>
        <v/>
      </c>
    </row>
    <row r="6" ht="30" customHeight="1">
      <c r="A6" s="10" t="n">
        <v>0.0775</v>
      </c>
      <c r="B6" s="9">
        <f>MIN((UW!C27/A6)*UW!B16, (UW!C29/UW!B17/12)/(-PMT(B4/12,360,1)), UW!C29/UW!B18)</f>
        <v/>
      </c>
      <c r="C6" s="9">
        <f>MIN((UW!C27/A6)*UW!B16, (UW!C29/UW!B17/12)/(-PMT(C4/12,360,1)), UW!C29/UW!B18)</f>
        <v/>
      </c>
      <c r="D6" s="9">
        <f>MIN((UW!C27/A6)*UW!B16, (UW!C29/UW!B17/12)/(-PMT(D4/12,360,1)), UW!C29/UW!B18)</f>
        <v/>
      </c>
    </row>
    <row r="7" ht="30" customHeight="1">
      <c r="A7" s="10" t="n">
        <v>0.08</v>
      </c>
      <c r="B7" s="9">
        <f>MIN((UW!C27/A7)*UW!B16, (UW!C29/UW!B17/12)/(-PMT(B4/12,360,1)), UW!C29/UW!B18)</f>
        <v/>
      </c>
      <c r="C7" s="9">
        <f>MIN((UW!C27/A7)*UW!B16, (UW!C29/UW!B17/12)/(-PMT(C4/12,360,1)), UW!C29/UW!B18)</f>
        <v/>
      </c>
      <c r="D7" s="9">
        <f>MIN((UW!C27/A7)*UW!B16, (UW!C29/UW!B17/12)/(-PMT(D4/12,360,1)), UW!C29/UW!B18)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70" customWidth="1" min="3" max="3"/>
  </cols>
  <sheetData>
    <row r="1" ht="30" customHeight="1">
      <c r="A1" s="1" t="inlineStr">
        <is>
          <t>Source Register (Revised)</t>
        </is>
      </c>
    </row>
    <row r="3" ht="30" customHeight="1">
      <c r="A3" s="3" t="inlineStr">
        <is>
          <t>File</t>
        </is>
      </c>
      <c r="B3" s="3" t="inlineStr">
        <is>
          <t>Location</t>
        </is>
      </c>
      <c r="C3" s="3" t="inlineStr">
        <is>
          <t>Note</t>
        </is>
      </c>
    </row>
    <row r="4" ht="30" customHeight="1">
      <c r="A4" s="3" t="inlineStr">
        <is>
          <t>revision-notice.pdf</t>
        </is>
      </c>
      <c r="B4" s="3" t="inlineStr">
        <is>
          <t>p1</t>
        </is>
      </c>
      <c r="C4" s="3" t="inlineStr">
        <is>
          <t>Says Suite 010 active at +$225; raise sizing rate +75 bps to 7.50% and cap rate +25 bps to 7.75%.</t>
        </is>
      </c>
    </row>
    <row r="5" ht="30" customHeight="1">
      <c r="A5" s="3" t="inlineStr">
        <is>
          <t>rent-roll-revised.xlsx</t>
        </is>
      </c>
      <c r="B5" s="3" t="inlineStr">
        <is>
          <t>Rent Roll!B2, rows 5-16</t>
        </is>
      </c>
      <c r="C5" s="3" t="inlineStr">
        <is>
          <t>Certified as-of 2026-09-01; updated occupancy and rents</t>
        </is>
      </c>
    </row>
    <row r="6" ht="30" customHeight="1">
      <c r="A6" s="3" t="inlineStr">
        <is>
          <t>operating-statement.pdf</t>
        </is>
      </c>
      <c r="B6" s="3" t="inlineStr">
        <is>
          <t>p1</t>
        </is>
      </c>
      <c r="C6" s="3" t="inlineStr">
        <is>
          <t>T12 taxes, insurance, other opex; reported NOI</t>
        </is>
      </c>
    </row>
    <row r="7" ht="30" customHeight="1">
      <c r="A7" s="3" t="inlineStr">
        <is>
          <t>lease-001.pdf</t>
        </is>
      </c>
      <c r="B7" s="3" t="inlineStr">
        <is>
          <t>p1</t>
        </is>
      </c>
      <c r="C7" s="3" t="inlineStr">
        <is>
          <t>Suite 001 rent, area, expiration; no free rent</t>
        </is>
      </c>
    </row>
    <row r="8" ht="30" customHeight="1">
      <c r="A8" s="3" t="inlineStr">
        <is>
          <t>lease-correspondence.pdf</t>
        </is>
      </c>
      <c r="B8" s="3" t="inlineStr">
        <is>
          <t>p1</t>
        </is>
      </c>
      <c r="C8" s="3" t="inlineStr">
        <is>
          <t>No amendments/concessions for Suite 001 as of 2026-08-31</t>
        </is>
      </c>
    </row>
    <row r="9" ht="30" customHeight="1">
      <c r="A9" s="3" t="inlineStr">
        <is>
          <t>insurance.pdf</t>
        </is>
      </c>
      <c r="B9" s="3" t="inlineStr">
        <is>
          <t>p1</t>
        </is>
      </c>
      <c r="C9" s="3" t="inlineStr">
        <is>
          <t>Policy aggregate limit and dates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2026-09-07T13:23:34Z</dcterms:created>
  <dcterms:modified xmlns:dcterms="http://purl.org/dc/terms/" xmlns:xsi="http://www.w3.org/2001/XMLSchema-instance" xsi:type="dcterms:W3CDTF">2026-09-07T13:28:27Z</dcterms:modified>
</cp:coreProperties>
</file>