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30" customHeight="1">
      <c r="A1" s="1" t="inlineStr">
        <is>
          <t>Magnolia Terrace - Underwriting</t>
        </is>
      </c>
    </row>
    <row r="3" ht="30" customHeight="1">
      <c r="A3" s="2" t="inlineStr">
        <is>
          <t>As of date</t>
        </is>
      </c>
      <c r="B3" s="3" t="inlineStr">
        <is>
          <t>2026-08-31</t>
        </is>
      </c>
    </row>
    <row r="4" ht="30" customHeight="1">
      <c r="A4" s="2" t="inlineStr">
        <is>
          <t>Gross potential rent (annual)</t>
        </is>
      </c>
      <c r="B4" s="4" t="n">
        <v>974400</v>
      </c>
    </row>
    <row r="5" ht="30" customHeight="1">
      <c r="A5" s="2" t="inlineStr">
        <is>
          <t>Economic loss %</t>
        </is>
      </c>
      <c r="B5" s="5" t="n">
        <v>0.05</v>
      </c>
    </row>
    <row r="6" ht="30" customHeight="1">
      <c r="A6" s="2" t="inlineStr">
        <is>
          <t>Cap rate</t>
        </is>
      </c>
      <c r="B6" s="6" t="n">
        <v>0.0575</v>
      </c>
    </row>
    <row r="7" ht="30" customHeight="1">
      <c r="A7" s="2" t="inlineStr">
        <is>
          <t>Total units/suites</t>
        </is>
      </c>
      <c r="B7" s="3" t="n">
        <v>48</v>
      </c>
    </row>
    <row r="8" ht="30" customHeight="1">
      <c r="A8" s="2" t="inlineStr">
        <is>
          <t>Other income per unit (annual)</t>
        </is>
      </c>
      <c r="B8" s="4" t="n">
        <v>350</v>
      </c>
    </row>
    <row r="9" ht="30" customHeight="1">
      <c r="A9" s="2" t="inlineStr">
        <is>
          <t>Other income (annual)</t>
        </is>
      </c>
      <c r="B9" s="7">
        <f>B7*B8</f>
        <v/>
      </c>
    </row>
    <row r="10" ht="30" customHeight="1">
      <c r="A10" s="2" t="inlineStr">
        <is>
          <t>Real estate tax expense</t>
        </is>
      </c>
      <c r="B10" s="4" t="n">
        <v>102312</v>
      </c>
    </row>
    <row r="11" ht="30" customHeight="1">
      <c r="A11" s="2" t="inlineStr">
        <is>
          <t>Insurance expense</t>
        </is>
      </c>
      <c r="B11" s="4" t="n">
        <v>34104</v>
      </c>
    </row>
    <row r="12" ht="30" customHeight="1">
      <c r="A12" s="2" t="inlineStr">
        <is>
          <t>Other recurring opex</t>
        </is>
      </c>
      <c r="B12" s="4" t="n">
        <v>136416</v>
      </c>
    </row>
    <row r="13" ht="30" customHeight="1">
      <c r="A13" s="2" t="inlineStr">
        <is>
          <t>Management fee % of EGI</t>
        </is>
      </c>
      <c r="B13" s="5" t="n">
        <v>0.03</v>
      </c>
    </row>
    <row r="14" ht="30" customHeight="1">
      <c r="A14" s="2" t="inlineStr">
        <is>
          <t>Replacement reserve per unit (annual)</t>
        </is>
      </c>
      <c r="B14" s="4" t="n">
        <v>300</v>
      </c>
    </row>
    <row r="15" ht="30" customHeight="1">
      <c r="A15" s="2" t="inlineStr">
        <is>
          <t>Existing payoff</t>
        </is>
      </c>
      <c r="B15" s="4" t="n">
        <v>4200000</v>
      </c>
    </row>
    <row r="16" ht="30" customHeight="1">
      <c r="A16" s="2" t="inlineStr">
        <is>
          <t>Closing costs</t>
        </is>
      </c>
      <c r="B16" s="4" t="n">
        <v>45000</v>
      </c>
    </row>
    <row r="17" ht="30" customHeight="1">
      <c r="A17" s="2" t="inlineStr">
        <is>
          <t>Origination fee %</t>
        </is>
      </c>
      <c r="B17" s="5" t="n">
        <v>0.01</v>
      </c>
    </row>
    <row r="18" ht="30" customHeight="1">
      <c r="A18" s="2" t="inlineStr">
        <is>
          <t>Max LTV</t>
        </is>
      </c>
      <c r="B18" s="5" t="n">
        <v>0.65</v>
      </c>
    </row>
    <row r="19" ht="30" customHeight="1">
      <c r="A19" s="2" t="inlineStr">
        <is>
          <t>Min DSCR</t>
        </is>
      </c>
      <c r="B19" s="3" t="n">
        <v>1.25</v>
      </c>
    </row>
    <row r="20" ht="30" customHeight="1">
      <c r="A20" s="2" t="inlineStr">
        <is>
          <t>Min debt yield</t>
        </is>
      </c>
      <c r="B20" s="5" t="n">
        <v>0.09</v>
      </c>
    </row>
    <row r="21" ht="30" customHeight="1">
      <c r="A21" s="2" t="inlineStr">
        <is>
          <t>Amortization (years)</t>
        </is>
      </c>
      <c r="B21" s="3" t="n">
        <v>30</v>
      </c>
    </row>
    <row r="22" ht="30" customHeight="1">
      <c r="A22" s="2" t="inlineStr">
        <is>
          <t>Note rate</t>
        </is>
      </c>
      <c r="B22" s="6" t="n">
        <v>0.0625</v>
      </c>
    </row>
    <row r="23" ht="30" customHeight="1">
      <c r="A23" s="2" t="inlineStr">
        <is>
          <t>UW rate floor</t>
        </is>
      </c>
      <c r="B23" s="6" t="n">
        <v>0.06</v>
      </c>
    </row>
    <row r="24" ht="30" customHeight="1">
      <c r="A24" s="2" t="inlineStr">
        <is>
          <t>Sizing rate (used)</t>
        </is>
      </c>
      <c r="B24" s="8">
        <f>MAX(B22,B23)</f>
        <v/>
      </c>
    </row>
    <row r="26" ht="30" customHeight="1">
      <c r="A26" s="2" t="inlineStr">
        <is>
          <t>Gross potential rent (annual)</t>
        </is>
      </c>
      <c r="B26" s="7">
        <f>B4</f>
        <v/>
      </c>
    </row>
    <row r="27" ht="30" customHeight="1">
      <c r="A27" s="2" t="inlineStr">
        <is>
          <t>Economic loss</t>
        </is>
      </c>
      <c r="B27" s="7">
        <f>B26*B5</f>
        <v/>
      </c>
    </row>
    <row r="28" ht="30" customHeight="1">
      <c r="A28" s="2" t="inlineStr">
        <is>
          <t>Other income (annual)</t>
        </is>
      </c>
      <c r="B28" s="7">
        <f>B9</f>
        <v/>
      </c>
    </row>
    <row r="29" ht="30" customHeight="1">
      <c r="A29" s="2" t="inlineStr">
        <is>
          <t>Underwritten EGI</t>
        </is>
      </c>
      <c r="B29" s="7">
        <f>B26-B27+B28</f>
        <v/>
      </c>
    </row>
    <row r="31" ht="30" customHeight="1">
      <c r="A31" s="2" t="inlineStr">
        <is>
          <t>Management fee</t>
        </is>
      </c>
      <c r="B31" s="7">
        <f>B29*B13</f>
        <v/>
      </c>
    </row>
    <row r="32" ht="30" customHeight="1">
      <c r="A32" s="2" t="inlineStr">
        <is>
          <t>Real estate tax expense</t>
        </is>
      </c>
      <c r="B32" s="7">
        <f>B10</f>
        <v/>
      </c>
    </row>
    <row r="33" ht="30" customHeight="1">
      <c r="A33" s="2" t="inlineStr">
        <is>
          <t>Insurance expense</t>
        </is>
      </c>
      <c r="B33" s="7">
        <f>B11</f>
        <v/>
      </c>
    </row>
    <row r="34" ht="30" customHeight="1">
      <c r="A34" s="2" t="inlineStr">
        <is>
          <t>Other recurring opex</t>
        </is>
      </c>
      <c r="B34" s="7">
        <f>B12</f>
        <v/>
      </c>
    </row>
    <row r="35" ht="30" customHeight="1">
      <c r="A35" s="2" t="inlineStr">
        <is>
          <t>Total opex before reserves</t>
        </is>
      </c>
      <c r="B35" s="7">
        <f>SUM(B31:B34)</f>
        <v/>
      </c>
    </row>
    <row r="36" ht="30" customHeight="1">
      <c r="A36" s="2" t="inlineStr">
        <is>
          <t>UW NOI (before reserves)</t>
        </is>
      </c>
      <c r="B36" s="7">
        <f>B29-B35</f>
        <v/>
      </c>
    </row>
    <row r="37" ht="30" customHeight="1">
      <c r="A37" s="2" t="inlineStr">
        <is>
          <t>Replacement reserves</t>
        </is>
      </c>
      <c r="B37" s="7">
        <f>B7*B14</f>
        <v/>
      </c>
    </row>
    <row r="38" ht="30" customHeight="1">
      <c r="A38" s="2" t="inlineStr">
        <is>
          <t>UW NCF (after reserves)</t>
        </is>
      </c>
      <c r="B38" s="7">
        <f>B36-B37</f>
        <v/>
      </c>
    </row>
    <row r="39" ht="30" customHeight="1">
      <c r="A39" s="2" t="inlineStr">
        <is>
          <t>Capitalization value</t>
        </is>
      </c>
      <c r="B39" s="7">
        <f>B36/B6</f>
        <v/>
      </c>
    </row>
    <row r="41" ht="30" customHeight="1">
      <c r="A41" s="2" t="inlineStr">
        <is>
          <t>LTV limit</t>
        </is>
      </c>
      <c r="B41" s="7">
        <f>B39*B18</f>
        <v/>
      </c>
    </row>
    <row r="42" ht="30" customHeight="1">
      <c r="A42" s="2" t="inlineStr">
        <is>
          <t>Monthly sizing rate</t>
        </is>
      </c>
      <c r="B42" s="9">
        <f>B24/12</f>
        <v/>
      </c>
    </row>
    <row r="43" ht="30" customHeight="1">
      <c r="A43" s="2" t="inlineStr">
        <is>
          <t>Term (months)</t>
        </is>
      </c>
      <c r="B43" s="10">
        <f>B21*12</f>
        <v/>
      </c>
    </row>
    <row r="44" ht="30" customHeight="1">
      <c r="A44" s="2" t="inlineStr">
        <is>
          <t>Payment per $1 (PMT monthly)</t>
        </is>
      </c>
      <c r="B44" s="10">
        <f>-PMT(B42,B43,1)</f>
        <v/>
      </c>
    </row>
    <row r="45" ht="30" customHeight="1">
      <c r="A45" s="2" t="inlineStr">
        <is>
          <t>ADS at DSCR (annual)</t>
        </is>
      </c>
      <c r="B45" s="7">
        <f>B38/B19</f>
        <v/>
      </c>
    </row>
    <row r="46" ht="30" customHeight="1">
      <c r="A46" s="2" t="inlineStr">
        <is>
          <t>DSCR limit</t>
        </is>
      </c>
      <c r="B46" s="7">
        <f>B45/12/B44</f>
        <v/>
      </c>
    </row>
    <row r="47" ht="30" customHeight="1">
      <c r="A47" s="2" t="inlineStr">
        <is>
          <t>Debt yield limit</t>
        </is>
      </c>
      <c r="B47" s="7">
        <f>B38/B20</f>
        <v/>
      </c>
    </row>
    <row r="48" ht="30" customHeight="1">
      <c r="A48" s="2" t="inlineStr">
        <is>
          <t>Maximum loan</t>
        </is>
      </c>
      <c r="B48" s="7">
        <f>MIN(B41,B46,B47)</f>
        <v/>
      </c>
    </row>
    <row r="49" ht="30" customHeight="1">
      <c r="A49" s="2" t="inlineStr">
        <is>
          <t>Origination fee</t>
        </is>
      </c>
      <c r="B49" s="7">
        <f>B48*B17</f>
        <v/>
      </c>
    </row>
    <row r="50" ht="30" customHeight="1">
      <c r="A50" s="2" t="inlineStr">
        <is>
          <t>Net cash out</t>
        </is>
      </c>
      <c r="B50" s="7">
        <f>B48-B49-B16-B15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Maximum Loan Sensitivity</t>
        </is>
      </c>
    </row>
    <row r="3" ht="30" customHeight="1">
      <c r="A3" s="2" t="inlineStr">
        <is>
          <t>Cap rate ↓ | Sizing rate →</t>
        </is>
      </c>
      <c r="B3" s="6" t="n">
        <v>0.0575</v>
      </c>
      <c r="C3" s="6" t="n">
        <v>0.0625</v>
      </c>
      <c r="D3" s="6" t="n">
        <v>0.0675</v>
      </c>
    </row>
    <row r="4" ht="30" customHeight="1">
      <c r="A4" s="6" t="n">
        <v>0.0525</v>
      </c>
      <c r="B4" s="11">
        <f>MIN((UW!B36/A4)*UW!B18, (UW!B38/UW!B19)/12/(-PMT(B3/12,UW!B43,1)), UW!B38/UW!B20)</f>
        <v/>
      </c>
      <c r="C4" s="11">
        <f>MIN((UW!B36/A4)*UW!B18, (UW!B38/UW!B19)/12/(-PMT(C3/12,UW!B43,1)), UW!B38/UW!B20)</f>
        <v/>
      </c>
      <c r="D4" s="11">
        <f>MIN((UW!B36/A4)*UW!B18, (UW!B38/UW!B19)/12/(-PMT(D3/12,UW!B43,1)), UW!B38/UW!B20)</f>
        <v/>
      </c>
    </row>
    <row r="5" ht="30" customHeight="1">
      <c r="A5" s="6" t="n">
        <v>0.0575</v>
      </c>
      <c r="B5" s="11">
        <f>MIN((UW!B36/A5)*UW!B18, (UW!B38/UW!B19)/12/(-PMT(B3/12,UW!B43,1)), UW!B38/UW!B20)</f>
        <v/>
      </c>
      <c r="C5" s="11">
        <f>MIN((UW!B36/A5)*UW!B18, (UW!B38/UW!B19)/12/(-PMT(C3/12,UW!B43,1)), UW!B38/UW!B20)</f>
        <v/>
      </c>
      <c r="D5" s="11">
        <f>MIN((UW!B36/A5)*UW!B18, (UW!B38/UW!B19)/12/(-PMT(D3/12,UW!B43,1)), UW!B38/UW!B20)</f>
        <v/>
      </c>
    </row>
    <row r="6" ht="30" customHeight="1">
      <c r="A6" s="6" t="n">
        <v>0.0625</v>
      </c>
      <c r="B6" s="11">
        <f>MIN((UW!B36/A6)*UW!B18, (UW!B38/UW!B19)/12/(-PMT(B3/12,UW!B43,1)), UW!B38/UW!B20)</f>
        <v/>
      </c>
      <c r="C6" s="11">
        <f>MIN((UW!B36/A6)*UW!B18, (UW!B38/UW!B19)/12/(-PMT(C3/12,UW!B43,1)), UW!B38/UW!B20)</f>
        <v/>
      </c>
      <c r="D6" s="11">
        <f>MIN((UW!B36/A6)*UW!B18, (UW!B38/UW!B19)/12/(-PMT(D3/12,UW!B43,1)), UW!B38/UW!B20)</f>
        <v/>
      </c>
    </row>
    <row r="8" ht="30" customHeight="1">
      <c r="A8" s="2" t="inlineStr">
        <is>
          <t>Max Loan ($)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  <c r="C3" s="2" t="inlineStr">
        <is>
          <t>Key data used</t>
        </is>
      </c>
    </row>
    <row r="4" ht="30" customHeight="1">
      <c r="A4" s="12" t="inlineStr">
        <is>
          <t>rent-roll-certified.xlsx</t>
        </is>
      </c>
      <c r="B4" s="12" t="inlineStr">
        <is>
          <t>B2; A5:G52</t>
        </is>
      </c>
      <c r="C4" s="12" t="inlineStr">
        <is>
          <t>Certified roll as of 2026-08-31; unit types, areas, statuses, monthly rents</t>
        </is>
      </c>
    </row>
    <row r="5" ht="30" customHeight="1">
      <c r="A5" s="12" t="inlineStr">
        <is>
          <t>lease-001.pdf</t>
        </is>
      </c>
      <c r="B5" s="12" t="inlineStr">
        <is>
          <t>p.1</t>
        </is>
      </c>
      <c r="C5" s="12" t="inlineStr">
        <is>
          <t>Suite 001 lease; $1,500/mo; 700 SF; 2029-08-31 expiry; no free rent; amendment may control</t>
        </is>
      </c>
    </row>
    <row r="6" ht="30" customHeight="1">
      <c r="A6" s="12" t="inlineStr">
        <is>
          <t>lease-correspondence.pdf</t>
        </is>
      </c>
      <c r="B6" s="12" t="inlineStr">
        <is>
          <t>p.1</t>
        </is>
      </c>
      <c r="C6" s="12" t="inlineStr">
        <is>
          <t>Signed amendment effective 2026-08-01; +$350/mo (impacts in-place rent only)</t>
        </is>
      </c>
    </row>
    <row r="7" ht="30" customHeight="1">
      <c r="A7" s="12" t="inlineStr">
        <is>
          <t>operating-statement.pdf</t>
        </is>
      </c>
      <c r="B7" s="12" t="inlineStr">
        <is>
          <t>p.1</t>
        </is>
      </c>
      <c r="C7" s="12" t="inlineStr">
        <is>
          <t>T12 collections $876,960; taxes $102,312; insurance $34,104; other opex $136,416; reported NOI $604,128</t>
        </is>
      </c>
    </row>
    <row r="8" ht="30" customHeight="1">
      <c r="A8" s="12" t="inlineStr">
        <is>
          <t>insurance.pdf</t>
        </is>
      </c>
      <c r="B8" s="12" t="inlineStr">
        <is>
          <t>p.1</t>
        </is>
      </c>
      <c r="C8" s="12" t="inlineStr">
        <is>
          <t>GL aggregate limit $2,000,000; 2026-07-01 to 2027-06-30</t>
        </is>
      </c>
    </row>
    <row r="9" ht="30" customHeight="1">
      <c r="A9" s="12" t="inlineStr">
        <is>
          <t>manager-cover.pdf</t>
        </is>
      </c>
      <c r="B9" s="12" t="inlineStr">
        <is>
          <t>p.1</t>
        </is>
      </c>
      <c r="C9" s="12" t="inlineStr">
        <is>
          <t>Manager counts occupied + pending as leased (45/48). A/B/C = Studio/1BR/2BR. Approved copy.</t>
        </is>
      </c>
    </row>
    <row r="10" ht="30" customHeight="1">
      <c r="A10" s="12" t="inlineStr">
        <is>
          <t>diligence-status.pdf</t>
        </is>
      </c>
      <c r="B10" s="12" t="inlineStr">
        <is>
          <t>p.1</t>
        </is>
      </c>
      <c r="C10" s="12" t="inlineStr">
        <is>
          <t>Pending third-party diligence; reconcile documents; different NOI/NCF definitions</t>
        </is>
      </c>
    </row>
    <row r="11" ht="30" customHeight="1">
      <c r="A11" s="12" t="inlineStr">
        <is>
          <t>rent-roll-archive.xlsx</t>
        </is>
      </c>
      <c r="B11" s="12" t="inlineStr">
        <is>
          <t>B2; A5:G52</t>
        </is>
      </c>
      <c r="C11" s="12" t="inlineStr">
        <is>
          <t>June 30, 2026 stale roll for comparison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2026-09-07T12:50:34Z</dcterms:created>
  <dcterms:modified xmlns:dcterms="http://purl.org/dc/terms/" xmlns:xsi="http://www.w3.org/2001/XMLSchema-instance" xsi:type="dcterms:W3CDTF">2026-09-07T12:50:34Z</dcterms:modified>
</cp:coreProperties>
</file>