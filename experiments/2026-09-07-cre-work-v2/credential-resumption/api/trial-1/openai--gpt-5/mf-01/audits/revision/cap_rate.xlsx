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 Rev" sheetId="1" state="visible" r:id="rId1"/>
    <sheet xmlns:r="http://schemas.openxmlformats.org/officeDocument/2006/relationships" name="Sensitivity Rev" sheetId="2" state="visible" r:id="rId2"/>
    <sheet xmlns:r="http://schemas.openxmlformats.org/officeDocument/2006/relationships" name="Sources 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Magnolia Terrace - Underwriting (Revised 2026-09-01)</t>
        </is>
      </c>
    </row>
    <row r="3" ht="30" customHeight="1">
      <c r="A3" s="2" t="inlineStr">
        <is>
          <t>As of date</t>
        </is>
      </c>
      <c r="B3" s="3" t="inlineStr">
        <is>
          <t>2026-09-01</t>
        </is>
      </c>
    </row>
    <row r="4" ht="30" customHeight="1">
      <c r="A4" s="2" t="inlineStr">
        <is>
          <t>Gross potential rent (annual)</t>
        </is>
      </c>
      <c r="B4" s="4" t="n">
        <v>977100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0.065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7" t="inlineStr">
        <is>
          <t>Other income (annual)</t>
        </is>
      </c>
      <c r="B9" s="8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6" t="n">
        <v>0.07000000000000001</v>
      </c>
    </row>
    <row r="26" ht="30" customHeight="1">
      <c r="A26" s="2" t="inlineStr">
        <is>
          <t>Gross potential rent (annual)</t>
        </is>
      </c>
      <c r="B26" s="8">
        <f>B4</f>
        <v/>
      </c>
    </row>
    <row r="27" ht="30" customHeight="1">
      <c r="A27" s="2" t="inlineStr">
        <is>
          <t>Economic loss</t>
        </is>
      </c>
      <c r="B27" s="8">
        <f>B26*B5</f>
        <v/>
      </c>
    </row>
    <row r="28" ht="30" customHeight="1">
      <c r="A28" s="2" t="inlineStr">
        <is>
          <t>Other income (annual)</t>
        </is>
      </c>
      <c r="B28" s="8">
        <f>B9</f>
        <v/>
      </c>
    </row>
    <row r="29" ht="30" customHeight="1">
      <c r="A29" s="2" t="inlineStr">
        <is>
          <t>Underwritten EGI</t>
        </is>
      </c>
      <c r="B29" s="8">
        <f>B26-B27+B28</f>
        <v/>
      </c>
    </row>
    <row r="31" ht="30" customHeight="1">
      <c r="A31" s="2" t="inlineStr">
        <is>
          <t>Management fee</t>
        </is>
      </c>
      <c r="B31" s="8">
        <f>B29*B13</f>
        <v/>
      </c>
    </row>
    <row r="32" ht="30" customHeight="1">
      <c r="A32" s="2" t="inlineStr">
        <is>
          <t>Real estate tax expense</t>
        </is>
      </c>
      <c r="B32" s="8">
        <f>B10</f>
        <v/>
      </c>
    </row>
    <row r="33" ht="30" customHeight="1">
      <c r="A33" s="2" t="inlineStr">
        <is>
          <t>Insurance expense</t>
        </is>
      </c>
      <c r="B33" s="8">
        <f>B11</f>
        <v/>
      </c>
    </row>
    <row r="34" ht="30" customHeight="1">
      <c r="A34" s="2" t="inlineStr">
        <is>
          <t>Other recurring opex</t>
        </is>
      </c>
      <c r="B34" s="8">
        <f>B12</f>
        <v/>
      </c>
    </row>
    <row r="35" ht="30" customHeight="1">
      <c r="A35" s="2" t="inlineStr">
        <is>
          <t>Total opex before reserves</t>
        </is>
      </c>
      <c r="B35" s="8">
        <f>SUM(B31:B34)</f>
        <v/>
      </c>
    </row>
    <row r="36" ht="30" customHeight="1">
      <c r="A36" s="2" t="inlineStr">
        <is>
          <t>UW NOI (before reserves)</t>
        </is>
      </c>
      <c r="B36" s="8">
        <f>B29-B35</f>
        <v/>
      </c>
    </row>
    <row r="37" ht="30" customHeight="1">
      <c r="A37" s="2" t="inlineStr">
        <is>
          <t>Replacement reserves</t>
        </is>
      </c>
      <c r="B37" s="8">
        <f>B7*B14</f>
        <v/>
      </c>
    </row>
    <row r="38" ht="30" customHeight="1">
      <c r="A38" s="2" t="inlineStr">
        <is>
          <t>UW NCF (after reserves)</t>
        </is>
      </c>
      <c r="B38" s="8">
        <f>B36-B37</f>
        <v/>
      </c>
    </row>
    <row r="39" ht="30" customHeight="1">
      <c r="A39" s="2" t="inlineStr">
        <is>
          <t>Capitalization value</t>
        </is>
      </c>
      <c r="B39" s="8">
        <f>B36/B6</f>
        <v/>
      </c>
    </row>
    <row r="41" ht="30" customHeight="1">
      <c r="A41" s="2" t="inlineStr">
        <is>
          <t>LTV limit</t>
        </is>
      </c>
      <c r="B41" s="8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 monthly)</t>
        </is>
      </c>
      <c r="B44" s="10">
        <f>-PMT(B42,B43,1)</f>
        <v/>
      </c>
    </row>
    <row r="45" ht="30" customHeight="1">
      <c r="A45" s="2" t="inlineStr">
        <is>
          <t>ADS at DSCR (annual)</t>
        </is>
      </c>
      <c r="B45" s="8">
        <f>B38/B19</f>
        <v/>
      </c>
    </row>
    <row r="46" ht="30" customHeight="1">
      <c r="A46" s="2" t="inlineStr">
        <is>
          <t>DSCR limit</t>
        </is>
      </c>
      <c r="B46" s="8">
        <f>B45/12/B44</f>
        <v/>
      </c>
    </row>
    <row r="47" ht="30" customHeight="1">
      <c r="A47" s="2" t="inlineStr">
        <is>
          <t>Debt yield limit</t>
        </is>
      </c>
      <c r="B47" s="8">
        <f>B38/B20</f>
        <v/>
      </c>
    </row>
    <row r="48" ht="30" customHeight="1">
      <c r="A48" s="2" t="inlineStr">
        <is>
          <t>Maximum loan</t>
        </is>
      </c>
      <c r="B48" s="8">
        <f>MIN(B41,B46,B47)</f>
        <v/>
      </c>
    </row>
    <row r="49" ht="30" customHeight="1">
      <c r="A49" s="2" t="inlineStr">
        <is>
          <t>Origination fee</t>
        </is>
      </c>
      <c r="B49" s="8">
        <f>B48*B17</f>
        <v/>
      </c>
    </row>
    <row r="50" ht="30" customHeight="1">
      <c r="A50" s="2" t="inlineStr">
        <is>
          <t>Net cash out</t>
        </is>
      </c>
      <c r="B50" s="8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Maximum Loan Sensitivity (Revised)</t>
        </is>
      </c>
    </row>
    <row r="3" ht="30" customHeight="1">
      <c r="A3" s="2" t="inlineStr">
        <is>
          <t>Cap rate ↓ | Sizing rate →</t>
        </is>
      </c>
      <c r="B3" s="6" t="n">
        <v>0.07000000000000001</v>
      </c>
      <c r="C3" s="6" t="n">
        <v>0.075</v>
      </c>
      <c r="D3" s="6" t="n">
        <v>0.08</v>
      </c>
    </row>
    <row r="4" ht="30" customHeight="1">
      <c r="A4" s="6" t="n">
        <v>0.055</v>
      </c>
      <c r="B4" s="11">
        <f>MIN(('UW Rev'!B36/A4)*'UW Rev'!B18, ('UW Rev'!B38/'UW Rev'!B19)/12/(-PMT(B3/12,'UW Rev'!B43,1)), 'UW Rev'!B38/'UW Rev'!B20)</f>
        <v/>
      </c>
      <c r="C4" s="11">
        <f>MIN(('UW Rev'!B36/A4)*'UW Rev'!B18, ('UW Rev'!B38/'UW Rev'!B19)/12/(-PMT(C3/12,'UW Rev'!B43,1)), 'UW Rev'!B38/'UW Rev'!B20)</f>
        <v/>
      </c>
      <c r="D4" s="11">
        <f>MIN(('UW Rev'!B36/A4)*'UW Rev'!B18, ('UW Rev'!B38/'UW Rev'!B19)/12/(-PMT(D3/12,'UW Rev'!B43,1)), 'UW Rev'!B38/'UW Rev'!B20)</f>
        <v/>
      </c>
    </row>
    <row r="5" ht="30" customHeight="1">
      <c r="A5" s="6" t="n">
        <v>0.06</v>
      </c>
      <c r="B5" s="11">
        <f>MIN(('UW Rev'!B36/A5)*'UW Rev'!B18, ('UW Rev'!B38/'UW Rev'!B19)/12/(-PMT(B3/12,'UW Rev'!B43,1)), 'UW Rev'!B38/'UW Rev'!B20)</f>
        <v/>
      </c>
      <c r="C5" s="11">
        <f>MIN(('UW Rev'!B36/A5)*'UW Rev'!B18, ('UW Rev'!B38/'UW Rev'!B19)/12/(-PMT(C3/12,'UW Rev'!B43,1)), 'UW Rev'!B38/'UW Rev'!B20)</f>
        <v/>
      </c>
      <c r="D5" s="11">
        <f>MIN(('UW Rev'!B36/A5)*'UW Rev'!B18, ('UW Rev'!B38/'UW Rev'!B19)/12/(-PMT(D3/12,'UW Rev'!B43,1)), 'UW Rev'!B38/'UW Rev'!B20)</f>
        <v/>
      </c>
    </row>
    <row r="6" ht="30" customHeight="1">
      <c r="A6" s="6" t="n">
        <v>0.065</v>
      </c>
      <c r="B6" s="11">
        <f>MIN(('UW Rev'!B36/A6)*'UW Rev'!B18, ('UW Rev'!B38/'UW Rev'!B19)/12/(-PMT(B3/12,'UW Rev'!B43,1)), 'UW Rev'!B38/'UW Rev'!B20)</f>
        <v/>
      </c>
      <c r="C6" s="11">
        <f>MIN(('UW Rev'!B36/A6)*'UW Rev'!B18, ('UW Rev'!B38/'UW Rev'!B19)/12/(-PMT(C3/12,'UW Rev'!B43,1)), 'UW Rev'!B38/'UW Rev'!B20)</f>
        <v/>
      </c>
      <c r="D6" s="11">
        <f>MIN(('UW Rev'!B36/A6)*'UW Rev'!B18, ('UW Rev'!B38/'UW Rev'!B19)/12/(-PMT(D3/12,'UW Rev'!B43,1)), 'UW Rev'!B38/'UW Rev'!B20)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revision-notice.pdf</t>
        </is>
      </c>
      <c r="B4" s="12" t="inlineStr">
        <is>
          <t>p.1</t>
        </is>
      </c>
      <c r="C4" s="12" t="inlineStr">
        <is>
          <t>Suite 045 now active at +$225/mo; increase sizing rate +75 bps; cap rate +25 bps; new roll date 2026-09-01; other rules unchanged</t>
        </is>
      </c>
    </row>
    <row r="5" ht="30" customHeight="1">
      <c r="A5" s="12" t="inlineStr">
        <is>
          <t>rent-roll-revised.xlsx</t>
        </is>
      </c>
      <c r="B5" s="12" t="inlineStr">
        <is>
          <t>B2; A5:G52</t>
        </is>
      </c>
      <c r="C5" s="12" t="inlineStr">
        <is>
          <t>Certified roll superseding prior: 45 active, 3 vacant; Unit 045 now active at $2,150/mo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2026-09-07T12:55:49Z</dcterms:created>
  <dcterms:modified xmlns:dcterms="http://purl.org/dc/terms/" xmlns:xsi="http://www.w3.org/2001/XMLSchema-instance" xsi:type="dcterms:W3CDTF">2026-09-07T13:00:04Z</dcterms:modified>
</cp:coreProperties>
</file>