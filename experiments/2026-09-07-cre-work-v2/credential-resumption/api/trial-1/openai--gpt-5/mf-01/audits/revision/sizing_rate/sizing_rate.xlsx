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 Rev" sheetId="1" state="visible" r:id="rId3"/>
    <sheet name="Sensitivity Rev" sheetId="2" state="visible" r:id="rId4"/>
    <sheet name="Sources Re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<sst xmlns="http://schemas.openxmlformats.org/spreadsheetml/2006/main" count="60" uniqueCount="55">
  <si>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Magnolia Terrace - Underwriting (Revised 2026-09-01)</t>
  </si>
  <si>
    <t xml:space="preserve">As of date</t>
  </si>
  <si>
    <t xml:space="preserve">2026-09-01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</si>
  <si>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</si>
  <si>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</si>
  <si>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</si>
  <si>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</si>
  <si>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</si>
  <si>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</si>
  <si>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</si>
  <si>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</si>
  <si>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</si>
  <si>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</si>
  <si>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</si>
  <si>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</si>
  <si>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</si>
  <si>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</si>
  <si>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</si>
  <si>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</si>
  <si>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</si>
  <si>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</si>
  <si>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</si>
  <si>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</si>
  <si>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</si>
  <si>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</si>
  <si>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</si>
  <si>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</si>
  <si>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</si>
  <si>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</si>
  <si>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</si>
  <si>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</si>
  <si>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</si>
  <si>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</si>
  <si>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</si>
  <si>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</si>
  <si>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 monthly)</t>
  </si>
  <si>
    <t xml:space="preserve">ADS at DSCR (annual)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</si>
  <si>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</si>
  <si>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</si>
  <si>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</si>
  <si>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</si>
  <si>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</si>
  <si>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 (Revised)</t>
  </si>
  <si>
    <t xml:space="preserve">Cap rate ↓ | Sizing rate →</t>
  </si>
  <si>
    <t xml:space="preserve">Max Loan ($)</t>
  </si>
  <si>
    <t xml:space="preserve">Source register (Revised)</t>
  </si>
  <si>
    <t xml:space="preserve">Document</t>
  </si>
  <si>
    <t xml:space="preserve">Location (page / cell)</t>
  </si>
  <si>
    <t xml:space="preserve">Key data used</t>
  </si>
  <si>
    <t xml:space="preserve">revision-notice.pdf</t>
  </si>
  <si>
    <t xml:space="preserve">p.1</t>
  </si>
  <si>
    <t xml:space="preserve">Suite 045 now active at +$225/mo; increase sizing rate +75 bps; cap rate +25 bps; new roll date 2026-09-01; other rules unchanged</t>
  </si>
  <si>
    <t xml:space="preserve">rent-roll-revised.xlsx</t>
  </si>
  <si>
    <t xml:space="preserve">B2; A5:G52</t>
  </si>
  <si>
    <t xml:space="preserve">Certified roll superseding prior: 45 active, 3 vacant; Unit 045 now active at $2,150/mo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</si>
</sst>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977100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0.06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7" t="s">
        <v>8</v>
      </c>
      <c r="B9" s="8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6" t="n">
        <v>0.08</v>
      </c>
    </row>
    <row r="26" customFormat="false" ht="30" hidden="false" customHeight="true" outlineLevel="0" collapsed="false">
      <c r="A26" s="2" t="s">
        <v>3</v>
      </c>
      <c r="B26" s="8" t="n">
        <f aca="false">B4</f>
        <v>977100</v>
      </c>
    </row>
    <row r="27" customFormat="false" ht="30" hidden="false" customHeight="true" outlineLevel="0" collapsed="false">
      <c r="A27" s="2" t="s">
        <v>24</v>
      </c>
      <c r="B27" s="8" t="n">
        <f aca="false">B26*B5</f>
        <v>48855</v>
      </c>
    </row>
    <row r="28" customFormat="false" ht="30" hidden="false" customHeight="true" outlineLevel="0" collapsed="false">
      <c r="A28" s="2" t="s">
        <v>8</v>
      </c>
      <c r="B28" s="8" t="n">
        <f aca="false">B9</f>
        <v>16800</v>
      </c>
    </row>
    <row r="29" customFormat="false" ht="30" hidden="false" customHeight="true" outlineLevel="0" collapsed="false">
      <c r="A29" s="2" t="s">
        <v>25</v>
      </c>
      <c r="B29" s="8" t="n">
        <f aca="false">B26-B27+B28</f>
        <v>945045</v>
      </c>
    </row>
    <row r="31" customFormat="false" ht="30" hidden="false" customHeight="true" outlineLevel="0" collapsed="false">
      <c r="A31" s="2" t="s">
        <v>26</v>
      </c>
      <c r="B31" s="8" t="n">
        <f aca="false">B29*B13</f>
        <v>28351.35</v>
      </c>
    </row>
    <row r="32" customFormat="false" ht="30" hidden="false" customHeight="true" outlineLevel="0" collapsed="false">
      <c r="A32" s="2" t="s">
        <v>9</v>
      </c>
      <c r="B32" s="8" t="n">
        <f aca="false">B10</f>
        <v>102312</v>
      </c>
    </row>
    <row r="33" customFormat="false" ht="30" hidden="false" customHeight="true" outlineLevel="0" collapsed="false">
      <c r="A33" s="2" t="s">
        <v>10</v>
      </c>
      <c r="B33" s="8" t="n">
        <f aca="false">B11</f>
        <v>34104</v>
      </c>
    </row>
    <row r="34" customFormat="false" ht="30" hidden="false" customHeight="true" outlineLevel="0" collapsed="false">
      <c r="A34" s="2" t="s">
        <v>11</v>
      </c>
      <c r="B34" s="8" t="n">
        <f aca="false">B12</f>
        <v>136416</v>
      </c>
    </row>
    <row r="35" customFormat="false" ht="30" hidden="false" customHeight="true" outlineLevel="0" collapsed="false">
      <c r="A35" s="2" t="s">
        <v>27</v>
      </c>
      <c r="B35" s="8" t="n">
        <f aca="false">SUM(B31:B34)</f>
        <v>301183.35</v>
      </c>
    </row>
    <row r="36" customFormat="false" ht="30" hidden="false" customHeight="true" outlineLevel="0" collapsed="false">
      <c r="A36" s="2" t="s">
        <v>28</v>
      </c>
      <c r="B36" s="8" t="n">
        <f aca="false">B29-B35</f>
        <v>643861.65</v>
      </c>
    </row>
    <row r="37" customFormat="false" ht="30" hidden="false" customHeight="true" outlineLevel="0" collapsed="false">
      <c r="A37" s="2" t="s">
        <v>29</v>
      </c>
      <c r="B37" s="8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8" t="n">
        <f aca="false">B36-B37</f>
        <v>629461.65</v>
      </c>
    </row>
    <row r="39" customFormat="false" ht="30" hidden="false" customHeight="true" outlineLevel="0" collapsed="false">
      <c r="A39" s="2" t="s">
        <v>31</v>
      </c>
      <c r="B39" s="8" t="n">
        <f aca="false">B36/B6</f>
        <v>10731027.5</v>
      </c>
    </row>
    <row r="41" customFormat="false" ht="30" hidden="false" customHeight="true" outlineLevel="0" collapsed="false">
      <c r="A41" s="2" t="s">
        <v>32</v>
      </c>
      <c r="B41" s="8" t="n">
        <f aca="false">B39*B18</f>
        <v>6975167.875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0.00666666666666667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0.00733764573879376</v>
      </c>
    </row>
    <row r="45" customFormat="false" ht="30" hidden="false" customHeight="true" outlineLevel="0" collapsed="false">
      <c r="A45" s="2" t="s">
        <v>36</v>
      </c>
      <c r="B45" s="8" t="n">
        <f aca="false">B38/B19</f>
        <v>503569.32</v>
      </c>
    </row>
    <row r="46" customFormat="false" ht="30" hidden="false" customHeight="true" outlineLevel="0" collapsed="false">
      <c r="A46" s="2" t="s">
        <v>37</v>
      </c>
      <c r="B46" s="8" t="n">
        <f aca="false">B45/12/B44</f>
        <v>5719015.53902199</v>
      </c>
    </row>
    <row r="47" customFormat="false" ht="30" hidden="false" customHeight="true" outlineLevel="0" collapsed="false">
      <c r="A47" s="2" t="s">
        <v>38</v>
      </c>
      <c r="B47" s="8" t="n">
        <f aca="false">B38/B20</f>
        <v>6994018.33333333</v>
      </c>
    </row>
    <row r="48" customFormat="false" ht="30" hidden="false" customHeight="true" outlineLevel="0" collapsed="false">
      <c r="A48" s="2" t="s">
        <v>39</v>
      </c>
      <c r="B48" s="8" t="n">
        <f aca="false">MIN(B41,B46,B47)</f>
        <v>5719015.53902199</v>
      </c>
    </row>
    <row r="49" customFormat="false" ht="30" hidden="false" customHeight="true" outlineLevel="0" collapsed="false">
      <c r="A49" s="2" t="s">
        <v>40</v>
      </c>
      <c r="B49" s="8" t="n">
        <f aca="false">B48*B17</f>
        <v>57190.1553902199</v>
      </c>
    </row>
    <row r="50" customFormat="false" ht="30" hidden="false" customHeight="true" outlineLevel="0" collapsed="false">
      <c r="A50" s="2" t="s">
        <v>41</v>
      </c>
      <c r="B50" s="8" t="n">
        <f aca="false">B48-B49-B16-B15</f>
        <v>1416825.38363177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0.07</v>
      </c>
      <c r="C3" s="6" t="n">
        <v>0.075</v>
      </c>
      <c r="D3" s="6" t="n">
        <v>0.08</v>
      </c>
    </row>
    <row r="4" customFormat="false" ht="30" hidden="false" customHeight="true" outlineLevel="0" collapsed="false">
      <c r="A4" s="6" t="n">
        <v>0.055</v>
      </c>
      <c r="B4" s="11" t="n">
        <f aca="false">MIN(('UW Rev'!B36/A4)*'UW Rev'!B18, ('UW Rev'!B38/'UW Rev'!B19)/12/(-PMT(B3/12,'UW Rev'!B43,1)), 'UW Rev'!B38/'UW Rev'!B20)</f>
        <v>6307523.31519484</v>
      </c>
      <c r="C4" s="11" t="n">
        <f aca="false">MIN(('UW Rev'!B36/A4)*'UW Rev'!B18, ('UW Rev'!B38/'UW Rev'!B19)/12/(-PMT(C3/12,'UW Rev'!B43,1)), 'UW Rev'!B38/'UW Rev'!B20)</f>
        <v>6001607.44473917</v>
      </c>
      <c r="D4" s="11" t="n">
        <f aca="false">MIN(('UW Rev'!B36/A4)*'UW Rev'!B18, ('UW Rev'!B38/'UW Rev'!B19)/12/(-PMT(D3/12,'UW Rev'!B43,1)), 'UW Rev'!B38/'UW Rev'!B20)</f>
        <v>5719015.53902199</v>
      </c>
    </row>
    <row r="5" customFormat="false" ht="30" hidden="false" customHeight="true" outlineLevel="0" collapsed="false">
      <c r="A5" s="6" t="n">
        <v>0.06</v>
      </c>
      <c r="B5" s="11" t="n">
        <f aca="false">MIN(('UW Rev'!B36/A5)*'UW Rev'!B18, ('UW Rev'!B38/'UW Rev'!B19)/12/(-PMT(B3/12,'UW Rev'!B43,1)), 'UW Rev'!B38/'UW Rev'!B20)</f>
        <v>6307523.31519484</v>
      </c>
      <c r="C5" s="11" t="n">
        <f aca="false">MIN(('UW Rev'!B36/A5)*'UW Rev'!B18, ('UW Rev'!B38/'UW Rev'!B19)/12/(-PMT(C3/12,'UW Rev'!B43,1)), 'UW Rev'!B38/'UW Rev'!B20)</f>
        <v>6001607.44473917</v>
      </c>
      <c r="D5" s="11" t="n">
        <f aca="false">MIN(('UW Rev'!B36/A5)*'UW Rev'!B18, ('UW Rev'!B38/'UW Rev'!B19)/12/(-PMT(D3/12,'UW Rev'!B43,1)), 'UW Rev'!B38/'UW Rev'!B20)</f>
        <v>5719015.53902199</v>
      </c>
    </row>
    <row r="6" customFormat="false" ht="30" hidden="false" customHeight="true" outlineLevel="0" collapsed="false">
      <c r="A6" s="6" t="n">
        <v>0.065</v>
      </c>
      <c r="B6" s="11" t="n">
        <f aca="false">MIN(('UW Rev'!B36/A6)*'UW Rev'!B18, ('UW Rev'!B38/'UW Rev'!B19)/12/(-PMT(B3/12,'UW Rev'!B43,1)), 'UW Rev'!B38/'UW Rev'!B20)</f>
        <v>6307523.31519484</v>
      </c>
      <c r="C6" s="11" t="n">
        <f aca="false">MIN(('UW Rev'!B36/A6)*'UW Rev'!B18, ('UW Rev'!B38/'UW Rev'!B19)/12/(-PMT(C3/12,'UW Rev'!B43,1)), 'UW Rev'!B38/'UW Rev'!B20)</f>
        <v>6001607.44473917</v>
      </c>
      <c r="D6" s="11" t="n">
        <f aca="false">MIN(('UW Rev'!B36/A6)*'UW Rev'!B18, ('UW Rev'!B38/'UW Rev'!B19)/12/(-PMT(D3/12,'UW Rev'!B43,1)), 'UW Rev'!B38/'UW Rev'!B20)</f>
        <v>5719015.53902199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2026-09-07T12:55:49Z</dcterms:created>
  <dc:creator>openpyxl</dc:creator>
  <dc:description/>
  <dc:language>en-US</dc:language>
  <cp:lastModifiedBy/>
  <dcterms:modified xsi:type="dcterms:W3CDTF">2026-09-07T13:00:05Z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