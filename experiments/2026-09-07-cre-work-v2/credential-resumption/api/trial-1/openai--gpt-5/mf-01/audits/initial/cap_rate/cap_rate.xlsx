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<sst xmlns="http://schemas.openxmlformats.org/spreadsheetml/2006/main" count="78" uniqueCount="67">
  <si>
    <t xml:space="preserve">Magnolia Terrace - Underwriting</t>
  </si>
  <si>
    <t xml:space="preserve">As of date</t>
  </si>
  <si>
    <t xml:space="preserve">2026-08-31</t>
  </si>
  <si>
    <t xml:space="preserve">Gross potential rent (annual)</t>
  </si>
  <si>
    <t xml:space="preserve">Economic loss %</t>
  </si>
  <si>
    <t xml:space="preserve">Cap rate</t>
  </si>
  <si>
    <t xml:space="preserve">Total units/suites</t>
  </si>
  <si>
    <t xml:space="preserve">Other income per unit (annual)</t>
  </si>
  <si>
    <t xml:space="preserve">Other income (annual)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</si>
  <si>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</si>
  <si>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</si>
  <si>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</si>
  <si>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</si>
  <si>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 (annual)</t>
  </si>
  <si>
    <t xml:space="preserve">Existing payoff</t>
  </si>
  <si>
    <t xml:space="preserve">Closing costs</t>
  </si>
  <si>
    <t xml:space="preserve">Origination fee %</t>
  </si>
  <si>
    <t xml:space="preserve">Max LTV</t>
  </si>
  <si>
    <t xml:space="preserve">Min DSCR</t>
  </si>
  <si>
    <t xml:space="preserve">Min debt yield</t>
  </si>
  <si>
    <t xml:space="preserve">Amortization (years)</t>
  </si>
  <si>
    <t xml:space="preserve">Note rate</t>
  </si>
  <si>
    <t xml:space="preserve">UW rate floor</t>
  </si>
  <si>
    <t xml:space="preserve">Sizing rate (used)</t>
  </si>
  <si>
    <t xml:space="preserve">Economic loss</t>
  </si>
  <si>
    <t xml:space="preserve">Underwritten EGI</t>
  </si>
  <si>
    <t xml:space="preserve">Management fee</t>
  </si>
  <si>
    <t xml:space="preserve">Total opex before reserves</t>
  </si>
  <si>
    <t xml:space="preserve">UW NOI (before reserves)</t>
  </si>
  <si>
    <t xml:space="preserve">Replacement reserves</t>
  </si>
  <si>
    <t xml:space="preserve">UW NCF (after reserves)</t>
  </si>
  <si>
    <t xml:space="preserve">Capitalization value</t>
  </si>
  <si>
    <t xml:space="preserve">LTV limit</t>
  </si>
  <si>
    <t xml:space="preserve">Monthly sizing rate</t>
  </si>
  <si>
    <t xml:space="preserve">Term (months)</t>
  </si>
  <si>
    <t xml:space="preserve">Payment per $1 (PMT monthly)</t>
  </si>
  <si>
    <t xml:space="preserve">ADS at DSCR (annual)</t>
  </si>
  <si>
    <t xml:space="preserve">DSCR limit</t>
  </si>
  <si>
    <t xml:space="preserve">Debt yield limit</t>
  </si>
  <si>
    <t xml:space="preserve">Maximum loan</t>
  </si>
  <si>
    <t xml:space="preserve">Origination fee</t>
  </si>
  <si>
    <t xml:space="preserve">Net cash out</t>
  </si>
  <si>
    <t xml:space="preserve">Maximum Loan Sensitivity</t>
  </si>
  <si>
    <t xml:space="preserve">Cap rate ↓ | Sizing rate →</t>
  </si>
  <si>
    <t xml:space="preserve">Max Loan ($)</t>
  </si>
  <si>
    <t xml:space="preserve">Source register</t>
  </si>
  <si>
    <t xml:space="preserve">Document</t>
  </si>
  <si>
    <t xml:space="preserve">Location (page / cell)</t>
  </si>
  <si>
    <t xml:space="preserve">Key data used</t>
  </si>
  <si>
    <t xml:space="preserve">rent-roll-certified.xlsx</t>
  </si>
  <si>
    <t xml:space="preserve">B2; A5:G52</t>
  </si>
  <si>
    <t xml:space="preserve">Certified roll as of 2026-08-31; unit types, areas, statuses, monthly rents</t>
  </si>
  <si>
    <t xml:space="preserve">lease-001.pdf</t>
  </si>
  <si>
    <t xml:space="preserve">p.1</t>
  </si>
  <si>
    <t xml:space="preserve">Suite 001 lease; $1,500/mo; 700 SF; 2029-08-31 expiry; no free rent; amendment may control</t>
  </si>
  <si>
    <t xml:space="preserve">lease-correspondence.pdf</t>
  </si>
  <si>
    <t xml:space="preserve">Signed amendment effective 2026-08-01; +$350/mo (impacts in-place rent only)</t>
  </si>
  <si>
    <t xml:space="preserve">operating-statement.pdf</t>
  </si>
  <si>
    <t xml:space="preserve">T12 collections $876,960; taxes $102,312; insurance $34,104; other opex $136,416; reported NOI $604,128</t>
  </si>
  <si>
    <t xml:space="preserve">insurance.pdf</t>
  </si>
  <si>
    <t xml:space="preserve">GL aggregate limit $2,000,000; 2026-07-01 to 2027-06-30</t>
  </si>
  <si>
    <t xml:space="preserve">manager-cover.pdf</t>
  </si>
  <si>
    <t xml:space="preserve">Manager counts occupied + pending as leased (45/48). A/B/C = Studio/1BR/2BR. Approved copy.</t>
  </si>
  <si>
    <t xml:space="preserve">diligence-status.pdf</t>
  </si>
  <si>
    <t xml:space="preserve">Pending third-party diligence; reconcile documents; different NOI/NCF definitions</t>
  </si>
  <si>
    <t xml:space="preserve">rent-roll-archive.xlsx</t>
  </si>
  <si>
    <t xml:space="preserve">June 30, 2026 stale roll for comparison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</si>
</sst>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.0000%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n">
        <v>974400</v>
      </c>
    </row>
    <row r="5" customFormat="false" ht="30" hidden="false" customHeight="true" outlineLevel="0" collapsed="false">
      <c r="A5" s="2" t="s">
        <v>4</v>
      </c>
      <c r="B5" s="5" t="n">
        <v>0.05</v>
      </c>
    </row>
    <row r="6" customFormat="false" ht="30" hidden="false" customHeight="true" outlineLevel="0" collapsed="false">
      <c r="A6" s="2" t="s">
        <v>5</v>
      </c>
      <c r="B6" s="6" t="n">
        <v>0.0625</v>
      </c>
    </row>
    <row r="7" customFormat="false" ht="30" hidden="false" customHeight="true" outlineLevel="0" collapsed="false">
      <c r="A7" s="2" t="s">
        <v>6</v>
      </c>
      <c r="B7" s="3" t="n">
        <v>48</v>
      </c>
    </row>
    <row r="8" customFormat="false" ht="30" hidden="false" customHeight="true" outlineLevel="0" collapsed="false">
      <c r="A8" s="2" t="s">
        <v>7</v>
      </c>
      <c r="B8" s="4" t="n">
        <v>350</v>
      </c>
    </row>
    <row r="9" customFormat="false" ht="30" hidden="false" customHeight="true" outlineLevel="0" collapsed="false">
      <c r="A9" s="2" t="s">
        <v>8</v>
      </c>
      <c r="B9" s="7" t="n">
        <f aca="false">B7*B8</f>
        <v>16800</v>
      </c>
    </row>
    <row r="10" customFormat="false" ht="30" hidden="false" customHeight="true" outlineLevel="0" collapsed="false">
      <c r="A10" s="2" t="s">
        <v>9</v>
      </c>
      <c r="B10" s="4" t="n">
        <v>102312</v>
      </c>
    </row>
    <row r="11" customFormat="false" ht="30" hidden="false" customHeight="true" outlineLevel="0" collapsed="false">
      <c r="A11" s="2" t="s">
        <v>10</v>
      </c>
      <c r="B11" s="4" t="n">
        <v>34104</v>
      </c>
    </row>
    <row r="12" customFormat="false" ht="30" hidden="false" customHeight="true" outlineLevel="0" collapsed="false">
      <c r="A12" s="2" t="s">
        <v>11</v>
      </c>
      <c r="B12" s="4" t="n">
        <v>136416</v>
      </c>
    </row>
    <row r="13" customFormat="false" ht="30" hidden="false" customHeight="true" outlineLevel="0" collapsed="false">
      <c r="A13" s="2" t="s">
        <v>12</v>
      </c>
      <c r="B13" s="5" t="n">
        <v>0.03</v>
      </c>
    </row>
    <row r="14" customFormat="false" ht="30" hidden="false" customHeight="true" outlineLevel="0" collapsed="false">
      <c r="A14" s="2" t="s">
        <v>13</v>
      </c>
      <c r="B14" s="4" t="n">
        <v>300</v>
      </c>
    </row>
    <row r="15" customFormat="false" ht="30" hidden="false" customHeight="true" outlineLevel="0" collapsed="false">
      <c r="A15" s="2" t="s">
        <v>14</v>
      </c>
      <c r="B15" s="4" t="n">
        <v>4200000</v>
      </c>
    </row>
    <row r="16" customFormat="false" ht="30" hidden="false" customHeight="true" outlineLevel="0" collapsed="false">
      <c r="A16" s="2" t="s">
        <v>15</v>
      </c>
      <c r="B16" s="4" t="n">
        <v>45000</v>
      </c>
    </row>
    <row r="17" customFormat="false" ht="30" hidden="false" customHeight="true" outlineLevel="0" collapsed="false">
      <c r="A17" s="2" t="s">
        <v>16</v>
      </c>
      <c r="B17" s="5" t="n">
        <v>0.01</v>
      </c>
    </row>
    <row r="18" customFormat="false" ht="30" hidden="false" customHeight="true" outlineLevel="0" collapsed="false">
      <c r="A18" s="2" t="s">
        <v>17</v>
      </c>
      <c r="B18" s="5" t="n">
        <v>0.65</v>
      </c>
    </row>
    <row r="19" customFormat="false" ht="30" hidden="false" customHeight="true" outlineLevel="0" collapsed="false">
      <c r="A19" s="2" t="s">
        <v>18</v>
      </c>
      <c r="B19" s="3" t="n">
        <v>1.25</v>
      </c>
    </row>
    <row r="20" customFormat="false" ht="30" hidden="false" customHeight="true" outlineLevel="0" collapsed="false">
      <c r="A20" s="2" t="s">
        <v>19</v>
      </c>
      <c r="B20" s="5" t="n">
        <v>0.09</v>
      </c>
    </row>
    <row r="21" customFormat="false" ht="30" hidden="false" customHeight="true" outlineLevel="0" collapsed="false">
      <c r="A21" s="2" t="s">
        <v>20</v>
      </c>
      <c r="B21" s="3" t="n">
        <v>30</v>
      </c>
    </row>
    <row r="22" customFormat="false" ht="30" hidden="false" customHeight="true" outlineLevel="0" collapsed="false">
      <c r="A22" s="2" t="s">
        <v>21</v>
      </c>
      <c r="B22" s="6" t="n">
        <v>0.0625</v>
      </c>
    </row>
    <row r="23" customFormat="false" ht="30" hidden="false" customHeight="true" outlineLevel="0" collapsed="false">
      <c r="A23" s="2" t="s">
        <v>22</v>
      </c>
      <c r="B23" s="6" t="n">
        <v>0.06</v>
      </c>
    </row>
    <row r="24" customFormat="false" ht="30" hidden="false" customHeight="true" outlineLevel="0" collapsed="false">
      <c r="A24" s="2" t="s">
        <v>23</v>
      </c>
      <c r="B24" s="8" t="n">
        <f aca="false">MAX(B22,B23)</f>
        <v>0.0625</v>
      </c>
    </row>
    <row r="26" customFormat="false" ht="30" hidden="false" customHeight="true" outlineLevel="0" collapsed="false">
      <c r="A26" s="2" t="s">
        <v>3</v>
      </c>
      <c r="B26" s="7" t="n">
        <f aca="false">B4</f>
        <v>974400</v>
      </c>
    </row>
    <row r="27" customFormat="false" ht="30" hidden="false" customHeight="true" outlineLevel="0" collapsed="false">
      <c r="A27" s="2" t="s">
        <v>24</v>
      </c>
      <c r="B27" s="7" t="n">
        <f aca="false">B26*B5</f>
        <v>48720</v>
      </c>
    </row>
    <row r="28" customFormat="false" ht="30" hidden="false" customHeight="true" outlineLevel="0" collapsed="false">
      <c r="A28" s="2" t="s">
        <v>8</v>
      </c>
      <c r="B28" s="7" t="n">
        <f aca="false">B9</f>
        <v>16800</v>
      </c>
    </row>
    <row r="29" customFormat="false" ht="30" hidden="false" customHeight="true" outlineLevel="0" collapsed="false">
      <c r="A29" s="2" t="s">
        <v>25</v>
      </c>
      <c r="B29" s="7" t="n">
        <f aca="false">B26-B27+B28</f>
        <v>942480</v>
      </c>
    </row>
    <row r="31" customFormat="false" ht="30" hidden="false" customHeight="true" outlineLevel="0" collapsed="false">
      <c r="A31" s="2" t="s">
        <v>26</v>
      </c>
      <c r="B31" s="7" t="n">
        <f aca="false">B29*B13</f>
        <v>28274.4</v>
      </c>
    </row>
    <row r="32" customFormat="false" ht="30" hidden="false" customHeight="true" outlineLevel="0" collapsed="false">
      <c r="A32" s="2" t="s">
        <v>9</v>
      </c>
      <c r="B32" s="7" t="n">
        <f aca="false">B10</f>
        <v>102312</v>
      </c>
    </row>
    <row r="33" customFormat="false" ht="30" hidden="false" customHeight="true" outlineLevel="0" collapsed="false">
      <c r="A33" s="2" t="s">
        <v>10</v>
      </c>
      <c r="B33" s="7" t="n">
        <f aca="false">B11</f>
        <v>34104</v>
      </c>
    </row>
    <row r="34" customFormat="false" ht="30" hidden="false" customHeight="true" outlineLevel="0" collapsed="false">
      <c r="A34" s="2" t="s">
        <v>11</v>
      </c>
      <c r="B34" s="7" t="n">
        <f aca="false">B12</f>
        <v>136416</v>
      </c>
    </row>
    <row r="35" customFormat="false" ht="30" hidden="false" customHeight="true" outlineLevel="0" collapsed="false">
      <c r="A35" s="2" t="s">
        <v>27</v>
      </c>
      <c r="B35" s="7" t="n">
        <f aca="false">SUM(B31:B34)</f>
        <v>301106.4</v>
      </c>
    </row>
    <row r="36" customFormat="false" ht="30" hidden="false" customHeight="true" outlineLevel="0" collapsed="false">
      <c r="A36" s="2" t="s">
        <v>28</v>
      </c>
      <c r="B36" s="7" t="n">
        <f aca="false">B29-B35</f>
        <v>641373.6</v>
      </c>
    </row>
    <row r="37" customFormat="false" ht="30" hidden="false" customHeight="true" outlineLevel="0" collapsed="false">
      <c r="A37" s="2" t="s">
        <v>29</v>
      </c>
      <c r="B37" s="7" t="n">
        <f aca="false">B7*B14</f>
        <v>14400</v>
      </c>
    </row>
    <row r="38" customFormat="false" ht="30" hidden="false" customHeight="true" outlineLevel="0" collapsed="false">
      <c r="A38" s="2" t="s">
        <v>30</v>
      </c>
      <c r="B38" s="7" t="n">
        <f aca="false">B36-B37</f>
        <v>626973.6</v>
      </c>
    </row>
    <row r="39" customFormat="false" ht="30" hidden="false" customHeight="true" outlineLevel="0" collapsed="false">
      <c r="A39" s="2" t="s">
        <v>31</v>
      </c>
      <c r="B39" s="7" t="n">
        <f aca="false">B36/B6</f>
        <v>10261977.6</v>
      </c>
    </row>
    <row r="41" customFormat="false" ht="30" hidden="false" customHeight="true" outlineLevel="0" collapsed="false">
      <c r="A41" s="2" t="s">
        <v>32</v>
      </c>
      <c r="B41" s="7" t="n">
        <f aca="false">B39*B18</f>
        <v>6670285.44</v>
      </c>
    </row>
    <row r="42" customFormat="false" ht="30" hidden="false" customHeight="true" outlineLevel="0" collapsed="false">
      <c r="A42" s="2" t="s">
        <v>33</v>
      </c>
      <c r="B42" s="9" t="n">
        <f aca="false">B24/12</f>
        <v>0.00520833333333333</v>
      </c>
    </row>
    <row r="43" customFormat="false" ht="30" hidden="false" customHeight="true" outlineLevel="0" collapsed="false">
      <c r="A43" s="2" t="s">
        <v>34</v>
      </c>
      <c r="B43" s="10" t="n">
        <f aca="false">B21*12</f>
        <v>360</v>
      </c>
    </row>
    <row r="44" customFormat="false" ht="30" hidden="false" customHeight="true" outlineLevel="0" collapsed="false">
      <c r="A44" s="2" t="s">
        <v>35</v>
      </c>
      <c r="B44" s="10" t="n">
        <f aca="false">-PMT(B42,B43,1)</f>
        <v>0.00615717200426392</v>
      </c>
    </row>
    <row r="45" customFormat="false" ht="30" hidden="false" customHeight="true" outlineLevel="0" collapsed="false">
      <c r="A45" s="2" t="s">
        <v>36</v>
      </c>
      <c r="B45" s="7" t="n">
        <f aca="false">B38/B19</f>
        <v>501578.88</v>
      </c>
    </row>
    <row r="46" customFormat="false" ht="30" hidden="false" customHeight="true" outlineLevel="0" collapsed="false">
      <c r="A46" s="2" t="s">
        <v>37</v>
      </c>
      <c r="B46" s="7" t="n">
        <f aca="false">B45/12/B44</f>
        <v>6788545.12608292</v>
      </c>
    </row>
    <row r="47" customFormat="false" ht="30" hidden="false" customHeight="true" outlineLevel="0" collapsed="false">
      <c r="A47" s="2" t="s">
        <v>38</v>
      </c>
      <c r="B47" s="7" t="n">
        <f aca="false">B38/B20</f>
        <v>6966373.33333333</v>
      </c>
    </row>
    <row r="48" customFormat="false" ht="30" hidden="false" customHeight="true" outlineLevel="0" collapsed="false">
      <c r="A48" s="2" t="s">
        <v>39</v>
      </c>
      <c r="B48" s="7" t="n">
        <f aca="false">MIN(B41,B46,B47)</f>
        <v>6670285.44</v>
      </c>
    </row>
    <row r="49" customFormat="false" ht="30" hidden="false" customHeight="true" outlineLevel="0" collapsed="false">
      <c r="A49" s="2" t="s">
        <v>40</v>
      </c>
      <c r="B49" s="7" t="n">
        <f aca="false">B48*B17</f>
        <v>66702.8544</v>
      </c>
    </row>
    <row r="50" customFormat="false" ht="30" hidden="false" customHeight="true" outlineLevel="0" collapsed="false">
      <c r="A50" s="2" t="s">
        <v>41</v>
      </c>
      <c r="B50" s="7" t="n">
        <f aca="false">B48-B49-B16-B15</f>
        <v>2358582.5856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42</v>
      </c>
    </row>
    <row r="3" customFormat="false" ht="30" hidden="false" customHeight="true" outlineLevel="0" collapsed="false">
      <c r="A3" s="2" t="s">
        <v>43</v>
      </c>
      <c r="B3" s="6" t="n">
        <v>0.0575</v>
      </c>
      <c r="C3" s="6" t="n">
        <v>0.0625</v>
      </c>
      <c r="D3" s="6" t="n">
        <v>0.0675</v>
      </c>
    </row>
    <row r="4" customFormat="false" ht="30" hidden="false" customHeight="true" outlineLevel="0" collapsed="false">
      <c r="A4" s="6" t="n">
        <v>0.0525</v>
      </c>
      <c r="B4" s="11" t="n">
        <f aca="false">MIN((UW!B36/A4)*UW!B18, (UW!B38/UW!B19)/12/(-PMT(B3/12,UW!B43,1)), UW!B38/UW!B20)</f>
        <v>6966373.33333333</v>
      </c>
      <c r="C4" s="11" t="n">
        <f aca="false">MIN((UW!B36/A4)*UW!B18, (UW!B38/UW!B19)/12/(-PMT(C3/12,UW!B43,1)), UW!B38/UW!B20)</f>
        <v>6788545.12608292</v>
      </c>
      <c r="D4" s="11" t="n">
        <f aca="false">MIN((UW!B36/A4)*UW!B18, (UW!B38/UW!B19)/12/(-PMT(D3/12,UW!B43,1)), UW!B38/UW!B20)</f>
        <v>6444397.57396111</v>
      </c>
    </row>
    <row r="5" customFormat="false" ht="30" hidden="false" customHeight="true" outlineLevel="0" collapsed="false">
      <c r="A5" s="6" t="n">
        <v>0.0575</v>
      </c>
      <c r="B5" s="11" t="n">
        <f aca="false">MIN((UW!B36/A5)*UW!B18, (UW!B38/UW!B19)/12/(-PMT(B3/12,UW!B43,1)), UW!B38/UW!B20)</f>
        <v>6966373.33333333</v>
      </c>
      <c r="C5" s="11" t="n">
        <f aca="false">MIN((UW!B36/A5)*UW!B18, (UW!B38/UW!B19)/12/(-PMT(C3/12,UW!B43,1)), UW!B38/UW!B20)</f>
        <v>6788545.12608292</v>
      </c>
      <c r="D5" s="11" t="n">
        <f aca="false">MIN((UW!B36/A5)*UW!B18, (UW!B38/UW!B19)/12/(-PMT(D3/12,UW!B43,1)), UW!B38/UW!B20)</f>
        <v>6444397.57396111</v>
      </c>
    </row>
    <row r="6" customFormat="false" ht="30" hidden="false" customHeight="true" outlineLevel="0" collapsed="false">
      <c r="A6" s="6" t="n">
        <v>0.0625</v>
      </c>
      <c r="B6" s="11" t="n">
        <f aca="false">MIN((UW!B36/A6)*UW!B18, (UW!B38/UW!B19)/12/(-PMT(B3/12,UW!B43,1)), UW!B38/UW!B20)</f>
        <v>6670285.44</v>
      </c>
      <c r="C6" s="11" t="n">
        <f aca="false">MIN((UW!B36/A6)*UW!B18, (UW!B38/UW!B19)/12/(-PMT(C3/12,UW!B43,1)), UW!B38/UW!B20)</f>
        <v>6670285.44</v>
      </c>
      <c r="D6" s="11" t="n">
        <f aca="false">MIN((UW!B36/A6)*UW!B18, (UW!B38/UW!B19)/12/(-PMT(D3/12,UW!B43,1)), UW!B38/UW!B20)</f>
        <v>6444397.57396111</v>
      </c>
    </row>
    <row r="8" customFormat="false" ht="30" hidden="false" customHeight="true" outlineLevel="0" collapsed="false">
      <c r="A8" s="2" t="s">
        <v>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45</v>
      </c>
    </row>
    <row r="3" customFormat="false" ht="30" hidden="false" customHeight="true" outlineLevel="0" collapsed="false">
      <c r="A3" s="2" t="s">
        <v>46</v>
      </c>
      <c r="B3" s="2" t="s">
        <v>47</v>
      </c>
      <c r="C3" s="2" t="s">
        <v>48</v>
      </c>
    </row>
    <row r="4" customFormat="false" ht="30" hidden="false" customHeight="true" outlineLevel="0" collapsed="false">
      <c r="A4" s="12" t="s">
        <v>49</v>
      </c>
      <c r="B4" s="12" t="s">
        <v>50</v>
      </c>
      <c r="C4" s="12" t="s">
        <v>51</v>
      </c>
    </row>
    <row r="5" customFormat="false" ht="30" hidden="false" customHeight="true" outlineLevel="0" collapsed="false">
      <c r="A5" s="12" t="s">
        <v>52</v>
      </c>
      <c r="B5" s="12" t="s">
        <v>53</v>
      </c>
      <c r="C5" s="12" t="s">
        <v>54</v>
      </c>
    </row>
    <row r="6" customFormat="false" ht="30" hidden="false" customHeight="true" outlineLevel="0" collapsed="false">
      <c r="A6" s="12" t="s">
        <v>55</v>
      </c>
      <c r="B6" s="12" t="s">
        <v>53</v>
      </c>
      <c r="C6" s="12" t="s">
        <v>56</v>
      </c>
    </row>
    <row r="7" customFormat="false" ht="30" hidden="false" customHeight="true" outlineLevel="0" collapsed="false">
      <c r="A7" s="12" t="s">
        <v>57</v>
      </c>
      <c r="B7" s="12" t="s">
        <v>53</v>
      </c>
      <c r="C7" s="12" t="s">
        <v>58</v>
      </c>
    </row>
    <row r="8" customFormat="false" ht="30" hidden="false" customHeight="true" outlineLevel="0" collapsed="false">
      <c r="A8" s="12" t="s">
        <v>59</v>
      </c>
      <c r="B8" s="12" t="s">
        <v>53</v>
      </c>
      <c r="C8" s="12" t="s">
        <v>60</v>
      </c>
    </row>
    <row r="9" customFormat="false" ht="30" hidden="false" customHeight="true" outlineLevel="0" collapsed="false">
      <c r="A9" s="12" t="s">
        <v>61</v>
      </c>
      <c r="B9" s="12" t="s">
        <v>53</v>
      </c>
      <c r="C9" s="12" t="s">
        <v>62</v>
      </c>
    </row>
    <row r="10" customFormat="false" ht="30" hidden="false" customHeight="true" outlineLevel="0" collapsed="false">
      <c r="A10" s="12" t="s">
        <v>63</v>
      </c>
      <c r="B10" s="12" t="s">
        <v>53</v>
      </c>
      <c r="C10" s="12" t="s">
        <v>64</v>
      </c>
    </row>
    <row r="11" customFormat="false" ht="30" hidden="false" customHeight="true" outlineLevel="0" collapsed="false">
      <c r="A11" s="12" t="s">
        <v>65</v>
      </c>
      <c r="B11" s="12" t="s">
        <v>50</v>
      </c>
      <c r="C11" s="12" t="s">
        <v>66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2026-09-07T12:50:34Z</dcterms:created>
  <dc:creator>openpyxl</dc:creator>
  <dc:description/>
  <dc:language>en-US</dc:language>
  <cp:lastModifiedBy/>
  <dcterms:modified xsi:type="dcterms:W3CDTF">2026-09-07T13:00:01Z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