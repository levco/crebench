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</cols>
  <sheetData>
    <row r="1" ht="30" customHeight="1">
      <c r="A1" s="1" t="inlineStr">
        <is>
          <t>Falcon Distribution – Underwriting Summary (Revised)</t>
        </is>
      </c>
    </row>
    <row r="3" ht="30" customHeight="1">
      <c r="A3" s="2" t="inlineStr">
        <is>
          <t>Selected roll date</t>
        </is>
      </c>
      <c r="B3" s="3" t="inlineStr">
        <is>
          <t>2026-09-01</t>
        </is>
      </c>
    </row>
    <row r="4" ht="30" customHeight="1">
      <c r="A4" s="2" t="inlineStr">
        <is>
          <t>Total units</t>
        </is>
      </c>
      <c r="B4" s="3" t="n">
        <v>8</v>
      </c>
    </row>
    <row r="5" ht="30" customHeight="1">
      <c r="A5" s="2" t="inlineStr">
        <is>
          <t>Occupied units</t>
        </is>
      </c>
      <c r="B5" s="3" t="n">
        <v>7</v>
      </c>
    </row>
    <row r="6" ht="30" customHeight="1">
      <c r="A6" s="2" t="inlineStr">
        <is>
          <t>Pending units</t>
        </is>
      </c>
      <c r="B6" s="3" t="n">
        <v>0</v>
      </c>
    </row>
    <row r="8" ht="30" customHeight="1">
      <c r="A8" s="2" t="inlineStr">
        <is>
          <t>Gross potential rent (annual)</t>
        </is>
      </c>
      <c r="B8" s="4" t="n">
        <v>1405500</v>
      </c>
    </row>
    <row r="9" ht="30" customHeight="1">
      <c r="A9" s="2" t="inlineStr">
        <is>
          <t>Cap rate</t>
        </is>
      </c>
      <c r="B9" s="5" t="n">
        <v>0.065</v>
      </c>
    </row>
    <row r="10" ht="30" customHeight="1">
      <c r="A10" s="2" t="inlineStr">
        <is>
          <t>Sizing rate (max(note rate, floor))</t>
        </is>
      </c>
      <c r="B10" s="5" t="n">
        <v>0.08750000000000001</v>
      </c>
    </row>
    <row r="12" ht="30" customHeight="1">
      <c r="A12" s="2" t="inlineStr">
        <is>
          <t>Other income per unit (annual)</t>
        </is>
      </c>
      <c r="B12" s="4" t="n">
        <v>350</v>
      </c>
    </row>
    <row r="13" ht="30" customHeight="1">
      <c r="A13" s="2" t="inlineStr">
        <is>
          <t>Other income total (annual)</t>
        </is>
      </c>
      <c r="B13" s="6">
        <f>B12*B4</f>
        <v/>
      </c>
    </row>
    <row r="14" ht="30" customHeight="1">
      <c r="A14" s="2" t="inlineStr">
        <is>
          <t>Economic loss %</t>
        </is>
      </c>
      <c r="B14" s="7" t="n">
        <v>0.05</v>
      </c>
    </row>
    <row r="15" ht="30" customHeight="1">
      <c r="A15" s="2" t="inlineStr">
        <is>
          <t>Underwritten EGI</t>
        </is>
      </c>
      <c r="B15" s="6">
        <f>B8*(1-B14)+B13</f>
        <v/>
      </c>
    </row>
    <row r="17" ht="30" customHeight="1">
      <c r="A17" s="2" t="inlineStr">
        <is>
          <t>Real estate tax</t>
        </is>
      </c>
      <c r="B17" s="4" t="n">
        <v>147294</v>
      </c>
    </row>
    <row r="18" ht="30" customHeight="1">
      <c r="A18" s="2" t="inlineStr">
        <is>
          <t>Insurance</t>
        </is>
      </c>
      <c r="B18" s="4" t="n">
        <v>49098</v>
      </c>
    </row>
    <row r="19" ht="30" customHeight="1">
      <c r="A19" s="2" t="inlineStr">
        <is>
          <t>Other recurring operating expenses</t>
        </is>
      </c>
      <c r="B19" s="4" t="n">
        <v>196392</v>
      </c>
    </row>
    <row r="20" ht="30" customHeight="1">
      <c r="A20" s="2" t="inlineStr">
        <is>
          <t>Management fee (3% of UW EGI)</t>
        </is>
      </c>
      <c r="B20" s="6">
        <f>0.03*B15</f>
        <v/>
      </c>
    </row>
    <row r="21" ht="30" customHeight="1">
      <c r="A21" s="2" t="inlineStr">
        <is>
          <t>UW operating expenses (excl. tax &amp; insurance)</t>
        </is>
      </c>
      <c r="B21" s="6">
        <f>B19+B20</f>
        <v/>
      </c>
    </row>
    <row r="22" ht="30" customHeight="1">
      <c r="A22" s="2" t="inlineStr">
        <is>
          <t>UW NOI (before reserves)</t>
        </is>
      </c>
      <c r="B22" s="6">
        <f>B15-B17-B18-B21</f>
        <v/>
      </c>
    </row>
    <row r="23" ht="30" customHeight="1">
      <c r="A23" s="2" t="inlineStr">
        <is>
          <t>Replacement reserves ($300/unit)</t>
        </is>
      </c>
      <c r="B23" s="6">
        <f>300*B4</f>
        <v/>
      </c>
    </row>
    <row r="24" ht="30" customHeight="1">
      <c r="A24" s="2" t="inlineStr">
        <is>
          <t>UW NCF (after reserves)</t>
        </is>
      </c>
      <c r="B24" s="6">
        <f>B22-B23</f>
        <v/>
      </c>
    </row>
    <row r="26" ht="30" customHeight="1">
      <c r="A26" s="2" t="inlineStr">
        <is>
          <t>Capitalization value (NOI / cap rate)</t>
        </is>
      </c>
      <c r="B26" s="6">
        <f>B22/B9</f>
        <v/>
      </c>
    </row>
    <row r="28" ht="30" customHeight="1">
      <c r="A28" s="2" t="inlineStr">
        <is>
          <t>Amortization (years)</t>
        </is>
      </c>
      <c r="B28" s="3" t="n">
        <v>30</v>
      </c>
    </row>
    <row r="29" ht="30" customHeight="1">
      <c r="A29" s="2" t="inlineStr">
        <is>
          <t>Annual debt constant at sizing rate</t>
        </is>
      </c>
      <c r="B29" s="8">
        <f>ABS(12*PMT(B10/12,B28*12,1))</f>
        <v/>
      </c>
    </row>
    <row r="30" ht="30" customHeight="1">
      <c r="A30" s="2" t="inlineStr">
        <is>
          <t>LTV limit (65% of value)</t>
        </is>
      </c>
      <c r="B30" s="6">
        <f>0.65*B26</f>
        <v/>
      </c>
    </row>
    <row r="31" ht="30" customHeight="1">
      <c r="A31" s="2" t="inlineStr">
        <is>
          <t>DSCR limit (NCF / 1.25 / debt constant)</t>
        </is>
      </c>
      <c r="B31" s="6">
        <f>B24/1.25/B29</f>
        <v/>
      </c>
    </row>
    <row r="32" ht="30" customHeight="1">
      <c r="A32" s="2" t="inlineStr">
        <is>
          <t>Debt yield limit (NCF / 9%)</t>
        </is>
      </c>
      <c r="B32" s="6">
        <f>B24/0.09</f>
        <v/>
      </c>
    </row>
    <row r="33" ht="30" customHeight="1">
      <c r="A33" s="2" t="inlineStr">
        <is>
          <t>Maximum loan (min of constraints)</t>
        </is>
      </c>
      <c r="B33" s="6">
        <f>MIN(B30,B31,B32)</f>
        <v/>
      </c>
    </row>
    <row r="34" ht="30" customHeight="1">
      <c r="A34" s="2" t="inlineStr">
        <is>
          <t>Origination fee (1%)</t>
        </is>
      </c>
      <c r="B34" s="6">
        <f>0.01*B33</f>
        <v/>
      </c>
    </row>
    <row r="35" ht="30" customHeight="1">
      <c r="A35" s="2" t="inlineStr">
        <is>
          <t>Closing costs</t>
        </is>
      </c>
      <c r="B35" s="4" t="n">
        <v>45000</v>
      </c>
    </row>
    <row r="36" ht="30" customHeight="1">
      <c r="A36" s="2" t="inlineStr">
        <is>
          <t>Existing payoff</t>
        </is>
      </c>
      <c r="B36" s="4" t="n">
        <v>7800000</v>
      </c>
    </row>
    <row r="37" ht="30" customHeight="1">
      <c r="A37" s="2" t="inlineStr">
        <is>
          <t>Net cash out (after fees &amp; payoff)</t>
        </is>
      </c>
      <c r="B37" s="6">
        <f>B33-B34-B35-B36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</cols>
  <sheetData>
    <row r="1" ht="30" customHeight="1">
      <c r="A1" s="2" t="inlineStr">
        <is>
          <t>Selected roll date</t>
        </is>
      </c>
      <c r="B1" s="9" t="inlineStr">
        <is>
          <t>2026-09-01</t>
        </is>
      </c>
    </row>
    <row r="2" ht="30" customHeight="1">
      <c r="A2" s="2" t="inlineStr">
        <is>
          <t>Total units</t>
        </is>
      </c>
      <c r="B2" s="9" t="n">
        <v>8</v>
      </c>
    </row>
    <row r="3" ht="30" customHeight="1">
      <c r="A3" s="2" t="inlineStr">
        <is>
          <t>Occupied units</t>
        </is>
      </c>
      <c r="B3" s="9" t="n">
        <v>7</v>
      </c>
    </row>
    <row r="4" ht="30" customHeight="1">
      <c r="A4" s="2" t="inlineStr">
        <is>
          <t>Total area sf</t>
        </is>
      </c>
      <c r="B4" s="9" t="n">
        <v>176060</v>
      </c>
    </row>
    <row r="5" ht="30" customHeight="1">
      <c r="A5" s="2" t="inlineStr">
        <is>
          <t>Occupied area sf</t>
        </is>
      </c>
      <c r="B5" s="9" t="n">
        <v>154060</v>
      </c>
    </row>
    <row r="6" ht="30" customHeight="1">
      <c r="A6" s="2" t="inlineStr">
        <is>
          <t>Unit occupancy</t>
        </is>
      </c>
      <c r="B6" s="10">
        <f>B3/B2</f>
        <v/>
      </c>
    </row>
    <row r="7" ht="30" customHeight="1">
      <c r="A7" s="2" t="inlineStr">
        <is>
          <t>Area occupancy</t>
        </is>
      </c>
      <c r="B7" s="11">
        <f>B5/B4</f>
        <v/>
      </c>
    </row>
    <row r="8" ht="30" customHeight="1">
      <c r="A8" s="2" t="inlineStr">
        <is>
          <t>Annual in-place rent (occupied)</t>
        </is>
      </c>
      <c r="B8" s="12" t="n">
        <v>1230300</v>
      </c>
    </row>
    <row r="9" ht="30" customHeight="1">
      <c r="A9" s="2" t="inlineStr">
        <is>
          <t>Unit 001 monthly rent</t>
        </is>
      </c>
      <c r="B9" s="12" t="n">
        <v>14450</v>
      </c>
    </row>
    <row r="10" ht="30" customHeight="1">
      <c r="A10" s="2" t="inlineStr">
        <is>
          <t>All-suite monthly rent sum</t>
        </is>
      </c>
      <c r="B10" s="12" t="n">
        <v>117125</v>
      </c>
    </row>
    <row r="11" ht="30" customHeight="1">
      <c r="A11" s="2" t="inlineStr">
        <is>
          <t>Roll GPR annual (from certified roll)</t>
        </is>
      </c>
      <c r="B11" s="12">
        <f>B10*12</f>
        <v/>
      </c>
    </row>
    <row r="13" ht="30" customHeight="1">
      <c r="A13" s="2" t="inlineStr">
        <is>
          <t>Type A units (Small)</t>
        </is>
      </c>
      <c r="B13" s="9" t="n">
        <v>3</v>
      </c>
    </row>
    <row r="14" ht="30" customHeight="1">
      <c r="A14" s="2" t="inlineStr">
        <is>
          <t>Type A occupied</t>
        </is>
      </c>
      <c r="B14" s="9" t="n">
        <v>3</v>
      </c>
    </row>
    <row r="15" ht="30" customHeight="1">
      <c r="A15" s="2" t="inlineStr">
        <is>
          <t>Type B units (Standard)</t>
        </is>
      </c>
      <c r="B15" s="9" t="n">
        <v>3</v>
      </c>
    </row>
    <row r="16" ht="30" customHeight="1">
      <c r="A16" s="2" t="inlineStr">
        <is>
          <t>Type B occupied</t>
        </is>
      </c>
      <c r="B16" s="9" t="n">
        <v>2</v>
      </c>
    </row>
    <row r="17" ht="30" customHeight="1">
      <c r="A17" s="2" t="inlineStr">
        <is>
          <t>Type C units (Large)</t>
        </is>
      </c>
      <c r="B17" s="9" t="n">
        <v>2</v>
      </c>
    </row>
    <row r="18" ht="30" customHeight="1">
      <c r="A18" s="2" t="inlineStr">
        <is>
          <t>Type C occupied</t>
        </is>
      </c>
      <c r="B18" s="9" t="n">
        <v>2</v>
      </c>
    </row>
    <row r="20" ht="30" customHeight="1">
      <c r="A20" s="2" t="inlineStr">
        <is>
          <t>Insurance policy limit</t>
        </is>
      </c>
      <c r="B20" s="12" t="n">
        <v>2000000</v>
      </c>
    </row>
    <row r="21" ht="30" customHeight="1">
      <c r="A21" s="2" t="inlineStr">
        <is>
          <t>Reported T12 NOI</t>
        </is>
      </c>
      <c r="B21" s="12" t="n">
        <v>869736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4" max="4"/>
    <col width="22" customWidth="1" min="5" max="5"/>
  </cols>
  <sheetData>
    <row r="1" ht="30" customHeight="1">
      <c r="A1" s="2" t="inlineStr">
        <is>
          <t>Cap rate</t>
        </is>
      </c>
      <c r="B1" s="2" t="inlineStr">
        <is>
          <t>Value (NOI / cap rate)</t>
        </is>
      </c>
      <c r="D1" s="2" t="inlineStr">
        <is>
          <t>Sizing rate</t>
        </is>
      </c>
      <c r="E1" s="2" t="inlineStr">
        <is>
          <t>Maximum loan</t>
        </is>
      </c>
    </row>
    <row r="2" ht="30" customHeight="1">
      <c r="A2" s="10" t="n">
        <v>0.06</v>
      </c>
      <c r="B2" s="12">
        <f>UW!B22/A2</f>
        <v/>
      </c>
      <c r="D2" s="10" t="n">
        <v>0.07000000000000001</v>
      </c>
      <c r="E2" s="12">
        <f>MIN(0.65*UW!B26, UW!B24/1.25/ABS(12*PMT(D2/12, UW!B28*12, 1)), UW!B24/0.09)</f>
        <v/>
      </c>
    </row>
    <row r="3" ht="30" customHeight="1">
      <c r="A3" s="10" t="n">
        <v>0.0625</v>
      </c>
      <c r="B3" s="12">
        <f>UW!B22/A3</f>
        <v/>
      </c>
      <c r="D3" s="10" t="n">
        <v>0.0725</v>
      </c>
      <c r="E3" s="12">
        <f>MIN(0.65*UW!B26, UW!B24/1.25/ABS(12*PMT(D3/12, UW!B28*12, 1)), UW!B24/0.09)</f>
        <v/>
      </c>
    </row>
    <row r="4" ht="30" customHeight="1">
      <c r="A4" s="10" t="n">
        <v>0.065</v>
      </c>
      <c r="B4" s="12">
        <f>UW!B22/A4</f>
        <v/>
      </c>
      <c r="D4" s="10" t="n">
        <v>0.075</v>
      </c>
      <c r="E4" s="12">
        <f>MIN(0.65*UW!B26, UW!B24/1.25/ABS(12*PMT(D4/12, UW!B28*12, 1)), UW!B24/0.09)</f>
        <v/>
      </c>
    </row>
    <row r="5" ht="30" customHeight="1">
      <c r="A5" s="10" t="n">
        <v>0.0675</v>
      </c>
      <c r="B5" s="12">
        <f>UW!B22/A5</f>
        <v/>
      </c>
      <c r="D5" s="10" t="n">
        <v>0.0775</v>
      </c>
      <c r="E5" s="12">
        <f>MIN(0.65*UW!B26, UW!B24/1.25/ABS(12*PMT(D5/12, UW!B28*12, 1)), UW!B24/0.09)</f>
        <v/>
      </c>
    </row>
    <row r="6" ht="30" customHeight="1">
      <c r="A6" s="10" t="n">
        <v>0.07000000000000001</v>
      </c>
      <c r="B6" s="12">
        <f>UW!B22/A6</f>
        <v/>
      </c>
      <c r="D6" s="10" t="n">
        <v>0.08</v>
      </c>
      <c r="E6" s="12">
        <f>MIN(0.65*UW!B26, UW!B24/1.25/ABS(12*PMT(D6/12, UW!B28*12, 1)), UW!B24/0.09)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 ht="30" customHeight="1">
      <c r="A1" s="2" t="inlineStr">
        <is>
          <t>Source register (file and location)</t>
        </is>
      </c>
    </row>
    <row r="3" ht="63" customHeight="1">
      <c r="A3" s="9" t="inlineStr">
        <is>
          <t>revision-notice.pdf p.1 – new certified roll date 2026-09-01; Suite 002 active; +$225 monthly rent; increase initial sizing rate +75 bps; cap rate +25 bps; all else unchanged</t>
        </is>
      </c>
    </row>
    <row r="4" ht="30" customHeight="1">
      <c r="A4" s="9" t="inlineStr">
        <is>
          <t>rent-roll-revised.xlsx Rent Roll!B2 – As of date 2026-09-01</t>
        </is>
      </c>
    </row>
    <row r="5" ht="42" customHeight="1">
      <c r="A5" s="9" t="inlineStr">
        <is>
          <t>rent-roll-revised.xlsx Rent Roll!A5:A12, C5:C12, D5:D12, E5:E12 – units, areas, status, monthly base rent</t>
        </is>
      </c>
    </row>
    <row r="6" ht="63" customHeight="1">
      <c r="A6" s="9" t="inlineStr">
        <is>
          <t>underwriting-instructions.pdf p.1 – loss 5%, other income $350/unit, mgmt 3%, reserves $300/unit; loan constraints; sizing on greater of note 6.10% and floor 7.00% (now initial sizing rate +75 bps per revision)</t>
        </is>
      </c>
    </row>
    <row r="7" ht="30" customHeight="1">
      <c r="A7" s="9" t="inlineStr">
        <is>
          <t>operating-statement.pdf p.1 – taxes $147,294; insurance $49,098; other opex $196,392</t>
        </is>
      </c>
    </row>
    <row r="8" ht="30" customHeight="1">
      <c r="A8" s="9" t="inlineStr">
        <is>
          <t>manager-cover.pdf p.1 – type mapping A/B/C; headline includes pending but certified controls</t>
        </is>
      </c>
    </row>
    <row r="9" ht="30" customHeight="1">
      <c r="A9" s="9" t="inlineStr">
        <is>
          <t>insurance.pdf p.1 – GL aggregate limit $2,000,000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2026-09-07T14:08:54Z</dcterms:created>
  <dcterms:modified xmlns:dcterms="http://purl.org/dc/terms/" xmlns:xsi="http://www.w3.org/2001/XMLSchema-instance" xsi:type="dcterms:W3CDTF">2026-09-07T14:19:52Z</dcterms:modified>
</cp:coreProperties>
</file>