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<sst xmlns="http://schemas.openxmlformats.org/spreadsheetml/2006/main" count="64" uniqueCount="59">
  <si>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Falcon Distribution – Underwriting Summary (Revised)</t>
  </si>
  <si>
    <t xml:space="preserve">Selected roll date</t>
  </si>
  <si>
    <t xml:space="preserve">2026-09-01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</si>
  <si>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</si>
  <si>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</si>
  <si>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</si>
  <si>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</si>
  <si>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</si>
  <si>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</si>
  <si>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</si>
  <si>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</si>
  <si>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</si>
  <si>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</si>
  <si>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</si>
  <si>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</si>
  <si>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</si>
  <si>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</si>
  <si>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</si>
  <si>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</si>
  <si>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</si>
  <si>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</si>
  <si>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</si>
  <si>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</si>
  <si>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</si>
  <si>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</si>
  <si>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</si>
  <si>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</si>
  <si>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</si>
  <si>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</si>
  <si>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</si>
  <si>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</si>
  <si>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</si>
  <si>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</si>
  <si>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</si>
  <si>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</si>
  <si>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</si>
  <si>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</si>
  <si>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</si>
  <si>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</si>
  <si>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</si>
  <si>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</si>
  <si>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</si>
  <si>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</si>
  <si>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</si>
  <si>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</si>
  <si>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</si>
  <si>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</si>
  <si>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</si>
  <si>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</si>
  <si>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</si>
  <si>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</si>
  <si>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</si>
  <si>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revision-notice.pdf p.1 – new certified roll date 2026-09-01; Suite 002 active; +$225 monthly rent; increase initial sizing rate +75 bps; cap rate +25 bps; all else unchanged</t>
  </si>
  <si>
    <t xml:space="preserve">rent-roll-revised.xlsx Rent Roll!B2 – As of date 2026-09-01</t>
  </si>
  <si>
    <t xml:space="preserve">rent-roll-revised.xlsx Rent Roll!A5:A12, C5:C12, D5:D12, E5:E12 – units, areas, status, monthly base rent</t>
  </si>
  <si>
    <t xml:space="preserve">underwriting-instructions.pdf p.1 – loss 5%, other income $350/unit, mgmt 3%, reserves $300/unit; loan constraints; sizing on greater of note 6.10% and floor 7.00% (now initial sizing rate +75 bps per revision)</t>
  </si>
  <si>
    <t xml:space="preserve">operating-statement.pdf p.1 – taxes $147,294; insurance $49,098; other opex $196,392</t>
  </si>
  <si>
    <t xml:space="preserve">manager-cover.pdf p.1 – type mapping A/B/C; headline includes pending but certified controls</t>
  </si>
  <si>
    <t xml:space="preserve">insurance.pdf p.1 – GL aggregate limit $2,000,000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</si>
</sst>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1335225</v>
      </c>
    </row>
    <row r="9" customFormat="false" ht="30" hidden="false" customHeight="true" outlineLevel="0" collapsed="false">
      <c r="A9" s="2" t="s">
        <v>7</v>
      </c>
      <c r="B9" s="5" t="n">
        <v>0.065</v>
      </c>
    </row>
    <row r="10" customFormat="false" ht="30" hidden="false" customHeight="true" outlineLevel="0" collapsed="false">
      <c r="A10" s="2" t="s">
        <v>8</v>
      </c>
      <c r="B10" s="5" t="n">
        <v>0.0775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1271263.75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38137.9125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234529.9125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840341.8375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837941.8375</v>
      </c>
    </row>
    <row r="26" customFormat="false" ht="30" hidden="false" customHeight="true" outlineLevel="0" collapsed="false">
      <c r="A26" s="2" t="s">
        <v>21</v>
      </c>
      <c r="B26" s="6" t="n">
        <f aca="false">B22/B9</f>
        <v>12928335.9615385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ABS(12*PMT(B10/12,B28*12,1))</f>
        <v>0.0859694694670852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8403418.375</v>
      </c>
    </row>
    <row r="31" customFormat="false" ht="30" hidden="false" customHeight="true" outlineLevel="0" collapsed="false">
      <c r="A31" s="2" t="s">
        <v>25</v>
      </c>
      <c r="B31" s="6" t="n">
        <f aca="false">B24/1.25/B29</f>
        <v>7797575.97848915</v>
      </c>
    </row>
    <row r="32" customFormat="false" ht="30" hidden="false" customHeight="true" outlineLevel="0" collapsed="false">
      <c r="A32" s="2" t="s">
        <v>26</v>
      </c>
      <c r="B32" s="6" t="n">
        <f aca="false">B24/0.09</f>
        <v>9310464.86111111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7797575.97848915</v>
      </c>
    </row>
    <row r="34" customFormat="false" ht="30" hidden="false" customHeight="true" outlineLevel="0" collapsed="false">
      <c r="A34" s="2" t="s">
        <v>28</v>
      </c>
      <c r="B34" s="6" t="n">
        <f aca="false">0.01*B33</f>
        <v>77975.7597848915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-125399.78129574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1230300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117125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1405500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0.06</v>
      </c>
      <c r="B2" s="12" t="n">
        <f aca="false">UW!B22/A2</f>
        <v>14005697.2916667</v>
      </c>
      <c r="D2" s="10" t="n">
        <v>0.07</v>
      </c>
      <c r="E2" s="12" t="n">
        <f aca="false">MIN(0.65*UW!B26, UW!B24/1.25/ABS(12*PMT(D2/12, UW!B28*12, 1)), UW!B24/0.09)</f>
        <v>8396599.97842355</v>
      </c>
    </row>
    <row r="3" customFormat="false" ht="30" hidden="false" customHeight="true" outlineLevel="0" collapsed="false">
      <c r="A3" s="10" t="n">
        <v>0.0625</v>
      </c>
      <c r="B3" s="12" t="n">
        <f aca="false">UW!B22/A3</f>
        <v>13445469.4</v>
      </c>
      <c r="D3" s="10" t="n">
        <v>0.0725</v>
      </c>
      <c r="E3" s="12" t="n">
        <f aca="false">MIN(0.65*UW!B26, UW!B24/1.25/ABS(12*PMT(D3/12, UW!B28*12, 1)), UW!B24/0.09)</f>
        <v>8188908.17518093</v>
      </c>
    </row>
    <row r="4" customFormat="false" ht="30" hidden="false" customHeight="true" outlineLevel="0" collapsed="false">
      <c r="A4" s="10" t="n">
        <v>0.065</v>
      </c>
      <c r="B4" s="12" t="n">
        <f aca="false">UW!B22/A4</f>
        <v>12928335.9615385</v>
      </c>
      <c r="D4" s="10" t="n">
        <v>0.075</v>
      </c>
      <c r="E4" s="12" t="n">
        <f aca="false">MIN(0.65*UW!B26, UW!B24/1.25/ABS(12*PMT(D4/12, UW!B28*12, 1)), UW!B24/0.09)</f>
        <v>7989363.5620191</v>
      </c>
    </row>
    <row r="5" customFormat="false" ht="30" hidden="false" customHeight="true" outlineLevel="0" collapsed="false">
      <c r="A5" s="10" t="n">
        <v>0.0675</v>
      </c>
      <c r="B5" s="12" t="n">
        <f aca="false">UW!B22/A5</f>
        <v>12449508.7037037</v>
      </c>
      <c r="D5" s="10" t="n">
        <v>0.0775</v>
      </c>
      <c r="E5" s="12" t="n">
        <f aca="false">MIN(0.65*UW!B26, UW!B24/1.25/ABS(12*PMT(D5/12, UW!B28*12, 1)), UW!B24/0.09)</f>
        <v>7797575.97848915</v>
      </c>
    </row>
    <row r="6" customFormat="false" ht="30" hidden="false" customHeight="true" outlineLevel="0" collapsed="false">
      <c r="A6" s="10" t="n">
        <v>0.07</v>
      </c>
      <c r="B6" s="12" t="n">
        <f aca="false">UW!B22/A6</f>
        <v>12004883.3928571</v>
      </c>
      <c r="D6" s="10" t="n">
        <v>0.08</v>
      </c>
      <c r="E6" s="12" t="n">
        <f aca="false">MIN(0.65*UW!B26, UW!B24/1.25/ABS(12*PMT(D6/12, UW!B28*12, 1)), UW!B24/0.09)</f>
        <v>7613176.09970224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63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63" hidden="false" customHeight="true" outlineLevel="0" collapsed="false">
      <c r="A6" s="9" t="s">
        <v>55</v>
      </c>
    </row>
    <row r="7" customFormat="false" ht="30" hidden="false" customHeight="true" outlineLevel="0" collapsed="false">
      <c r="A7" s="9" t="s">
        <v>56</v>
      </c>
    </row>
    <row r="8" customFormat="false" ht="30" hidden="false" customHeight="true" outlineLevel="0" collapsed="false">
      <c r="A8" s="9" t="s">
        <v>57</v>
      </c>
    </row>
    <row r="9" customFormat="false" ht="30" hidden="false" customHeight="true" outlineLevel="0" collapsed="false">
      <c r="A9" s="9" t="s">
        <v>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2026-09-07T14:08:54Z</dcterms:created>
  <dc:creator>openpyxl</dc:creator>
  <dc:description/>
  <dc:language>en-US</dc:language>
  <cp:lastModifiedBy/>
  <dcterms:modified xsi:type="dcterms:W3CDTF">2026-09-07T14:19:51Z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