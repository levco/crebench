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Data" sheetId="2" state="visible" r:id="rId4"/>
    <sheet name="Sensitivity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<sst xmlns="http://schemas.openxmlformats.org/spreadsheetml/2006/main" count="67" uniqueCount="62">
  <si>
    <t xml:space="preserve">Falcon Distribution – Underwriting Summary</t>
  </si>
  <si>
    <t xml:space="preserve">Selected roll date</t>
  </si>
  <si>
    <t xml:space="preserve">2026-08-31</t>
  </si>
  <si>
    <t xml:space="preserve">Total units</t>
  </si>
  <si>
    <t xml:space="preserve">Occupied units</t>
  </si>
  <si>
    <t xml:space="preserve">Pending units</t>
  </si>
  <si>
    <t xml:space="preserve">Gross potential rent (annual)</t>
  </si>
  <si>
    <t xml:space="preserve">Cap rate</t>
  </si>
  <si>
    <t xml:space="preserve">Sizing rate (max(note rate, floor))</t>
  </si>
  <si>
    <t xml:space="preserve">Other income per unit (annual)</t>
  </si>
  <si>
    <t xml:space="preserve">Other income total (annual)</t>
  </si>
  <si>
    <t xml:space="preserve">Economic loss %</t>
  </si>
  <si>
    <t xml:space="preserve">Underwritten EGI</t>
  </si>
  <si>
    <t xml:space="preserve">Real estate tax</t>
  </si>
  <si>
    <t xml:space="preserve">Insurance</t>
  </si>
  <si>
    <t xml:space="preserve">Other recurring operating expenses</t>
  </si>
  <si>
    <t xml:space="preserve">Management fee (3% of UW EGI)</t>
  </si>
  <si>
    <t xml:space="preserve">UW operating expenses (excl. tax &amp; insurance)</t>
  </si>
  <si>
    <t xml:space="preserve">UW NOI (before reserves)</t>
  </si>
  <si>
    <t xml:space="preserve">Replacement reserves ($300/unit)</t>
  </si>
  <si>
    <t xml:space="preserve">UW NCF (after reserves)</t>
  </si>
  <si>
    <t xml:space="preserve">Capitalization value (NOI / cap rate)</t>
  </si>
  <si>
    <t xml:space="preserve">Amortization (years)</t>
  </si>
  <si>
    <t xml:space="preserve">Annual debt constant at sizing rate</t>
  </si>
  <si>
    <t xml:space="preserve">LTV limit (65% of value)</t>
  </si>
  <si>
    <t xml:space="preserve">DSCR limit (NCF / 1.25 / debt constant)</t>
  </si>
  <si>
    <t xml:space="preserve">Debt yield limit (NCF / 9%)</t>
  </si>
  <si>
    <t xml:space="preserve">Maximum loan (min of constraints)</t>
  </si>
  <si>
    <t xml:space="preserve">Origination fee (1%)</t>
  </si>
  <si>
    <t xml:space="preserve">Closing costs</t>
  </si>
  <si>
    <t xml:space="preserve">Existing payoff</t>
  </si>
  <si>
    <t xml:space="preserve">Net cash out (after fees &amp; payoff)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</si>
  <si>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</si>
  <si>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</si>
  <si>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</si>
  <si>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</si>
  <si>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(occupied)</t>
  </si>
  <si>
    <t xml:space="preserve">Unit 001 monthly rent</t>
  </si>
  <si>
    <t xml:space="preserve">All-suite monthly rent sum</t>
  </si>
  <si>
    <t xml:space="preserve">Roll GPR annual (from certified roll)</t>
  </si>
  <si>
    <t xml:space="preserve">Type A units (Small)</t>
  </si>
  <si>
    <t xml:space="preserve">Type A occupied</t>
  </si>
  <si>
    <t xml:space="preserve">Type B units (Standard)</t>
  </si>
  <si>
    <t xml:space="preserve">Type B occupied</t>
  </si>
  <si>
    <t xml:space="preserve">Type C units (Large)</t>
  </si>
  <si>
    <t xml:space="preserve">Type C occupied</t>
  </si>
  <si>
    <t xml:space="preserve">Insurance policy limit</t>
  </si>
  <si>
    <t xml:space="preserve">Reported T12 NOI</t>
  </si>
  <si>
    <t xml:space="preserve">Value (NOI / cap rate)</t>
  </si>
  <si>
    <t xml:space="preserve">Sizing rate</t>
  </si>
  <si>
    <t xml:space="preserve">Maximum loan</t>
  </si>
  <si>
    <t xml:space="preserve">Source register (file and location)</t>
  </si>
  <si>
    <t xml:space="preserve">manager-cover.pdf p.1 – unit type mapping A/B/C; pending counted in headline; certified detail controls occupancy</t>
  </si>
  <si>
    <t xml:space="preserve">rent-roll-certified.xlsx Rent Roll!B2 – As of date 2026-08-31</t>
  </si>
  <si>
    <t xml:space="preserve">rent-roll-certified.xlsx Rent Roll!A5:A12, C5:C12, D5:D12, E5:E12 – units, areas, status, monthly base rent</t>
  </si>
  <si>
    <t xml:space="preserve">rent-roll-archive.xlsx Rent Roll!E5:E12 – prior monthly rents for comparison</t>
  </si>
  <si>
    <t xml:space="preserve">lease-001.pdf p.1 – Suite 001 executed rent $14,450; no free rent; unsigned proposal does not control</t>
  </si>
  <si>
    <t xml:space="preserve">lease-correspondence.pdf p.1 – PM confirms no amendments or new concessions for Suite 001 as of 2026-08-31</t>
  </si>
  <si>
    <t xml:space="preserve">operating-statement.pdf p.1 – T12 collections, taxes $147,294, insurance $49,098, other opex $196,392, NOI $869,736</t>
  </si>
  <si>
    <t xml:space="preserve">insurance.pdf p.1 – GL aggregate limit $2,000,000 effective 2026-07-01 to 2027-06-30</t>
  </si>
  <si>
    <t xml:space="preserve">diligence-status.pdf p.1 – status of legal/env/PC/title; label differences among historical NOI, UW NOI, and NCF</t>
  </si>
  <si>
    <t xml:space="preserve">underwriting-instructions.pdf p.1 – UW assumptions, cap rate 6.25%, loss 5%, other income $350/unit, mgmt 3%, reserves $300/unit; loan constraints; note 6.10%, floor 7.00%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</si>
</sst>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"/>
    <numFmt numFmtId="167" formatCode="0.00%"/>
    <numFmt numFmtId="168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n">
        <v>8</v>
      </c>
    </row>
    <row r="5" customFormat="false" ht="30" hidden="false" customHeight="true" outlineLevel="0" collapsed="false">
      <c r="A5" s="2" t="s">
        <v>4</v>
      </c>
      <c r="B5" s="3" t="n">
        <v>7</v>
      </c>
    </row>
    <row r="6" customFormat="false" ht="30" hidden="false" customHeight="true" outlineLevel="0" collapsed="false">
      <c r="A6" s="2" t="s">
        <v>5</v>
      </c>
      <c r="B6" s="3" t="n">
        <v>0</v>
      </c>
    </row>
    <row r="8" customFormat="false" ht="30" hidden="false" customHeight="true" outlineLevel="0" collapsed="false">
      <c r="A8" s="2" t="s">
        <v>6</v>
      </c>
      <c r="B8" s="4" t="n">
        <v>1402800</v>
      </c>
    </row>
    <row r="9" customFormat="false" ht="30" hidden="false" customHeight="true" outlineLevel="0" collapsed="false">
      <c r="A9" s="2" t="s">
        <v>7</v>
      </c>
      <c r="B9" s="5" t="n">
        <v>0.0625</v>
      </c>
    </row>
    <row r="10" customFormat="false" ht="30" hidden="false" customHeight="true" outlineLevel="0" collapsed="false">
      <c r="A10" s="2" t="s">
        <v>8</v>
      </c>
      <c r="B10" s="5" t="n">
        <v>0.08</v>
      </c>
    </row>
    <row r="12" customFormat="false" ht="30" hidden="false" customHeight="true" outlineLevel="0" collapsed="false">
      <c r="A12" s="2" t="s">
        <v>9</v>
      </c>
      <c r="B12" s="4" t="n">
        <v>350</v>
      </c>
    </row>
    <row r="13" customFormat="false" ht="30" hidden="false" customHeight="true" outlineLevel="0" collapsed="false">
      <c r="A13" s="2" t="s">
        <v>10</v>
      </c>
      <c r="B13" s="6" t="n">
        <f aca="false">B12*B4</f>
        <v>2800</v>
      </c>
    </row>
    <row r="14" customFormat="false" ht="30" hidden="false" customHeight="true" outlineLevel="0" collapsed="false">
      <c r="A14" s="2" t="s">
        <v>11</v>
      </c>
      <c r="B14" s="7" t="n">
        <v>0.05</v>
      </c>
    </row>
    <row r="15" customFormat="false" ht="30" hidden="false" customHeight="true" outlineLevel="0" collapsed="false">
      <c r="A15" s="2" t="s">
        <v>12</v>
      </c>
      <c r="B15" s="6" t="n">
        <f aca="false">B8*(1-B14)+B13</f>
        <v>1335460</v>
      </c>
    </row>
    <row r="17" customFormat="false" ht="30" hidden="false" customHeight="true" outlineLevel="0" collapsed="false">
      <c r="A17" s="2" t="s">
        <v>13</v>
      </c>
      <c r="B17" s="4" t="n">
        <v>147294</v>
      </c>
    </row>
    <row r="18" customFormat="false" ht="30" hidden="false" customHeight="true" outlineLevel="0" collapsed="false">
      <c r="A18" s="2" t="s">
        <v>14</v>
      </c>
      <c r="B18" s="4" t="n">
        <v>49098</v>
      </c>
    </row>
    <row r="19" customFormat="false" ht="30" hidden="false" customHeight="true" outlineLevel="0" collapsed="false">
      <c r="A19" s="2" t="s">
        <v>15</v>
      </c>
      <c r="B19" s="4" t="n">
        <v>196392</v>
      </c>
    </row>
    <row r="20" customFormat="false" ht="30" hidden="false" customHeight="true" outlineLevel="0" collapsed="false">
      <c r="A20" s="2" t="s">
        <v>16</v>
      </c>
      <c r="B20" s="6" t="n">
        <f aca="false">0.03*B15</f>
        <v>40063.8</v>
      </c>
    </row>
    <row r="21" customFormat="false" ht="30" hidden="false" customHeight="true" outlineLevel="0" collapsed="false">
      <c r="A21" s="2" t="s">
        <v>17</v>
      </c>
      <c r="B21" s="6" t="n">
        <f aca="false">B19+B20</f>
        <v>236455.8</v>
      </c>
    </row>
    <row r="22" customFormat="false" ht="30" hidden="false" customHeight="true" outlineLevel="0" collapsed="false">
      <c r="A22" s="2" t="s">
        <v>18</v>
      </c>
      <c r="B22" s="6" t="n">
        <f aca="false">B15-B17-B18-B21</f>
        <v>902612.2</v>
      </c>
    </row>
    <row r="23" customFormat="false" ht="30" hidden="false" customHeight="true" outlineLevel="0" collapsed="false">
      <c r="A23" s="2" t="s">
        <v>19</v>
      </c>
      <c r="B23" s="6" t="n">
        <f aca="false">300*B4</f>
        <v>2400</v>
      </c>
    </row>
    <row r="24" customFormat="false" ht="30" hidden="false" customHeight="true" outlineLevel="0" collapsed="false">
      <c r="A24" s="2" t="s">
        <v>20</v>
      </c>
      <c r="B24" s="6" t="n">
        <f aca="false">B22-B23</f>
        <v>900212.2</v>
      </c>
    </row>
    <row r="26" customFormat="false" ht="30" hidden="false" customHeight="true" outlineLevel="0" collapsed="false">
      <c r="A26" s="2" t="s">
        <v>21</v>
      </c>
      <c r="B26" s="6" t="n">
        <f aca="false">B22/B9</f>
        <v>14441795.2</v>
      </c>
    </row>
    <row r="28" customFormat="false" ht="30" hidden="false" customHeight="true" outlineLevel="0" collapsed="false">
      <c r="A28" s="2" t="s">
        <v>22</v>
      </c>
      <c r="B28" s="3" t="n">
        <v>30</v>
      </c>
    </row>
    <row r="29" customFormat="false" ht="30" hidden="false" customHeight="true" outlineLevel="0" collapsed="false">
      <c r="A29" s="2" t="s">
        <v>23</v>
      </c>
      <c r="B29" s="8" t="n">
        <f aca="false">12*PMT(B10/12,B28*12,1)</f>
        <v>-0.0880517488655251</v>
      </c>
    </row>
    <row r="30" customFormat="false" ht="30" hidden="false" customHeight="true" outlineLevel="0" collapsed="false">
      <c r="A30" s="2" t="s">
        <v>24</v>
      </c>
      <c r="B30" s="6" t="n">
        <f aca="false">0.65*B26</f>
        <v>9387166.88</v>
      </c>
    </row>
    <row r="31" customFormat="false" ht="30" hidden="false" customHeight="true" outlineLevel="0" collapsed="false">
      <c r="A31" s="2" t="s">
        <v>25</v>
      </c>
      <c r="B31" s="6" t="n">
        <f aca="false">B24/1.25/ABS(B29)</f>
        <v>8178937.60520148</v>
      </c>
    </row>
    <row r="32" customFormat="false" ht="30" hidden="false" customHeight="true" outlineLevel="0" collapsed="false">
      <c r="A32" s="2" t="s">
        <v>26</v>
      </c>
      <c r="B32" s="6" t="n">
        <f aca="false">B24/0.09</f>
        <v>10002357.7777778</v>
      </c>
    </row>
    <row r="33" customFormat="false" ht="30" hidden="false" customHeight="true" outlineLevel="0" collapsed="false">
      <c r="A33" s="2" t="s">
        <v>27</v>
      </c>
      <c r="B33" s="6" t="n">
        <f aca="false">MIN(B30,B31,B32)</f>
        <v>8178937.60520148</v>
      </c>
    </row>
    <row r="34" customFormat="false" ht="30" hidden="false" customHeight="true" outlineLevel="0" collapsed="false">
      <c r="A34" s="2" t="s">
        <v>28</v>
      </c>
      <c r="B34" s="6" t="n">
        <f aca="false">0.01*B33</f>
        <v>81789.3760520148</v>
      </c>
    </row>
    <row r="35" customFormat="false" ht="30" hidden="false" customHeight="true" outlineLevel="0" collapsed="false">
      <c r="A35" s="2" t="s">
        <v>29</v>
      </c>
      <c r="B35" s="4" t="n">
        <v>45000</v>
      </c>
    </row>
    <row r="36" customFormat="false" ht="30" hidden="false" customHeight="true" outlineLevel="0" collapsed="false">
      <c r="A36" s="2" t="s">
        <v>30</v>
      </c>
      <c r="B36" s="4" t="n">
        <v>7800000</v>
      </c>
    </row>
    <row r="37" customFormat="false" ht="30" hidden="false" customHeight="true" outlineLevel="0" collapsed="false">
      <c r="A37" s="2" t="s">
        <v>31</v>
      </c>
      <c r="B37" s="6" t="n">
        <f aca="false">B33-B34-B35-B36</f>
        <v>252148.229149463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30" hidden="false" customHeight="true" outlineLevel="0" collapsed="false">
      <c r="A1" s="2" t="s">
        <v>1</v>
      </c>
      <c r="B1" s="9" t="s">
        <v>2</v>
      </c>
    </row>
    <row r="2" customFormat="false" ht="30" hidden="false" customHeight="true" outlineLevel="0" collapsed="false">
      <c r="A2" s="2" t="s">
        <v>3</v>
      </c>
      <c r="B2" s="9" t="n">
        <v>8</v>
      </c>
    </row>
    <row r="3" customFormat="false" ht="30" hidden="false" customHeight="true" outlineLevel="0" collapsed="false">
      <c r="A3" s="2" t="s">
        <v>4</v>
      </c>
      <c r="B3" s="9" t="n">
        <v>7</v>
      </c>
    </row>
    <row r="4" customFormat="false" ht="30" hidden="false" customHeight="true" outlineLevel="0" collapsed="false">
      <c r="A4" s="2" t="s">
        <v>32</v>
      </c>
      <c r="B4" s="9" t="n">
        <v>176060</v>
      </c>
    </row>
    <row r="5" customFormat="false" ht="30" hidden="false" customHeight="true" outlineLevel="0" collapsed="false">
      <c r="A5" s="2" t="s">
        <v>33</v>
      </c>
      <c r="B5" s="9" t="n">
        <v>154060</v>
      </c>
    </row>
    <row r="6" customFormat="false" ht="30" hidden="false" customHeight="true" outlineLevel="0" collapsed="false">
      <c r="A6" s="2" t="s">
        <v>34</v>
      </c>
      <c r="B6" s="10" t="n">
        <f aca="false">B3/B2</f>
        <v>0.875</v>
      </c>
    </row>
    <row r="7" customFormat="false" ht="30" hidden="false" customHeight="true" outlineLevel="0" collapsed="false">
      <c r="A7" s="2" t="s">
        <v>35</v>
      </c>
      <c r="B7" s="11" t="n">
        <f aca="false">B5/B4</f>
        <v>0.875042599113938</v>
      </c>
    </row>
    <row r="8" customFormat="false" ht="30" hidden="false" customHeight="true" outlineLevel="0" collapsed="false">
      <c r="A8" s="2" t="s">
        <v>36</v>
      </c>
      <c r="B8" s="12" t="n">
        <v>1227600</v>
      </c>
    </row>
    <row r="9" customFormat="false" ht="30" hidden="false" customHeight="true" outlineLevel="0" collapsed="false">
      <c r="A9" s="2" t="s">
        <v>37</v>
      </c>
      <c r="B9" s="12" t="n">
        <v>14450</v>
      </c>
    </row>
    <row r="10" customFormat="false" ht="30" hidden="false" customHeight="true" outlineLevel="0" collapsed="false">
      <c r="A10" s="2" t="s">
        <v>38</v>
      </c>
      <c r="B10" s="12" t="n">
        <v>116900</v>
      </c>
    </row>
    <row r="11" customFormat="false" ht="30" hidden="false" customHeight="true" outlineLevel="0" collapsed="false">
      <c r="A11" s="2" t="s">
        <v>39</v>
      </c>
      <c r="B11" s="12" t="n">
        <f aca="false">B10*12</f>
        <v>1402800</v>
      </c>
    </row>
    <row r="13" customFormat="false" ht="30" hidden="false" customHeight="true" outlineLevel="0" collapsed="false">
      <c r="A13" s="2" t="s">
        <v>40</v>
      </c>
      <c r="B13" s="9" t="n">
        <v>3</v>
      </c>
    </row>
    <row r="14" customFormat="false" ht="30" hidden="false" customHeight="true" outlineLevel="0" collapsed="false">
      <c r="A14" s="2" t="s">
        <v>41</v>
      </c>
      <c r="B14" s="9" t="n">
        <v>3</v>
      </c>
    </row>
    <row r="15" customFormat="false" ht="30" hidden="false" customHeight="true" outlineLevel="0" collapsed="false">
      <c r="A15" s="2" t="s">
        <v>42</v>
      </c>
      <c r="B15" s="9" t="n">
        <v>3</v>
      </c>
    </row>
    <row r="16" customFormat="false" ht="30" hidden="false" customHeight="true" outlineLevel="0" collapsed="false">
      <c r="A16" s="2" t="s">
        <v>43</v>
      </c>
      <c r="B16" s="9" t="n">
        <v>2</v>
      </c>
    </row>
    <row r="17" customFormat="false" ht="30" hidden="false" customHeight="true" outlineLevel="0" collapsed="false">
      <c r="A17" s="2" t="s">
        <v>44</v>
      </c>
      <c r="B17" s="9" t="n">
        <v>2</v>
      </c>
    </row>
    <row r="18" customFormat="false" ht="30" hidden="false" customHeight="true" outlineLevel="0" collapsed="false">
      <c r="A18" s="2" t="s">
        <v>45</v>
      </c>
      <c r="B18" s="9" t="n">
        <v>2</v>
      </c>
    </row>
    <row r="20" customFormat="false" ht="30" hidden="false" customHeight="true" outlineLevel="0" collapsed="false">
      <c r="A20" s="2" t="s">
        <v>46</v>
      </c>
      <c r="B20" s="12" t="n">
        <v>2000000</v>
      </c>
    </row>
    <row r="21" customFormat="false" ht="30" hidden="false" customHeight="true" outlineLevel="0" collapsed="false">
      <c r="A21" s="2" t="s">
        <v>47</v>
      </c>
      <c r="B21" s="12" t="n">
        <v>869736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2" t="s">
        <v>7</v>
      </c>
      <c r="B1" s="2" t="s">
        <v>48</v>
      </c>
      <c r="D1" s="2" t="s">
        <v>49</v>
      </c>
      <c r="E1" s="2" t="s">
        <v>50</v>
      </c>
    </row>
    <row r="2" customFormat="false" ht="30" hidden="false" customHeight="true" outlineLevel="0" collapsed="false">
      <c r="A2" s="10" t="n">
        <v>0.058</v>
      </c>
      <c r="B2" s="12" t="n">
        <f aca="false">UW!B22/A2</f>
        <v>15562279.3103448</v>
      </c>
      <c r="D2" s="10" t="n">
        <v>0.06</v>
      </c>
      <c r="E2" s="12" t="n">
        <f aca="false">MIN(0.65*UW!B26, UW!B24/1.25/ABS(12*PMT(D2/12, UW!B28*12, 1)), UW!B24/0.09)</f>
        <v>9387166.88</v>
      </c>
    </row>
    <row r="3" customFormat="false" ht="30" hidden="false" customHeight="true" outlineLevel="0" collapsed="false">
      <c r="A3" s="10" t="n">
        <v>0.06</v>
      </c>
      <c r="B3" s="12" t="n">
        <f aca="false">UW!B22/A3</f>
        <v>15043536.6666667</v>
      </c>
      <c r="D3" s="10" t="n">
        <v>0.065</v>
      </c>
      <c r="E3" s="12" t="n">
        <f aca="false">MIN(0.65*UW!B26, UW!B24/1.25/ABS(12*PMT(D3/12, UW!B28*12, 1)), UW!B24/0.09)</f>
        <v>9387166.88</v>
      </c>
    </row>
    <row r="4" customFormat="false" ht="30" hidden="false" customHeight="true" outlineLevel="0" collapsed="false">
      <c r="A4" s="10" t="n">
        <v>0.0625</v>
      </c>
      <c r="B4" s="12" t="n">
        <f aca="false">UW!B22/A4</f>
        <v>14441795.2</v>
      </c>
      <c r="D4" s="10" t="n">
        <v>0.07</v>
      </c>
      <c r="E4" s="12" t="n">
        <f aca="false">MIN(0.65*UW!B26, UW!B24/1.25/ABS(12*PMT(D4/12, UW!B28*12, 1)), UW!B24/0.09)</f>
        <v>9020580.4279305</v>
      </c>
    </row>
    <row r="5" customFormat="false" ht="30" hidden="false" customHeight="true" outlineLevel="0" collapsed="false">
      <c r="A5" s="10" t="n">
        <v>0.065</v>
      </c>
      <c r="B5" s="12" t="n">
        <f aca="false">UW!B22/A5</f>
        <v>13886341.5384615</v>
      </c>
      <c r="D5" s="10" t="n">
        <v>0.075</v>
      </c>
      <c r="E5" s="12" t="n">
        <f aca="false">MIN(0.65*UW!B26, UW!B24/1.25/ABS(12*PMT(D5/12, UW!B28*12, 1)), UW!B24/0.09)</f>
        <v>8583080.86182062</v>
      </c>
    </row>
    <row r="6" customFormat="false" ht="30" hidden="false" customHeight="true" outlineLevel="0" collapsed="false">
      <c r="A6" s="10" t="n">
        <v>0.0675</v>
      </c>
      <c r="B6" s="12" t="n">
        <f aca="false">UW!B22/A6</f>
        <v>13372032.5925926</v>
      </c>
      <c r="D6" s="10" t="n">
        <v>0.08</v>
      </c>
      <c r="E6" s="12" t="n">
        <f aca="false">MIN(0.65*UW!B26, UW!B24/1.25/ABS(12*PMT(D6/12, UW!B28*12, 1)), UW!B24/0.09)</f>
        <v>8178937.60520148</v>
      </c>
    </row>
    <row r="7" customFormat="false" ht="30" hidden="false" customHeight="true" outlineLevel="0" collapsed="false">
      <c r="A7" s="10" t="n">
        <v>0.07</v>
      </c>
      <c r="B7" s="12" t="n">
        <f aca="false">UW!B22/A7</f>
        <v>12894460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30" hidden="false" customHeight="true" outlineLevel="0" collapsed="false">
      <c r="A1" s="2" t="s">
        <v>51</v>
      </c>
    </row>
    <row r="3" customFormat="false" ht="42" hidden="false" customHeight="true" outlineLevel="0" collapsed="false">
      <c r="A3" s="9" t="s">
        <v>52</v>
      </c>
    </row>
    <row r="4" customFormat="false" ht="30" hidden="false" customHeight="true" outlineLevel="0" collapsed="false">
      <c r="A4" s="9" t="s">
        <v>53</v>
      </c>
    </row>
    <row r="5" customFormat="false" ht="42" hidden="false" customHeight="true" outlineLevel="0" collapsed="false">
      <c r="A5" s="9" t="s">
        <v>54</v>
      </c>
    </row>
    <row r="6" customFormat="false" ht="30" hidden="false" customHeight="true" outlineLevel="0" collapsed="false">
      <c r="A6" s="9" t="s">
        <v>55</v>
      </c>
    </row>
    <row r="7" customFormat="false" ht="42" hidden="false" customHeight="true" outlineLevel="0" collapsed="false">
      <c r="A7" s="9" t="s">
        <v>56</v>
      </c>
    </row>
    <row r="8" customFormat="false" ht="42" hidden="false" customHeight="true" outlineLevel="0" collapsed="false">
      <c r="A8" s="9" t="s">
        <v>57</v>
      </c>
    </row>
    <row r="9" customFormat="false" ht="42" hidden="false" customHeight="true" outlineLevel="0" collapsed="false">
      <c r="A9" s="9" t="s">
        <v>58</v>
      </c>
    </row>
    <row r="10" customFormat="false" ht="42" hidden="false" customHeight="true" outlineLevel="0" collapsed="false">
      <c r="A10" s="9" t="s">
        <v>59</v>
      </c>
    </row>
    <row r="11" customFormat="false" ht="42" hidden="false" customHeight="true" outlineLevel="0" collapsed="false">
      <c r="A11" s="9" t="s">
        <v>60</v>
      </c>
    </row>
    <row r="12" customFormat="false" ht="63" hidden="false" customHeight="true" outlineLevel="0" collapsed="false">
      <c r="A12" s="9" t="s">
        <v>61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2026-09-07T14:04:26Z</dcterms:created>
  <dc:creator>openpyxl</dc:creator>
  <dc:description/>
  <dc:language>en-US</dc:language>
  <cp:lastModifiedBy/>
  <dcterms:modified xsi:type="dcterms:W3CDTF">2026-09-07T14:19:48Z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