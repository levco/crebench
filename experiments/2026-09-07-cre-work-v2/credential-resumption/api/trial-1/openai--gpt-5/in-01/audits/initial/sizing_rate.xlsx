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</t>
        </is>
      </c>
    </row>
    <row r="3" ht="30" customHeight="1">
      <c r="A3" s="2" t="inlineStr">
        <is>
          <t>Selected roll date</t>
        </is>
      </c>
      <c r="B3" s="3" t="inlineStr">
        <is>
          <t>2026-08-31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1402800</v>
      </c>
    </row>
    <row r="9" ht="30" customHeight="1">
      <c r="A9" s="2" t="inlineStr">
        <is>
          <t>Cap rate</t>
        </is>
      </c>
      <c r="B9" s="5" t="n">
        <v>0.0625</v>
      </c>
    </row>
    <row r="10" ht="30" customHeight="1">
      <c r="A10" s="2" t="inlineStr">
        <is>
          <t>Sizing rate (max(note rate, floor))</t>
        </is>
      </c>
      <c r="B10" s="5" t="n">
        <v>0.08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12*PMT(B10/12,B28*12,1)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B24/1.25/ABS(B29)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2026-08-31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1227600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116900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0.058</v>
      </c>
      <c r="B2" s="12">
        <f>UW!B22/A2</f>
        <v/>
      </c>
      <c r="D2" s="10" t="n">
        <v>0.06</v>
      </c>
      <c r="E2" s="12">
        <f>MIN(0.65*UW!B26, UW!B24/1.25/ABS(12*PMT(D2/12, UW!B28*12, 1)), UW!B24/0.09)</f>
        <v/>
      </c>
    </row>
    <row r="3" ht="30" customHeight="1">
      <c r="A3" s="10" t="n">
        <v>0.06</v>
      </c>
      <c r="B3" s="12">
        <f>UW!B22/A3</f>
        <v/>
      </c>
      <c r="D3" s="10" t="n">
        <v>0.065</v>
      </c>
      <c r="E3" s="12">
        <f>MIN(0.65*UW!B26, UW!B24/1.25/ABS(12*PMT(D3/12, UW!B28*12, 1)), UW!B24/0.09)</f>
        <v/>
      </c>
    </row>
    <row r="4" ht="30" customHeight="1">
      <c r="A4" s="10" t="n">
        <v>0.0625</v>
      </c>
      <c r="B4" s="12">
        <f>UW!B22/A4</f>
        <v/>
      </c>
      <c r="D4" s="10" t="n">
        <v>0.07000000000000001</v>
      </c>
      <c r="E4" s="12">
        <f>MIN(0.65*UW!B26, UW!B24/1.25/ABS(12*PMT(D4/12, UW!B28*12, 1)), UW!B24/0.09)</f>
        <v/>
      </c>
    </row>
    <row r="5" ht="30" customHeight="1">
      <c r="A5" s="10" t="n">
        <v>0.065</v>
      </c>
      <c r="B5" s="12">
        <f>UW!B22/A5</f>
        <v/>
      </c>
      <c r="D5" s="10" t="n">
        <v>0.075</v>
      </c>
      <c r="E5" s="12">
        <f>MIN(0.65*UW!B26, UW!B24/1.25/ABS(12*PMT(D5/12, UW!B28*12, 1)), UW!B24/0.09)</f>
        <v/>
      </c>
    </row>
    <row r="6" ht="30" customHeight="1">
      <c r="A6" s="10" t="n">
        <v>0.0675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  <row r="7" ht="30" customHeight="1">
      <c r="A7" s="10" t="n">
        <v>0.07000000000000001</v>
      </c>
      <c r="B7" s="12">
        <f>UW!B22/A7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42" customHeight="1">
      <c r="A3" s="9" t="inlineStr">
        <is>
          <t>manager-cover.pdf p.1 – unit type mapping A/B/C; pending counted in headline; certified detail controls occupancy</t>
        </is>
      </c>
    </row>
    <row r="4" ht="30" customHeight="1">
      <c r="A4" s="9" t="inlineStr">
        <is>
          <t>rent-roll-certified.xlsx Rent Roll!B2 – As of date 2026-08-31</t>
        </is>
      </c>
    </row>
    <row r="5" ht="42" customHeight="1">
      <c r="A5" s="9" t="inlineStr">
        <is>
          <t>rent-roll-certified.xlsx Rent Roll!A5:A12, C5:C12, D5:D12, E5:E12 – units, areas, status, monthly base rent</t>
        </is>
      </c>
    </row>
    <row r="6" ht="30" customHeight="1">
      <c r="A6" s="9" t="inlineStr">
        <is>
          <t>rent-roll-archive.xlsx Rent Roll!E5:E12 – prior monthly rents for comparison</t>
        </is>
      </c>
    </row>
    <row r="7" ht="42" customHeight="1">
      <c r="A7" s="9" t="inlineStr">
        <is>
          <t>lease-001.pdf p.1 – Suite 001 executed rent $14,450; no free rent; unsigned proposal does not control</t>
        </is>
      </c>
    </row>
    <row r="8" ht="42" customHeight="1">
      <c r="A8" s="9" t="inlineStr">
        <is>
          <t>lease-correspondence.pdf p.1 – PM confirms no amendments or new concessions for Suite 001 as of 2026-08-31</t>
        </is>
      </c>
    </row>
    <row r="9" ht="42" customHeight="1">
      <c r="A9" s="9" t="inlineStr">
        <is>
          <t>operating-statement.pdf p.1 – T12 collections, taxes $147,294, insurance $49,098, other opex $196,392, NOI $869,736</t>
        </is>
      </c>
    </row>
    <row r="10" ht="42" customHeight="1">
      <c r="A10" s="9" t="inlineStr">
        <is>
          <t>insurance.pdf p.1 – GL aggregate limit $2,000,000 effective 2026-07-01 to 2027-06-30</t>
        </is>
      </c>
    </row>
    <row r="11" ht="42" customHeight="1">
      <c r="A11" s="9" t="inlineStr">
        <is>
          <t>diligence-status.pdf p.1 – status of legal/env/PC/title; label differences among historical NOI, UW NOI, and NCF</t>
        </is>
      </c>
    </row>
    <row r="12" ht="63" customHeight="1">
      <c r="A12" s="9" t="inlineStr">
        <is>
          <t>underwriting-instructions.pdf p.1 – UW assumptions, cap rate 6.25%, loss 5%, other income $350/unit, mgmt 3%, reserves $300/unit; loan constraints; note 6.10%, floor 7.00%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2026-09-07T14:04:26Z</dcterms:created>
  <dcterms:modified xmlns:dcterms="http://purl.org/dc/terms/" xmlns:xsi="http://www.w3.org/2001/XMLSchema-instance" xsi:type="dcterms:W3CDTF">2026-09-07T14:19:48Z</dcterms:modified>
</cp:coreProperties>
</file>