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 (Revised)</t>
        </is>
      </c>
    </row>
    <row r="3" ht="30" customHeight="1">
      <c r="A3" s="2" t="inlineStr">
        <is>
          <t>Selected roll date</t>
        </is>
      </c>
      <c r="B3" s="3" t="inlineStr">
        <is>
          <t>2026-09-01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1335225</v>
      </c>
    </row>
    <row r="9" ht="30" customHeight="1">
      <c r="A9" s="2" t="inlineStr">
        <is>
          <t>Cap rate</t>
        </is>
      </c>
      <c r="B9" s="5" t="n">
        <v>0.065</v>
      </c>
    </row>
    <row r="10" ht="30" customHeight="1">
      <c r="A10" s="2" t="inlineStr">
        <is>
          <t>Sizing rate (max(note rate, floor))</t>
        </is>
      </c>
      <c r="B10" s="5" t="n">
        <v>0.0775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ABS(12*PMT(B10/12,B28*12,1))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B24/1.25/B29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2026-09-01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1230300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117125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0.06</v>
      </c>
      <c r="B2" s="12">
        <f>UW!B22/A2</f>
        <v/>
      </c>
      <c r="D2" s="10" t="n">
        <v>0.07000000000000001</v>
      </c>
      <c r="E2" s="12">
        <f>MIN(0.65*UW!B26, UW!B24/1.25/ABS(12*PMT(D2/12, UW!B28*12, 1)), UW!B24/0.09)</f>
        <v/>
      </c>
    </row>
    <row r="3" ht="30" customHeight="1">
      <c r="A3" s="10" t="n">
        <v>0.0625</v>
      </c>
      <c r="B3" s="12">
        <f>UW!B22/A3</f>
        <v/>
      </c>
      <c r="D3" s="10" t="n">
        <v>0.0725</v>
      </c>
      <c r="E3" s="12">
        <f>MIN(0.65*UW!B26, UW!B24/1.25/ABS(12*PMT(D3/12, UW!B28*12, 1)), UW!B24/0.09)</f>
        <v/>
      </c>
    </row>
    <row r="4" ht="30" customHeight="1">
      <c r="A4" s="10" t="n">
        <v>0.065</v>
      </c>
      <c r="B4" s="12">
        <f>UW!B22/A4</f>
        <v/>
      </c>
      <c r="D4" s="10" t="n">
        <v>0.075</v>
      </c>
      <c r="E4" s="12">
        <f>MIN(0.65*UW!B26, UW!B24/1.25/ABS(12*PMT(D4/12, UW!B28*12, 1)), UW!B24/0.09)</f>
        <v/>
      </c>
    </row>
    <row r="5" ht="30" customHeight="1">
      <c r="A5" s="10" t="n">
        <v>0.0675</v>
      </c>
      <c r="B5" s="12">
        <f>UW!B22/A5</f>
        <v/>
      </c>
      <c r="D5" s="10" t="n">
        <v>0.0775</v>
      </c>
      <c r="E5" s="12">
        <f>MIN(0.65*UW!B26, UW!B24/1.25/ABS(12*PMT(D5/12, UW!B28*12, 1)), UW!B24/0.09)</f>
        <v/>
      </c>
    </row>
    <row r="6" ht="30" customHeight="1">
      <c r="A6" s="10" t="n">
        <v>0.07000000000000001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63" customHeight="1">
      <c r="A3" s="9" t="inlineStr">
        <is>
          <t>revision-notice.pdf p.1 – new certified roll date 2026-09-01; Suite 002 active; +$225 monthly rent; increase initial sizing rate +75 bps; cap rate +25 bps; all else unchanged</t>
        </is>
      </c>
    </row>
    <row r="4" ht="30" customHeight="1">
      <c r="A4" s="9" t="inlineStr">
        <is>
          <t>rent-roll-revised.xlsx Rent Roll!B2 – As of date 2026-09-01</t>
        </is>
      </c>
    </row>
    <row r="5" ht="42" customHeight="1">
      <c r="A5" s="9" t="inlineStr">
        <is>
          <t>rent-roll-revised.xlsx Rent Roll!A5:A12, C5:C12, D5:D12, E5:E12 – units, areas, status, monthly base rent</t>
        </is>
      </c>
    </row>
    <row r="6" ht="63" customHeight="1">
      <c r="A6" s="9" t="inlineStr">
        <is>
          <t>underwriting-instructions.pdf p.1 – loss 5%, other income $350/unit, mgmt 3%, reserves $300/unit; loan constraints; sizing on greater of note 6.10% and floor 7.00% (now initial sizing rate +75 bps per revision)</t>
        </is>
      </c>
    </row>
    <row r="7" ht="30" customHeight="1">
      <c r="A7" s="9" t="inlineStr">
        <is>
          <t>operating-statement.pdf p.1 – taxes $147,294; insurance $49,098; other opex $196,392</t>
        </is>
      </c>
    </row>
    <row r="8" ht="30" customHeight="1">
      <c r="A8" s="9" t="inlineStr">
        <is>
          <t>manager-cover.pdf p.1 – type mapping A/B/C; headline includes pending but certified controls</t>
        </is>
      </c>
    </row>
    <row r="9" ht="30" customHeight="1">
      <c r="A9" s="9" t="inlineStr">
        <is>
          <t>insurance.pdf p.1 – GL aggregate limit $2,000,000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2026-09-07T14:08:54Z</dcterms:created>
  <dcterms:modified xmlns:dcterms="http://purl.org/dc/terms/" xmlns:xsi="http://www.w3.org/2001/XMLSchema-instance" xsi:type="dcterms:W3CDTF">2026-09-07T14:19:51Z</dcterms:modified>
</cp:coreProperties>
</file>