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<sst xmlns="http://schemas.openxmlformats.org/spreadsheetml/2006/main" count="67" uniqueCount="62">
  <si>
    <t xml:space="preserve">Falcon Distribution – Underwriting Summary</t>
  </si>
  <si>
    <t xml:space="preserve">Selected roll date</t>
  </si>
  <si>
    <t xml:space="preserve">2026-08-31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</si>
  <si>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</si>
  <si>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</si>
  <si>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</si>
  <si>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</si>
  <si>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</si>
  <si>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</si>
  <si>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</si>
  <si>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</si>
  <si>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</si>
  <si>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</si>
  <si>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</si>
  <si>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</si>
  <si>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</si>
  <si>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</si>
  <si>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</si>
  <si>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</si>
  <si>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</si>
  <si>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</si>
  <si>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</si>
  <si>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</si>
  <si>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</si>
  <si>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</si>
  <si>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</si>
  <si>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</si>
  <si>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</si>
  <si>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</si>
  <si>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</si>
  <si>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</si>
  <si>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</si>
  <si>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</si>
  <si>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</si>
  <si>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</si>
  <si>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</si>
  <si>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</si>
  <si>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</si>
  <si>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</si>
  <si>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</si>
  <si>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</si>
  <si>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</si>
  <si>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</si>
  <si>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</si>
  <si>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</si>
  <si>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</si>
  <si>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</si>
  <si>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</si>
  <si>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</si>
  <si>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</si>
  <si>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</si>
  <si>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</si>
  <si>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manager-cover.pdf p.1 – unit type mapping A/B/C; pending counted in headline; certified detail controls occupancy</t>
  </si>
  <si>
    <t xml:space="preserve">rent-roll-certified.xlsx Rent Roll!B2 – As of date 2026-08-31</t>
  </si>
  <si>
    <t xml:space="preserve">rent-roll-certified.xlsx Rent Roll!A5:A12, C5:C12, D5:D12, E5:E12 – units, areas, status, monthly base rent</t>
  </si>
  <si>
    <t xml:space="preserve">rent-roll-archive.xlsx Rent Roll!E5:E12 – prior monthly rents for comparison</t>
  </si>
  <si>
    <t xml:space="preserve">lease-001.pdf p.1 – Suite 001 executed rent $14,450; no free rent; unsigned proposal does not control</t>
  </si>
  <si>
    <t xml:space="preserve">lease-correspondence.pdf p.1 – PM confirms no amendments or new concessions for Suite 001 as of 2026-08-31</t>
  </si>
  <si>
    <t xml:space="preserve">operating-statement.pdf p.1 – T12 collections, taxes $147,294, insurance $49,098, other opex $196,392, NOI $869,736</t>
  </si>
  <si>
    <t xml:space="preserve">insurance.pdf p.1 – GL aggregate limit $2,000,000 effective 2026-07-01 to 2027-06-30</t>
  </si>
  <si>
    <t xml:space="preserve">diligence-status.pdf p.1 – status of legal/env/PC/title; label differences among historical NOI, UW NOI, and NCF</t>
  </si>
  <si>
    <t xml:space="preserve">underwriting-instructions.pdf p.1 – UW assumptions, cap rate 6.25%, loss 5%, other income $350/unit, mgmt 3%, reserves $300/unit; loan constraints; note 6.10%, floor 7.00%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</si>
</sst>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1402800</v>
      </c>
    </row>
    <row r="9" customFormat="false" ht="30" hidden="false" customHeight="true" outlineLevel="0" collapsed="false">
      <c r="A9" s="2" t="s">
        <v>7</v>
      </c>
      <c r="B9" s="5" t="n">
        <v>0.0625</v>
      </c>
    </row>
    <row r="10" customFormat="false" ht="30" hidden="false" customHeight="true" outlineLevel="0" collapsed="false">
      <c r="A10" s="2" t="s">
        <v>8</v>
      </c>
      <c r="B10" s="5" t="n">
        <v>0.07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1335460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40063.8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236455.8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902612.2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900212.2</v>
      </c>
    </row>
    <row r="26" customFormat="false" ht="30" hidden="false" customHeight="true" outlineLevel="0" collapsed="false">
      <c r="A26" s="2" t="s">
        <v>21</v>
      </c>
      <c r="B26" s="6" t="n">
        <f aca="false">B22/B9</f>
        <v>14441795.2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12*PMT(B10/12,B28*12,1)</f>
        <v>-0.079836299421502</v>
      </c>
    </row>
    <row r="30" customFormat="false" ht="30" hidden="false" customHeight="true" outlineLevel="0" collapsed="false">
      <c r="A30" s="2" t="s">
        <v>24</v>
      </c>
      <c r="B30" s="6" t="n">
        <f aca="false">0.65*B26</f>
        <v>9387166.88</v>
      </c>
    </row>
    <row r="31" customFormat="false" ht="30" hidden="false" customHeight="true" outlineLevel="0" collapsed="false">
      <c r="A31" s="2" t="s">
        <v>25</v>
      </c>
      <c r="B31" s="6" t="n">
        <f aca="false">B24/1.25/ABS(B29)</f>
        <v>9020580.4279305</v>
      </c>
    </row>
    <row r="32" customFormat="false" ht="30" hidden="false" customHeight="true" outlineLevel="0" collapsed="false">
      <c r="A32" s="2" t="s">
        <v>26</v>
      </c>
      <c r="B32" s="6" t="n">
        <f aca="false">B24/0.09</f>
        <v>10002357.7777778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9020580.4279305</v>
      </c>
    </row>
    <row r="34" customFormat="false" ht="30" hidden="false" customHeight="true" outlineLevel="0" collapsed="false">
      <c r="A34" s="2" t="s">
        <v>28</v>
      </c>
      <c r="B34" s="6" t="n">
        <f aca="false">0.01*B33</f>
        <v>90205.804279305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1085374.6236512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1227600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116900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1402800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0.058</v>
      </c>
      <c r="B2" s="12" t="n">
        <f aca="false">UW!B22/A2</f>
        <v>15562279.3103448</v>
      </c>
      <c r="D2" s="10" t="n">
        <v>0.06</v>
      </c>
      <c r="E2" s="12" t="n">
        <f aca="false">MIN(0.65*UW!B26, UW!B24/1.25/ABS(12*PMT(D2/12, UW!B28*12, 1)), UW!B24/0.09)</f>
        <v>9387166.88</v>
      </c>
    </row>
    <row r="3" customFormat="false" ht="30" hidden="false" customHeight="true" outlineLevel="0" collapsed="false">
      <c r="A3" s="10" t="n">
        <v>0.06</v>
      </c>
      <c r="B3" s="12" t="n">
        <f aca="false">UW!B22/A3</f>
        <v>15043536.6666667</v>
      </c>
      <c r="D3" s="10" t="n">
        <v>0.065</v>
      </c>
      <c r="E3" s="12" t="n">
        <f aca="false">MIN(0.65*UW!B26, UW!B24/1.25/ABS(12*PMT(D3/12, UW!B28*12, 1)), UW!B24/0.09)</f>
        <v>9387166.88</v>
      </c>
    </row>
    <row r="4" customFormat="false" ht="30" hidden="false" customHeight="true" outlineLevel="0" collapsed="false">
      <c r="A4" s="10" t="n">
        <v>0.0625</v>
      </c>
      <c r="B4" s="12" t="n">
        <f aca="false">UW!B22/A4</f>
        <v>14441795.2</v>
      </c>
      <c r="D4" s="10" t="n">
        <v>0.07</v>
      </c>
      <c r="E4" s="12" t="n">
        <f aca="false">MIN(0.65*UW!B26, UW!B24/1.25/ABS(12*PMT(D4/12, UW!B28*12, 1)), UW!B24/0.09)</f>
        <v>9020580.4279305</v>
      </c>
    </row>
    <row r="5" customFormat="false" ht="30" hidden="false" customHeight="true" outlineLevel="0" collapsed="false">
      <c r="A5" s="10" t="n">
        <v>0.065</v>
      </c>
      <c r="B5" s="12" t="n">
        <f aca="false">UW!B22/A5</f>
        <v>13886341.5384615</v>
      </c>
      <c r="D5" s="10" t="n">
        <v>0.075</v>
      </c>
      <c r="E5" s="12" t="n">
        <f aca="false">MIN(0.65*UW!B26, UW!B24/1.25/ABS(12*PMT(D5/12, UW!B28*12, 1)), UW!B24/0.09)</f>
        <v>8583080.86182062</v>
      </c>
    </row>
    <row r="6" customFormat="false" ht="30" hidden="false" customHeight="true" outlineLevel="0" collapsed="false">
      <c r="A6" s="10" t="n">
        <v>0.0675</v>
      </c>
      <c r="B6" s="12" t="n">
        <f aca="false">UW!B22/A6</f>
        <v>13372032.5925926</v>
      </c>
      <c r="D6" s="10" t="n">
        <v>0.08</v>
      </c>
      <c r="E6" s="12" t="n">
        <f aca="false">MIN(0.65*UW!B26, UW!B24/1.25/ABS(12*PMT(D6/12, UW!B28*12, 1)), UW!B24/0.09)</f>
        <v>8178937.60520148</v>
      </c>
    </row>
    <row r="7" customFormat="false" ht="30" hidden="false" customHeight="true" outlineLevel="0" collapsed="false">
      <c r="A7" s="10" t="n">
        <v>0.07</v>
      </c>
      <c r="B7" s="12" t="n">
        <f aca="false">UW!B22/A7</f>
        <v>12894460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42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30" hidden="false" customHeight="true" outlineLevel="0" collapsed="false">
      <c r="A6" s="9" t="s">
        <v>55</v>
      </c>
    </row>
    <row r="7" customFormat="false" ht="42" hidden="false" customHeight="true" outlineLevel="0" collapsed="false">
      <c r="A7" s="9" t="s">
        <v>56</v>
      </c>
    </row>
    <row r="8" customFormat="false" ht="42" hidden="false" customHeight="true" outlineLevel="0" collapsed="false">
      <c r="A8" s="9" t="s">
        <v>57</v>
      </c>
    </row>
    <row r="9" customFormat="false" ht="42" hidden="false" customHeight="true" outlineLevel="0" collapsed="false">
      <c r="A9" s="9" t="s">
        <v>58</v>
      </c>
    </row>
    <row r="10" customFormat="false" ht="42" hidden="false" customHeight="true" outlineLevel="0" collapsed="false">
      <c r="A10" s="9" t="s">
        <v>59</v>
      </c>
    </row>
    <row r="11" customFormat="false" ht="42" hidden="false" customHeight="true" outlineLevel="0" collapsed="false">
      <c r="A11" s="9" t="s">
        <v>60</v>
      </c>
    </row>
    <row r="12" customFormat="false" ht="63" hidden="false" customHeight="true" outlineLevel="0" collapsed="false">
      <c r="A12" s="9" t="s">
        <v>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2026-09-07T14:04:26Z</dcterms:created>
  <dc:creator>openpyxl</dc:creator>
  <dc:description/>
  <dc:language>en-US</dc:language>
  <cp:lastModifiedBy/>
  <dcterms:modified xsi:type="dcterms:W3CDTF">2026-09-07T14:04:26Z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