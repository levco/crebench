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<sst xmlns="http://schemas.openxmlformats.org/spreadsheetml/2006/main" count="53" uniqueCount="51">
  <si>
    <t xml:space="preserve">Maple Crossing Underwriting (Revised 2026-09-01)</t>
  </si>
  <si>
    <t xml:space="preserve">Inputs</t>
  </si>
  <si>
    <t xml:space="preserve">Gross potential rent (annual)</t>
  </si>
  <si>
    <t xml:space="preserve">Economic loss %</t>
  </si>
  <si>
    <t xml:space="preserve">Other income (annual)</t>
  </si>
  <si>
    <t xml:space="preserve">Underwritten EGI</t>
  </si>
  <si>
    <t xml:space="preserve">Cap rate</t>
  </si>
  <si>
    <t xml:space="preserve">Real estate taxes</t>
  </si>
  <si>
    <t xml:space="preserve">Insurance expense</t>
  </si>
  <si>
    <t xml:space="preserve">Other recurring opex</t>
  </si>
  <si>
    <t xml:space="preserve">Management fee % of EGI</t>
  </si>
  <si>
    <t xml:space="preserve">Mgmt fee (calc)</t>
  </si>
  <si>
    <t xml:space="preserve">Total opex excl reserves</t>
  </si>
  <si>
    <t xml:space="preserve">NOI before reserves</t>
  </si>
  <si>
    <t xml:space="preserve">Units/Suites</t>
  </si>
  <si>
    <t xml:space="preserve">Reserves per unit</t>
  </si>
  <si>
    <t xml:space="preserve">Annual reserves</t>
  </si>
  <si>
    <t xml:space="preserve">NCF after reserves</t>
  </si>
  <si>
    <t xml:space="preserve">Capitalization value</t>
  </si>
  <si>
    <t xml:space="preserve">Sizing note rate</t>
  </si>
  <si>
    <t xml:space="preserve">Amortization years</t>
  </si>
  <si>
    <t xml:space="preserve">Annual payment constant</t>
  </si>
  <si>
    <t xml:space="preserve">DSCR minimum</t>
  </si>
  <si>
    <t xml:space="preserve">Debt yield minimum</t>
  </si>
  <si>
    <t xml:space="preserve">LTV maximum</t>
  </si>
  <si>
    <t xml:space="preserve">LTV constraint ($)</t>
  </si>
  <si>
    <t xml:space="preserve">DSCR constraint ($)</t>
  </si>
  <si>
    <t xml:space="preserve">Debt yield constraint ($)</t>
  </si>
  <si>
    <t xml:space="preserve">Maximum loan</t>
  </si>
  <si>
    <t xml:space="preserve">Origination fee %</t>
  </si>
  <si>
    <t xml:space="preserve">Origination fee ($)</t>
  </si>
  <si>
    <t xml:space="preserve">Closing costs ($)</t>
  </si>
  <si>
    <t xml:space="preserve">Existing payoff ($)</t>
  </si>
  <si>
    <t xml:space="preserve">Net cash out ($)</t>
  </si>
  <si>
    <t xml:space="preserve">Sensitivity (Revised)</t>
  </si>
  <si>
    <t xml:space="preserve">NOI (from UW)</t>
  </si>
  <si>
    <t xml:space="preserve">Sizing rate</t>
  </si>
  <si>
    <t xml:space="preserve">Max Loan vs Rate</t>
  </si>
  <si>
    <t xml:space="preserve">Value</t>
  </si>
  <si>
    <t xml:space="preserve">Source Register (Revised)</t>
  </si>
  <si>
    <t xml:space="preserve">Document</t>
  </si>
  <si>
    <t xml:space="preserve">Location</t>
  </si>
  <si>
    <t xml:space="preserve">Key updates</t>
  </si>
  <si>
    <t xml:space="preserve">revision-notice.pdf</t>
  </si>
  <si>
    <t xml:space="preserve">Page 1</t>
  </si>
  <si>
    <t xml:space="preserve">Raise sizing rate +75 bps (to 7.25%); cap rate +25 bps (to 7.00%); use revised certified roll for GPR</t>
  </si>
  <si>
    <t xml:space="preserve">rent-roll-revised.xlsx</t>
  </si>
  <si>
    <t xml:space="preserve">Rent Roll!A2:B14</t>
  </si>
  <si>
    <t xml:space="preserve">Suite 002 now active; its monthly rent +$225 to $7,025; all else unchanged</t>
  </si>
  <si>
    <t xml:space="preserve">underwriting-instructions.pdf</t>
  </si>
  <si>
    <t xml:space="preserve">All other rules (loss 5%, other income $350/unit, taxes, insurance, opex, reserves, constraints, fees, payoff) unchanged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</si>
</sst>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\$#,##0.00"/>
    <numFmt numFmtId="168" formatCode="0.0000%"/>
    <numFmt numFmtId="169" formatCode="0.00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</row>
    <row r="4" customFormat="false" ht="30" hidden="false" customHeight="true" outlineLevel="0" collapsed="false">
      <c r="A4" s="3" t="s">
        <v>2</v>
      </c>
      <c r="B4" s="4" t="n">
        <v>821400</v>
      </c>
    </row>
    <row r="5" customFormat="false" ht="30" hidden="false" customHeight="true" outlineLevel="0" collapsed="false">
      <c r="A5" s="3" t="s">
        <v>3</v>
      </c>
      <c r="B5" s="5" t="n">
        <v>0.05</v>
      </c>
    </row>
    <row r="6" customFormat="false" ht="30" hidden="false" customHeight="true" outlineLevel="0" collapsed="false">
      <c r="A6" s="3" t="s">
        <v>4</v>
      </c>
      <c r="B6" s="4" t="n">
        <v>3500</v>
      </c>
    </row>
    <row r="7" customFormat="false" ht="30" hidden="false" customHeight="true" outlineLevel="0" collapsed="false">
      <c r="A7" s="6" t="s">
        <v>5</v>
      </c>
      <c r="B7" s="7" t="n">
        <f aca="false">B4*(1-B5)+B6</f>
        <v>783830</v>
      </c>
    </row>
    <row r="8" customFormat="false" ht="30" hidden="false" customHeight="true" outlineLevel="0" collapsed="false">
      <c r="A8" s="3" t="s">
        <v>6</v>
      </c>
      <c r="B8" s="8" t="n">
        <v>0.07</v>
      </c>
    </row>
    <row r="10" customFormat="false" ht="30" hidden="false" customHeight="true" outlineLevel="0" collapsed="false">
      <c r="A10" s="3" t="s">
        <v>7</v>
      </c>
      <c r="B10" s="9" t="n">
        <v>85964</v>
      </c>
    </row>
    <row r="11" customFormat="false" ht="30" hidden="false" customHeight="true" outlineLevel="0" collapsed="false">
      <c r="A11" s="3" t="s">
        <v>8</v>
      </c>
      <c r="B11" s="9" t="n">
        <v>28655</v>
      </c>
    </row>
    <row r="12" customFormat="false" ht="30" hidden="false" customHeight="true" outlineLevel="0" collapsed="false">
      <c r="A12" s="3" t="s">
        <v>9</v>
      </c>
      <c r="B12" s="9" t="n">
        <v>114618</v>
      </c>
    </row>
    <row r="13" customFormat="false" ht="30" hidden="false" customHeight="true" outlineLevel="0" collapsed="false">
      <c r="A13" s="3" t="s">
        <v>10</v>
      </c>
      <c r="B13" s="5" t="n">
        <v>0.03</v>
      </c>
    </row>
    <row r="14" customFormat="false" ht="30" hidden="false" customHeight="true" outlineLevel="0" collapsed="false">
      <c r="A14" s="3" t="s">
        <v>11</v>
      </c>
      <c r="B14" s="10" t="n">
        <f aca="false">B7*B13</f>
        <v>23514.9</v>
      </c>
    </row>
    <row r="15" customFormat="false" ht="30" hidden="false" customHeight="true" outlineLevel="0" collapsed="false">
      <c r="A15" s="6" t="s">
        <v>12</v>
      </c>
      <c r="B15" s="7" t="n">
        <f aca="false">SUM(B10:B12)+B14</f>
        <v>252751.9</v>
      </c>
    </row>
    <row r="16" customFormat="false" ht="30" hidden="false" customHeight="true" outlineLevel="0" collapsed="false">
      <c r="A16" s="6" t="s">
        <v>13</v>
      </c>
      <c r="B16" s="7" t="n">
        <f aca="false">B7-B15</f>
        <v>531078.1</v>
      </c>
    </row>
    <row r="18" customFormat="false" ht="30" hidden="false" customHeight="true" outlineLevel="0" collapsed="false">
      <c r="A18" s="3" t="s">
        <v>14</v>
      </c>
      <c r="B18" s="11" t="n">
        <v>10</v>
      </c>
    </row>
    <row r="19" customFormat="false" ht="30" hidden="false" customHeight="true" outlineLevel="0" collapsed="false">
      <c r="A19" s="3" t="s">
        <v>15</v>
      </c>
      <c r="B19" s="4" t="n">
        <v>300</v>
      </c>
    </row>
    <row r="20" customFormat="false" ht="30" hidden="false" customHeight="true" outlineLevel="0" collapsed="false">
      <c r="A20" s="6" t="s">
        <v>16</v>
      </c>
      <c r="B20" s="7" t="n">
        <f aca="false">B18*B19</f>
        <v>3000</v>
      </c>
    </row>
    <row r="21" customFormat="false" ht="30" hidden="false" customHeight="true" outlineLevel="0" collapsed="false">
      <c r="A21" s="6" t="s">
        <v>17</v>
      </c>
      <c r="B21" s="7" t="n">
        <f aca="false">B16-B20</f>
        <v>528078.1</v>
      </c>
    </row>
    <row r="23" customFormat="false" ht="30" hidden="false" customHeight="true" outlineLevel="0" collapsed="false">
      <c r="A23" s="6" t="s">
        <v>18</v>
      </c>
      <c r="B23" s="7" t="n">
        <f aca="false">B16/B8</f>
        <v>7586830</v>
      </c>
    </row>
    <row r="25" customFormat="false" ht="30" hidden="false" customHeight="true" outlineLevel="0" collapsed="false">
      <c r="A25" s="3" t="s">
        <v>19</v>
      </c>
      <c r="B25" s="8" t="n">
        <v>0.0825</v>
      </c>
    </row>
    <row r="26" customFormat="false" ht="30" hidden="false" customHeight="true" outlineLevel="0" collapsed="false">
      <c r="A26" s="3" t="s">
        <v>20</v>
      </c>
      <c r="B26" s="11" t="n">
        <v>30</v>
      </c>
    </row>
    <row r="27" customFormat="false" ht="30" hidden="false" customHeight="true" outlineLevel="0" collapsed="false">
      <c r="A27" s="6" t="s">
        <v>21</v>
      </c>
      <c r="B27" s="12" t="n">
        <f aca="false">ABS(PMT(B25/12,B26*12,1))*12</f>
        <v>0.0901519924861109</v>
      </c>
    </row>
    <row r="28" customFormat="false" ht="30" hidden="false" customHeight="true" outlineLevel="0" collapsed="false">
      <c r="A28" s="3" t="s">
        <v>22</v>
      </c>
      <c r="B28" s="11" t="n">
        <v>1.25</v>
      </c>
    </row>
    <row r="29" customFormat="false" ht="30" hidden="false" customHeight="true" outlineLevel="0" collapsed="false">
      <c r="A29" s="3" t="s">
        <v>23</v>
      </c>
      <c r="B29" s="5" t="n">
        <v>0.09</v>
      </c>
    </row>
    <row r="30" customFormat="false" ht="30" hidden="false" customHeight="true" outlineLevel="0" collapsed="false">
      <c r="A30" s="3" t="s">
        <v>24</v>
      </c>
      <c r="B30" s="5" t="n">
        <v>0.65</v>
      </c>
    </row>
    <row r="31" customFormat="false" ht="30" hidden="false" customHeight="true" outlineLevel="0" collapsed="false">
      <c r="A31" s="6" t="s">
        <v>25</v>
      </c>
      <c r="B31" s="7" t="n">
        <f aca="false">B23*B30</f>
        <v>4931439.5</v>
      </c>
    </row>
    <row r="32" customFormat="false" ht="30" hidden="false" customHeight="true" outlineLevel="0" collapsed="false">
      <c r="A32" s="6" t="s">
        <v>26</v>
      </c>
      <c r="B32" s="7" t="n">
        <f aca="false">(B21/B28)/B27</f>
        <v>4686113.62156068</v>
      </c>
    </row>
    <row r="33" customFormat="false" ht="30" hidden="false" customHeight="true" outlineLevel="0" collapsed="false">
      <c r="A33" s="6" t="s">
        <v>27</v>
      </c>
      <c r="B33" s="7" t="n">
        <f aca="false">B21/B29</f>
        <v>5867534.44444444</v>
      </c>
    </row>
    <row r="34" customFormat="false" ht="30" hidden="false" customHeight="true" outlineLevel="0" collapsed="false">
      <c r="A34" s="6" t="s">
        <v>28</v>
      </c>
      <c r="B34" s="7" t="n">
        <f aca="false">MIN(B31,B32,B33)</f>
        <v>4686113.62156068</v>
      </c>
    </row>
    <row r="36" customFormat="false" ht="30" hidden="false" customHeight="true" outlineLevel="0" collapsed="false">
      <c r="A36" s="3" t="s">
        <v>29</v>
      </c>
      <c r="B36" s="5" t="n">
        <v>0.01</v>
      </c>
    </row>
    <row r="37" customFormat="false" ht="30" hidden="false" customHeight="true" outlineLevel="0" collapsed="false">
      <c r="A37" s="6" t="s">
        <v>30</v>
      </c>
      <c r="B37" s="7" t="n">
        <f aca="false">B34*B36</f>
        <v>46861.1362156068</v>
      </c>
    </row>
    <row r="38" customFormat="false" ht="30" hidden="false" customHeight="true" outlineLevel="0" collapsed="false">
      <c r="A38" s="3" t="s">
        <v>31</v>
      </c>
      <c r="B38" s="4" t="n">
        <v>45000</v>
      </c>
    </row>
    <row r="39" customFormat="false" ht="30" hidden="false" customHeight="true" outlineLevel="0" collapsed="false">
      <c r="A39" s="3" t="s">
        <v>32</v>
      </c>
      <c r="B39" s="4" t="n">
        <v>4300000</v>
      </c>
    </row>
    <row r="40" customFormat="false" ht="30" hidden="false" customHeight="true" outlineLevel="0" collapsed="false">
      <c r="A40" s="6" t="s">
        <v>33</v>
      </c>
      <c r="B40" s="7" t="n">
        <f aca="false">B34-(B37+B38+B39)</f>
        <v>294252.485345071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" t="s">
        <v>34</v>
      </c>
    </row>
    <row r="3" customFormat="false" ht="30" hidden="false" customHeight="true" outlineLevel="0" collapsed="false">
      <c r="A3" s="3" t="s">
        <v>35</v>
      </c>
      <c r="B3" s="7" t="n">
        <f aca="false">UW!B16</f>
        <v>531078.1</v>
      </c>
      <c r="D3" s="3" t="s">
        <v>36</v>
      </c>
      <c r="E3" s="2" t="s">
        <v>37</v>
      </c>
    </row>
    <row r="4" customFormat="false" ht="30" hidden="false" customHeight="true" outlineLevel="0" collapsed="false">
      <c r="D4" s="13" t="n">
        <v>0.06</v>
      </c>
      <c r="E4" s="10" t="n">
        <f aca="false">MIN(UW!B31,(UW!B21/UW!B28)/(ABS(PMT(D4/12,UW!B26*12,1))*12),UW!B33)</f>
        <v>4931439.5</v>
      </c>
    </row>
    <row r="5" customFormat="false" ht="30" hidden="false" customHeight="true" outlineLevel="0" collapsed="false">
      <c r="A5" s="3" t="s">
        <v>6</v>
      </c>
      <c r="B5" s="2" t="s">
        <v>38</v>
      </c>
      <c r="D5" s="13" t="n">
        <v>0.065</v>
      </c>
      <c r="E5" s="10" t="n">
        <f aca="false">MIN(UW!B31,(UW!B21/UW!B28)/(ABS(PMT(D5/12,UW!B26*12,1))*12),UW!B33)</f>
        <v>4931439.5</v>
      </c>
    </row>
    <row r="6" customFormat="false" ht="30" hidden="false" customHeight="true" outlineLevel="0" collapsed="false">
      <c r="A6" s="13" t="n">
        <v>0.065</v>
      </c>
      <c r="B6" s="10" t="n">
        <f aca="false">B3/A6</f>
        <v>8170432.30769231</v>
      </c>
      <c r="D6" s="13" t="n">
        <v>0.0725</v>
      </c>
      <c r="E6" s="10" t="n">
        <f aca="false">MIN(UW!B31,(UW!B21/UW!B28)/(ABS(PMT(D6/12,UW!B26*12,1))*12),UW!B33)</f>
        <v>4931439.5</v>
      </c>
    </row>
    <row r="7" customFormat="false" ht="30" hidden="false" customHeight="true" outlineLevel="0" collapsed="false">
      <c r="A7" s="13" t="n">
        <v>0.0675</v>
      </c>
      <c r="B7" s="10" t="n">
        <f aca="false">B3/A7</f>
        <v>7867823.7037037</v>
      </c>
      <c r="D7" s="13" t="n">
        <v>0.075</v>
      </c>
      <c r="E7" s="10" t="n">
        <f aca="false">MIN(UW!B31,(UW!B21/UW!B28)/(ABS(PMT(D7/12,UW!B26*12,1))*12),UW!B33)</f>
        <v>4931439.5</v>
      </c>
    </row>
    <row r="8" customFormat="false" ht="30" hidden="false" customHeight="true" outlineLevel="0" collapsed="false">
      <c r="A8" s="13" t="n">
        <v>0.07</v>
      </c>
      <c r="B8" s="10" t="n">
        <f aca="false">B3/A8</f>
        <v>7586830</v>
      </c>
      <c r="D8" s="13" t="n">
        <v>0.0775</v>
      </c>
      <c r="E8" s="10" t="n">
        <f aca="false">MIN(UW!B31,(UW!B21/UW!B28)/(ABS(PMT(D8/12,UW!B26*12,1))*12),UW!B33)</f>
        <v>4914098.9541845</v>
      </c>
    </row>
    <row r="9" customFormat="false" ht="30" hidden="false" customHeight="true" outlineLevel="0" collapsed="false">
      <c r="A9" s="13" t="n">
        <v>0.0725</v>
      </c>
      <c r="B9" s="10" t="n">
        <f aca="false">B3/A9</f>
        <v>7325215.17241379</v>
      </c>
      <c r="D9" s="13" t="n">
        <v>0.08</v>
      </c>
      <c r="E9" s="10" t="n">
        <f aca="false">MIN(UW!B31,(UW!B21/UW!B28)/(ABS(PMT(D9/12,UW!B26*12,1))*12),UW!B33)</f>
        <v>4797888.57624163</v>
      </c>
    </row>
    <row r="10" customFormat="false" ht="30" hidden="false" customHeight="true" outlineLevel="0" collapsed="false">
      <c r="A10" s="13" t="n">
        <v>0.075</v>
      </c>
      <c r="B10" s="10" t="n">
        <f aca="false">B3/A10</f>
        <v>7081041.33333333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64"/>
  </cols>
  <sheetData>
    <row r="1" customFormat="false" ht="30" hidden="false" customHeight="true" outlineLevel="0" collapsed="false">
      <c r="A1" s="1" t="s">
        <v>39</v>
      </c>
    </row>
    <row r="3" customFormat="false" ht="30" hidden="false" customHeight="true" outlineLevel="0" collapsed="false">
      <c r="A3" s="3" t="s">
        <v>40</v>
      </c>
      <c r="B3" s="3" t="s">
        <v>41</v>
      </c>
      <c r="C3" s="3" t="s">
        <v>42</v>
      </c>
    </row>
    <row r="4" customFormat="false" ht="30" hidden="false" customHeight="true" outlineLevel="0" collapsed="false">
      <c r="A4" s="3" t="s">
        <v>43</v>
      </c>
      <c r="B4" s="3" t="s">
        <v>44</v>
      </c>
      <c r="C4" s="3" t="s">
        <v>45</v>
      </c>
    </row>
    <row r="5" customFormat="false" ht="30" hidden="false" customHeight="true" outlineLevel="0" collapsed="false">
      <c r="A5" s="3" t="s">
        <v>46</v>
      </c>
      <c r="B5" s="3" t="s">
        <v>47</v>
      </c>
      <c r="C5" s="3" t="s">
        <v>48</v>
      </c>
    </row>
    <row r="6" customFormat="false" ht="30" hidden="false" customHeight="true" outlineLevel="0" collapsed="false">
      <c r="A6" s="3" t="s">
        <v>49</v>
      </c>
      <c r="B6" s="3" t="s">
        <v>44</v>
      </c>
      <c r="C6" s="3" t="s">
        <v>50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2026-09-07T13:40:10Z</dcterms:created>
  <dc:creator>openpyxl</dc:creator>
  <dc:description/>
  <dc:language>en-US</dc:language>
  <cp:lastModifiedBy/>
  <dcterms:modified xsi:type="dcterms:W3CDTF">2026-09-07T14:06:32Z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