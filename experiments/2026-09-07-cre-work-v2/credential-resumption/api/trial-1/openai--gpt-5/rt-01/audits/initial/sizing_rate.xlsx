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000%"/>
    <numFmt numFmtId="167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Maple Crossing Underwriting</t>
        </is>
      </c>
    </row>
    <row r="3" ht="30" customHeight="1">
      <c r="A3" s="2" t="inlineStr">
        <is>
          <t>Inputs</t>
        </is>
      </c>
    </row>
    <row r="4" ht="30" customHeight="1">
      <c r="A4" s="3" t="inlineStr">
        <is>
          <t>Gross potential rent (annual)</t>
        </is>
      </c>
      <c r="B4" s="4" t="n">
        <v>818700</v>
      </c>
    </row>
    <row r="5" ht="30" customHeight="1">
      <c r="A5" s="3" t="inlineStr">
        <is>
          <t>Economic loss %</t>
        </is>
      </c>
      <c r="B5" s="5" t="n">
        <v>0.05</v>
      </c>
    </row>
    <row r="6" ht="30" customHeight="1">
      <c r="A6" s="3" t="inlineStr">
        <is>
          <t>Other income (annual)</t>
        </is>
      </c>
      <c r="B6" s="4" t="n">
        <v>3500</v>
      </c>
    </row>
    <row r="7" ht="30" customHeight="1">
      <c r="A7" s="6" t="inlineStr">
        <is>
          <t>Underwritten EGI</t>
        </is>
      </c>
      <c r="B7" s="7">
        <f>B4*(1-B5)+B6</f>
        <v/>
      </c>
    </row>
    <row r="8" ht="30" customHeight="1">
      <c r="A8" s="3" t="inlineStr">
        <is>
          <t>Cap rate</t>
        </is>
      </c>
      <c r="B8" s="8" t="n">
        <v>0.0675</v>
      </c>
    </row>
    <row r="10" ht="30" customHeight="1">
      <c r="A10" s="3" t="inlineStr">
        <is>
          <t>Real estate taxes</t>
        </is>
      </c>
      <c r="B10" s="9" t="n">
        <v>85964</v>
      </c>
    </row>
    <row r="11" ht="30" customHeight="1">
      <c r="A11" s="3" t="inlineStr">
        <is>
          <t>Insurance expense</t>
        </is>
      </c>
      <c r="B11" s="9" t="n">
        <v>28655</v>
      </c>
    </row>
    <row r="12" ht="30" customHeight="1">
      <c r="A12" s="3" t="inlineStr">
        <is>
          <t>Other recurring opex</t>
        </is>
      </c>
      <c r="B12" s="9" t="n">
        <v>114618</v>
      </c>
    </row>
    <row r="13" ht="30" customHeight="1">
      <c r="A13" s="3" t="inlineStr">
        <is>
          <t>Management fee % of EGI</t>
        </is>
      </c>
      <c r="B13" s="5" t="n">
        <v>0.03</v>
      </c>
    </row>
    <row r="14" ht="30" customHeight="1">
      <c r="A14" s="3" t="inlineStr">
        <is>
          <t>Mgmt fee (calc)</t>
        </is>
      </c>
      <c r="B14" s="10">
        <f>B7*B13</f>
        <v/>
      </c>
    </row>
    <row r="15" ht="30" customHeight="1">
      <c r="A15" s="6" t="inlineStr">
        <is>
          <t>Total opex excl reserves</t>
        </is>
      </c>
      <c r="B15" s="7">
        <f>SUM(B10:B12)+B14</f>
        <v/>
      </c>
    </row>
    <row r="16" ht="30" customHeight="1">
      <c r="A16" s="6" t="inlineStr">
        <is>
          <t>NOI before reserves</t>
        </is>
      </c>
      <c r="B16" s="7">
        <f>B7-B15</f>
        <v/>
      </c>
    </row>
    <row r="18" ht="30" customHeight="1">
      <c r="A18" s="3" t="inlineStr">
        <is>
          <t>Units/Suites</t>
        </is>
      </c>
      <c r="B18" s="11" t="n">
        <v>10</v>
      </c>
    </row>
    <row r="19" ht="30" customHeight="1">
      <c r="A19" s="3" t="inlineStr">
        <is>
          <t>Reserves per unit</t>
        </is>
      </c>
      <c r="B19" s="4" t="n">
        <v>300</v>
      </c>
    </row>
    <row r="20" ht="30" customHeight="1">
      <c r="A20" s="6" t="inlineStr">
        <is>
          <t>Annual reserves</t>
        </is>
      </c>
      <c r="B20" s="7">
        <f>B18*B19</f>
        <v/>
      </c>
    </row>
    <row r="21" ht="30" customHeight="1">
      <c r="A21" s="6" t="inlineStr">
        <is>
          <t>NCF after reserves</t>
        </is>
      </c>
      <c r="B21" s="7">
        <f>B16-B20</f>
        <v/>
      </c>
    </row>
    <row r="23" ht="30" customHeight="1">
      <c r="A23" s="6" t="inlineStr">
        <is>
          <t>Capitalization value</t>
        </is>
      </c>
      <c r="B23" s="7">
        <f>B16/B8</f>
        <v/>
      </c>
    </row>
    <row r="25" ht="30" customHeight="1">
      <c r="A25" s="3" t="inlineStr">
        <is>
          <t>Sizing note rate</t>
        </is>
      </c>
      <c r="B25" s="8" t="n">
        <v>0.075</v>
      </c>
    </row>
    <row r="26" ht="30" customHeight="1">
      <c r="A26" s="3" t="inlineStr">
        <is>
          <t>Amortization years</t>
        </is>
      </c>
      <c r="B26" s="11" t="n">
        <v>30</v>
      </c>
    </row>
    <row r="27" ht="30" customHeight="1">
      <c r="A27" s="6" t="inlineStr">
        <is>
          <t>Annual payment constant</t>
        </is>
      </c>
      <c r="B27" s="12">
        <f>ABS(PMT(B25/12,B26*12,1))*12</f>
        <v/>
      </c>
    </row>
    <row r="28" ht="30" customHeight="1">
      <c r="A28" s="3" t="inlineStr">
        <is>
          <t>DSCR minimum</t>
        </is>
      </c>
      <c r="B28" s="11" t="n">
        <v>1.25</v>
      </c>
    </row>
    <row r="29" ht="30" customHeight="1">
      <c r="A29" s="3" t="inlineStr">
        <is>
          <t>Debt yield minimum</t>
        </is>
      </c>
      <c r="B29" s="5" t="n">
        <v>0.09</v>
      </c>
    </row>
    <row r="30" ht="30" customHeight="1">
      <c r="A30" s="3" t="inlineStr">
        <is>
          <t>LTV maximum</t>
        </is>
      </c>
      <c r="B30" s="5" t="n">
        <v>0.65</v>
      </c>
    </row>
    <row r="31" ht="30" customHeight="1">
      <c r="A31" s="6" t="inlineStr">
        <is>
          <t>LTV constraint ($)</t>
        </is>
      </c>
      <c r="B31" s="7">
        <f>B23*B30</f>
        <v/>
      </c>
    </row>
    <row r="32" ht="30" customHeight="1">
      <c r="A32" s="6" t="inlineStr">
        <is>
          <t>DSCR constraint ($)</t>
        </is>
      </c>
      <c r="B32" s="7">
        <f>(B21/B28)/B27</f>
        <v/>
      </c>
    </row>
    <row r="33" ht="30" customHeight="1">
      <c r="A33" s="6" t="inlineStr">
        <is>
          <t>Debt yield constraint ($)</t>
        </is>
      </c>
      <c r="B33" s="7">
        <f>B21/B29</f>
        <v/>
      </c>
    </row>
    <row r="34" ht="30" customHeight="1">
      <c r="A34" s="6" t="inlineStr">
        <is>
          <t>Maximum loan</t>
        </is>
      </c>
      <c r="B34" s="7">
        <f>MIN(B31,B32,B33)</f>
        <v/>
      </c>
    </row>
    <row r="36" ht="30" customHeight="1">
      <c r="A36" s="3" t="inlineStr">
        <is>
          <t>Origination fee %</t>
        </is>
      </c>
      <c r="B36" s="5" t="n">
        <v>0.01</v>
      </c>
    </row>
    <row r="37" ht="30" customHeight="1">
      <c r="A37" s="6" t="inlineStr">
        <is>
          <t>Origination fee ($)</t>
        </is>
      </c>
      <c r="B37" s="7">
        <f>B34*B36</f>
        <v/>
      </c>
    </row>
    <row r="38" ht="30" customHeight="1">
      <c r="A38" s="3" t="inlineStr">
        <is>
          <t>Closing costs ($)</t>
        </is>
      </c>
      <c r="B38" s="4" t="n">
        <v>45000</v>
      </c>
    </row>
    <row r="39" ht="30" customHeight="1">
      <c r="A39" s="3" t="inlineStr">
        <is>
          <t>Existing payoff ($)</t>
        </is>
      </c>
      <c r="B39" s="4" t="n">
        <v>4300000</v>
      </c>
    </row>
    <row r="40" ht="30" customHeight="1">
      <c r="A40" s="6" t="inlineStr">
        <is>
          <t>Net cash out ($)</t>
        </is>
      </c>
      <c r="B40" s="7">
        <f>B34-(B37+B38+B39)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4" max="4"/>
    <col width="22" customWidth="1" min="5" max="5"/>
  </cols>
  <sheetData>
    <row r="1" ht="30" customHeight="1">
      <c r="A1" s="1" t="inlineStr">
        <is>
          <t>Sensitivity</t>
        </is>
      </c>
    </row>
    <row r="3" ht="30" customHeight="1">
      <c r="A3" s="3" t="inlineStr">
        <is>
          <t xml:space="preserve">NOI (from UW) </t>
        </is>
      </c>
      <c r="B3" s="7">
        <f>'UW'!B16</f>
        <v/>
      </c>
      <c r="D3" s="3" t="inlineStr">
        <is>
          <t>Sizing rate</t>
        </is>
      </c>
      <c r="E3" s="2" t="inlineStr">
        <is>
          <t>Max Loan vs Rate</t>
        </is>
      </c>
    </row>
    <row r="4" ht="30" customHeight="1">
      <c r="D4" s="13" t="n">
        <v>0.06</v>
      </c>
      <c r="E4" s="10">
        <f>MIN('UW'!B31,('UW'!B21/'UW'!B28)/(ABS(PMT(D4/12,'UW'!B26*12,1))*12),'UW'!B33)</f>
        <v/>
      </c>
    </row>
    <row r="5" ht="30" customHeight="1">
      <c r="A5" s="3" t="inlineStr">
        <is>
          <t>Cap rate</t>
        </is>
      </c>
      <c r="B5" s="2" t="inlineStr">
        <is>
          <t>Value</t>
        </is>
      </c>
      <c r="D5" s="13" t="n">
        <v>0.0625</v>
      </c>
      <c r="E5" s="10">
        <f>MIN('UW'!B31,('UW'!B21/'UW'!B28)/(ABS(PMT(D5/12,'UW'!B26*12,1))*12),'UW'!B33)</f>
        <v/>
      </c>
    </row>
    <row r="6" ht="30" customHeight="1">
      <c r="A6" s="13" t="n">
        <v>0.0625</v>
      </c>
      <c r="B6" s="10">
        <f>B3/A6</f>
        <v/>
      </c>
      <c r="D6" s="13" t="n">
        <v>0.065</v>
      </c>
      <c r="E6" s="10">
        <f>MIN('UW'!B31,('UW'!B21/'UW'!B28)/(ABS(PMT(D6/12,'UW'!B26*12,1))*12),'UW'!B33)</f>
        <v/>
      </c>
    </row>
    <row r="7" ht="30" customHeight="1">
      <c r="A7" s="13" t="n">
        <v>0.065</v>
      </c>
      <c r="B7" s="10">
        <f>B3/A7</f>
        <v/>
      </c>
      <c r="D7" s="13" t="n">
        <v>0.0675</v>
      </c>
      <c r="E7" s="10">
        <f>MIN('UW'!B31,('UW'!B21/'UW'!B28)/(ABS(PMT(D7/12,'UW'!B26*12,1))*12),'UW'!B33)</f>
        <v/>
      </c>
    </row>
    <row r="8" ht="30" customHeight="1">
      <c r="A8" s="13" t="n">
        <v>0.0675</v>
      </c>
      <c r="B8" s="10">
        <f>B3/A8</f>
        <v/>
      </c>
      <c r="D8" s="13" t="n">
        <v>0.07000000000000001</v>
      </c>
      <c r="E8" s="10">
        <f>MIN('UW'!B31,('UW'!B21/'UW'!B28)/(ABS(PMT(D8/12,'UW'!B26*12,1))*12),'UW'!B33)</f>
        <v/>
      </c>
    </row>
    <row r="9" ht="30" customHeight="1">
      <c r="A9" s="13" t="n">
        <v>0.07000000000000001</v>
      </c>
      <c r="B9" s="10">
        <f>B3/A9</f>
        <v/>
      </c>
      <c r="D9" s="13" t="n">
        <v>0.0725</v>
      </c>
      <c r="E9" s="10">
        <f>MIN('UW'!B31,('UW'!B21/'UW'!B28)/(ABS(PMT(D9/12,'UW'!B26*12,1))*12),'UW'!B33)</f>
        <v/>
      </c>
    </row>
    <row r="10" ht="30" customHeight="1">
      <c r="A10" s="13" t="n">
        <v>0.0725</v>
      </c>
      <c r="B10" s="10">
        <f>B3/A10</f>
        <v/>
      </c>
      <c r="D10" s="13" t="n">
        <v>0.075</v>
      </c>
      <c r="E10" s="10">
        <f>MIN('UW'!B31,('UW'!B21/'UW'!B28)/(ABS(PMT(D10/12,'UW'!B26*12,1))*12),'UW'!B33)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Key data used</t>
        </is>
      </c>
    </row>
    <row r="4" ht="30" customHeight="1">
      <c r="A4" s="3" t="inlineStr">
        <is>
          <t>rent-roll-certified.xlsx</t>
        </is>
      </c>
      <c r="B4" s="3" t="inlineStr">
        <is>
          <t>Rent Roll!A2:B14</t>
        </is>
      </c>
      <c r="C4" s="3" t="inlineStr">
        <is>
          <t>As-of date; units, areas, statuses, monthly rent, expirations</t>
        </is>
      </c>
    </row>
    <row r="5" ht="30" customHeight="1">
      <c r="A5" s="3" t="inlineStr">
        <is>
          <t>rent-roll-archive.xlsx</t>
        </is>
      </c>
      <c r="B5" s="3" t="inlineStr">
        <is>
          <t>Rent Roll!A2:B14</t>
        </is>
      </c>
      <c r="C5" s="3" t="inlineStr">
        <is>
          <t>Prior as-of; confirms rent step-up timing</t>
        </is>
      </c>
    </row>
    <row r="6" ht="30" customHeight="1">
      <c r="A6" s="3" t="inlineStr">
        <is>
          <t>operating-statement.pdf</t>
        </is>
      </c>
      <c r="B6" s="3" t="inlineStr">
        <is>
          <t>Page 1</t>
        </is>
      </c>
      <c r="C6" s="3" t="inlineStr">
        <is>
          <t>T12 collections; taxes; insurance; other opex; reported NOI; capital note</t>
        </is>
      </c>
    </row>
    <row r="7" ht="30" customHeight="1">
      <c r="A7" s="3" t="inlineStr">
        <is>
          <t>insurance.pdf</t>
        </is>
      </c>
      <c r="B7" s="3" t="inlineStr">
        <is>
          <t>Page 1</t>
        </is>
      </c>
      <c r="C7" s="3" t="inlineStr">
        <is>
          <t>Policy limit; effective/expiry dates</t>
        </is>
      </c>
    </row>
    <row r="8" ht="30" customHeight="1">
      <c r="A8" s="3" t="inlineStr">
        <is>
          <t>lease-001.pdf</t>
        </is>
      </c>
      <c r="B8" s="3" t="inlineStr">
        <is>
          <t>Page 1</t>
        </is>
      </c>
      <c r="C8" s="3" t="inlineStr">
        <is>
          <t>Suite 001 base rent and terms</t>
        </is>
      </c>
    </row>
    <row r="9" ht="30" customHeight="1">
      <c r="A9" s="3" t="inlineStr">
        <is>
          <t>lease-correspondence.pdf</t>
        </is>
      </c>
      <c r="B9" s="3" t="inlineStr">
        <is>
          <t>Page 1</t>
        </is>
      </c>
      <c r="C9" s="3" t="inlineStr">
        <is>
          <t>Signed amendment +$350/mo effective 8/1/2026</t>
        </is>
      </c>
    </row>
    <row r="10" ht="30" customHeight="1">
      <c r="A10" s="3" t="inlineStr">
        <is>
          <t>manager-cover.pdf</t>
        </is>
      </c>
      <c r="B10" s="3" t="inlineStr">
        <is>
          <t>Page 1</t>
        </is>
      </c>
      <c r="C10" s="3" t="inlineStr">
        <is>
          <t>Occupancy headline includes pending; A/B/C group mapping</t>
        </is>
      </c>
    </row>
    <row r="11" ht="30" customHeight="1">
      <c r="A11" s="3" t="inlineStr">
        <is>
          <t>underwriting-instructions.pdf</t>
        </is>
      </c>
      <c r="B11" s="3" t="inlineStr">
        <is>
          <t>Page 1</t>
        </is>
      </c>
      <c r="C11" s="3" t="inlineStr">
        <is>
          <t>Underwriting assumptions; sizing rules; constraints; cap rate; fees/costs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2026-09-07T13:38:15Z</dcterms:created>
  <dcterms:modified xmlns:dcterms="http://purl.org/dc/terms/" xmlns:xsi="http://www.w3.org/2001/XMLSchema-instance" xsi:type="dcterms:W3CDTF">2026-09-07T14:06:30Z</dcterms:modified>
</cp:coreProperties>
</file>