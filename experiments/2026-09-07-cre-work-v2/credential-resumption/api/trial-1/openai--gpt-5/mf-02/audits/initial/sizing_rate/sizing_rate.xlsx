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<sst xmlns="http://schemas.openxmlformats.org/spreadsheetml/2006/main" count="55" uniqueCount="55">
  <si>
    <t xml:space="preserve">Willow Gardens Underwriting</t>
  </si>
  <si>
    <t xml:space="preserve">Gross potential rent (annual)</t>
  </si>
  <si>
    <t xml:space="preserve">Capitalization rate</t>
  </si>
  <si>
    <t xml:space="preserve">Sizing rate (note vs floor; greater)</t>
  </si>
  <si>
    <t xml:space="preserve">Total units</t>
  </si>
  <si>
    <t xml:space="preserve">Economic loss %</t>
  </si>
  <si>
    <t xml:space="preserve">Other income per unit (annual)</t>
  </si>
  <si>
    <t xml:space="preserve">Other income total (annual)</t>
  </si>
  <si>
    <t xml:space="preserve">Underwritten EGI</t>
  </si>
  <si>
    <t xml:space="preserve">Management fee %</t>
  </si>
  <si>
    <t xml:space="preserve">Management fee (annual)</t>
  </si>
  <si>
    <t xml:space="preserve">Real estate taxes (annual)</t>
  </si>
  <si>
    <t xml:space="preserve">Insurance expense (annual)</t>
  </si>
  <si>
    <t xml:space="preserve">Other recurring operating expenses</t>
  </si>
  <si>
    <t xml:space="preserve">UW NOI before reserves</t>
  </si>
  <si>
    <t xml:space="preserve">Replacement reserves per unit (annual)</t>
  </si>
  <si>
    <t xml:space="preserve">Replacement reserves total (annual)</t>
  </si>
  <si>
    <t xml:space="preserve">UW NCF after reserves</t>
  </si>
  <si>
    <t xml:space="preserve">Capitalization value</t>
  </si>
  <si>
    <t xml:space="preserve">LTV limit (60% of cap value)</t>
  </si>
  <si>
    <t xml:space="preserve">Amortization (years)</t>
  </si>
  <si>
    <t xml:space="preserve">Annual debt service per $1</t>
  </si>
  <si>
    <t xml:space="preserve">Minimum DSCR</t>
  </si>
  <si>
    <t xml:space="preserve">DSCR-based loan</t>
  </si>
  <si>
    <t xml:space="preserve">Minimum debt yield</t>
  </si>
  <si>
    <t xml:space="preserve">Debt-yield-based loan</t>
  </si>
  <si>
    <t xml:space="preserve">Maximum loan (min of constraints)</t>
  </si>
  <si>
    <t xml:space="preserve">Origination fee %</t>
  </si>
  <si>
    <t xml:space="preserve">Origination fee (amount)</t>
  </si>
  <si>
    <t xml:space="preserve">Closing costs</t>
  </si>
  <si>
    <t xml:space="preserve">Existing payoff</t>
  </si>
  <si>
    <t xml:space="preserve">Net cash out (neg = add'l equity req.)</t>
  </si>
  <si>
    <t xml:space="preserve">Loan sizing sensitivity</t>
  </si>
  <si>
    <t xml:space="preserve">Base sizing rate</t>
  </si>
  <si>
    <t xml:space="preserve">Base cap rate</t>
  </si>
  <si>
    <t xml:space="preserve">Sizing rate \\ Cap rate</t>
  </si>
  <si>
    <t xml:space="preserve">Source register</t>
  </si>
  <si>
    <t xml:space="preserve">Document</t>
  </si>
  <si>
    <t xml:space="preserve">Location (page / cell)</t>
  </si>
  <si>
    <t xml:space="preserve">rent-roll-certified.xlsx</t>
  </si>
  <si>
    <t xml:space="preserve">B2 as-of date; A5:G68 unit detail; E5 Unit 001 rent</t>
  </si>
  <si>
    <t xml:space="preserve">rent-roll-archive.xlsx</t>
  </si>
  <si>
    <t xml:space="preserve">B2 as-of date; A5:G68 unit detail</t>
  </si>
  <si>
    <t xml:space="preserve">operating-statement.pdf</t>
  </si>
  <si>
    <t xml:space="preserve">p1 T12 actuals incl. tax, insurance, other opex, reported NOI</t>
  </si>
  <si>
    <t xml:space="preserve">underwriting-instructions.pdf</t>
  </si>
  <si>
    <t xml:space="preserve">p1 underwriting assumptions (GPR basis, loss %, mgmt %, reserves, cap rate, loan sizing, fees, payoff)</t>
  </si>
  <si>
    <t xml:space="preserve">insurance.pdf</t>
  </si>
  <si>
    <t xml:space="preserve">p1 general liability aggregate limit $2,000,000; eff 2026-07-01 to 2027-06-30</t>
  </si>
  <si>
    <t xml:space="preserve">manager-cover.pdf</t>
  </si>
  <si>
    <t xml:space="preserve">p1 occupancy headline includes pending; A/B/C mapping</t>
  </si>
  <si>
    <t xml:space="preserve">lease-001.pdf</t>
  </si>
  <si>
    <t xml:space="preserve">p1 Suite 001 rent $1,575; 820 SF; expiry 2029-08-31; no free rent</t>
  </si>
  <si>
    <t xml:space="preserve">lease-correspondence.pdf</t>
  </si>
  <si>
    <t xml:space="preserve">p1 manager confirmation no amendments or concessions as of 2026-08-31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</si>
</sst>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00%"/>
    <numFmt numFmtId="167" formatCode="0.00%"/>
    <numFmt numFmtId="168" formatCode="0.00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1354500</v>
      </c>
    </row>
    <row r="4" customFormat="false" ht="30" hidden="false" customHeight="true" outlineLevel="0" collapsed="false">
      <c r="A4" s="2" t="s">
        <v>2</v>
      </c>
      <c r="B4" s="4" t="n">
        <v>0.06</v>
      </c>
    </row>
    <row r="5" customFormat="false" ht="30" hidden="false" customHeight="true" outlineLevel="0" collapsed="false">
      <c r="A5" s="2" t="s">
        <v>3</v>
      </c>
      <c r="B5" s="4" t="n">
        <v>0.079</v>
      </c>
    </row>
    <row r="6" customFormat="false" ht="30" hidden="false" customHeight="true" outlineLevel="0" collapsed="false">
      <c r="A6" s="2" t="s">
        <v>4</v>
      </c>
      <c r="B6" s="5" t="n">
        <v>64</v>
      </c>
    </row>
    <row r="7" customFormat="false" ht="30" hidden="false" customHeight="true" outlineLevel="0" collapsed="false">
      <c r="A7" s="2" t="s">
        <v>5</v>
      </c>
      <c r="B7" s="6" t="n">
        <v>0.05</v>
      </c>
    </row>
    <row r="8" customFormat="false" ht="30" hidden="false" customHeight="true" outlineLevel="0" collapsed="false">
      <c r="A8" s="2" t="s">
        <v>6</v>
      </c>
      <c r="B8" s="3" t="n">
        <v>350</v>
      </c>
    </row>
    <row r="9" customFormat="false" ht="30" hidden="false" customHeight="true" outlineLevel="0" collapsed="false">
      <c r="A9" s="2" t="s">
        <v>7</v>
      </c>
      <c r="B9" s="7" t="n">
        <f aca="false">B6*B8</f>
        <v>22400</v>
      </c>
    </row>
    <row r="10" customFormat="false" ht="30" hidden="false" customHeight="true" outlineLevel="0" collapsed="false">
      <c r="A10" s="2" t="s">
        <v>8</v>
      </c>
      <c r="B10" s="8" t="n">
        <f aca="false">B3*(1-B7)+B9</f>
        <v>1309175</v>
      </c>
    </row>
    <row r="11" customFormat="false" ht="30" hidden="false" customHeight="true" outlineLevel="0" collapsed="false">
      <c r="A11" s="2" t="s">
        <v>9</v>
      </c>
      <c r="B11" s="6" t="n">
        <v>0.03</v>
      </c>
    </row>
    <row r="12" customFormat="false" ht="30" hidden="false" customHeight="true" outlineLevel="0" collapsed="false">
      <c r="A12" s="2" t="s">
        <v>10</v>
      </c>
      <c r="B12" s="7" t="n">
        <f aca="false">B10*B11</f>
        <v>39275.25</v>
      </c>
    </row>
    <row r="13" customFormat="false" ht="30" hidden="false" customHeight="true" outlineLevel="0" collapsed="false">
      <c r="A13" s="2" t="s">
        <v>11</v>
      </c>
      <c r="B13" s="3" t="n">
        <v>142222</v>
      </c>
    </row>
    <row r="14" customFormat="false" ht="30" hidden="false" customHeight="true" outlineLevel="0" collapsed="false">
      <c r="A14" s="2" t="s">
        <v>12</v>
      </c>
      <c r="B14" s="3" t="n">
        <v>47408</v>
      </c>
    </row>
    <row r="15" customFormat="false" ht="30" hidden="false" customHeight="true" outlineLevel="0" collapsed="false">
      <c r="A15" s="2" t="s">
        <v>13</v>
      </c>
      <c r="B15" s="3" t="n">
        <v>189630</v>
      </c>
    </row>
    <row r="16" customFormat="false" ht="30" hidden="false" customHeight="true" outlineLevel="0" collapsed="false">
      <c r="A16" s="2" t="s">
        <v>14</v>
      </c>
      <c r="B16" s="8" t="n">
        <f aca="false">B10-B12-B13-B14-B15</f>
        <v>890639.75</v>
      </c>
    </row>
    <row r="17" customFormat="false" ht="30" hidden="false" customHeight="true" outlineLevel="0" collapsed="false">
      <c r="A17" s="2" t="s">
        <v>15</v>
      </c>
      <c r="B17" s="3" t="n">
        <v>300</v>
      </c>
    </row>
    <row r="18" customFormat="false" ht="30" hidden="false" customHeight="true" outlineLevel="0" collapsed="false">
      <c r="A18" s="2" t="s">
        <v>16</v>
      </c>
      <c r="B18" s="7" t="n">
        <f aca="false">B6*B17</f>
        <v>19200</v>
      </c>
    </row>
    <row r="19" customFormat="false" ht="30" hidden="false" customHeight="true" outlineLevel="0" collapsed="false">
      <c r="A19" s="2" t="s">
        <v>17</v>
      </c>
      <c r="B19" s="8" t="n">
        <f aca="false">B16-B18</f>
        <v>871439.75</v>
      </c>
    </row>
    <row r="20" customFormat="false" ht="30" hidden="false" customHeight="true" outlineLevel="0" collapsed="false">
      <c r="A20" s="2" t="s">
        <v>18</v>
      </c>
      <c r="B20" s="8" t="n">
        <f aca="false">B16/B4</f>
        <v>14843995.8333333</v>
      </c>
    </row>
    <row r="21" customFormat="false" ht="30" hidden="false" customHeight="true" outlineLevel="0" collapsed="false">
      <c r="A21" s="2" t="s">
        <v>19</v>
      </c>
      <c r="B21" s="8" t="n">
        <f aca="false">B20*0.6</f>
        <v>8906397.5</v>
      </c>
    </row>
    <row r="22" customFormat="false" ht="30" hidden="false" customHeight="true" outlineLevel="0" collapsed="false">
      <c r="A22" s="2" t="s">
        <v>20</v>
      </c>
      <c r="B22" s="5" t="n">
        <v>30</v>
      </c>
    </row>
    <row r="23" customFormat="false" ht="30" hidden="false" customHeight="true" outlineLevel="0" collapsed="false">
      <c r="A23" s="2" t="s">
        <v>21</v>
      </c>
      <c r="B23" s="9" t="n">
        <f aca="false">12*ABS(PMT(B5/12,B22*12,1))</f>
        <v>0.0872166486300907</v>
      </c>
    </row>
    <row r="24" customFormat="false" ht="30" hidden="false" customHeight="true" outlineLevel="0" collapsed="false">
      <c r="A24" s="2" t="s">
        <v>22</v>
      </c>
      <c r="B24" s="5" t="n">
        <v>1.25</v>
      </c>
    </row>
    <row r="25" customFormat="false" ht="30" hidden="false" customHeight="true" outlineLevel="0" collapsed="false">
      <c r="A25" s="2" t="s">
        <v>23</v>
      </c>
      <c r="B25" s="8" t="n">
        <f aca="false">(B19/B24)/B23</f>
        <v>7993333.96719712</v>
      </c>
    </row>
    <row r="26" customFormat="false" ht="30" hidden="false" customHeight="true" outlineLevel="0" collapsed="false">
      <c r="A26" s="2" t="s">
        <v>24</v>
      </c>
      <c r="B26" s="6" t="n">
        <v>0.09</v>
      </c>
    </row>
    <row r="27" customFormat="false" ht="30" hidden="false" customHeight="true" outlineLevel="0" collapsed="false">
      <c r="A27" s="2" t="s">
        <v>25</v>
      </c>
      <c r="B27" s="8" t="n">
        <f aca="false">B19/B26</f>
        <v>9682663.88888889</v>
      </c>
    </row>
    <row r="28" customFormat="false" ht="30" hidden="false" customHeight="true" outlineLevel="0" collapsed="false">
      <c r="A28" s="2" t="s">
        <v>26</v>
      </c>
      <c r="B28" s="8" t="n">
        <f aca="false">MIN(B21,B25,B27)</f>
        <v>7993333.96719712</v>
      </c>
    </row>
    <row r="29" customFormat="false" ht="30" hidden="false" customHeight="true" outlineLevel="0" collapsed="false">
      <c r="A29" s="2" t="s">
        <v>27</v>
      </c>
      <c r="B29" s="6" t="n">
        <v>0.01</v>
      </c>
    </row>
    <row r="30" customFormat="false" ht="30" hidden="false" customHeight="true" outlineLevel="0" collapsed="false">
      <c r="A30" s="2" t="s">
        <v>28</v>
      </c>
      <c r="B30" s="7" t="n">
        <f aca="false">B28*B29</f>
        <v>79933.3396719712</v>
      </c>
    </row>
    <row r="31" customFormat="false" ht="30" hidden="false" customHeight="true" outlineLevel="0" collapsed="false">
      <c r="A31" s="2" t="s">
        <v>29</v>
      </c>
      <c r="B31" s="3" t="n">
        <v>45000</v>
      </c>
    </row>
    <row r="32" customFormat="false" ht="30" hidden="false" customHeight="true" outlineLevel="0" collapsed="false">
      <c r="A32" s="2" t="s">
        <v>30</v>
      </c>
      <c r="B32" s="3" t="n">
        <v>7200000</v>
      </c>
    </row>
    <row r="33" customFormat="false" ht="30" hidden="false" customHeight="true" outlineLevel="0" collapsed="false">
      <c r="A33" s="2" t="s">
        <v>31</v>
      </c>
      <c r="B33" s="8" t="n">
        <f aca="false">B28-B30-B31-B32</f>
        <v>668400.627525144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4" t="n">
        <f aca="false">UW!B5</f>
        <v>0.079</v>
      </c>
    </row>
    <row r="4" customFormat="false" ht="30" hidden="false" customHeight="true" outlineLevel="0" collapsed="false">
      <c r="A4" s="2" t="s">
        <v>34</v>
      </c>
      <c r="B4" s="4" t="n">
        <f aca="false">UW!B4</f>
        <v>0.06</v>
      </c>
    </row>
    <row r="5" customFormat="false" ht="30" hidden="false" customHeight="true" outlineLevel="0" collapsed="false">
      <c r="A5" s="2" t="s">
        <v>35</v>
      </c>
      <c r="B5" s="10" t="n">
        <f aca="false">B4-0.005</f>
        <v>0.055</v>
      </c>
      <c r="C5" s="10" t="n">
        <f aca="false">B4</f>
        <v>0.06</v>
      </c>
      <c r="D5" s="10" t="n">
        <f aca="false">B4+0.005</f>
        <v>0.065</v>
      </c>
    </row>
    <row r="6" customFormat="false" ht="30" hidden="false" customHeight="true" outlineLevel="0" collapsed="false">
      <c r="A6" s="4" t="n">
        <f aca="false">B3-0.005</f>
        <v>0.074</v>
      </c>
      <c r="B6" s="7" t="n">
        <f aca="false">MIN(UW!B16/B5*0.6, (UW!B19/UW!B24)/(12*ABS(PMT(A6/12,UW!B22*12,1))), UW!B19/UW!B26)</f>
        <v>8390768.09120885</v>
      </c>
      <c r="C6" s="7" t="n">
        <f aca="false">MIN(UW!B16/C5*0.6, (UW!B19/UW!B24)/(12*ABS(PMT(A6/12,UW!B22*12,1))), UW!B19/UW!B26)</f>
        <v>8390768.09120885</v>
      </c>
      <c r="D6" s="7" t="n">
        <f aca="false">MIN(UW!B16/D5*0.6, (UW!B19/UW!B24)/(12*ABS(PMT(A6/12,UW!B22*12,1))), UW!B19/UW!B26)</f>
        <v>8221290</v>
      </c>
    </row>
    <row r="7" customFormat="false" ht="30" hidden="false" customHeight="true" outlineLevel="0" collapsed="false">
      <c r="A7" s="4" t="n">
        <f aca="false">B3</f>
        <v>0.079</v>
      </c>
      <c r="B7" s="7" t="n">
        <f aca="false">MIN(UW!B16/B5*0.6, (UW!B19/UW!B24)/(12*ABS(PMT(A7/12,UW!B22*12,1))), UW!B19/UW!B26)</f>
        <v>7993333.96719712</v>
      </c>
      <c r="C7" s="7" t="n">
        <f aca="false">MIN(UW!B16/C5*0.6, (UW!B19/UW!B24)/(12*ABS(PMT(A7/12,UW!B22*12,1))), UW!B19/UW!B26)</f>
        <v>7993333.96719712</v>
      </c>
      <c r="D7" s="7" t="n">
        <f aca="false">MIN(UW!B16/D5*0.6, (UW!B19/UW!B24)/(12*ABS(PMT(A7/12,UW!B22*12,1))), UW!B19/UW!B26)</f>
        <v>7993333.96719712</v>
      </c>
    </row>
    <row r="8" customFormat="false" ht="30" hidden="false" customHeight="true" outlineLevel="0" collapsed="false">
      <c r="A8" s="4" t="n">
        <f aca="false">B3+0.005</f>
        <v>0.084</v>
      </c>
      <c r="B8" s="7" t="n">
        <f aca="false">MIN(UW!B16/B5*0.6, (UW!B19/UW!B24)/(12*ABS(PMT(A8/12,UW!B22*12,1))), UW!B19/UW!B26)</f>
        <v>7625769.43750371</v>
      </c>
      <c r="C8" s="7" t="n">
        <f aca="false">MIN(UW!B16/C5*0.6, (UW!B19/UW!B24)/(12*ABS(PMT(A8/12,UW!B22*12,1))), UW!B19/UW!B26)</f>
        <v>7625769.43750371</v>
      </c>
      <c r="D8" s="7" t="n">
        <f aca="false">MIN(UW!B16/D5*0.6, (UW!B19/UW!B24)/(12*ABS(PMT(A8/12,UW!B22*12,1))), UW!B19/UW!B26)</f>
        <v>7625769.43750371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36</v>
      </c>
    </row>
    <row r="3" customFormat="false" ht="30" hidden="false" customHeight="true" outlineLevel="0" collapsed="false">
      <c r="A3" s="2" t="s">
        <v>37</v>
      </c>
      <c r="B3" s="2" t="s">
        <v>38</v>
      </c>
    </row>
    <row r="4" customFormat="false" ht="31.5" hidden="false" customHeight="true" outlineLevel="0" collapsed="false">
      <c r="A4" s="11" t="s">
        <v>39</v>
      </c>
      <c r="B4" s="11" t="s">
        <v>40</v>
      </c>
    </row>
    <row r="5" customFormat="false" ht="30" hidden="false" customHeight="true" outlineLevel="0" collapsed="false">
      <c r="A5" s="11" t="s">
        <v>41</v>
      </c>
      <c r="B5" s="11" t="s">
        <v>42</v>
      </c>
    </row>
    <row r="6" customFormat="false" ht="31.5" hidden="false" customHeight="true" outlineLevel="0" collapsed="false">
      <c r="A6" s="11" t="s">
        <v>43</v>
      </c>
      <c r="B6" s="11" t="s">
        <v>44</v>
      </c>
    </row>
    <row r="7" customFormat="false" ht="48" hidden="false" customHeight="true" outlineLevel="0" collapsed="false">
      <c r="A7" s="11" t="s">
        <v>45</v>
      </c>
      <c r="B7" s="11" t="s">
        <v>46</v>
      </c>
    </row>
    <row r="8" customFormat="false" ht="31.5" hidden="false" customHeight="true" outlineLevel="0" collapsed="false">
      <c r="A8" s="11" t="s">
        <v>47</v>
      </c>
      <c r="B8" s="11" t="s">
        <v>48</v>
      </c>
    </row>
    <row r="9" customFormat="false" ht="31.5" hidden="false" customHeight="true" outlineLevel="0" collapsed="false">
      <c r="A9" s="11" t="s">
        <v>49</v>
      </c>
      <c r="B9" s="11" t="s">
        <v>50</v>
      </c>
    </row>
    <row r="10" customFormat="false" ht="31.5" hidden="false" customHeight="true" outlineLevel="0" collapsed="false">
      <c r="A10" s="11" t="s">
        <v>51</v>
      </c>
      <c r="B10" s="11" t="s">
        <v>52</v>
      </c>
    </row>
    <row r="11" customFormat="false" ht="31.5" hidden="false" customHeight="true" outlineLevel="0" collapsed="false">
      <c r="A11" s="11" t="s">
        <v>53</v>
      </c>
      <c r="B11" s="11" t="s">
        <v>54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2026-09-07T14:35:52Z</dcterms:created>
  <dc:creator>openpyxl</dc:creator>
  <dc:description/>
  <dc:language>en-US</dc:language>
  <cp:lastModifiedBy/>
  <dcterms:modified xsi:type="dcterms:W3CDTF">2026-09-07T14:45:44Z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