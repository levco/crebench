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-Rev" sheetId="1" state="visible" r:id="rId3"/>
    <sheet name="Sensitivity-Rev" sheetId="2" state="visible" r:id="rId4"/>
    <sheet name="Sources-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<sst xmlns="http://schemas.openxmlformats.org/spreadsheetml/2006/main" count="55" uniqueCount="55">
  <si>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 (Revised 2026-09-01)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</si>
  <si>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</si>
  <si>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</si>
  <si>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</si>
  <si>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</si>
  <si>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</si>
  <si>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</si>
  <si>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</si>
  <si>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</si>
  <si>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</si>
  <si>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</si>
  <si>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</si>
  <si>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</si>
  <si>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</si>
  <si>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</si>
  <si>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</si>
  <si>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</si>
  <si>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</si>
  <si>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</si>
  <si>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</si>
  <si>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</si>
  <si>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</si>
  <si>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</si>
  <si>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</si>
  <si>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</si>
  <si>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</si>
  <si>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</si>
  <si>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</si>
  <si>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</si>
  <si>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</si>
  <si>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</si>
  <si>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</si>
  <si>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 (Revised)</t>
  </si>
  <si>
    <t xml:space="preserve">Base sizing rate</t>
  </si>
  <si>
    <t xml:space="preserve">Base cap rate</t>
  </si>
  <si>
    <t xml:space="preserve">Sizing rate \\ Cap rate</t>
  </si>
  <si>
    <t xml:space="preserve">Source register (Revised)</t>
  </si>
  <si>
    <t xml:space="preserve">Document</t>
  </si>
  <si>
    <t xml:space="preserve">Location (page / cell)</t>
  </si>
  <si>
    <t xml:space="preserve">rent-roll-revised.xlsx</t>
  </si>
  <si>
    <t xml:space="preserve">B2 as-of date; A5:G68 unit detail; E57 Unit 053 rent change; D57 status active</t>
  </si>
  <si>
    <t xml:space="preserve">revision-notice.pdf</t>
  </si>
  <si>
    <t xml:space="preserve">p1 instruction: Suite 053 active +$225 rent; raise initial sizing rate +75bp; raise cap rate +25bp; preserve other rules</t>
  </si>
  <si>
    <t xml:space="preserve">underwriting-instructions.pdf</t>
  </si>
  <si>
    <t xml:space="preserve">p1 baseline methodology (economic loss, other income, expenses, mgmt %, reserves, constraints,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</si>
  <si>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</si>
  <si>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</si>
  <si>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</si>
  <si>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</si>
  <si>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operating-statement.pdf</t>
  </si>
  <si>
    <t xml:space="preserve">p1 T12 actuals incl. tax, insurance, other opex, reported NOI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</si>
  <si>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</si>
  <si>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</si>
  <si>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</si>
  <si>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confirms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</si>
</sst>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1357200</v>
      </c>
    </row>
    <row r="4" customFormat="false" ht="30" hidden="false" customHeight="true" outlineLevel="0" collapsed="false">
      <c r="A4" s="2" t="s">
        <v>2</v>
      </c>
      <c r="B4" s="4" t="n">
        <v>0.0675</v>
      </c>
    </row>
    <row r="5" customFormat="false" ht="30" hidden="false" customHeight="true" outlineLevel="0" collapsed="false">
      <c r="A5" s="2" t="s">
        <v>3</v>
      </c>
      <c r="B5" s="4" t="n">
        <v>0.0765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1311740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39352.2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893127.8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873927.8</v>
      </c>
    </row>
    <row r="20" customFormat="false" ht="30" hidden="false" customHeight="true" outlineLevel="0" collapsed="false">
      <c r="A20" s="2" t="s">
        <v>18</v>
      </c>
      <c r="B20" s="8" t="n">
        <f aca="false">B16/B4</f>
        <v>13231522.962963</v>
      </c>
    </row>
    <row r="21" customFormat="false" ht="30" hidden="false" customHeight="true" outlineLevel="0" collapsed="false">
      <c r="A21" s="2" t="s">
        <v>19</v>
      </c>
      <c r="B21" s="8" t="n">
        <f aca="false">B20*0.6</f>
        <v>7938913.77777778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0.0851417189945035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8211511.9151533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9710308.88888889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7938913.77777778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79389.1377777778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614524.64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'UW-Rev'!B5</f>
        <v>0.0765</v>
      </c>
    </row>
    <row r="4" customFormat="false" ht="30" hidden="false" customHeight="true" outlineLevel="0" collapsed="false">
      <c r="A4" s="2" t="s">
        <v>34</v>
      </c>
      <c r="B4" s="4" t="n">
        <f aca="false">'UW-Rev'!B4</f>
        <v>0.0675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0.0625</v>
      </c>
      <c r="C5" s="10" t="n">
        <f aca="false">B4</f>
        <v>0.0675</v>
      </c>
      <c r="D5" s="10" t="n">
        <f aca="false">B4+0.005</f>
        <v>0.0725</v>
      </c>
    </row>
    <row r="6" customFormat="false" ht="30" hidden="false" customHeight="true" outlineLevel="0" collapsed="false">
      <c r="A6" s="4" t="n">
        <f aca="false">B3-0.005</f>
        <v>0.0715</v>
      </c>
      <c r="B6" s="7" t="n">
        <f aca="false">MIN('UW-Rev'!B16/B5*0.6, ('UW-Rev'!B19/'UW-Rev'!B24)/(12*ABS(PMT(A6/12,'UW-Rev'!B22*12,1))), 'UW-Rev'!B19/'UW-Rev'!B26)</f>
        <v>8574026.88</v>
      </c>
      <c r="C6" s="7" t="n">
        <f aca="false">MIN('UW-Rev'!B16/C5*0.6, ('UW-Rev'!B19/'UW-Rev'!B24)/(12*ABS(PMT(A6/12,'UW-Rev'!B22*12,1))), 'UW-Rev'!B19/'UW-Rev'!B26)</f>
        <v>7938913.77777778</v>
      </c>
      <c r="D6" s="7" t="n">
        <f aca="false">MIN('UW-Rev'!B16/D5*0.6, ('UW-Rev'!B19/'UW-Rev'!B24)/(12*ABS(PMT(A6/12,'UW-Rev'!B22*12,1))), 'UW-Rev'!B19/'UW-Rev'!B26)</f>
        <v>7391402.48275862</v>
      </c>
    </row>
    <row r="7" customFormat="false" ht="30" hidden="false" customHeight="true" outlineLevel="0" collapsed="false">
      <c r="A7" s="4" t="n">
        <f aca="false">B3</f>
        <v>0.0765</v>
      </c>
      <c r="B7" s="7" t="n">
        <f aca="false">MIN('UW-Rev'!B16/B5*0.6, ('UW-Rev'!B19/'UW-Rev'!B24)/(12*ABS(PMT(A7/12,'UW-Rev'!B22*12,1))), 'UW-Rev'!B19/'UW-Rev'!B26)</f>
        <v>8211511.9151533</v>
      </c>
      <c r="C7" s="7" t="n">
        <f aca="false">MIN('UW-Rev'!B16/C5*0.6, ('UW-Rev'!B19/'UW-Rev'!B24)/(12*ABS(PMT(A7/12,'UW-Rev'!B22*12,1))), 'UW-Rev'!B19/'UW-Rev'!B26)</f>
        <v>7938913.77777778</v>
      </c>
      <c r="D7" s="7" t="n">
        <f aca="false">MIN('UW-Rev'!B16/D5*0.6, ('UW-Rev'!B19/'UW-Rev'!B24)/(12*ABS(PMT(A7/12,'UW-Rev'!B22*12,1))), 'UW-Rev'!B19/'UW-Rev'!B26)</f>
        <v>7391402.48275862</v>
      </c>
    </row>
    <row r="8" customFormat="false" ht="30" hidden="false" customHeight="true" outlineLevel="0" collapsed="false">
      <c r="A8" s="4" t="n">
        <f aca="false">B3+0.005</f>
        <v>0.0815</v>
      </c>
      <c r="B8" s="7" t="n">
        <f aca="false">MIN('UW-Rev'!B16/B5*0.6, ('UW-Rev'!B19/'UW-Rev'!B24)/(12*ABS(PMT(A8/12,'UW-Rev'!B22*12,1))), 'UW-Rev'!B19/'UW-Rev'!B26)</f>
        <v>7828283.37225678</v>
      </c>
      <c r="C8" s="7" t="n">
        <f aca="false">MIN('UW-Rev'!B16/C5*0.6, ('UW-Rev'!B19/'UW-Rev'!B24)/(12*ABS(PMT(A8/12,'UW-Rev'!B22*12,1))), 'UW-Rev'!B19/'UW-Rev'!B26)</f>
        <v>7828283.37225678</v>
      </c>
      <c r="D8" s="7" t="n">
        <f aca="false">MIN('UW-Rev'!B16/D5*0.6, ('UW-Rev'!B19/'UW-Rev'!B24)/(12*ABS(PMT(A8/12,'UW-Rev'!B22*12,1))), 'UW-Rev'!B19/'UW-Rev'!B26)</f>
        <v>7391402.48275862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48" hidden="false" customHeight="true" outlineLevel="0" collapsed="false">
      <c r="A5" s="11" t="s">
        <v>41</v>
      </c>
      <c r="B5" s="11" t="s">
        <v>42</v>
      </c>
    </row>
    <row r="6" customFormat="false" ht="48" hidden="false" customHeight="true" outlineLevel="0" collapsed="false">
      <c r="A6" s="11" t="s">
        <v>43</v>
      </c>
      <c r="B6" s="11" t="s">
        <v>44</v>
      </c>
    </row>
    <row r="7" customFormat="false" ht="30" hidden="false" customHeight="true" outlineLevel="0" collapsed="false">
      <c r="A7" s="11" t="s">
        <v>45</v>
      </c>
      <c r="B7" s="11" t="s">
        <v>46</v>
      </c>
    </row>
    <row r="8" customFormat="false" ht="30" hidden="false" customHeight="true" outlineLevel="0" collapsed="false">
      <c r="A8" s="11" t="s">
        <v>47</v>
      </c>
      <c r="B8" s="11" t="s">
        <v>48</v>
      </c>
    </row>
    <row r="9" customFormat="false" ht="30" hidden="false" customHeight="true" outlineLevel="0" collapsed="false">
      <c r="A9" s="11" t="s">
        <v>49</v>
      </c>
      <c r="B9" s="11" t="s">
        <v>50</v>
      </c>
    </row>
    <row r="10" customFormat="false" ht="30" hidden="false" customHeight="true" outlineLevel="0" collapsed="false">
      <c r="A10" s="11" t="s">
        <v>51</v>
      </c>
      <c r="B10" s="11" t="s">
        <v>52</v>
      </c>
    </row>
    <row r="11" customFormat="false" ht="30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2026-09-07T14:40:13Z</dcterms:created>
  <dc:creator>openpyxl</dc:creator>
  <dc:description/>
  <dc:language>en-US</dc:language>
  <cp:lastModifiedBy/>
  <dcterms:modified xsi:type="dcterms:W3CDTF">2026-09-07T14:45:46Z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