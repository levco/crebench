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</cols>
  <sheetData>
    <row r="1" ht="30" customHeight="1">
      <c r="A1" s="1" t="inlineStr">
        <is>
          <t>Willow Gardens Underwriting</t>
        </is>
      </c>
    </row>
    <row r="3" ht="30" customHeight="1">
      <c r="A3" s="2" t="inlineStr">
        <is>
          <t>Gross potential rent (annual)</t>
        </is>
      </c>
      <c r="B3" s="3" t="n">
        <v>1354500</v>
      </c>
    </row>
    <row r="4" ht="30" customHeight="1">
      <c r="A4" s="2" t="inlineStr">
        <is>
          <t>Capitalization rate</t>
        </is>
      </c>
      <c r="B4" s="4" t="n">
        <v>0.06</v>
      </c>
    </row>
    <row r="5" ht="30" customHeight="1">
      <c r="A5" s="2" t="inlineStr">
        <is>
          <t>Sizing rate (note vs floor; greater)</t>
        </is>
      </c>
      <c r="B5" s="4" t="n">
        <v>0.079</v>
      </c>
    </row>
    <row r="6" ht="30" customHeight="1">
      <c r="A6" s="2" t="inlineStr">
        <is>
          <t>Total units</t>
        </is>
      </c>
      <c r="B6" s="5" t="n">
        <v>64</v>
      </c>
    </row>
    <row r="7" ht="30" customHeight="1">
      <c r="A7" s="2" t="inlineStr">
        <is>
          <t>Economic loss %</t>
        </is>
      </c>
      <c r="B7" s="6" t="n">
        <v>0.05</v>
      </c>
    </row>
    <row r="8" ht="30" customHeight="1">
      <c r="A8" s="2" t="inlineStr">
        <is>
          <t>Other income per unit (annual)</t>
        </is>
      </c>
      <c r="B8" s="3" t="n">
        <v>350</v>
      </c>
    </row>
    <row r="9" ht="30" customHeight="1">
      <c r="A9" s="2" t="inlineStr">
        <is>
          <t>Other income total (annual)</t>
        </is>
      </c>
      <c r="B9" s="7">
        <f>B6*B8</f>
        <v/>
      </c>
    </row>
    <row r="10" ht="30" customHeight="1">
      <c r="A10" s="2" t="inlineStr">
        <is>
          <t>Underwritten EGI</t>
        </is>
      </c>
      <c r="B10" s="8">
        <f>B3*(1-B7)+B9</f>
        <v/>
      </c>
    </row>
    <row r="11" ht="30" customHeight="1">
      <c r="A11" s="2" t="inlineStr">
        <is>
          <t>Management fee %</t>
        </is>
      </c>
      <c r="B11" s="6" t="n">
        <v>0.03</v>
      </c>
    </row>
    <row r="12" ht="30" customHeight="1">
      <c r="A12" s="2" t="inlineStr">
        <is>
          <t>Management fee (annual)</t>
        </is>
      </c>
      <c r="B12" s="7">
        <f>B10*B11</f>
        <v/>
      </c>
    </row>
    <row r="13" ht="30" customHeight="1">
      <c r="A13" s="2" t="inlineStr">
        <is>
          <t>Real estate taxes (annual)</t>
        </is>
      </c>
      <c r="B13" s="3" t="n">
        <v>142222</v>
      </c>
    </row>
    <row r="14" ht="30" customHeight="1">
      <c r="A14" s="2" t="inlineStr">
        <is>
          <t>Insurance expense (annual)</t>
        </is>
      </c>
      <c r="B14" s="3" t="n">
        <v>47408</v>
      </c>
    </row>
    <row r="15" ht="30" customHeight="1">
      <c r="A15" s="2" t="inlineStr">
        <is>
          <t>Other recurring operating expenses</t>
        </is>
      </c>
      <c r="B15" s="3" t="n">
        <v>189630</v>
      </c>
    </row>
    <row r="16" ht="30" customHeight="1">
      <c r="A16" s="2" t="inlineStr">
        <is>
          <t>UW NOI before reserves</t>
        </is>
      </c>
      <c r="B16" s="8">
        <f>B10-B12-B13-B14-B15</f>
        <v/>
      </c>
    </row>
    <row r="17" ht="30" customHeight="1">
      <c r="A17" s="2" t="inlineStr">
        <is>
          <t>Replacement reserves per unit (annual)</t>
        </is>
      </c>
      <c r="B17" s="3" t="n">
        <v>300</v>
      </c>
    </row>
    <row r="18" ht="30" customHeight="1">
      <c r="A18" s="2" t="inlineStr">
        <is>
          <t>Replacement reserves total (annual)</t>
        </is>
      </c>
      <c r="B18" s="7">
        <f>B6*B17</f>
        <v/>
      </c>
    </row>
    <row r="19" ht="30" customHeight="1">
      <c r="A19" s="2" t="inlineStr">
        <is>
          <t>UW NCF after reserves</t>
        </is>
      </c>
      <c r="B19" s="8">
        <f>B16-B18</f>
        <v/>
      </c>
    </row>
    <row r="20" ht="30" customHeight="1">
      <c r="A20" s="2" t="inlineStr">
        <is>
          <t>Capitalization value</t>
        </is>
      </c>
      <c r="B20" s="8">
        <f>B16/B4</f>
        <v/>
      </c>
    </row>
    <row r="21" ht="30" customHeight="1">
      <c r="A21" s="2" t="inlineStr">
        <is>
          <t>LTV limit (60% of cap value)</t>
        </is>
      </c>
      <c r="B21" s="8">
        <f>B20*0.6</f>
        <v/>
      </c>
    </row>
    <row r="22" ht="30" customHeight="1">
      <c r="A22" s="2" t="inlineStr">
        <is>
          <t>Amortization (years)</t>
        </is>
      </c>
      <c r="B22" s="5" t="n">
        <v>30</v>
      </c>
    </row>
    <row r="23" ht="30" customHeight="1">
      <c r="A23" s="2" t="inlineStr">
        <is>
          <t>Annual debt service per $1</t>
        </is>
      </c>
      <c r="B23" s="9">
        <f>12*ABS(PMT(B5/12,B22*12,1))</f>
        <v/>
      </c>
    </row>
    <row r="24" ht="30" customHeight="1">
      <c r="A24" s="2" t="inlineStr">
        <is>
          <t>Minimum DSCR</t>
        </is>
      </c>
      <c r="B24" s="5" t="n">
        <v>1.25</v>
      </c>
    </row>
    <row r="25" ht="30" customHeight="1">
      <c r="A25" s="2" t="inlineStr">
        <is>
          <t>DSCR-based loan</t>
        </is>
      </c>
      <c r="B25" s="8">
        <f>(B19/B24)/B23</f>
        <v/>
      </c>
    </row>
    <row r="26" ht="30" customHeight="1">
      <c r="A26" s="2" t="inlineStr">
        <is>
          <t>Minimum debt yield</t>
        </is>
      </c>
      <c r="B26" s="6" t="n">
        <v>0.09</v>
      </c>
    </row>
    <row r="27" ht="30" customHeight="1">
      <c r="A27" s="2" t="inlineStr">
        <is>
          <t>Debt-yield-based loan</t>
        </is>
      </c>
      <c r="B27" s="8">
        <f>B19/B26</f>
        <v/>
      </c>
    </row>
    <row r="28" ht="30" customHeight="1">
      <c r="A28" s="2" t="inlineStr">
        <is>
          <t>Maximum loan (min of constraints)</t>
        </is>
      </c>
      <c r="B28" s="8">
        <f>MIN(B21,B25,B27)</f>
        <v/>
      </c>
    </row>
    <row r="29" ht="30" customHeight="1">
      <c r="A29" s="2" t="inlineStr">
        <is>
          <t>Origination fee %</t>
        </is>
      </c>
      <c r="B29" s="6" t="n">
        <v>0.01</v>
      </c>
    </row>
    <row r="30" ht="30" customHeight="1">
      <c r="A30" s="2" t="inlineStr">
        <is>
          <t>Origination fee (amount)</t>
        </is>
      </c>
      <c r="B30" s="7">
        <f>B28*B29</f>
        <v/>
      </c>
    </row>
    <row r="31" ht="30" customHeight="1">
      <c r="A31" s="2" t="inlineStr">
        <is>
          <t>Closing costs</t>
        </is>
      </c>
      <c r="B31" s="3" t="n">
        <v>45000</v>
      </c>
    </row>
    <row r="32" ht="30" customHeight="1">
      <c r="A32" s="2" t="inlineStr">
        <is>
          <t>Existing payoff</t>
        </is>
      </c>
      <c r="B32" s="3" t="n">
        <v>7200000</v>
      </c>
    </row>
    <row r="33" ht="30" customHeight="1">
      <c r="A33" s="2" t="inlineStr">
        <is>
          <t>Net cash out (neg = add'l equity req.)</t>
        </is>
      </c>
      <c r="B33" s="8">
        <f>B28-B30-B31-B32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Loan sizing sensitivity</t>
        </is>
      </c>
    </row>
    <row r="3" ht="30" customHeight="1">
      <c r="A3" s="2" t="inlineStr">
        <is>
          <t>Base sizing rate</t>
        </is>
      </c>
      <c r="B3" s="4">
        <f>'UW'!B5</f>
        <v/>
      </c>
    </row>
    <row r="4" ht="30" customHeight="1">
      <c r="A4" s="2" t="inlineStr">
        <is>
          <t>Base cap rate</t>
        </is>
      </c>
      <c r="B4" s="4">
        <f>'UW'!B4</f>
        <v/>
      </c>
    </row>
    <row r="5" ht="30" customHeight="1">
      <c r="A5" s="2" t="inlineStr">
        <is>
          <t>Sizing rate \\ Cap rate</t>
        </is>
      </c>
      <c r="B5" s="10">
        <f>B4-0.005</f>
        <v/>
      </c>
      <c r="C5" s="10">
        <f>B4</f>
        <v/>
      </c>
      <c r="D5" s="10">
        <f>B4+0.005</f>
        <v/>
      </c>
    </row>
    <row r="6" ht="30" customHeight="1">
      <c r="A6" s="4">
        <f>B3-0.005</f>
        <v/>
      </c>
      <c r="B6" s="7">
        <f>MIN('UW'!B16/B5*0.6, ('UW'!B19/'UW'!B24)/(12*ABS(PMT(A6/12,'UW'!B22*12,1))), 'UW'!B19/'UW'!B26)</f>
        <v/>
      </c>
      <c r="C6" s="7">
        <f>MIN('UW'!B16/C5*0.6, ('UW'!B19/'UW'!B24)/(12*ABS(PMT(A6/12,'UW'!B22*12,1))), 'UW'!B19/'UW'!B26)</f>
        <v/>
      </c>
      <c r="D6" s="7">
        <f>MIN('UW'!B16/D5*0.6, ('UW'!B19/'UW'!B24)/(12*ABS(PMT(A6/12,'UW'!B22*12,1))), 'UW'!B19/'UW'!B26)</f>
        <v/>
      </c>
    </row>
    <row r="7" ht="30" customHeight="1">
      <c r="A7" s="4">
        <f>B3</f>
        <v/>
      </c>
      <c r="B7" s="7">
        <f>MIN('UW'!B16/B5*0.6, ('UW'!B19/'UW'!B24)/(12*ABS(PMT(A7/12,'UW'!B22*12,1))), 'UW'!B19/'UW'!B26)</f>
        <v/>
      </c>
      <c r="C7" s="7">
        <f>MIN('UW'!B16/C5*0.6, ('UW'!B19/'UW'!B24)/(12*ABS(PMT(A7/12,'UW'!B22*12,1))), 'UW'!B19/'UW'!B26)</f>
        <v/>
      </c>
      <c r="D7" s="7">
        <f>MIN('UW'!B16/D5*0.6, ('UW'!B19/'UW'!B24)/(12*ABS(PMT(A7/12,'UW'!B22*12,1))), 'UW'!B19/'UW'!B26)</f>
        <v/>
      </c>
    </row>
    <row r="8" ht="30" customHeight="1">
      <c r="A8" s="4">
        <f>B3+0.005</f>
        <v/>
      </c>
      <c r="B8" s="7">
        <f>MIN('UW'!B16/B5*0.6, ('UW'!B19/'UW'!B24)/(12*ABS(PMT(A8/12,'UW'!B22*12,1))), 'UW'!B19/'UW'!B26)</f>
        <v/>
      </c>
      <c r="C8" s="7">
        <f>MIN('UW'!B16/C5*0.6, ('UW'!B19/'UW'!B24)/(12*ABS(PMT(A8/12,'UW'!B22*12,1))), 'UW'!B19/'UW'!B26)</f>
        <v/>
      </c>
      <c r="D8" s="7">
        <f>MIN('UW'!B16/D5*0.6, ('UW'!B19/'UW'!B24)/(12*ABS(PMT(A8/12,'UW'!B22*12,1))), 'UW'!B19/'UW'!B26)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30" customHeight="1">
      <c r="A1" s="1" t="inlineStr">
        <is>
          <t>Source register</t>
        </is>
      </c>
    </row>
    <row r="3" ht="30" customHeight="1">
      <c r="A3" s="2" t="inlineStr">
        <is>
          <t>Document</t>
        </is>
      </c>
      <c r="B3" s="2" t="inlineStr">
        <is>
          <t>Location (page / cell)</t>
        </is>
      </c>
    </row>
    <row r="4" ht="32" customHeight="1">
      <c r="A4" s="11" t="inlineStr">
        <is>
          <t>rent-roll-certified.xlsx</t>
        </is>
      </c>
      <c r="B4" s="11" t="inlineStr">
        <is>
          <t>B2 as-of date; A5:G68 unit detail; E5 Unit 001 rent</t>
        </is>
      </c>
    </row>
    <row r="5" ht="30" customHeight="1">
      <c r="A5" s="11" t="inlineStr">
        <is>
          <t>rent-roll-archive.xlsx</t>
        </is>
      </c>
      <c r="B5" s="11" t="inlineStr">
        <is>
          <t>B2 as-of date; A5:G68 unit detail</t>
        </is>
      </c>
    </row>
    <row r="6" ht="32" customHeight="1">
      <c r="A6" s="11" t="inlineStr">
        <is>
          <t>operating-statement.pdf</t>
        </is>
      </c>
      <c r="B6" s="11" t="inlineStr">
        <is>
          <t>p1 T12 actuals incl. tax, insurance, other opex, reported NOI</t>
        </is>
      </c>
    </row>
    <row r="7" ht="48" customHeight="1">
      <c r="A7" s="11" t="inlineStr">
        <is>
          <t>underwriting-instructions.pdf</t>
        </is>
      </c>
      <c r="B7" s="11" t="inlineStr">
        <is>
          <t>p1 underwriting assumptions (GPR basis, loss %, mgmt %, reserves, cap rate, loan sizing, fees, payoff)</t>
        </is>
      </c>
    </row>
    <row r="8" ht="32" customHeight="1">
      <c r="A8" s="11" t="inlineStr">
        <is>
          <t>insurance.pdf</t>
        </is>
      </c>
      <c r="B8" s="11" t="inlineStr">
        <is>
          <t>p1 general liability aggregate limit $2,000,000; eff 2026-07-01 to 2027-06-30</t>
        </is>
      </c>
    </row>
    <row r="9" ht="32" customHeight="1">
      <c r="A9" s="11" t="inlineStr">
        <is>
          <t>manager-cover.pdf</t>
        </is>
      </c>
      <c r="B9" s="11" t="inlineStr">
        <is>
          <t>p1 occupancy headline includes pending; A/B/C mapping</t>
        </is>
      </c>
    </row>
    <row r="10" ht="32" customHeight="1">
      <c r="A10" s="11" t="inlineStr">
        <is>
          <t>lease-001.pdf</t>
        </is>
      </c>
      <c r="B10" s="11" t="inlineStr">
        <is>
          <t>p1 Suite 001 rent $1,575; 820 SF; expiry 2029-08-31; no free rent</t>
        </is>
      </c>
    </row>
    <row r="11" ht="32" customHeight="1">
      <c r="A11" s="11" t="inlineStr">
        <is>
          <t>lease-correspondence.pdf</t>
        </is>
      </c>
      <c r="B11" s="11" t="inlineStr">
        <is>
          <t>p1 manager confirmation no amendments or concessions as of 2026-08-31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2026-09-07T14:35:52Z</dcterms:created>
  <dcterms:modified xmlns:dcterms="http://purl.org/dc/terms/" xmlns:xsi="http://www.w3.org/2001/XMLSchema-instance" xsi:type="dcterms:W3CDTF">2026-09-07T14:45:44Z</dcterms:modified>
</cp:coreProperties>
</file>