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ource Regi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</cols>
  <sheetData>
    <row r="1" ht="30" customHeight="1">
      <c r="A1" s="1" t="inlineStr">
        <is>
          <t>Beacon Plaza - Certified Rent Roll as of 2026-08-31 (source: rent-roll-certified.xlsx)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pending</t>
        </is>
      </c>
      <c r="F13" s="3" t="n">
        <v>11050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</row>
    <row r="18" ht="30" customHeight="1">
      <c r="A18" s="2" t="inlineStr">
        <is>
          <t>Roll statistics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(lease-001.pdf p.1 agrees)</t>
        </is>
      </c>
      <c r="B30" s="6">
        <f>F4</f>
        <v/>
      </c>
    </row>
    <row r="32" ht="30" customHeight="1">
      <c r="A32" s="2" t="inlineStr">
        <is>
          <t>Group mix (manager mapping: A=Small, B=Standard, C=Large)</t>
        </is>
      </c>
    </row>
    <row r="33" ht="30" customHeight="1">
      <c r="A33" s="2" t="inlineStr">
        <is>
          <t>Group</t>
        </is>
      </c>
      <c r="B33" s="2" t="inlineStr">
        <is>
          <t>Units</t>
        </is>
      </c>
      <c r="C33" s="2" t="inlineStr">
        <is>
          <t>Occupied</t>
        </is>
      </c>
      <c r="D33" s="2" t="inlineStr">
        <is>
          <t>Area SF</t>
        </is>
      </c>
    </row>
    <row r="34" ht="30" customHeight="1">
      <c r="A34" s="3" t="inlineStr">
        <is>
          <t>A</t>
        </is>
      </c>
      <c r="B34" s="3">
        <f>COUNTIF($C$4:$C$15,"A")</f>
        <v/>
      </c>
      <c r="C34" s="3">
        <f>SUMIF($C$4:$C$15,"A",$H$4:$H$15)</f>
        <v/>
      </c>
      <c r="D34" s="3">
        <f>SUMIF($C$4:$C$15,"A",$D$4:$D$15)</f>
        <v/>
      </c>
    </row>
    <row r="35" ht="30" customHeight="1">
      <c r="A35" s="3" t="inlineStr">
        <is>
          <t>B</t>
        </is>
      </c>
      <c r="B35" s="3">
        <f>COUNTIF($C$4:$C$15,"B")</f>
        <v/>
      </c>
      <c r="C35" s="3">
        <f>SUMIF($C$4:$C$15,"B",$H$4:$H$15)</f>
        <v/>
      </c>
      <c r="D35" s="3">
        <f>SUMIF($C$4:$C$15,"B",$D$4:$D$15)</f>
        <v/>
      </c>
    </row>
    <row r="36" ht="30" customHeight="1">
      <c r="A36" s="3" t="inlineStr">
        <is>
          <t>C</t>
        </is>
      </c>
      <c r="B36" s="3">
        <f>COUNTIF($C$4:$C$15,"C")</f>
        <v/>
      </c>
      <c r="C36" s="3">
        <f>SUMIF($C$4:$C$15,"C",$H$4:$H$15)</f>
        <v/>
      </c>
      <c r="D36" s="3">
        <f>SUMIF($C$4:$C$15,"C",$D$4:$D$15)</f>
        <v/>
      </c>
    </row>
    <row r="38" ht="30" customHeight="1">
      <c r="A38" s="3" t="inlineStr">
        <is>
          <t>Near-term rollover: Suite 001 expires 2027-02-28, within 12 months of 2026-08-31. All other active expiries 2029-08-31.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Underwriting, Valuation and Debt Sizing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</t>
        </is>
      </c>
      <c r="B4" s="7" t="n">
        <v>1618800</v>
      </c>
      <c r="C4" s="3" t="inlineStr">
        <is>
          <t>rent-roll-certified.xlsx E5:E16 x 12; underwriting-instructions.pdf p.1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</t>
        </is>
      </c>
      <c r="B7" s="9" t="n">
        <v>0.075</v>
      </c>
      <c r="C7" s="3" t="inlineStr">
        <is>
          <t>underwriting-instructions.pdf p.1</t>
        </is>
      </c>
    </row>
    <row r="8" ht="30" customHeight="1">
      <c r="A8" s="3" t="inlineStr">
        <is>
          <t>Sizing rate (greater of note rate and floor)</t>
        </is>
      </c>
      <c r="B8" s="9" t="n">
        <v>0.0675</v>
      </c>
      <c r="C8" s="3" t="inlineStr">
        <is>
          <t>MAX(note 6.75%, floor 6.00%); underwriting-instructions.pdf p.1</t>
        </is>
      </c>
    </row>
    <row r="9" ht="30" customHeight="1">
      <c r="A9" s="3" t="inlineStr">
        <is>
          <t>Note rate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rent-roll-certified.xlsx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</t>
        </is>
      </c>
      <c r="B23" s="7" t="n">
        <v>6500000</v>
      </c>
      <c r="C23" s="3" t="inlineStr">
        <is>
          <t>underwriting-instructions.pdf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Sizing floor test: sizing rate = MAX(note, floor); the 6.00% floor is not binding because the 6.75% note rate is higher.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ties to computed T12 NOI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</t>
        </is>
      </c>
    </row>
    <row r="2" ht="30" customHeight="1">
      <c r="A2" s="2" t="inlineStr">
        <is>
          <t>Sizing rate \ Cap rate</t>
        </is>
      </c>
      <c r="B2" s="14" t="n">
        <v>0.07000000000000001</v>
      </c>
      <c r="C2" s="14" t="n">
        <v>0.075</v>
      </c>
      <c r="D2" s="14" t="n">
        <v>0.08</v>
      </c>
      <c r="E2" s="14" t="n">
        <v>0.08500000000000001</v>
      </c>
    </row>
    <row r="3" ht="30" customHeight="1">
      <c r="A3" s="14" t="n">
        <v>0.06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4" t="n">
        <v>0.0675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4" t="n">
        <v>0.075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4" t="n">
        <v>0.08500000000000001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underwritten NOI/NCF from the UW sheet.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rent-roll-certified.xlsx</t>
        </is>
      </c>
      <c r="B3" s="3" t="inlineStr">
        <is>
          <t>Rent Roll A2:G16</t>
        </is>
      </c>
      <c r="C3" s="3" t="inlineStr">
        <is>
          <t>Controlling roll dated 2026-08-31: 12 suites, 66,360 SF, statuses, rents, expirations</t>
        </is>
      </c>
    </row>
    <row r="4" ht="30" customHeight="1">
      <c r="A4" s="3" t="inlineStr">
        <is>
          <t>rent-roll-archive.xlsx</t>
        </is>
      </c>
      <c r="B4" s="3" t="inlineStr">
        <is>
          <t>Rent Roll A2:G16</t>
        </is>
      </c>
      <c r="C4" s="3" t="inlineStr">
        <is>
          <t>Stale 2026-06-30 archive with lower rents; superseded, not used</t>
        </is>
      </c>
    </row>
    <row r="5" ht="30" customHeight="1">
      <c r="A5" s="3" t="inlineStr">
        <is>
          <t>lease-001.pdf</t>
        </is>
      </c>
      <c r="B5" s="3" t="inlineStr">
        <is>
          <t>p.1</t>
        </is>
      </c>
      <c r="C5" s="3" t="inlineStr">
        <is>
          <t>Suite 001 executed lease: $11,050/mo, expiry 2027-02-28, 5,380 SF, no free rent</t>
        </is>
      </c>
    </row>
    <row r="6" ht="30" customHeight="1">
      <c r="A6" s="3" t="inlineStr">
        <is>
          <t>lease-correspondence.pdf</t>
        </is>
      </c>
      <c r="B6" s="3" t="inlineStr">
        <is>
          <t>p.1</t>
        </is>
      </c>
      <c r="C6" s="3" t="inlineStr">
        <is>
          <t>Manager confirmation 2026-08-31: no amendments or concessions affect Suite 001</t>
        </is>
      </c>
    </row>
    <row r="7" ht="30" customHeight="1">
      <c r="A7" s="3" t="inlineStr">
        <is>
          <t>operating-statement.pdf</t>
        </is>
      </c>
      <c r="B7" s="3" t="inlineStr">
        <is>
          <t>p.1</t>
        </is>
      </c>
      <c r="C7" s="3" t="inlineStr">
        <is>
          <t>T12 collections 1,456,920; tax/insurance/other expenses; reported NOI 1,003,656; roof capital $0 in repairs</t>
        </is>
      </c>
    </row>
    <row r="8" ht="30" customHeight="1">
      <c r="A8" s="3" t="inlineStr">
        <is>
          <t>insurance.pdf</t>
        </is>
      </c>
      <c r="B8" s="3" t="inlineStr">
        <is>
          <t>p.1</t>
        </is>
      </c>
      <c r="C8" s="3" t="inlineStr">
        <is>
          <t>GL aggregate limit $2,000,000; 2026-07-01 to 2027-06-30; distinct from expense</t>
        </is>
      </c>
    </row>
    <row r="9" ht="30" customHeight="1">
      <c r="A9" s="3" t="inlineStr">
        <is>
          <t>underwriting-instructions.pdf</t>
        </is>
      </c>
      <c r="B9" s="3" t="inlineStr">
        <is>
          <t>p.1</t>
        </is>
      </c>
      <c r="C9" s="3" t="inlineStr">
        <is>
          <t>All underwriting, capitalization, sizing and sources/uses assumptions</t>
        </is>
      </c>
    </row>
    <row r="10" ht="30" customHeight="1">
      <c r="A10" s="3" t="inlineStr">
        <is>
          <t>manager-cover.pdf</t>
        </is>
      </c>
      <c r="B10" s="3" t="inlineStr">
        <is>
          <t>p.1</t>
        </is>
      </c>
      <c r="C10" s="3" t="inlineStr">
        <is>
          <t>Manager headline 10 of 12 leased (includes pending); A/B/C group mapping; certified detail controls</t>
        </is>
      </c>
    </row>
    <row r="11" ht="30" customHeight="1">
      <c r="A11" s="3" t="inlineStr">
        <is>
          <t>diligence-status.pdf</t>
        </is>
      </c>
      <c r="B11" s="3" t="inlineStr">
        <is>
          <t>p.1</t>
        </is>
      </c>
      <c r="C11" s="3" t="inlineStr">
        <is>
          <t>Legal, environmental, PCA and title reviews incomplete; no defect findings</t>
        </is>
      </c>
    </row>
    <row r="12" ht="30" customHeight="1">
      <c r="A12" s="3" t="inlineStr">
        <is>
          <t>Not supplied</t>
        </is>
      </c>
      <c r="B12" s="3" t="inlineStr">
        <is>
          <t>n/a</t>
        </is>
      </c>
      <c r="C12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2026-09-07T13:09:38Z</dcterms:created>
  <dcterms:modified xmlns:dcterms="http://purl.org/dc/terms/" xmlns:xsi="http://www.w3.org/2001/XMLSchema-instance" xsi:type="dcterms:W3CDTF">2026-09-07T13:09:38Z</dcterms:modified>
</cp:coreProperties>
</file>