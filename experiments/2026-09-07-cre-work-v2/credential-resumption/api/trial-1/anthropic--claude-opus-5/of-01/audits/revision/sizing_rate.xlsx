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vision Bridge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Beacon Plaza - REVISED Certified Rent Roll as of 2026-09-01 (source: rent-roll-revised.xlsx; supersedes 2026-08-31 roll)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  <c r="K3" s="2" t="inlineStr">
        <is>
          <t>Prior rent 8/31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  <c r="K4" s="3" t="n">
        <v>11050</v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  <c r="K5" s="3" t="n">
        <v>11200</v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  <c r="K6" s="3" t="n">
        <v>11475</v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  <c r="K7" s="3" t="n">
        <v>11050</v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  <c r="K8" s="3" t="n">
        <v>11200</v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  <c r="K9" s="3" t="n">
        <v>11475</v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  <c r="K10" s="3" t="n">
        <v>11050</v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  <c r="K11" s="3" t="n">
        <v>11200</v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  <c r="K12" s="3" t="n">
        <v>11475</v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active</t>
        </is>
      </c>
      <c r="F13" s="3" t="n">
        <v>11275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  <c r="K13" s="3" t="n">
        <v>11050</v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  <c r="K14" s="3" t="n">
        <v>11200</v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  <c r="K15" s="3" t="n">
        <v>11475</v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  <c r="K16" s="4">
        <f>SUM(K4:K15)</f>
        <v/>
      </c>
    </row>
    <row r="18" ht="30" customHeight="1">
      <c r="A18" s="2" t="inlineStr">
        <is>
          <t>Roll statistics (revised roll)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(unchanged; lease-001.pdf p.1)</t>
        </is>
      </c>
      <c r="B30" s="6">
        <f>F4</f>
        <v/>
      </c>
    </row>
    <row r="31" ht="30" customHeight="1">
      <c r="A31" s="3" t="inlineStr">
        <is>
          <t>Suite 010 rent increase per revision notice</t>
        </is>
      </c>
      <c r="B31" s="6">
        <f>F13-K13</f>
        <v/>
      </c>
    </row>
    <row r="33" ht="30" customHeight="1">
      <c r="A33" s="2" t="inlineStr">
        <is>
          <t>Group mix (manager mapping: A=Small, B=Standard, C=Large)</t>
        </is>
      </c>
    </row>
    <row r="34" ht="30" customHeight="1">
      <c r="A34" s="2" t="inlineStr">
        <is>
          <t>Group</t>
        </is>
      </c>
      <c r="B34" s="2" t="inlineStr">
        <is>
          <t>Units</t>
        </is>
      </c>
      <c r="C34" s="2" t="inlineStr">
        <is>
          <t>Occupied</t>
        </is>
      </c>
      <c r="D34" s="2" t="inlineStr">
        <is>
          <t>Area SF</t>
        </is>
      </c>
    </row>
    <row r="35" ht="30" customHeight="1">
      <c r="A35" s="3" t="inlineStr">
        <is>
          <t>A</t>
        </is>
      </c>
      <c r="B35" s="3">
        <f>COUNTIF($C$4:$C$15,"A")</f>
        <v/>
      </c>
      <c r="C35" s="3">
        <f>SUMIF($C$4:$C$15,"A",$H$4:$H$15)</f>
        <v/>
      </c>
      <c r="D35" s="3">
        <f>SUMIF($C$4:$C$15,"A",$D$4:$D$15)</f>
        <v/>
      </c>
    </row>
    <row r="36" ht="30" customHeight="1">
      <c r="A36" s="3" t="inlineStr">
        <is>
          <t>B</t>
        </is>
      </c>
      <c r="B36" s="3">
        <f>COUNTIF($C$4:$C$15,"B")</f>
        <v/>
      </c>
      <c r="C36" s="3">
        <f>SUMIF($C$4:$C$15,"B",$H$4:$H$15)</f>
        <v/>
      </c>
      <c r="D36" s="3">
        <f>SUMIF($C$4:$C$15,"B",$D$4:$D$15)</f>
        <v/>
      </c>
    </row>
    <row r="37" ht="30" customHeight="1">
      <c r="A37" s="3" t="inlineStr">
        <is>
          <t>C</t>
        </is>
      </c>
      <c r="B37" s="3">
        <f>COUNTIF($C$4:$C$15,"C")</f>
        <v/>
      </c>
      <c r="C37" s="3">
        <f>SUMIF($C$4:$C$15,"C",$H$4:$H$15)</f>
        <v/>
      </c>
      <c r="D37" s="3">
        <f>SUMIF($C$4:$C$15,"C",$D$4:$D$15)</f>
        <v/>
      </c>
    </row>
    <row r="39" ht="30" customHeight="1">
      <c r="A39" s="3" t="inlineStr">
        <is>
          <t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REVISED Underwriting, Valuation and Debt Sizing (revision-notice.pdf p.1)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 - REVISED</t>
        </is>
      </c>
      <c r="B4" s="7" t="n">
        <v>1621500</v>
      </c>
      <c r="C4" s="3" t="inlineStr">
        <is>
          <t>rent-roll-revised.xlsx E5:E16 ($135,125/mo) x 12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 - REVISED +25 bps</t>
        </is>
      </c>
      <c r="B7" s="9" t="n">
        <v>0.0775</v>
      </c>
      <c r="C7" s="3" t="inlineStr">
        <is>
          <t>7.5000% + 0.25% per revision-notice.pdf p.1</t>
        </is>
      </c>
    </row>
    <row r="8" ht="30" customHeight="1">
      <c r="A8" s="3" t="inlineStr">
        <is>
          <t>Sizing rate - REVISED +75 bps</t>
        </is>
      </c>
      <c r="B8" s="9" t="n">
        <v>0.08500000000000001</v>
      </c>
      <c r="C8" s="3" t="inlineStr">
        <is>
          <t>Initial sizing rate 6.7500% + 0.75% per revision-notice.pdf p.1</t>
        </is>
      </c>
    </row>
    <row r="9" ht="30" customHeight="1">
      <c r="A9" s="3" t="inlineStr">
        <is>
          <t>Note rate (original)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 (original)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rent-roll-revised.xlsx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 (unchanged)</t>
        </is>
      </c>
      <c r="B23" s="7" t="n">
        <v>6500000</v>
      </c>
      <c r="C23" s="3" t="inlineStr">
        <is>
          <t>underwriting-instructions.pdf p.1; revision-notice.pdf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Floor test on original terms: note rate 6.7500% exceeds the 6.00% floor, so the floor never binds; the 7.5000% sizing rate results from the revision notice's +75 bps increase to the initial sizing rate, not from the floor.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34" customWidth="1" min="5" max="5"/>
  </cols>
  <sheetData>
    <row r="1" ht="30" customHeight="1">
      <c r="A1" s="1" t="inlineStr">
        <is>
          <t>Change bridge: initial analysis (2026-08-31 roll) vs revised analysis (2026-09-01 roll)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Change</t>
        </is>
      </c>
      <c r="E3" s="2" t="inlineStr">
        <is>
          <t>Driver</t>
        </is>
      </c>
    </row>
    <row r="4" ht="30" customHeight="1">
      <c r="A4" s="3" t="inlineStr">
        <is>
          <t>Roll as-of date</t>
        </is>
      </c>
      <c r="B4" s="3" t="inlineStr">
        <is>
          <t>2026-08-31</t>
        </is>
      </c>
      <c r="C4" s="3" t="inlineStr">
        <is>
          <t>2026-09-01</t>
        </is>
      </c>
      <c r="E4" s="3" t="inlineStr">
        <is>
          <t>revision-notice.pdf p.1</t>
        </is>
      </c>
    </row>
    <row r="5" ht="30" customHeight="1">
      <c r="A5" s="3" t="inlineStr">
        <is>
          <t>Occupied units (active)</t>
        </is>
      </c>
      <c r="B5" s="3" t="n">
        <v>9</v>
      </c>
      <c r="C5" s="3">
        <f>'Rent Roll'!B20</f>
        <v/>
      </c>
      <c r="D5" s="3">
        <f>C5-B5</f>
        <v/>
      </c>
      <c r="E5" s="3" t="inlineStr">
        <is>
          <t>Suite 010 took possession</t>
        </is>
      </c>
    </row>
    <row r="6" ht="30" customHeight="1">
      <c r="A6" s="3" t="inlineStr">
        <is>
          <t>Pending units</t>
        </is>
      </c>
      <c r="B6" s="3" t="n">
        <v>1</v>
      </c>
      <c r="C6" s="3">
        <f>'Rent Roll'!B21</f>
        <v/>
      </c>
      <c r="D6" s="3">
        <f>C6-B6</f>
        <v/>
      </c>
      <c r="E6" s="3" t="inlineStr">
        <is>
          <t>Pending status cleared</t>
        </is>
      </c>
    </row>
    <row r="7" ht="30" customHeight="1">
      <c r="A7" s="3" t="inlineStr">
        <is>
          <t>Occupied area SF</t>
        </is>
      </c>
      <c r="B7" s="3" t="n">
        <v>49770</v>
      </c>
      <c r="C7" s="3">
        <f>'Rent Roll'!B24</f>
        <v/>
      </c>
      <c r="D7" s="3">
        <f>C7-B7</f>
        <v/>
      </c>
      <c r="E7" s="3" t="inlineStr">
        <is>
          <t>Suite 010 5,380 SF added</t>
        </is>
      </c>
    </row>
    <row r="8" ht="30" customHeight="1">
      <c r="A8" s="3" t="inlineStr">
        <is>
          <t>Annual in-place rent</t>
        </is>
      </c>
      <c r="B8" s="6" t="n">
        <v>1214100</v>
      </c>
      <c r="C8" s="6">
        <f>'Rent Roll'!B27</f>
        <v/>
      </c>
      <c r="D8" s="6">
        <f>C8-B8</f>
        <v/>
      </c>
      <c r="E8" s="3" t="inlineStr">
        <is>
          <t>Suite 010 now in place at $11,275</t>
        </is>
      </c>
    </row>
    <row r="9" ht="30" customHeight="1">
      <c r="A9" s="3" t="inlineStr">
        <is>
          <t>Gross potential rent</t>
        </is>
      </c>
      <c r="B9" s="6" t="n">
        <v>1618800</v>
      </c>
      <c r="C9" s="6">
        <f>UW!B4</f>
        <v/>
      </c>
      <c r="D9" s="6">
        <f>C9-B9</f>
        <v/>
      </c>
      <c r="E9" s="3" t="inlineStr">
        <is>
          <t>$225/mo x 12 rent increase on Suite 010</t>
        </is>
      </c>
    </row>
    <row r="10" ht="30" customHeight="1">
      <c r="A10" s="3" t="inlineStr">
        <is>
          <t>Underwritten EGI</t>
        </is>
      </c>
      <c r="B10" s="6" t="n">
        <v>1542060</v>
      </c>
      <c r="C10" s="6">
        <f>UW!B29</f>
        <v/>
      </c>
      <c r="D10" s="6">
        <f>C10-B10</f>
        <v/>
      </c>
      <c r="E10" s="3" t="inlineStr">
        <is>
          <t>95% of higher GPR</t>
        </is>
      </c>
    </row>
    <row r="11" ht="30" customHeight="1">
      <c r="A11" s="3" t="inlineStr">
        <is>
          <t>Underwritten NOI before reserves</t>
        </is>
      </c>
      <c r="B11" s="6" t="n">
        <v>1042534.2</v>
      </c>
      <c r="C11" s="6">
        <f>UW!B35</f>
        <v/>
      </c>
      <c r="D11" s="6">
        <f>C11-B11</f>
        <v/>
      </c>
      <c r="E11" s="3" t="inlineStr">
        <is>
          <t>EGI up, 3% mgmt fee up</t>
        </is>
      </c>
    </row>
    <row r="12" ht="30" customHeight="1">
      <c r="A12" s="3" t="inlineStr">
        <is>
          <t>Underwritten NCF</t>
        </is>
      </c>
      <c r="B12" s="6" t="n">
        <v>1038934.2</v>
      </c>
      <c r="C12" s="6">
        <f>UW!B37</f>
        <v/>
      </c>
      <c r="D12" s="6">
        <f>C12-B12</f>
        <v/>
      </c>
      <c r="E12" s="3" t="inlineStr">
        <is>
          <t>Reserves unchanged at $3,600</t>
        </is>
      </c>
    </row>
    <row r="13" ht="30" customHeight="1">
      <c r="A13" s="3" t="inlineStr">
        <is>
          <t>Capitalization rate</t>
        </is>
      </c>
      <c r="B13" s="14" t="n">
        <v>0.075</v>
      </c>
      <c r="C13" s="14">
        <f>UW!B7</f>
        <v/>
      </c>
      <c r="D13" s="14">
        <f>C13-B13</f>
        <v/>
      </c>
      <c r="E13" s="3" t="inlineStr">
        <is>
          <t>+25 bps per revision notice</t>
        </is>
      </c>
    </row>
    <row r="14" ht="30" customHeight="1">
      <c r="A14" s="3" t="inlineStr">
        <is>
          <t>Sizing rate</t>
        </is>
      </c>
      <c r="B14" s="14" t="n">
        <v>0.0675</v>
      </c>
      <c r="C14" s="14">
        <f>UW!B8</f>
        <v/>
      </c>
      <c r="D14" s="14">
        <f>C14-B14</f>
        <v/>
      </c>
      <c r="E14" s="3" t="inlineStr">
        <is>
          <t>+75 bps per revision notice</t>
        </is>
      </c>
    </row>
    <row r="15" ht="30" customHeight="1">
      <c r="A15" s="3" t="inlineStr">
        <is>
          <t>Capitalized value</t>
        </is>
      </c>
      <c r="B15" s="6" t="n">
        <v>13900456</v>
      </c>
      <c r="C15" s="6">
        <f>UW!B41</f>
        <v/>
      </c>
      <c r="D15" s="6">
        <f>C15-B15</f>
        <v/>
      </c>
      <c r="E15" s="3" t="inlineStr">
        <is>
          <t>Higher NOI more than offset by higher cap rate</t>
        </is>
      </c>
    </row>
    <row r="16" ht="30" customHeight="1">
      <c r="A16" s="3" t="inlineStr">
        <is>
          <t>Maximum loan</t>
        </is>
      </c>
      <c r="B16" s="6" t="n">
        <v>8340273.6</v>
      </c>
      <c r="C16" s="6">
        <f>UW!B46</f>
        <v/>
      </c>
      <c r="D16" s="6">
        <f>C16-B16</f>
        <v/>
      </c>
      <c r="E16" s="3" t="inlineStr">
        <is>
          <t>LTV remains binding on lower value</t>
        </is>
      </c>
    </row>
    <row r="17" ht="30" customHeight="1">
      <c r="A17" s="3" t="inlineStr">
        <is>
          <t>Net cash-out</t>
        </is>
      </c>
      <c r="B17" s="6" t="n">
        <v>1711870.86</v>
      </c>
      <c r="C17" s="6">
        <f>UW!B59</f>
        <v/>
      </c>
      <c r="D17" s="6">
        <f>C17-B17</f>
        <v/>
      </c>
      <c r="E17" s="3" t="inlineStr">
        <is>
          <t>Lower proceeds, same payoff and costs</t>
        </is>
      </c>
    </row>
    <row r="19" ht="30" customHeight="1">
      <c r="A19" s="3" t="inlineStr">
        <is>
          <t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Revised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 (revised)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unchanged by the revision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(rows); revised base case shaded by 7.7500% / 7.5000%</t>
        </is>
      </c>
    </row>
    <row r="2" ht="30" customHeight="1">
      <c r="A2" s="2" t="inlineStr">
        <is>
          <t>Sizing rate \ Cap rate</t>
        </is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ht="30" customHeight="1">
      <c r="A3" s="15" t="n">
        <v>0.0675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5" t="n">
        <v>0.075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5" t="n">
        <v>0.0825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5" t="n">
        <v>0.09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revised underwritten NOI/NCF from the UW sheet. The LTV test binds throughout this range.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rent-roll-revised.xlsx</t>
        </is>
      </c>
      <c r="B3" s="3" t="inlineStr">
        <is>
          <t>Rent Roll A2:G16</t>
        </is>
      </c>
      <c r="C3" s="3" t="inlineStr">
        <is>
          <t>CONTROLLING roll dated 2026-09-01: Suite 010 active at $11,275; 12 suites, 66,360 SF</t>
        </is>
      </c>
    </row>
    <row r="4" ht="30" customHeight="1">
      <c r="A4" s="3" t="inlineStr">
        <is>
          <t>revision-notice.pdf</t>
        </is>
      </c>
      <c r="B4" s="3" t="inlineStr">
        <is>
          <t>p.1</t>
        </is>
      </c>
      <c r="C4" s="3" t="inlineStr">
        <is>
          <t>Supersession effective 2026-09-01; Suite 010 active with +$225 rent; sizing rate +75 bps; cap rate +25 bps; all other rules and payoff unchanged</t>
        </is>
      </c>
    </row>
    <row r="5" ht="30" customHeight="1">
      <c r="A5" s="3" t="inlineStr">
        <is>
          <t>rent-roll-certified.xlsx</t>
        </is>
      </c>
      <c r="B5" s="3" t="inlineStr">
        <is>
          <t>Rent Roll A2:G16</t>
        </is>
      </c>
      <c r="C5" s="3" t="inlineStr">
        <is>
          <t>Prior certified roll dated 2026-08-31; superseded, retained for the change bridge</t>
        </is>
      </c>
    </row>
    <row r="6" ht="30" customHeight="1">
      <c r="A6" s="3" t="inlineStr">
        <is>
          <t>rent-roll-archive.xlsx</t>
        </is>
      </c>
      <c r="B6" s="3" t="inlineStr">
        <is>
          <t>Rent Roll A2:G16</t>
        </is>
      </c>
      <c r="C6" s="3" t="inlineStr">
        <is>
          <t>Stale 2026-06-30 archive with lower rents; superseded, not used</t>
        </is>
      </c>
    </row>
    <row r="7" ht="30" customHeight="1">
      <c r="A7" s="3" t="inlineStr">
        <is>
          <t>lease-001.pdf</t>
        </is>
      </c>
      <c r="B7" s="3" t="inlineStr">
        <is>
          <t>p.1</t>
        </is>
      </c>
      <c r="C7" s="3" t="inlineStr">
        <is>
          <t>Suite 001 executed lease: $11,050/mo, expiry 2027-02-28, 5,380 SF, no free rent (unchanged)</t>
        </is>
      </c>
    </row>
    <row r="8" ht="30" customHeight="1">
      <c r="A8" s="3" t="inlineStr">
        <is>
          <t>lease-correspondence.pdf</t>
        </is>
      </c>
      <c r="B8" s="3" t="inlineStr">
        <is>
          <t>p.1</t>
        </is>
      </c>
      <c r="C8" s="3" t="inlineStr">
        <is>
          <t>Manager confirmation 2026-08-31: no amendments or concessions affect Suite 001</t>
        </is>
      </c>
    </row>
    <row r="9" ht="30" customHeight="1">
      <c r="A9" s="3" t="inlineStr">
        <is>
          <t>operating-statement.pdf</t>
        </is>
      </c>
      <c r="B9" s="3" t="inlineStr">
        <is>
          <t>p.1</t>
        </is>
      </c>
      <c r="C9" s="3" t="inlineStr">
        <is>
          <t>T12 collections 1,456,920; expenses; reported NOI 1,003,656; roof capital $0 in repairs</t>
        </is>
      </c>
    </row>
    <row r="10" ht="30" customHeight="1">
      <c r="A10" s="3" t="inlineStr">
        <is>
          <t>insurance.pdf</t>
        </is>
      </c>
      <c r="B10" s="3" t="inlineStr">
        <is>
          <t>p.1</t>
        </is>
      </c>
      <c r="C10" s="3" t="inlineStr">
        <is>
          <t>GL aggregate limit $2,000,000; 2026-07-01 to 2027-06-30; distinct from expense</t>
        </is>
      </c>
    </row>
    <row r="11" ht="30" customHeight="1">
      <c r="A11" s="3" t="inlineStr">
        <is>
          <t>underwriting-instructions.pdf</t>
        </is>
      </c>
      <c r="B11" s="3" t="inlineStr">
        <is>
          <t>p.1</t>
        </is>
      </c>
      <c r="C11" s="3" t="inlineStr">
        <is>
          <t>Base underwriting, capitalization, sizing and sources/uses rules (all retained except the two revised rates)</t>
        </is>
      </c>
    </row>
    <row r="12" ht="30" customHeight="1">
      <c r="A12" s="3" t="inlineStr">
        <is>
          <t>manager-cover.pdf</t>
        </is>
      </c>
      <c r="B12" s="3" t="inlineStr">
        <is>
          <t>p.1</t>
        </is>
      </c>
      <c r="C12" s="3" t="inlineStr">
        <is>
          <t>A/B/C group mapping; approved copy; certified detail controls occupancy</t>
        </is>
      </c>
    </row>
    <row r="13" ht="30" customHeight="1">
      <c r="A13" s="3" t="inlineStr">
        <is>
          <t>diligence-status.pdf</t>
        </is>
      </c>
      <c r="B13" s="3" t="inlineStr">
        <is>
          <t>p.1</t>
        </is>
      </c>
      <c r="C13" s="3" t="inlineStr">
        <is>
          <t>Legal, environmental, PCA and title reviews incomplete; no defect findings</t>
        </is>
      </c>
    </row>
    <row r="14" ht="30" customHeight="1">
      <c r="A14" s="3" t="inlineStr">
        <is>
          <t>Not supplied</t>
        </is>
      </c>
      <c r="B14" s="3" t="inlineStr">
        <is>
          <t>n/a</t>
        </is>
      </c>
      <c r="C14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2026-09-07T13:26:49Z</dcterms:created>
  <dcterms:modified xmlns:dcterms="http://purl.org/dc/terms/" xmlns:xsi="http://www.w3.org/2001/XMLSchema-instance" xsi:type="dcterms:W3CDTF">2026-09-07T14:06:36Z</dcterms:modified>
</cp:coreProperties>
</file>