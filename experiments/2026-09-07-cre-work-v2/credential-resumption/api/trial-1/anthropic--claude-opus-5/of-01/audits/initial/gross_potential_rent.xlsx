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t Roll" sheetId="1" state="visible" r:id="rId1"/>
    <sheet xmlns:r="http://schemas.openxmlformats.org/officeDocument/2006/relationships" name="UW" sheetId="2" state="visible" r:id="rId2"/>
    <sheet xmlns:r="http://schemas.openxmlformats.org/officeDocument/2006/relationships" name="Historical" sheetId="3" state="visible" r:id="rId3"/>
    <sheet xmlns:r="http://schemas.openxmlformats.org/officeDocument/2006/relationships" name="Sensitivity" sheetId="4" state="visible" r:id="rId4"/>
    <sheet xmlns:r="http://schemas.openxmlformats.org/officeDocument/2006/relationships" name="Source Regist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"/>
    <numFmt numFmtId="165" formatCode="0.0000%"/>
    <numFmt numFmtId="166" formatCode="0.000%"/>
  </numFmts>
  <fonts count="5">
    <font>
      <name val="Calibri"/>
      <family val="2"/>
      <color theme="1"/>
      <sz val="11"/>
      <scheme val="minor"/>
    </font>
    <font>
      <name val="Arial"/>
      <b val="1"/>
      <sz val="15"/>
    </font>
    <font>
      <name val="Arial"/>
      <b val="1"/>
      <sz val="10"/>
    </font>
    <font>
      <name val="Arial"/>
      <sz val="10"/>
    </font>
    <font>
      <name val="Arial"/>
      <color rgb="00185CB5"/>
      <sz val="10"/>
    </font>
  </fonts>
  <fills count="3">
    <fill>
      <patternFill/>
    </fill>
    <fill>
      <patternFill patternType="gray125"/>
    </fill>
    <fill>
      <patternFill patternType="solid">
        <fgColor rgb="00E5EE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164" fontId="3" fillId="0" borderId="0" applyAlignment="1" pivotButton="0" quotePrefix="0" xfId="0">
      <alignment vertical="top" wrapText="1"/>
    </xf>
    <xf numFmtId="3" fontId="3" fillId="0" borderId="0" applyAlignment="1" pivotButton="0" quotePrefix="0" xfId="0">
      <alignment vertical="top" wrapText="1"/>
    </xf>
    <xf numFmtId="3" fontId="4" fillId="0" borderId="0" applyAlignment="1" pivotButton="0" quotePrefix="0" xfId="0">
      <alignment vertical="top" wrapText="1"/>
    </xf>
    <xf numFmtId="10" fontId="4" fillId="0" borderId="0" applyAlignment="1" pivotButton="0" quotePrefix="0" xfId="0">
      <alignment vertical="top" wrapText="1"/>
    </xf>
    <xf numFmtId="165" fontId="4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2" fontId="4" fillId="0" borderId="0" applyAlignment="1" pivotButton="0" quotePrefix="0" xfId="0">
      <alignment vertical="top" wrapText="1"/>
    </xf>
    <xf numFmtId="3" fontId="2" fillId="0" borderId="0" applyAlignment="1" pivotButton="0" quotePrefix="0" xfId="0">
      <alignment vertical="top" wrapText="1"/>
    </xf>
    <xf numFmtId="2" fontId="3" fillId="0" borderId="0" applyAlignment="1" pivotButton="0" quotePrefix="0" xfId="0">
      <alignment vertical="top" wrapText="1"/>
    </xf>
    <xf numFmtId="166" fontId="2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3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8" customWidth="1" min="3" max="3"/>
    <col width="10" customWidth="1" min="4" max="4"/>
    <col width="12" customWidth="1" min="5" max="5"/>
    <col width="14" customWidth="1" min="6" max="6"/>
    <col width="14" customWidth="1" min="7" max="7"/>
    <col width="10" customWidth="1" min="8" max="8"/>
    <col width="12" customWidth="1" min="9" max="9"/>
    <col width="14" customWidth="1" min="10" max="10"/>
  </cols>
  <sheetData>
    <row r="1" ht="30" customHeight="1">
      <c r="A1" s="1" t="inlineStr">
        <is>
          <t>Beacon Plaza - Certified Rent Roll as of 2026-08-31 (source: rent-roll-certified.xlsx)</t>
        </is>
      </c>
    </row>
    <row r="3" ht="30" customHeight="1">
      <c r="A3" s="2" t="inlineStr">
        <is>
          <t>Suite</t>
        </is>
      </c>
      <c r="B3" s="2" t="inlineStr">
        <is>
          <t>Unit type</t>
        </is>
      </c>
      <c r="C3" s="2" t="inlineStr">
        <is>
          <t>Group</t>
        </is>
      </c>
      <c r="D3" s="2" t="inlineStr">
        <is>
          <t>Area SF</t>
        </is>
      </c>
      <c r="E3" s="2" t="inlineStr">
        <is>
          <t>Possession</t>
        </is>
      </c>
      <c r="F3" s="2" t="inlineStr">
        <is>
          <t>Monthly rent</t>
        </is>
      </c>
      <c r="G3" s="2" t="inlineStr">
        <is>
          <t>Expiration</t>
        </is>
      </c>
      <c r="H3" s="2" t="inlineStr">
        <is>
          <t>Occupied?</t>
        </is>
      </c>
      <c r="I3" s="2" t="inlineStr">
        <is>
          <t>Occ. area SF</t>
        </is>
      </c>
      <c r="J3" s="2" t="inlineStr">
        <is>
          <t>Annual in-place</t>
        </is>
      </c>
    </row>
    <row r="4" ht="30" customHeight="1">
      <c r="A4" s="3" t="inlineStr">
        <is>
          <t>001</t>
        </is>
      </c>
      <c r="B4" s="3" t="inlineStr">
        <is>
          <t>Small suite</t>
        </is>
      </c>
      <c r="C4" s="3" t="inlineStr">
        <is>
          <t>A</t>
        </is>
      </c>
      <c r="D4" s="3" t="n">
        <v>5380</v>
      </c>
      <c r="E4" s="3" t="inlineStr">
        <is>
          <t>active</t>
        </is>
      </c>
      <c r="F4" s="3" t="n">
        <v>11050</v>
      </c>
      <c r="G4" s="3" t="inlineStr">
        <is>
          <t>2027-02-28</t>
        </is>
      </c>
      <c r="H4" s="3">
        <f>IF(E4="active",1,0)</f>
        <v/>
      </c>
      <c r="I4" s="3">
        <f>H4*D4</f>
        <v/>
      </c>
      <c r="J4" s="3">
        <f>H4*F4*12</f>
        <v/>
      </c>
    </row>
    <row r="5" ht="30" customHeight="1">
      <c r="A5" s="3" t="inlineStr">
        <is>
          <t>002</t>
        </is>
      </c>
      <c r="B5" s="3" t="inlineStr">
        <is>
          <t>Standard suite</t>
        </is>
      </c>
      <c r="C5" s="3" t="inlineStr">
        <is>
          <t>B</t>
        </is>
      </c>
      <c r="D5" s="3" t="n">
        <v>5500</v>
      </c>
      <c r="E5" s="3" t="inlineStr">
        <is>
          <t>active</t>
        </is>
      </c>
      <c r="F5" s="3" t="n">
        <v>11200</v>
      </c>
      <c r="G5" s="3" t="inlineStr">
        <is>
          <t>2029-08-31</t>
        </is>
      </c>
      <c r="H5" s="3">
        <f>IF(E5="active",1,0)</f>
        <v/>
      </c>
      <c r="I5" s="3">
        <f>H5*D5</f>
        <v/>
      </c>
      <c r="J5" s="3">
        <f>H5*F5*12</f>
        <v/>
      </c>
    </row>
    <row r="6" ht="30" customHeight="1">
      <c r="A6" s="3" t="inlineStr">
        <is>
          <t>003</t>
        </is>
      </c>
      <c r="B6" s="3" t="inlineStr">
        <is>
          <t>Large suite</t>
        </is>
      </c>
      <c r="C6" s="3" t="inlineStr">
        <is>
          <t>C</t>
        </is>
      </c>
      <c r="D6" s="3" t="n">
        <v>5710</v>
      </c>
      <c r="E6" s="3" t="inlineStr">
        <is>
          <t>active</t>
        </is>
      </c>
      <c r="F6" s="3" t="n">
        <v>11475</v>
      </c>
      <c r="G6" s="3" t="inlineStr">
        <is>
          <t>2029-08-31</t>
        </is>
      </c>
      <c r="H6" s="3">
        <f>IF(E6="active",1,0)</f>
        <v/>
      </c>
      <c r="I6" s="3">
        <f>H6*D6</f>
        <v/>
      </c>
      <c r="J6" s="3">
        <f>H6*F6*12</f>
        <v/>
      </c>
    </row>
    <row r="7" ht="30" customHeight="1">
      <c r="A7" s="3" t="inlineStr">
        <is>
          <t>004</t>
        </is>
      </c>
      <c r="B7" s="3" t="inlineStr">
        <is>
          <t>Small suite</t>
        </is>
      </c>
      <c r="C7" s="3" t="inlineStr">
        <is>
          <t>A</t>
        </is>
      </c>
      <c r="D7" s="3" t="n">
        <v>5380</v>
      </c>
      <c r="E7" s="3" t="inlineStr">
        <is>
          <t>active</t>
        </is>
      </c>
      <c r="F7" s="3" t="n">
        <v>11050</v>
      </c>
      <c r="G7" s="3" t="inlineStr">
        <is>
          <t>2029-08-31</t>
        </is>
      </c>
      <c r="H7" s="3">
        <f>IF(E7="active",1,0)</f>
        <v/>
      </c>
      <c r="I7" s="3">
        <f>H7*D7</f>
        <v/>
      </c>
      <c r="J7" s="3">
        <f>H7*F7*12</f>
        <v/>
      </c>
    </row>
    <row r="8" ht="30" customHeight="1">
      <c r="A8" s="3" t="inlineStr">
        <is>
          <t>005</t>
        </is>
      </c>
      <c r="B8" s="3" t="inlineStr">
        <is>
          <t>Standard suite</t>
        </is>
      </c>
      <c r="C8" s="3" t="inlineStr">
        <is>
          <t>B</t>
        </is>
      </c>
      <c r="D8" s="3" t="n">
        <v>5500</v>
      </c>
      <c r="E8" s="3" t="inlineStr">
        <is>
          <t>active</t>
        </is>
      </c>
      <c r="F8" s="3" t="n">
        <v>11200</v>
      </c>
      <c r="G8" s="3" t="inlineStr">
        <is>
          <t>2029-08-31</t>
        </is>
      </c>
      <c r="H8" s="3">
        <f>IF(E8="active",1,0)</f>
        <v/>
      </c>
      <c r="I8" s="3">
        <f>H8*D8</f>
        <v/>
      </c>
      <c r="J8" s="3">
        <f>H8*F8*12</f>
        <v/>
      </c>
    </row>
    <row r="9" ht="30" customHeight="1">
      <c r="A9" s="3" t="inlineStr">
        <is>
          <t>006</t>
        </is>
      </c>
      <c r="B9" s="3" t="inlineStr">
        <is>
          <t>Large suite</t>
        </is>
      </c>
      <c r="C9" s="3" t="inlineStr">
        <is>
          <t>C</t>
        </is>
      </c>
      <c r="D9" s="3" t="n">
        <v>5710</v>
      </c>
      <c r="E9" s="3" t="inlineStr">
        <is>
          <t>active</t>
        </is>
      </c>
      <c r="F9" s="3" t="n">
        <v>11475</v>
      </c>
      <c r="G9" s="3" t="inlineStr">
        <is>
          <t>2029-08-31</t>
        </is>
      </c>
      <c r="H9" s="3">
        <f>IF(E9="active",1,0)</f>
        <v/>
      </c>
      <c r="I9" s="3">
        <f>H9*D9</f>
        <v/>
      </c>
      <c r="J9" s="3">
        <f>H9*F9*12</f>
        <v/>
      </c>
    </row>
    <row r="10" ht="30" customHeight="1">
      <c r="A10" s="3" t="inlineStr">
        <is>
          <t>007</t>
        </is>
      </c>
      <c r="B10" s="3" t="inlineStr">
        <is>
          <t>Small suite</t>
        </is>
      </c>
      <c r="C10" s="3" t="inlineStr">
        <is>
          <t>A</t>
        </is>
      </c>
      <c r="D10" s="3" t="n">
        <v>5380</v>
      </c>
      <c r="E10" s="3" t="inlineStr">
        <is>
          <t>active</t>
        </is>
      </c>
      <c r="F10" s="3" t="n">
        <v>11050</v>
      </c>
      <c r="G10" s="3" t="inlineStr">
        <is>
          <t>2029-08-31</t>
        </is>
      </c>
      <c r="H10" s="3">
        <f>IF(E10="active",1,0)</f>
        <v/>
      </c>
      <c r="I10" s="3">
        <f>H10*D10</f>
        <v/>
      </c>
      <c r="J10" s="3">
        <f>H10*F10*12</f>
        <v/>
      </c>
    </row>
    <row r="11" ht="30" customHeight="1">
      <c r="A11" s="3" t="inlineStr">
        <is>
          <t>008</t>
        </is>
      </c>
      <c r="B11" s="3" t="inlineStr">
        <is>
          <t>Standard suite</t>
        </is>
      </c>
      <c r="C11" s="3" t="inlineStr">
        <is>
          <t>B</t>
        </is>
      </c>
      <c r="D11" s="3" t="n">
        <v>5500</v>
      </c>
      <c r="E11" s="3" t="inlineStr">
        <is>
          <t>active</t>
        </is>
      </c>
      <c r="F11" s="3" t="n">
        <v>11200</v>
      </c>
      <c r="G11" s="3" t="inlineStr">
        <is>
          <t>2029-08-31</t>
        </is>
      </c>
      <c r="H11" s="3">
        <f>IF(E11="active",1,0)</f>
        <v/>
      </c>
      <c r="I11" s="3">
        <f>H11*D11</f>
        <v/>
      </c>
      <c r="J11" s="3">
        <f>H11*F11*12</f>
        <v/>
      </c>
    </row>
    <row r="12" ht="30" customHeight="1">
      <c r="A12" s="3" t="inlineStr">
        <is>
          <t>009</t>
        </is>
      </c>
      <c r="B12" s="3" t="inlineStr">
        <is>
          <t>Large suite</t>
        </is>
      </c>
      <c r="C12" s="3" t="inlineStr">
        <is>
          <t>C</t>
        </is>
      </c>
      <c r="D12" s="3" t="n">
        <v>5710</v>
      </c>
      <c r="E12" s="3" t="inlineStr">
        <is>
          <t>active</t>
        </is>
      </c>
      <c r="F12" s="3" t="n">
        <v>11475</v>
      </c>
      <c r="G12" s="3" t="inlineStr">
        <is>
          <t>2029-08-31</t>
        </is>
      </c>
      <c r="H12" s="3">
        <f>IF(E12="active",1,0)</f>
        <v/>
      </c>
      <c r="I12" s="3">
        <f>H12*D12</f>
        <v/>
      </c>
      <c r="J12" s="3">
        <f>H12*F12*12</f>
        <v/>
      </c>
    </row>
    <row r="13" ht="30" customHeight="1">
      <c r="A13" s="3" t="inlineStr">
        <is>
          <t>010</t>
        </is>
      </c>
      <c r="B13" s="3" t="inlineStr">
        <is>
          <t>Small suite</t>
        </is>
      </c>
      <c r="C13" s="3" t="inlineStr">
        <is>
          <t>A</t>
        </is>
      </c>
      <c r="D13" s="3" t="n">
        <v>5380</v>
      </c>
      <c r="E13" s="3" t="inlineStr">
        <is>
          <t>pending</t>
        </is>
      </c>
      <c r="F13" s="3" t="n">
        <v>11050</v>
      </c>
      <c r="G13" s="3" t="inlineStr">
        <is>
          <t>2029-08-31</t>
        </is>
      </c>
      <c r="H13" s="3">
        <f>IF(E13="active",1,0)</f>
        <v/>
      </c>
      <c r="I13" s="3">
        <f>H13*D13</f>
        <v/>
      </c>
      <c r="J13" s="3">
        <f>H13*F13*12</f>
        <v/>
      </c>
    </row>
    <row r="14" ht="30" customHeight="1">
      <c r="A14" s="3" t="inlineStr">
        <is>
          <t>011</t>
        </is>
      </c>
      <c r="B14" s="3" t="inlineStr">
        <is>
          <t>Standard suite</t>
        </is>
      </c>
      <c r="C14" s="3" t="inlineStr">
        <is>
          <t>B</t>
        </is>
      </c>
      <c r="D14" s="3" t="n">
        <v>5500</v>
      </c>
      <c r="E14" s="3" t="inlineStr">
        <is>
          <t>vacant</t>
        </is>
      </c>
      <c r="F14" s="3" t="n">
        <v>11200</v>
      </c>
      <c r="G14" s="3" t="inlineStr">
        <is>
          <t>2029-08-31</t>
        </is>
      </c>
      <c r="H14" s="3">
        <f>IF(E14="active",1,0)</f>
        <v/>
      </c>
      <c r="I14" s="3">
        <f>H14*D14</f>
        <v/>
      </c>
      <c r="J14" s="3">
        <f>H14*F14*12</f>
        <v/>
      </c>
    </row>
    <row r="15" ht="30" customHeight="1">
      <c r="A15" s="3" t="inlineStr">
        <is>
          <t>012</t>
        </is>
      </c>
      <c r="B15" s="3" t="inlineStr">
        <is>
          <t>Large suite</t>
        </is>
      </c>
      <c r="C15" s="3" t="inlineStr">
        <is>
          <t>C</t>
        </is>
      </c>
      <c r="D15" s="3" t="n">
        <v>5710</v>
      </c>
      <c r="E15" s="3" t="inlineStr">
        <is>
          <t>vacant</t>
        </is>
      </c>
      <c r="F15" s="3" t="n">
        <v>11475</v>
      </c>
      <c r="G15" s="3" t="inlineStr">
        <is>
          <t>2029-08-31</t>
        </is>
      </c>
      <c r="H15" s="3">
        <f>IF(E15="active",1,0)</f>
        <v/>
      </c>
      <c r="I15" s="3">
        <f>H15*D15</f>
        <v/>
      </c>
      <c r="J15" s="3">
        <f>H15*F15*12</f>
        <v/>
      </c>
    </row>
    <row r="16" ht="30" customHeight="1">
      <c r="A16" s="4" t="inlineStr">
        <is>
          <t>Totals</t>
        </is>
      </c>
      <c r="D16" s="4">
        <f>SUM(D4:D15)</f>
        <v/>
      </c>
      <c r="F16" s="4">
        <f>SUM(F4:F15)</f>
        <v/>
      </c>
      <c r="H16" s="4">
        <f>SUM(H4:H15)</f>
        <v/>
      </c>
      <c r="I16" s="4">
        <f>SUM(I4:I15)</f>
        <v/>
      </c>
      <c r="J16" s="4">
        <f>SUM(J4:J15)</f>
        <v/>
      </c>
    </row>
    <row r="18" ht="30" customHeight="1">
      <c r="A18" s="2" t="inlineStr">
        <is>
          <t>Roll statistics</t>
        </is>
      </c>
    </row>
    <row r="19" ht="30" customHeight="1">
      <c r="A19" s="3" t="inlineStr">
        <is>
          <t>Total units / suites</t>
        </is>
      </c>
      <c r="B19" s="3">
        <f>COUNTA(A4:A15)</f>
        <v/>
      </c>
    </row>
    <row r="20" ht="30" customHeight="1">
      <c r="A20" s="3" t="inlineStr">
        <is>
          <t>Occupied units (active possession)</t>
        </is>
      </c>
      <c r="B20" s="3">
        <f>COUNTIF(E4:E15,"active")</f>
        <v/>
      </c>
    </row>
    <row r="21" ht="30" customHeight="1">
      <c r="A21" s="3" t="inlineStr">
        <is>
          <t>Pending units (not in possession)</t>
        </is>
      </c>
      <c r="B21" s="3">
        <f>COUNTIF(E4:E15,"pending")</f>
        <v/>
      </c>
    </row>
    <row r="22" ht="30" customHeight="1">
      <c r="A22" s="3" t="inlineStr">
        <is>
          <t>Vacant units</t>
        </is>
      </c>
      <c r="B22" s="3">
        <f>COUNTIF(E4:E15,"vacant")</f>
        <v/>
      </c>
    </row>
    <row r="23" ht="30" customHeight="1">
      <c r="A23" s="3" t="inlineStr">
        <is>
          <t>Total area SF</t>
        </is>
      </c>
      <c r="B23" s="3">
        <f>D16</f>
        <v/>
      </c>
    </row>
    <row r="24" ht="30" customHeight="1">
      <c r="A24" s="3" t="inlineStr">
        <is>
          <t>Occupied area SF</t>
        </is>
      </c>
      <c r="B24" s="3">
        <f>I16</f>
        <v/>
      </c>
    </row>
    <row r="25" ht="30" customHeight="1">
      <c r="A25" s="3" t="inlineStr">
        <is>
          <t>Unit occupancy (decimal)</t>
        </is>
      </c>
      <c r="B25" s="5">
        <f>B20/B19</f>
        <v/>
      </c>
    </row>
    <row r="26" ht="30" customHeight="1">
      <c r="A26" s="3" t="inlineStr">
        <is>
          <t>Area occupancy (decimal)</t>
        </is>
      </c>
      <c r="B26" s="5">
        <f>B24/B23</f>
        <v/>
      </c>
    </row>
    <row r="27" ht="30" customHeight="1">
      <c r="A27" s="3" t="inlineStr">
        <is>
          <t>Annual in-place rent (active suites x 12)</t>
        </is>
      </c>
      <c r="B27" s="6">
        <f>J16</f>
        <v/>
      </c>
    </row>
    <row r="28" ht="30" customHeight="1">
      <c r="A28" s="3" t="inlineStr">
        <is>
          <t>All-suite scheduled monthly rent</t>
        </is>
      </c>
      <c r="B28" s="6">
        <f>F16</f>
        <v/>
      </c>
    </row>
    <row r="29" ht="30" customHeight="1">
      <c r="A29" s="3" t="inlineStr">
        <is>
          <t>All-suite scheduled annual rent (GPR basis)</t>
        </is>
      </c>
      <c r="B29" s="6">
        <f>F16*12</f>
        <v/>
      </c>
    </row>
    <row r="30" ht="30" customHeight="1">
      <c r="A30" s="3" t="inlineStr">
        <is>
          <t>Suite 001 monthly rent (lease-001.pdf p.1 agrees)</t>
        </is>
      </c>
      <c r="B30" s="6">
        <f>F4</f>
        <v/>
      </c>
    </row>
    <row r="32" ht="30" customHeight="1">
      <c r="A32" s="2" t="inlineStr">
        <is>
          <t>Group mix (manager mapping: A=Small, B=Standard, C=Large)</t>
        </is>
      </c>
    </row>
    <row r="33" ht="30" customHeight="1">
      <c r="A33" s="2" t="inlineStr">
        <is>
          <t>Group</t>
        </is>
      </c>
      <c r="B33" s="2" t="inlineStr">
        <is>
          <t>Units</t>
        </is>
      </c>
      <c r="C33" s="2" t="inlineStr">
        <is>
          <t>Occupied</t>
        </is>
      </c>
      <c r="D33" s="2" t="inlineStr">
        <is>
          <t>Area SF</t>
        </is>
      </c>
    </row>
    <row r="34" ht="30" customHeight="1">
      <c r="A34" s="3" t="inlineStr">
        <is>
          <t>A</t>
        </is>
      </c>
      <c r="B34" s="3">
        <f>COUNTIF($C$4:$C$15,"A")</f>
        <v/>
      </c>
      <c r="C34" s="3">
        <f>SUMIF($C$4:$C$15,"A",$H$4:$H$15)</f>
        <v/>
      </c>
      <c r="D34" s="3">
        <f>SUMIF($C$4:$C$15,"A",$D$4:$D$15)</f>
        <v/>
      </c>
    </row>
    <row r="35" ht="30" customHeight="1">
      <c r="A35" s="3" t="inlineStr">
        <is>
          <t>B</t>
        </is>
      </c>
      <c r="B35" s="3">
        <f>COUNTIF($C$4:$C$15,"B")</f>
        <v/>
      </c>
      <c r="C35" s="3">
        <f>SUMIF($C$4:$C$15,"B",$H$4:$H$15)</f>
        <v/>
      </c>
      <c r="D35" s="3">
        <f>SUMIF($C$4:$C$15,"B",$D$4:$D$15)</f>
        <v/>
      </c>
    </row>
    <row r="36" ht="30" customHeight="1">
      <c r="A36" s="3" t="inlineStr">
        <is>
          <t>C</t>
        </is>
      </c>
      <c r="B36" s="3">
        <f>COUNTIF($C$4:$C$15,"C")</f>
        <v/>
      </c>
      <c r="C36" s="3">
        <f>SUMIF($C$4:$C$15,"C",$H$4:$H$15)</f>
        <v/>
      </c>
      <c r="D36" s="3">
        <f>SUMIF($C$4:$C$15,"C",$D$4:$D$15)</f>
        <v/>
      </c>
    </row>
    <row r="38" ht="30" customHeight="1">
      <c r="A38" s="3" t="inlineStr">
        <is>
          <t>Near-term rollover: Suite 001 expires 2027-02-28, within 12 months of 2026-08-31. All other active expiries 2029-08-31.</t>
        </is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6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18" customWidth="1" min="2" max="2"/>
    <col width="44" customWidth="1" min="3" max="3"/>
  </cols>
  <sheetData>
    <row r="1" ht="30" customHeight="1">
      <c r="A1" s="1" t="inlineStr">
        <is>
          <t>Beacon Plaza - Underwriting, Valuation and Debt Sizing</t>
        </is>
      </c>
    </row>
    <row r="3" ht="30" customHeight="1">
      <c r="A3" s="2" t="inlineStr">
        <is>
          <t>Inputs</t>
        </is>
      </c>
      <c r="B3" s="2" t="inlineStr">
        <is>
          <t>Value</t>
        </is>
      </c>
      <c r="C3" s="2" t="inlineStr">
        <is>
          <t>Source</t>
        </is>
      </c>
    </row>
    <row r="4" ht="30" customHeight="1">
      <c r="A4" s="3" t="inlineStr">
        <is>
          <t>Gross potential rent (annual, all suites)</t>
        </is>
      </c>
      <c r="B4" s="7" t="n">
        <v>1537860</v>
      </c>
      <c r="C4" s="3" t="inlineStr">
        <is>
          <t>rent-roll-certified.xlsx E5:E16 x 12; underwriting-instructions.pdf p.1</t>
        </is>
      </c>
    </row>
    <row r="5" ht="30" customHeight="1">
      <c r="A5" s="3" t="inlineStr">
        <is>
          <t>Other income (annual, $350 x 12 suites)</t>
        </is>
      </c>
      <c r="B5" s="7" t="n">
        <v>4200</v>
      </c>
      <c r="C5" s="3" t="inlineStr">
        <is>
          <t>underwriting-instructions.pdf p.1</t>
        </is>
      </c>
    </row>
    <row r="6" ht="30" customHeight="1">
      <c r="A6" s="3" t="inlineStr">
        <is>
          <t>Economic loss (decimal)</t>
        </is>
      </c>
      <c r="B6" s="8" t="n">
        <v>0.05</v>
      </c>
      <c r="C6" s="3" t="inlineStr">
        <is>
          <t>underwriting-instructions.pdf p.1</t>
        </is>
      </c>
    </row>
    <row r="7" ht="30" customHeight="1">
      <c r="A7" s="3" t="inlineStr">
        <is>
          <t>Capitalization rate (decimal)</t>
        </is>
      </c>
      <c r="B7" s="9" t="n">
        <v>0.075</v>
      </c>
      <c r="C7" s="3" t="inlineStr">
        <is>
          <t>underwriting-instructions.pdf p.1</t>
        </is>
      </c>
    </row>
    <row r="8" ht="30" customHeight="1">
      <c r="A8" s="3" t="inlineStr">
        <is>
          <t>Sizing rate (greater of note rate and floor)</t>
        </is>
      </c>
      <c r="B8" s="9" t="n">
        <v>0.0675</v>
      </c>
      <c r="C8" s="3" t="inlineStr">
        <is>
          <t>MAX(note 6.75%, floor 6.00%); underwriting-instructions.pdf p.1</t>
        </is>
      </c>
    </row>
    <row r="9" ht="30" customHeight="1">
      <c r="A9" s="3" t="inlineStr">
        <is>
          <t>Note rate</t>
        </is>
      </c>
      <c r="B9" s="9" t="n">
        <v>0.0675</v>
      </c>
      <c r="C9" s="3" t="inlineStr">
        <is>
          <t>underwriting-instructions.pdf p.1</t>
        </is>
      </c>
    </row>
    <row r="10" ht="30" customHeight="1">
      <c r="A10" s="3" t="inlineStr">
        <is>
          <t>Underwriting rate floor</t>
        </is>
      </c>
      <c r="B10" s="9" t="n">
        <v>0.06</v>
      </c>
      <c r="C10" s="3" t="inlineStr">
        <is>
          <t>underwriting-instructions.pdf p.1</t>
        </is>
      </c>
    </row>
    <row r="11" ht="30" customHeight="1">
      <c r="A11" s="3" t="inlineStr">
        <is>
          <t>Amortization (years)</t>
        </is>
      </c>
      <c r="B11" s="10" t="n">
        <v>30</v>
      </c>
      <c r="C11" s="3" t="inlineStr">
        <is>
          <t>underwriting-instructions.pdf p.1</t>
        </is>
      </c>
    </row>
    <row r="12" ht="30" customHeight="1">
      <c r="A12" s="3" t="inlineStr">
        <is>
          <t>Maximum LTV</t>
        </is>
      </c>
      <c r="B12" s="8" t="n">
        <v>0.6</v>
      </c>
      <c r="C12" s="3" t="inlineStr">
        <is>
          <t>underwriting-instructions.pdf p.1</t>
        </is>
      </c>
    </row>
    <row r="13" ht="30" customHeight="1">
      <c r="A13" s="3" t="inlineStr">
        <is>
          <t>Minimum DSCR</t>
        </is>
      </c>
      <c r="B13" s="11" t="n">
        <v>1.25</v>
      </c>
      <c r="C13" s="3" t="inlineStr">
        <is>
          <t>underwriting-instructions.pdf p.1</t>
        </is>
      </c>
    </row>
    <row r="14" ht="30" customHeight="1">
      <c r="A14" s="3" t="inlineStr">
        <is>
          <t>Minimum NCF debt yield</t>
        </is>
      </c>
      <c r="B14" s="8" t="n">
        <v>0.09</v>
      </c>
      <c r="C14" s="3" t="inlineStr">
        <is>
          <t>underwriting-instructions.pdf p.1</t>
        </is>
      </c>
    </row>
    <row r="15" ht="30" customHeight="1">
      <c r="A15" s="3" t="inlineStr">
        <is>
          <t>Unit / suite count</t>
        </is>
      </c>
      <c r="B15" s="3">
        <f>'Rent Roll'!B19</f>
        <v/>
      </c>
      <c r="C15" s="3" t="inlineStr">
        <is>
          <t>rent-roll-certified.xlsx A5:A16</t>
        </is>
      </c>
    </row>
    <row r="16" ht="30" customHeight="1">
      <c r="A16" s="3" t="inlineStr">
        <is>
          <t>Real estate taxes</t>
        </is>
      </c>
      <c r="B16" s="7" t="n">
        <v>169974</v>
      </c>
      <c r="C16" s="3" t="inlineStr">
        <is>
          <t>underwriting-instructions.pdf p.1; operating-statement.pdf p.1</t>
        </is>
      </c>
    </row>
    <row r="17" ht="30" customHeight="1">
      <c r="A17" s="3" t="inlineStr">
        <is>
          <t>Insurance expense</t>
        </is>
      </c>
      <c r="B17" s="7" t="n">
        <v>56658</v>
      </c>
      <c r="C17" s="3" t="inlineStr">
        <is>
          <t>underwriting-instructions.pdf p.1; operating-statement.pdf p.1</t>
        </is>
      </c>
    </row>
    <row r="18" ht="30" customHeight="1">
      <c r="A18" s="3" t="inlineStr">
        <is>
          <t>Other recurring operating expenses</t>
        </is>
      </c>
      <c r="B18" s="7" t="n">
        <v>226632</v>
      </c>
      <c r="C18" s="3" t="inlineStr">
        <is>
          <t>underwriting-instructions.pdf p.1</t>
        </is>
      </c>
    </row>
    <row r="19" ht="30" customHeight="1">
      <c r="A19" s="3" t="inlineStr">
        <is>
          <t>Management fee (% of EGI)</t>
        </is>
      </c>
      <c r="B19" s="8" t="n">
        <v>0.03</v>
      </c>
      <c r="C19" s="3" t="inlineStr">
        <is>
          <t>underwriting-instructions.pdf p.1</t>
        </is>
      </c>
    </row>
    <row r="20" ht="30" customHeight="1">
      <c r="A20" s="3" t="inlineStr">
        <is>
          <t>Replacement reserve per suite</t>
        </is>
      </c>
      <c r="B20" s="7" t="n">
        <v>300</v>
      </c>
      <c r="C20" s="3" t="inlineStr">
        <is>
          <t>underwriting-instructions.pdf p.1</t>
        </is>
      </c>
    </row>
    <row r="21" ht="30" customHeight="1">
      <c r="A21" s="3" t="inlineStr">
        <is>
          <t>Origination fee (% of loan)</t>
        </is>
      </c>
      <c r="B21" s="8" t="n">
        <v>0.01</v>
      </c>
      <c r="C21" s="3" t="inlineStr">
        <is>
          <t>underwriting-instructions.pdf p.1</t>
        </is>
      </c>
    </row>
    <row r="22" ht="30" customHeight="1">
      <c r="A22" s="3" t="inlineStr">
        <is>
          <t>Third-party closing costs</t>
        </is>
      </c>
      <c r="B22" s="7" t="n">
        <v>45000</v>
      </c>
      <c r="C22" s="3" t="inlineStr">
        <is>
          <t>underwriting-instructions.pdf p.1</t>
        </is>
      </c>
    </row>
    <row r="23" ht="30" customHeight="1">
      <c r="A23" s="3" t="inlineStr">
        <is>
          <t>Existing loan payoff</t>
        </is>
      </c>
      <c r="B23" s="7" t="n">
        <v>6500000</v>
      </c>
      <c r="C23" s="3" t="inlineStr">
        <is>
          <t>underwriting-instructions.pdf p.1</t>
        </is>
      </c>
    </row>
    <row r="25" ht="30" customHeight="1">
      <c r="A25" s="2" t="inlineStr">
        <is>
          <t>Underwritten cash flow</t>
        </is>
      </c>
    </row>
    <row r="26" ht="30" customHeight="1">
      <c r="A26" s="3" t="inlineStr">
        <is>
          <t>Gross potential rent</t>
        </is>
      </c>
      <c r="B26" s="6">
        <f>B4</f>
        <v/>
      </c>
    </row>
    <row r="27" ht="30" customHeight="1">
      <c r="A27" s="3" t="inlineStr">
        <is>
          <t>Less economic loss (5%)</t>
        </is>
      </c>
      <c r="B27" s="6">
        <f>B4*B6</f>
        <v/>
      </c>
    </row>
    <row r="28" ht="30" customHeight="1">
      <c r="A28" s="3" t="inlineStr">
        <is>
          <t>Other income</t>
        </is>
      </c>
      <c r="B28" s="6">
        <f>B5</f>
        <v/>
      </c>
    </row>
    <row r="29" ht="30" customHeight="1">
      <c r="A29" s="3" t="inlineStr">
        <is>
          <t>Effective gross income (uw_egi)</t>
        </is>
      </c>
      <c r="B29" s="12">
        <f>B26-B27+B28</f>
        <v/>
      </c>
    </row>
    <row r="30" ht="30" customHeight="1">
      <c r="A30" s="3" t="inlineStr">
        <is>
          <t>Real estate taxes (uw_tax)</t>
        </is>
      </c>
      <c r="B30" s="6">
        <f>B16</f>
        <v/>
      </c>
    </row>
    <row r="31" ht="30" customHeight="1">
      <c r="A31" s="3" t="inlineStr">
        <is>
          <t>Insurance (uw_insurance)</t>
        </is>
      </c>
      <c r="B31" s="6">
        <f>B17</f>
        <v/>
      </c>
    </row>
    <row r="32" ht="30" customHeight="1">
      <c r="A32" s="3" t="inlineStr">
        <is>
          <t>Other recurring expenses</t>
        </is>
      </c>
      <c r="B32" s="6">
        <f>B18</f>
        <v/>
      </c>
    </row>
    <row r="33" ht="30" customHeight="1">
      <c r="A33" s="3" t="inlineStr">
        <is>
          <t>Management fee</t>
        </is>
      </c>
      <c r="B33" s="6">
        <f>B29*B19</f>
        <v/>
      </c>
    </row>
    <row r="34" ht="30" customHeight="1">
      <c r="A34" s="3" t="inlineStr">
        <is>
          <t>Total operating expenses (uw_operating_expenses)</t>
        </is>
      </c>
      <c r="B34" s="12">
        <f>SUM(B30:B33)</f>
        <v/>
      </c>
    </row>
    <row r="35" ht="30" customHeight="1">
      <c r="A35" s="3" t="inlineStr">
        <is>
          <t>NOI before reserves (uw_noi)</t>
        </is>
      </c>
      <c r="B35" s="12">
        <f>B29-B34</f>
        <v/>
      </c>
    </row>
    <row r="36" ht="30" customHeight="1">
      <c r="A36" s="3" t="inlineStr">
        <is>
          <t>Replacement reserves</t>
        </is>
      </c>
      <c r="B36" s="6">
        <f>B15*B20</f>
        <v/>
      </c>
    </row>
    <row r="37" ht="30" customHeight="1">
      <c r="A37" s="3" t="inlineStr">
        <is>
          <t>Net cash flow after reserves (uw_ncf)</t>
        </is>
      </c>
      <c r="B37" s="12">
        <f>B35-B36</f>
        <v/>
      </c>
    </row>
    <row r="38" ht="30" customHeight="1">
      <c r="A38" s="3" t="inlineStr">
        <is>
          <t>Expense ratio (opex / EGI)</t>
        </is>
      </c>
      <c r="B38" s="5">
        <f>B34/B29</f>
        <v/>
      </c>
    </row>
    <row r="40" ht="30" customHeight="1">
      <c r="A40" s="2" t="inlineStr">
        <is>
          <t>Valuation and debt sizing</t>
        </is>
      </c>
    </row>
    <row r="41" ht="30" customHeight="1">
      <c r="A41" s="3" t="inlineStr">
        <is>
          <t>Capitalized value (NOI before reserves / cap rate)</t>
        </is>
      </c>
      <c r="B41" s="12">
        <f>B35/B7</f>
        <v/>
      </c>
    </row>
    <row r="42" ht="30" customHeight="1">
      <c r="A42" s="3" t="inlineStr">
        <is>
          <t>LTV constraint loan</t>
        </is>
      </c>
      <c r="B42" s="6">
        <f>B41*B12</f>
        <v/>
      </c>
    </row>
    <row r="43" ht="30" customHeight="1">
      <c r="A43" s="3" t="inlineStr">
        <is>
          <t>Maximum annual debt service at min DSCR</t>
        </is>
      </c>
      <c r="B43" s="6">
        <f>B37/B13</f>
        <v/>
      </c>
    </row>
    <row r="44" ht="30" customHeight="1">
      <c r="A44" s="3" t="inlineStr">
        <is>
          <t>DSCR constraint loan (30-yr amort at sizing rate)</t>
        </is>
      </c>
      <c r="B44" s="6">
        <f>(B43/12)*(1-(1+B8/12)^(-B11*12))/(B8/12)</f>
        <v/>
      </c>
    </row>
    <row r="45" ht="30" customHeight="1">
      <c r="A45" s="3" t="inlineStr">
        <is>
          <t>Debt yield constraint loan (NCF / 9%)</t>
        </is>
      </c>
      <c r="B45" s="6">
        <f>B37/B14</f>
        <v/>
      </c>
    </row>
    <row r="46" ht="30" customHeight="1">
      <c r="A46" s="3" t="inlineStr">
        <is>
          <t>Maximum loan (binding constraint)</t>
        </is>
      </c>
      <c r="B46" s="12">
        <f>MIN(B42,B44,B45)</f>
        <v/>
      </c>
    </row>
    <row r="47" ht="30" customHeight="1">
      <c r="A47" s="3" t="inlineStr">
        <is>
          <t>Binding test</t>
        </is>
      </c>
      <c r="B47" s="3">
        <f>IF(B46=B42,"LTV",IF(B46=B44,"DSCR","Debt yield"))</f>
        <v/>
      </c>
    </row>
    <row r="48" ht="30" customHeight="1">
      <c r="A48" s="3" t="inlineStr">
        <is>
          <t>Implied LTV on capitalized value</t>
        </is>
      </c>
      <c r="B48" s="5">
        <f>B46/B41</f>
        <v/>
      </c>
    </row>
    <row r="49" ht="30" customHeight="1">
      <c r="A49" s="3" t="inlineStr">
        <is>
          <t>Monthly payment at sizing rate</t>
        </is>
      </c>
      <c r="B49" s="6">
        <f>-PMT(B8/12,B11*12,B46)</f>
        <v/>
      </c>
    </row>
    <row r="50" ht="30" customHeight="1">
      <c r="A50" s="3" t="inlineStr">
        <is>
          <t>Actual DSCR on NCF at sizing rate</t>
        </is>
      </c>
      <c r="B50" s="13">
        <f>B37/(B49*12)</f>
        <v/>
      </c>
    </row>
    <row r="51" ht="30" customHeight="1">
      <c r="A51" s="3" t="inlineStr">
        <is>
          <t>Actual NCF debt yield</t>
        </is>
      </c>
      <c r="B51" s="5">
        <f>B37/B46</f>
        <v/>
      </c>
    </row>
    <row r="53" ht="30" customHeight="1">
      <c r="A53" s="2" t="inlineStr">
        <is>
          <t>Sources and uses (refinance)</t>
        </is>
      </c>
    </row>
    <row r="54" ht="30" customHeight="1">
      <c r="A54" s="3" t="inlineStr">
        <is>
          <t>Source: maximum loan proceeds</t>
        </is>
      </c>
      <c r="B54" s="6">
        <f>B46</f>
        <v/>
      </c>
    </row>
    <row r="55" ht="30" customHeight="1">
      <c r="A55" s="3" t="inlineStr">
        <is>
          <t>Use: existing loan payoff</t>
        </is>
      </c>
      <c r="B55" s="6">
        <f>B23</f>
        <v/>
      </c>
    </row>
    <row r="56" ht="30" customHeight="1">
      <c r="A56" s="3" t="inlineStr">
        <is>
          <t>Use: origination fee (1%)</t>
        </is>
      </c>
      <c r="B56" s="6">
        <f>B46*B21</f>
        <v/>
      </c>
    </row>
    <row r="57" ht="30" customHeight="1">
      <c r="A57" s="3" t="inlineStr">
        <is>
          <t>Use: closing costs</t>
        </is>
      </c>
      <c r="B57" s="6">
        <f>B22</f>
        <v/>
      </c>
    </row>
    <row r="58" ht="30" customHeight="1">
      <c r="A58" s="3" t="inlineStr">
        <is>
          <t>Total uses</t>
        </is>
      </c>
      <c r="B58" s="12">
        <f>SUM(B55:B57)</f>
        <v/>
      </c>
    </row>
    <row r="59" ht="30" customHeight="1">
      <c r="A59" s="3" t="inlineStr">
        <is>
          <t>Net cash-out to sponsor (negative = equity required)</t>
        </is>
      </c>
      <c r="B59" s="12">
        <f>B54-B58</f>
        <v/>
      </c>
    </row>
    <row r="61" ht="30" customHeight="1">
      <c r="A61" s="3" t="inlineStr">
        <is>
          <t>Sizing floor test: sizing rate = MAX(note, floor); the 6.00% floor is not binding because the 6.75% note rate is higher.</t>
        </is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6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20" customWidth="1" min="2" max="2"/>
    <col width="18" customWidth="1" min="3" max="3"/>
    <col width="38" customWidth="1" min="4" max="4"/>
  </cols>
  <sheetData>
    <row r="1" ht="30" customHeight="1">
      <c r="A1" s="1" t="inlineStr">
        <is>
          <t>Historical T12 vs Underwritten (definitions differ)</t>
        </is>
      </c>
    </row>
    <row r="3" ht="30" customHeight="1">
      <c r="A3" s="2" t="inlineStr">
        <is>
          <t>Line</t>
        </is>
      </c>
      <c r="B3" s="2" t="inlineStr">
        <is>
          <t>T12 actual 2025-09-01 to 2026-08-31</t>
        </is>
      </c>
      <c r="C3" s="2" t="inlineStr">
        <is>
          <t>Underwritten</t>
        </is>
      </c>
      <c r="D3" s="2" t="inlineStr">
        <is>
          <t>Note</t>
        </is>
      </c>
    </row>
    <row r="4" ht="30" customHeight="1">
      <c r="A4" s="3" t="inlineStr">
        <is>
          <t>Rental and ancillary collections / EGI</t>
        </is>
      </c>
      <c r="B4" s="6" t="n">
        <v>1456920</v>
      </c>
      <c r="C4" s="6">
        <f>UW!B29</f>
        <v/>
      </c>
      <c r="D4" s="3" t="inlineStr">
        <is>
          <t>Collections are actual cash, not an annualized roll</t>
        </is>
      </c>
    </row>
    <row r="5" ht="30" customHeight="1">
      <c r="A5" s="3" t="inlineStr">
        <is>
          <t>Real estate taxes</t>
        </is>
      </c>
      <c r="B5" s="6" t="n">
        <v>169974</v>
      </c>
      <c r="C5" s="6">
        <f>UW!B30</f>
        <v/>
      </c>
    </row>
    <row r="6" ht="30" customHeight="1">
      <c r="A6" s="3" t="inlineStr">
        <is>
          <t>Insurance</t>
        </is>
      </c>
      <c r="B6" s="6" t="n">
        <v>56658</v>
      </c>
      <c r="C6" s="6">
        <f>UW!B31</f>
        <v/>
      </c>
    </row>
    <row r="7" ht="30" customHeight="1">
      <c r="A7" s="3" t="inlineStr">
        <is>
          <t>Other recurring operating expenses</t>
        </is>
      </c>
      <c r="B7" s="6" t="n">
        <v>226632</v>
      </c>
      <c r="C7" s="6">
        <f>UW!B32</f>
        <v/>
      </c>
    </row>
    <row r="8" ht="30" customHeight="1">
      <c r="A8" s="3" t="inlineStr">
        <is>
          <t>Roof replacement booked in repairs</t>
        </is>
      </c>
      <c r="B8" s="6" t="n">
        <v>0</v>
      </c>
      <c r="C8" s="6" t="n">
        <v>0</v>
      </c>
      <c r="D8" s="3" t="inlineStr">
        <is>
          <t>Capital item reported as $0 in repairs; no reclass required</t>
        </is>
      </c>
    </row>
    <row r="9" ht="30" customHeight="1">
      <c r="A9" s="3" t="inlineStr">
        <is>
          <t>Management fee</t>
        </is>
      </c>
      <c r="C9" s="6">
        <f>UW!B33</f>
        <v/>
      </c>
      <c r="D9" s="3" t="inlineStr">
        <is>
          <t>Not separately reported in T12 (unknown)</t>
        </is>
      </c>
    </row>
    <row r="10" ht="30" customHeight="1">
      <c r="A10" s="3" t="inlineStr">
        <is>
          <t>Total operating expenses</t>
        </is>
      </c>
      <c r="B10" s="12">
        <f>SUM(B5:B8)</f>
        <v/>
      </c>
      <c r="C10" s="12">
        <f>UW!B34</f>
        <v/>
      </c>
    </row>
    <row r="11" ht="30" customHeight="1">
      <c r="A11" s="3" t="inlineStr">
        <is>
          <t>NOI before reserves</t>
        </is>
      </c>
      <c r="B11" s="12">
        <f>B4-B10</f>
        <v/>
      </c>
      <c r="C11" s="12">
        <f>UW!B35</f>
        <v/>
      </c>
    </row>
    <row r="12" ht="30" customHeight="1">
      <c r="A12" s="3" t="inlineStr">
        <is>
          <t>Reported NOI per statement</t>
        </is>
      </c>
      <c r="B12" s="12" t="n">
        <v>1003656</v>
      </c>
      <c r="D12" s="3" t="inlineStr">
        <is>
          <t>operating-statement.pdf p.1; ties to computed T12 NOI</t>
        </is>
      </c>
    </row>
    <row r="13" ht="30" customHeight="1">
      <c r="A13" s="3" t="inlineStr">
        <is>
          <t>Replacement reserves</t>
        </is>
      </c>
      <c r="C13" s="6">
        <f>UW!B36</f>
        <v/>
      </c>
    </row>
    <row r="14" ht="30" customHeight="1">
      <c r="A14" s="3" t="inlineStr">
        <is>
          <t>Net cash flow after reserves</t>
        </is>
      </c>
      <c r="C14" s="12">
        <f>UW!B37</f>
        <v/>
      </c>
    </row>
    <row r="16" ht="30" customHeight="1">
      <c r="A16" s="3" t="inlineStr">
        <is>
          <t>Blank cells are not reported in the source and remain unknown (distinct from zero).</t>
        </is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8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30" customHeight="1">
      <c r="A1" s="1" t="inlineStr">
        <is>
          <t>Maximum loan sensitivity - cap rate (columns) vs sizing rate (rows)</t>
        </is>
      </c>
    </row>
    <row r="2" ht="30" customHeight="1">
      <c r="A2" s="2" t="inlineStr">
        <is>
          <t>Sizing rate \ Cap rate</t>
        </is>
      </c>
      <c r="B2" s="14" t="n">
        <v>0.07000000000000001</v>
      </c>
      <c r="C2" s="14" t="n">
        <v>0.075</v>
      </c>
      <c r="D2" s="14" t="n">
        <v>0.08</v>
      </c>
      <c r="E2" s="14" t="n">
        <v>0.08500000000000001</v>
      </c>
    </row>
    <row r="3" ht="30" customHeight="1">
      <c r="A3" s="14" t="n">
        <v>0.06</v>
      </c>
      <c r="B3" s="6">
        <f>MIN(UW!$B$35/B$2*UW!$B$12,UW!$B$37/UW!$B$14,(UW!$B$37/UW!$B$13/12)*(1-(1+$A3/12)^(-UW!$B$11*12))/($A3/12))</f>
        <v/>
      </c>
      <c r="C3" s="6">
        <f>MIN(UW!$B$35/C$2*UW!$B$12,UW!$B$37/UW!$B$14,(UW!$B$37/UW!$B$13/12)*(1-(1+$A3/12)^(-UW!$B$11*12))/($A3/12))</f>
        <v/>
      </c>
      <c r="D3" s="6">
        <f>MIN(UW!$B$35/D$2*UW!$B$12,UW!$B$37/UW!$B$14,(UW!$B$37/UW!$B$13/12)*(1-(1+$A3/12)^(-UW!$B$11*12))/($A3/12))</f>
        <v/>
      </c>
      <c r="E3" s="6">
        <f>MIN(UW!$B$35/E$2*UW!$B$12,UW!$B$37/UW!$B$14,(UW!$B$37/UW!$B$13/12)*(1-(1+$A3/12)^(-UW!$B$11*12))/($A3/12))</f>
        <v/>
      </c>
    </row>
    <row r="4" ht="30" customHeight="1">
      <c r="A4" s="14" t="n">
        <v>0.0675</v>
      </c>
      <c r="B4" s="6">
        <f>MIN(UW!$B$35/B$2*UW!$B$12,UW!$B$37/UW!$B$14,(UW!$B$37/UW!$B$13/12)*(1-(1+$A4/12)^(-UW!$B$11*12))/($A4/12))</f>
        <v/>
      </c>
      <c r="C4" s="6">
        <f>MIN(UW!$B$35/C$2*UW!$B$12,UW!$B$37/UW!$B$14,(UW!$B$37/UW!$B$13/12)*(1-(1+$A4/12)^(-UW!$B$11*12))/($A4/12))</f>
        <v/>
      </c>
      <c r="D4" s="6">
        <f>MIN(UW!$B$35/D$2*UW!$B$12,UW!$B$37/UW!$B$14,(UW!$B$37/UW!$B$13/12)*(1-(1+$A4/12)^(-UW!$B$11*12))/($A4/12))</f>
        <v/>
      </c>
      <c r="E4" s="6">
        <f>MIN(UW!$B$35/E$2*UW!$B$12,UW!$B$37/UW!$B$14,(UW!$B$37/UW!$B$13/12)*(1-(1+$A4/12)^(-UW!$B$11*12))/($A4/12))</f>
        <v/>
      </c>
    </row>
    <row r="5" ht="30" customHeight="1">
      <c r="A5" s="14" t="n">
        <v>0.075</v>
      </c>
      <c r="B5" s="6">
        <f>MIN(UW!$B$35/B$2*UW!$B$12,UW!$B$37/UW!$B$14,(UW!$B$37/UW!$B$13/12)*(1-(1+$A5/12)^(-UW!$B$11*12))/($A5/12))</f>
        <v/>
      </c>
      <c r="C5" s="6">
        <f>MIN(UW!$B$35/C$2*UW!$B$12,UW!$B$37/UW!$B$14,(UW!$B$37/UW!$B$13/12)*(1-(1+$A5/12)^(-UW!$B$11*12))/($A5/12))</f>
        <v/>
      </c>
      <c r="D5" s="6">
        <f>MIN(UW!$B$35/D$2*UW!$B$12,UW!$B$37/UW!$B$14,(UW!$B$37/UW!$B$13/12)*(1-(1+$A5/12)^(-UW!$B$11*12))/($A5/12))</f>
        <v/>
      </c>
      <c r="E5" s="6">
        <f>MIN(UW!$B$35/E$2*UW!$B$12,UW!$B$37/UW!$B$14,(UW!$B$37/UW!$B$13/12)*(1-(1+$A5/12)^(-UW!$B$11*12))/($A5/12))</f>
        <v/>
      </c>
    </row>
    <row r="6" ht="30" customHeight="1">
      <c r="A6" s="14" t="n">
        <v>0.08500000000000001</v>
      </c>
      <c r="B6" s="6">
        <f>MIN(UW!$B$35/B$2*UW!$B$12,UW!$B$37/UW!$B$14,(UW!$B$37/UW!$B$13/12)*(1-(1+$A6/12)^(-UW!$B$11*12))/($A6/12))</f>
        <v/>
      </c>
      <c r="C6" s="6">
        <f>MIN(UW!$B$35/C$2*UW!$B$12,UW!$B$37/UW!$B$14,(UW!$B$37/UW!$B$13/12)*(1-(1+$A6/12)^(-UW!$B$11*12))/($A6/12))</f>
        <v/>
      </c>
      <c r="D6" s="6">
        <f>MIN(UW!$B$35/D$2*UW!$B$12,UW!$B$37/UW!$B$14,(UW!$B$37/UW!$B$13/12)*(1-(1+$A6/12)^(-UW!$B$11*12))/($A6/12))</f>
        <v/>
      </c>
      <c r="E6" s="6">
        <f>MIN(UW!$B$35/E$2*UW!$B$12,UW!$B$37/UW!$B$14,(UW!$B$37/UW!$B$13/12)*(1-(1+$A6/12)^(-UW!$B$11*12))/($A6/12))</f>
        <v/>
      </c>
    </row>
    <row r="8" ht="30" customHeight="1">
      <c r="A8" s="3" t="inlineStr">
        <is>
          <t>Each cell is the minimum of the LTV, DSCR and debt-yield constrained loan amounts using underwritten NOI/NCF from the UW sheet.</t>
        </is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60" customWidth="1" min="3" max="3"/>
  </cols>
  <sheetData>
    <row r="1" ht="30" customHeight="1">
      <c r="A1" s="1" t="inlineStr">
        <is>
          <t>Source register</t>
        </is>
      </c>
    </row>
    <row r="2" ht="30" customHeight="1">
      <c r="A2" s="2" t="inlineStr">
        <is>
          <t>Document</t>
        </is>
      </c>
      <c r="B2" s="2" t="inlineStr">
        <is>
          <t>Location</t>
        </is>
      </c>
      <c r="C2" s="2" t="inlineStr">
        <is>
          <t>Fact used / status</t>
        </is>
      </c>
    </row>
    <row r="3" ht="30" customHeight="1">
      <c r="A3" s="3" t="inlineStr">
        <is>
          <t>rent-roll-certified.xlsx</t>
        </is>
      </c>
      <c r="B3" s="3" t="inlineStr">
        <is>
          <t>Rent Roll A2:G16</t>
        </is>
      </c>
      <c r="C3" s="3" t="inlineStr">
        <is>
          <t>Controlling roll dated 2026-08-31: 12 suites, 66,360 SF, statuses, rents, expirations</t>
        </is>
      </c>
    </row>
    <row r="4" ht="30" customHeight="1">
      <c r="A4" s="3" t="inlineStr">
        <is>
          <t>rent-roll-archive.xlsx</t>
        </is>
      </c>
      <c r="B4" s="3" t="inlineStr">
        <is>
          <t>Rent Roll A2:G16</t>
        </is>
      </c>
      <c r="C4" s="3" t="inlineStr">
        <is>
          <t>Stale 2026-06-30 archive with lower rents; superseded, not used</t>
        </is>
      </c>
    </row>
    <row r="5" ht="30" customHeight="1">
      <c r="A5" s="3" t="inlineStr">
        <is>
          <t>lease-001.pdf</t>
        </is>
      </c>
      <c r="B5" s="3" t="inlineStr">
        <is>
          <t>p.1</t>
        </is>
      </c>
      <c r="C5" s="3" t="inlineStr">
        <is>
          <t>Suite 001 executed lease: $11,050/mo, expiry 2027-02-28, 5,380 SF, no free rent</t>
        </is>
      </c>
    </row>
    <row r="6" ht="30" customHeight="1">
      <c r="A6" s="3" t="inlineStr">
        <is>
          <t>lease-correspondence.pdf</t>
        </is>
      </c>
      <c r="B6" s="3" t="inlineStr">
        <is>
          <t>p.1</t>
        </is>
      </c>
      <c r="C6" s="3" t="inlineStr">
        <is>
          <t>Manager confirmation 2026-08-31: no amendments or concessions affect Suite 001</t>
        </is>
      </c>
    </row>
    <row r="7" ht="30" customHeight="1">
      <c r="A7" s="3" t="inlineStr">
        <is>
          <t>operating-statement.pdf</t>
        </is>
      </c>
      <c r="B7" s="3" t="inlineStr">
        <is>
          <t>p.1</t>
        </is>
      </c>
      <c r="C7" s="3" t="inlineStr">
        <is>
          <t>T12 collections 1,456,920; tax/insurance/other expenses; reported NOI 1,003,656; roof capital $0 in repairs</t>
        </is>
      </c>
    </row>
    <row r="8" ht="30" customHeight="1">
      <c r="A8" s="3" t="inlineStr">
        <is>
          <t>insurance.pdf</t>
        </is>
      </c>
      <c r="B8" s="3" t="inlineStr">
        <is>
          <t>p.1</t>
        </is>
      </c>
      <c r="C8" s="3" t="inlineStr">
        <is>
          <t>GL aggregate limit $2,000,000; 2026-07-01 to 2027-06-30; distinct from expense</t>
        </is>
      </c>
    </row>
    <row r="9" ht="30" customHeight="1">
      <c r="A9" s="3" t="inlineStr">
        <is>
          <t>underwriting-instructions.pdf</t>
        </is>
      </c>
      <c r="B9" s="3" t="inlineStr">
        <is>
          <t>p.1</t>
        </is>
      </c>
      <c r="C9" s="3" t="inlineStr">
        <is>
          <t>All underwriting, capitalization, sizing and sources/uses assumptions</t>
        </is>
      </c>
    </row>
    <row r="10" ht="30" customHeight="1">
      <c r="A10" s="3" t="inlineStr">
        <is>
          <t>manager-cover.pdf</t>
        </is>
      </c>
      <c r="B10" s="3" t="inlineStr">
        <is>
          <t>p.1</t>
        </is>
      </c>
      <c r="C10" s="3" t="inlineStr">
        <is>
          <t>Manager headline 10 of 12 leased (includes pending); A/B/C group mapping; certified detail controls</t>
        </is>
      </c>
    </row>
    <row r="11" ht="30" customHeight="1">
      <c r="A11" s="3" t="inlineStr">
        <is>
          <t>diligence-status.pdf</t>
        </is>
      </c>
      <c r="B11" s="3" t="inlineStr">
        <is>
          <t>p.1</t>
        </is>
      </c>
      <c r="C11" s="3" t="inlineStr">
        <is>
          <t>Legal, environmental, PCA and title reviews incomplete; no defect findings</t>
        </is>
      </c>
    </row>
    <row r="12" ht="30" customHeight="1">
      <c r="A12" s="3" t="inlineStr">
        <is>
          <t>Not supplied</t>
        </is>
      </c>
      <c r="B12" s="3" t="inlineStr">
        <is>
          <t>n/a</t>
        </is>
      </c>
      <c r="C12" s="3" t="inlineStr">
        <is>
          <t>Photos, asking price, market sales/rent comps, sponsor history, tenant financials, monthly T12 detail: unknown</t>
        </is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2026-09-07T13:09:38Z</dcterms:created>
  <dcterms:modified xmlns:dcterms="http://purl.org/dc/terms/" xmlns:xsi="http://www.w3.org/2001/XMLSchema-instance" xsi:type="dcterms:W3CDTF">2026-09-07T13:13:42Z</dcterms:modified>
</cp:coreProperties>
</file>