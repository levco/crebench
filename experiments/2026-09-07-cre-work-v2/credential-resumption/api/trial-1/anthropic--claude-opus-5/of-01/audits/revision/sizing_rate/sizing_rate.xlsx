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nt Roll" sheetId="1" state="visible" r:id="rId3"/>
    <sheet name="UW" sheetId="2" state="visible" r:id="rId4"/>
    <sheet name="Revision Bridge" sheetId="3" state="visible" r:id="rId5"/>
    <sheet name="Historical" sheetId="4" state="visible" r:id="rId6"/>
    <sheet name="Sensitivity" sheetId="5" state="visible" r:id="rId7"/>
    <sheet name="Source Registe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<sst xmlns="http://schemas.openxmlformats.org/spreadsheetml/2006/main" count="275" uniqueCount="204">
  <si>
    <t xml:space="preserve">Beacon Plaza - REVISED Certified Rent Roll as of 2026-09-01 (source: rent-roll-revised.xlsx; supersedes 2026-08-31 roll)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</si>
  <si>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</si>
  <si>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</si>
  <si>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</si>
  <si>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</si>
  <si>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</si>
  <si>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Monthly rent</t>
  </si>
  <si>
    <t xml:space="preserve">Expiration</t>
  </si>
  <si>
    <t xml:space="preserve">Occupied?</t>
  </si>
  <si>
    <t xml:space="preserve">Occ. area SF</t>
  </si>
  <si>
    <t xml:space="preserve">Annual in-place</t>
  </si>
  <si>
    <t xml:space="preserve">Prior rent 8/31</t>
  </si>
  <si>
    <t xml:space="preserve">001</t>
  </si>
  <si>
    <t xml:space="preserve">Small suite</t>
  </si>
  <si>
    <t xml:space="preserve">A</t>
  </si>
  <si>
    <t xml:space="preserve">active</t>
  </si>
  <si>
    <t xml:space="preserve">2027-02-28</t>
  </si>
  <si>
    <t xml:space="preserve">002</t>
  </si>
  <si>
    <t xml:space="preserve">Standard suite</t>
  </si>
  <si>
    <t xml:space="preserve">B</t>
  </si>
  <si>
    <t xml:space="preserve">2029-08-31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</si>
  <si>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</si>
  <si>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</si>
  <si>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</si>
  <si>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</si>
  <si>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</si>
  <si>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</si>
  <si>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</si>
  <si>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</si>
  <si>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</si>
  <si>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</si>
  <si>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</si>
  <si>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vacant</t>
  </si>
  <si>
    <t xml:space="preserve">012</t>
  </si>
  <si>
    <t xml:space="preserve">Totals</t>
  </si>
  <si>
    <t xml:space="preserve">Roll statistics (revised roll)</t>
  </si>
  <si>
    <t xml:space="preserve">Total units / suites</t>
  </si>
  <si>
    <t xml:space="preserve">Occupied units (active possession)</t>
  </si>
  <si>
    <t xml:space="preserve">Pending units (not in possession)</t>
  </si>
  <si>
    <t xml:space="preserve">Vacant units</t>
  </si>
  <si>
    <t xml:space="preserve">Total area SF</t>
  </si>
  <si>
    <t xml:space="preserve">Occupied area SF</t>
  </si>
  <si>
    <t xml:space="preserve">Unit occupancy (decimal)</t>
  </si>
  <si>
    <t xml:space="preserve">Area occupancy (decimal)</t>
  </si>
  <si>
    <t xml:space="preserve">Annual in-place rent (active suites x 12)</t>
  </si>
  <si>
    <t xml:space="preserve">All-suite scheduled monthly rent</t>
  </si>
  <si>
    <t xml:space="preserve">All-suite scheduled annual rent (GPR basis)</t>
  </si>
  <si>
    <t xml:space="preserve">Suite 001 monthly rent (unchanged; lease-001.pdf p.1)</t>
  </si>
  <si>
    <t xml:space="preserve">Suite 010 rent increase per revision notice</t>
  </si>
  <si>
    <t xml:space="preserve">Group mix (manager mapping: A=Small, B=Standard, C=Large)</t>
  </si>
  <si>
    <t xml:space="preserve">Units</t>
  </si>
  <si>
    <t xml:space="preserve">Occupied</t>
  </si>
  <si>
    <t xml:space="preserve">Near-term rollover unchanged: Suite 001 expires 2027-02-28, within 12 months of the analysis date. All other active expiries 2029-08-31. Suite 010 is now active (no pending units remain); its rent rose $225 to $11,275 per revision-notice.pdf p.1 and rent-roll-revised.xlsx E14.</t>
  </si>
  <si>
    <t xml:space="preserve">Beacon Plaza - REVISED Underwriting, Valuation and Debt Sizing (revision-notice.pdf p.1)</t>
  </si>
  <si>
    <t xml:space="preserve">Inputs</t>
  </si>
  <si>
    <t xml:space="preserve">Value</t>
  </si>
  <si>
    <t xml:space="preserve">Source</t>
  </si>
  <si>
    <t xml:space="preserve">Gross potential rent (annual, all suites) - REVISED</t>
  </si>
  <si>
    <t xml:space="preserve">rent-roll-revised.xlsx E5:E16 ($135,125/mo) x 12</t>
  </si>
  <si>
    <t xml:space="preserve">Other income (annual, $350 x 12 suites)</t>
  </si>
  <si>
    <t xml:space="preserve">underwriting-instructions.pdf p.1</t>
  </si>
  <si>
    <t xml:space="preserve">Economic loss (decimal)</t>
  </si>
  <si>
    <t xml:space="preserve">Capitalization rate (decimal) - REVISED +25 bps</t>
  </si>
  <si>
    <t xml:space="preserve">7.5000% + 0.25% per revision-notice.pdf p.1</t>
  </si>
  <si>
    <t xml:space="preserve">Sizing rate - REVISED +75 bps</t>
  </si>
  <si>
    <t xml:space="preserve">Initial sizing rate 6.7500% + 0.75% per revision-notice.pdf p.1</t>
  </si>
  <si>
    <t xml:space="preserve">Note rate (original)</t>
  </si>
  <si>
    <t xml:space="preserve">Underwriting rate floor (original)</t>
  </si>
  <si>
    <t xml:space="preserve">Amortization (years)</t>
  </si>
  <si>
    <t xml:space="preserve">Maximum LTV</t>
  </si>
  <si>
    <t xml:space="preserve">Minimum DSCR</t>
  </si>
  <si>
    <t xml:space="preserve">Minimum NCF debt yield</t>
  </si>
  <si>
    <t xml:space="preserve">Unit / suite count</t>
  </si>
  <si>
    <t xml:space="preserve">rent-roll-revised.xlsx A5:A16</t>
  </si>
  <si>
    <t xml:space="preserve">Real estate taxes</t>
  </si>
  <si>
    <t xml:space="preserve">underwriting-instructions.pdf p.1; operating-statement.pdf p.1</t>
  </si>
  <si>
    <t xml:space="preserve">Insurance expense</t>
  </si>
  <si>
    <t xml:space="preserve">Other recurring operating expenses</t>
  </si>
  <si>
    <t xml:space="preserve">Management fee (% of EGI)</t>
  </si>
  <si>
    <t xml:space="preserve">Replacement reserve per suite</t>
  </si>
  <si>
    <t xml:space="preserve">Origination fee (% of loan)</t>
  </si>
  <si>
    <t xml:space="preserve">Third-party closing costs</t>
  </si>
  <si>
    <t xml:space="preserve">Existing loan payoff (unchanged)</t>
  </si>
  <si>
    <t xml:space="preserve">underwriting-instructions.pdf p.1; revision-notice.pdf p.1</t>
  </si>
  <si>
    <t xml:space="preserve">Underwritten cash flow</t>
  </si>
  <si>
    <t xml:space="preserve">Gross potential rent</t>
  </si>
  <si>
    <t xml:space="preserve">Less economic loss (5%)</t>
  </si>
  <si>
    <t xml:space="preserve">Other income</t>
  </si>
  <si>
    <t xml:space="preserve">Effective gross income (uw_egi)</t>
  </si>
  <si>
    <t xml:space="preserve">Real estate taxes (uw_tax)</t>
  </si>
  <si>
    <t xml:space="preserve">Insurance (uw_insurance)</t>
  </si>
  <si>
    <t xml:space="preserve">Other recurring expenses</t>
  </si>
  <si>
    <t xml:space="preserve">Management fee</t>
  </si>
  <si>
    <t xml:space="preserve">Total operating expenses (uw_operating_expenses)</t>
  </si>
  <si>
    <t xml:space="preserve">NOI before reserves (uw_noi)</t>
  </si>
  <si>
    <t xml:space="preserve">Replacement reserves</t>
  </si>
  <si>
    <t xml:space="preserve">Net cash flow after reserves (uw_ncf)</t>
  </si>
  <si>
    <t xml:space="preserve">Expense ratio (opex / EGI)</t>
  </si>
  <si>
    <t xml:space="preserve">Valuation and debt sizing</t>
  </si>
  <si>
    <t xml:space="preserve">Capitalized value (NOI before reserves / cap rate)</t>
  </si>
  <si>
    <t xml:space="preserve">LTV constraint loan</t>
  </si>
  <si>
    <t xml:space="preserve">Maximum annual debt service at min DSCR</t>
  </si>
  <si>
    <t xml:space="preserve">DSCR constraint loan (30-yr amort at sizing rate)</t>
  </si>
  <si>
    <t xml:space="preserve">Debt yield constraint loan (NCF / 9%)</t>
  </si>
  <si>
    <t xml:space="preserve">Maximum loan (binding constraint)</t>
  </si>
  <si>
    <t xml:space="preserve">Binding test</t>
  </si>
  <si>
    <t xml:space="preserve">Implied LTV on capitalized value</t>
  </si>
  <si>
    <t xml:space="preserve">Monthly payment at sizing rate</t>
  </si>
  <si>
    <t xml:space="preserve">Actual DSCR on NCF at sizing rate</t>
  </si>
  <si>
    <t xml:space="preserve">Actual NCF debt yield</t>
  </si>
  <si>
    <t xml:space="preserve">Sources and uses (refinance)</t>
  </si>
  <si>
    <t xml:space="preserve">Source: maximum loan proceeds</t>
  </si>
  <si>
    <t xml:space="preserve">Use: existing loan payoff</t>
  </si>
  <si>
    <t xml:space="preserve">Use: origination fee (1%)</t>
  </si>
  <si>
    <t xml:space="preserve">Use: closing costs</t>
  </si>
  <si>
    <t xml:space="preserve">Total uses</t>
  </si>
  <si>
    <t xml:space="preserve">Net cash-out to sponsor (negative = equity required)</t>
  </si>
  <si>
    <t xml:space="preserve">Floor test on original terms: note rate 6.7500% exceeds the 6.00% floor, so the floor never binds; the 7.5000% sizing rate results from the revision notice's +75 bps increase to the initial sizing rate, not from the floor.</t>
  </si>
  <si>
    <t xml:space="preserve">Change bridge: initial analysis (2026-08-31 roll) vs revised analysis (2026-09-01 roll)</t>
  </si>
  <si>
    <t xml:space="preserve">Item</t>
  </si>
  <si>
    <t xml:space="preserve">Initial</t>
  </si>
  <si>
    <t xml:space="preserve">Revised</t>
  </si>
  <si>
    <t xml:space="preserve">Change</t>
  </si>
  <si>
    <t xml:space="preserve">Driver</t>
  </si>
  <si>
    <t xml:space="preserve">Roll as-of date</t>
  </si>
  <si>
    <t xml:space="preserve">2026-08-31</t>
  </si>
  <si>
    <t xml:space="preserve">2026-09-01</t>
  </si>
  <si>
    <t xml:space="preserve">revision-notice.pdf p.1</t>
  </si>
  <si>
    <t xml:space="preserve">Occupied units (active)</t>
  </si>
  <si>
    <t xml:space="preserve">Suite 010 took possession</t>
  </si>
  <si>
    <t xml:space="preserve">Pending units</t>
  </si>
  <si>
    <t xml:space="preserve">Pending status cleared</t>
  </si>
  <si>
    <t xml:space="preserve">Suite 010 5,380 SF added</t>
  </si>
  <si>
    <t xml:space="preserve">Annual in-place rent</t>
  </si>
  <si>
    <t xml:space="preserve">Suite 010 now in place at $11,275</t>
  </si>
  <si>
    <t xml:space="preserve">$225/mo x 12 rent increase on Suite 010</t>
  </si>
  <si>
    <t xml:space="preserve">Underwritten EGI</t>
  </si>
  <si>
    <t xml:space="preserve">95% of higher GPR</t>
  </si>
  <si>
    <t xml:space="preserve">Underwritten NOI before reserves</t>
  </si>
  <si>
    <t xml:space="preserve">EGI up, 3% mgmt fee up</t>
  </si>
  <si>
    <t xml:space="preserve">Underwritten NCF</t>
  </si>
  <si>
    <t xml:space="preserve">Reserves unchanged at $3,600</t>
  </si>
  <si>
    <t xml:space="preserve">Capitalization rate</t>
  </si>
  <si>
    <t xml:space="preserve">+25 bps per revision notice</t>
  </si>
  <si>
    <t xml:space="preserve">Sizing rate</t>
  </si>
  <si>
    <t xml:space="preserve">+75 bps per revision notice</t>
  </si>
  <si>
    <t xml:space="preserve">Capitalized value</t>
  </si>
  <si>
    <t xml:space="preserve">Higher NOI more than offset by higher cap rate</t>
  </si>
  <si>
    <t xml:space="preserve">Maximum loan</t>
  </si>
  <si>
    <t xml:space="preserve">LTV remains binding on lower value</t>
  </si>
  <si>
    <t xml:space="preserve">Net cash-out</t>
  </si>
  <si>
    <t xml:space="preserve">Lower proceeds, same payoff and costs</t>
  </si>
  <si>
    <t xml:space="preserve">Unaffected facts: total suites 12, total area 66,360 SF, Suite 001 rent $11,050 and 2027-02-28 expiry, all other expirations 2029-08-31, tax/insurance/other expense assumptions, LTV 60%, DSCR 1.25x, debt yield 9%, 30-year amortization, 1% origination fee, $45,000 closing costs, $6,500,000 payoff, T12 statement and reported NOI, insurance policy limit, diligence status.</t>
  </si>
  <si>
    <t xml:space="preserve">Historical T12 vs Revised Underwritten (definitions differ)</t>
  </si>
  <si>
    <t xml:space="preserve">Line</t>
  </si>
  <si>
    <t xml:space="preserve">T12 actual 2025-09-01 to 2026-08-31</t>
  </si>
  <si>
    <t xml:space="preserve">Underwritten (revised)</t>
  </si>
  <si>
    <t xml:space="preserve">Note</t>
  </si>
  <si>
    <t xml:space="preserve">Rental and ancillary collections / EGI</t>
  </si>
  <si>
    <t xml:space="preserve">Collections are actual cash, not an annualized roll</t>
  </si>
  <si>
    <t xml:space="preserve">Insurance</t>
  </si>
  <si>
    <t xml:space="preserve">Roof replacement booked in repairs</t>
  </si>
  <si>
    <t xml:space="preserve">Capital item reported as $0 in repairs; no reclass required</t>
  </si>
  <si>
    <t xml:space="preserve">Not separately reported in T12 (unknown)</t>
  </si>
  <si>
    <t xml:space="preserve">Total operating expenses</t>
  </si>
  <si>
    <t xml:space="preserve">NOI before reserves</t>
  </si>
  <si>
    <t xml:space="preserve">Reported NOI per statement</t>
  </si>
  <si>
    <t xml:space="preserve">operating-statement.pdf p.1; unchanged by the revision</t>
  </si>
  <si>
    <t xml:space="preserve">Net cash flow after reserves</t>
  </si>
  <si>
    <t xml:space="preserve">Blank cells are not reported in the source and remain unknown (distinct from zero).</t>
  </si>
  <si>
    <t xml:space="preserve">Maximum loan sensitivity - cap rate (columns) vs sizing rate (rows); revised base case shaded by 7.7500% / 7.5000%</t>
  </si>
  <si>
    <t xml:space="preserve">Sizing rate \ Cap rate</t>
  </si>
  <si>
    <t xml:space="preserve">Each cell is the minimum of the LTV, DSCR and debt-yield constrained loan amounts using revised underwritten NOI/NCF from the UW sheet. The LTV test binds throughout this range.</t>
  </si>
  <si>
    <t xml:space="preserve">Source register (revised)</t>
  </si>
  <si>
    <t xml:space="preserve">Document</t>
  </si>
  <si>
    <t xml:space="preserve">Location</t>
  </si>
  <si>
    <t xml:space="preserve">Fact used / status</t>
  </si>
  <si>
    <t xml:space="preserve">rent-roll-revised.xlsx</t>
  </si>
  <si>
    <t xml:space="preserve">Rent Roll A2:G16</t>
  </si>
  <si>
    <t xml:space="preserve">CONTROLLING roll dated 2026-09-01: Suite 010 active at $11,275; 12 suites, 66,360 SF</t>
  </si>
  <si>
    <t xml:space="preserve">revision-notice.pdf</t>
  </si>
  <si>
    <t xml:space="preserve">p.1</t>
  </si>
  <si>
    <t xml:space="preserve">Supersession effective 2026-09-01; Suite 010 active with +$225 rent; sizing rate +75 bps; cap rate +25 bps; all other rules and payoff unchanged</t>
  </si>
  <si>
    <t xml:space="preserve">rent-roll-certified.xlsx</t>
  </si>
  <si>
    <t xml:space="preserve">Prior certified roll dated 2026-08-31; superseded, retained for the change bridge</t>
  </si>
  <si>
    <t xml:space="preserve">rent-roll-archive.xlsx</t>
  </si>
  <si>
    <t xml:space="preserve">Stale 2026-06-30 archive with lower rents; superseded, not used</t>
  </si>
  <si>
    <t xml:space="preserve">lease-001.pdf</t>
  </si>
  <si>
    <t xml:space="preserve">Suite 001 executed lease: $11,050/mo, expiry 2027-02-28, 5,380 SF, no free rent (unchanged)</t>
  </si>
  <si>
    <t xml:space="preserve">lease-correspondence.pdf</t>
  </si>
  <si>
    <t xml:space="preserve">Manager confirmation 2026-08-31: no amendments or concessions affect Suite 001</t>
  </si>
  <si>
    <t xml:space="preserve">operating-statement.pdf</t>
  </si>
  <si>
    <t xml:space="preserve">T12 collections 1,456,920; expenses; reported NOI 1,003,656; roof capital $0 in repairs</t>
  </si>
  <si>
    <t xml:space="preserve">insurance.pdf</t>
  </si>
  <si>
    <t xml:space="preserve">GL aggregate limit $2,000,000; 2026-07-01 to 2027-06-30; distinct from expense</t>
  </si>
  <si>
    <t xml:space="preserve">underwriting-instructions.pdf</t>
  </si>
  <si>
    <t xml:space="preserve">Base underwriting, capitalization, sizing and sources/uses rules (all retained except the two revised rates)</t>
  </si>
  <si>
    <t xml:space="preserve">manager-cover.pdf</t>
  </si>
  <si>
    <t xml:space="preserve">A/B/C group mapping; approved copy; certified detail controls occupancy</t>
  </si>
  <si>
    <t xml:space="preserve">diligence-status.pdf</t>
  </si>
  <si>
    <t xml:space="preserve">Legal, environmental, PCA and title reviews incomplete; no defect findings</t>
  </si>
  <si>
    <t xml:space="preserve">Not supplied</t>
  </si>
  <si>
    <t xml:space="preserve">n/a</t>
  </si>
  <si>
    <t xml:space="preserve">Photos, asking price, market sales/rent comps, sponsor history, tenant financials, monthly T12 detail: unknown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</si>
</sst>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"/>
    <numFmt numFmtId="166" formatCode="#,##0"/>
    <numFmt numFmtId="167" formatCode="0.00%"/>
    <numFmt numFmtId="168" formatCode="0.0000%"/>
    <numFmt numFmtId="169" formatCode="0.00"/>
    <numFmt numFmtId="170" formatCode="0.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1" min="10" style="0" width="14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customFormat="false" ht="30" hidden="false" customHeight="true" outlineLevel="0" collapsed="false">
      <c r="A4" s="3" t="s">
        <v>12</v>
      </c>
      <c r="B4" s="3" t="s">
        <v>13</v>
      </c>
      <c r="C4" s="3" t="s">
        <v>14</v>
      </c>
      <c r="D4" s="3" t="n">
        <v>5380</v>
      </c>
      <c r="E4" s="3" t="s">
        <v>15</v>
      </c>
      <c r="F4" s="3" t="n">
        <v>11050</v>
      </c>
      <c r="G4" s="3" t="s">
        <v>16</v>
      </c>
      <c r="H4" s="3" t="n">
        <f aca="false">IF(E4="active",1,0)</f>
        <v>1</v>
      </c>
      <c r="I4" s="3" t="n">
        <f aca="false">H4*D4</f>
        <v>5380</v>
      </c>
      <c r="J4" s="3" t="n">
        <f aca="false">H4*F4*12</f>
        <v>132600</v>
      </c>
      <c r="K4" s="3" t="n">
        <v>11050</v>
      </c>
    </row>
    <row r="5" customFormat="false" ht="30" hidden="false" customHeight="true" outlineLevel="0" collapsed="false">
      <c r="A5" s="3" t="s">
        <v>17</v>
      </c>
      <c r="B5" s="3" t="s">
        <v>18</v>
      </c>
      <c r="C5" s="3" t="s">
        <v>19</v>
      </c>
      <c r="D5" s="3" t="n">
        <v>5500</v>
      </c>
      <c r="E5" s="3" t="s">
        <v>15</v>
      </c>
      <c r="F5" s="3" t="n">
        <v>11200</v>
      </c>
      <c r="G5" s="3" t="s">
        <v>20</v>
      </c>
      <c r="H5" s="3" t="n">
        <f aca="false">IF(E5="active",1,0)</f>
        <v>1</v>
      </c>
      <c r="I5" s="3" t="n">
        <f aca="false">H5*D5</f>
        <v>5500</v>
      </c>
      <c r="J5" s="3" t="n">
        <f aca="false">H5*F5*12</f>
        <v>134400</v>
      </c>
      <c r="K5" s="3" t="n">
        <v>11200</v>
      </c>
    </row>
    <row r="6" customFormat="false" ht="30" hidden="false" customHeight="true" outlineLevel="0" collapsed="false">
      <c r="A6" s="3" t="s">
        <v>21</v>
      </c>
      <c r="B6" s="3" t="s">
        <v>22</v>
      </c>
      <c r="C6" s="3" t="s">
        <v>23</v>
      </c>
      <c r="D6" s="3" t="n">
        <v>5710</v>
      </c>
      <c r="E6" s="3" t="s">
        <v>15</v>
      </c>
      <c r="F6" s="3" t="n">
        <v>11475</v>
      </c>
      <c r="G6" s="3" t="s">
        <v>20</v>
      </c>
      <c r="H6" s="3" t="n">
        <f aca="false">IF(E6="active",1,0)</f>
        <v>1</v>
      </c>
      <c r="I6" s="3" t="n">
        <f aca="false">H6*D6</f>
        <v>5710</v>
      </c>
      <c r="J6" s="3" t="n">
        <f aca="false">H6*F6*12</f>
        <v>137700</v>
      </c>
      <c r="K6" s="3" t="n">
        <v>11475</v>
      </c>
    </row>
    <row r="7" customFormat="false" ht="30" hidden="false" customHeight="true" outlineLevel="0" collapsed="false">
      <c r="A7" s="3" t="s">
        <v>24</v>
      </c>
      <c r="B7" s="3" t="s">
        <v>13</v>
      </c>
      <c r="C7" s="3" t="s">
        <v>14</v>
      </c>
      <c r="D7" s="3" t="n">
        <v>5380</v>
      </c>
      <c r="E7" s="3" t="s">
        <v>15</v>
      </c>
      <c r="F7" s="3" t="n">
        <v>11050</v>
      </c>
      <c r="G7" s="3" t="s">
        <v>20</v>
      </c>
      <c r="H7" s="3" t="n">
        <f aca="false">IF(E7="active",1,0)</f>
        <v>1</v>
      </c>
      <c r="I7" s="3" t="n">
        <f aca="false">H7*D7</f>
        <v>5380</v>
      </c>
      <c r="J7" s="3" t="n">
        <f aca="false">H7*F7*12</f>
        <v>132600</v>
      </c>
      <c r="K7" s="3" t="n">
        <v>11050</v>
      </c>
    </row>
    <row r="8" customFormat="false" ht="30" hidden="false" customHeight="true" outlineLevel="0" collapsed="false">
      <c r="A8" s="3" t="s">
        <v>25</v>
      </c>
      <c r="B8" s="3" t="s">
        <v>18</v>
      </c>
      <c r="C8" s="3" t="s">
        <v>19</v>
      </c>
      <c r="D8" s="3" t="n">
        <v>5500</v>
      </c>
      <c r="E8" s="3" t="s">
        <v>15</v>
      </c>
      <c r="F8" s="3" t="n">
        <v>11200</v>
      </c>
      <c r="G8" s="3" t="s">
        <v>20</v>
      </c>
      <c r="H8" s="3" t="n">
        <f aca="false">IF(E8="active",1,0)</f>
        <v>1</v>
      </c>
      <c r="I8" s="3" t="n">
        <f aca="false">H8*D8</f>
        <v>5500</v>
      </c>
      <c r="J8" s="3" t="n">
        <f aca="false">H8*F8*12</f>
        <v>134400</v>
      </c>
      <c r="K8" s="3" t="n">
        <v>11200</v>
      </c>
    </row>
    <row r="9" customFormat="false" ht="30" hidden="false" customHeight="true" outlineLevel="0" collapsed="false">
      <c r="A9" s="3" t="s">
        <v>26</v>
      </c>
      <c r="B9" s="3" t="s">
        <v>22</v>
      </c>
      <c r="C9" s="3" t="s">
        <v>23</v>
      </c>
      <c r="D9" s="3" t="n">
        <v>5710</v>
      </c>
      <c r="E9" s="3" t="s">
        <v>15</v>
      </c>
      <c r="F9" s="3" t="n">
        <v>11475</v>
      </c>
      <c r="G9" s="3" t="s">
        <v>20</v>
      </c>
      <c r="H9" s="3" t="n">
        <f aca="false">IF(E9="active",1,0)</f>
        <v>1</v>
      </c>
      <c r="I9" s="3" t="n">
        <f aca="false">H9*D9</f>
        <v>5710</v>
      </c>
      <c r="J9" s="3" t="n">
        <f aca="false">H9*F9*12</f>
        <v>137700</v>
      </c>
      <c r="K9" s="3" t="n">
        <v>11475</v>
      </c>
    </row>
    <row r="10" customFormat="false" ht="30" hidden="false" customHeight="true" outlineLevel="0" collapsed="false">
      <c r="A10" s="3" t="s">
        <v>27</v>
      </c>
      <c r="B10" s="3" t="s">
        <v>13</v>
      </c>
      <c r="C10" s="3" t="s">
        <v>14</v>
      </c>
      <c r="D10" s="3" t="n">
        <v>5380</v>
      </c>
      <c r="E10" s="3" t="s">
        <v>15</v>
      </c>
      <c r="F10" s="3" t="n">
        <v>11050</v>
      </c>
      <c r="G10" s="3" t="s">
        <v>20</v>
      </c>
      <c r="H10" s="3" t="n">
        <f aca="false">IF(E10="active",1,0)</f>
        <v>1</v>
      </c>
      <c r="I10" s="3" t="n">
        <f aca="false">H10*D10</f>
        <v>5380</v>
      </c>
      <c r="J10" s="3" t="n">
        <f aca="false">H10*F10*12</f>
        <v>132600</v>
      </c>
      <c r="K10" s="3" t="n">
        <v>11050</v>
      </c>
    </row>
    <row r="11" customFormat="false" ht="30" hidden="false" customHeight="true" outlineLevel="0" collapsed="false">
      <c r="A11" s="3" t="s">
        <v>28</v>
      </c>
      <c r="B11" s="3" t="s">
        <v>18</v>
      </c>
      <c r="C11" s="3" t="s">
        <v>19</v>
      </c>
      <c r="D11" s="3" t="n">
        <v>5500</v>
      </c>
      <c r="E11" s="3" t="s">
        <v>15</v>
      </c>
      <c r="F11" s="3" t="n">
        <v>11200</v>
      </c>
      <c r="G11" s="3" t="s">
        <v>20</v>
      </c>
      <c r="H11" s="3" t="n">
        <f aca="false">IF(E11="active",1,0)</f>
        <v>1</v>
      </c>
      <c r="I11" s="3" t="n">
        <f aca="false">H11*D11</f>
        <v>5500</v>
      </c>
      <c r="J11" s="3" t="n">
        <f aca="false">H11*F11*12</f>
        <v>134400</v>
      </c>
      <c r="K11" s="3" t="n">
        <v>11200</v>
      </c>
    </row>
    <row r="12" customFormat="false" ht="30" hidden="false" customHeight="true" outlineLevel="0" collapsed="false">
      <c r="A12" s="3" t="s">
        <v>29</v>
      </c>
      <c r="B12" s="3" t="s">
        <v>22</v>
      </c>
      <c r="C12" s="3" t="s">
        <v>23</v>
      </c>
      <c r="D12" s="3" t="n">
        <v>5710</v>
      </c>
      <c r="E12" s="3" t="s">
        <v>15</v>
      </c>
      <c r="F12" s="3" t="n">
        <v>11475</v>
      </c>
      <c r="G12" s="3" t="s">
        <v>20</v>
      </c>
      <c r="H12" s="3" t="n">
        <f aca="false">IF(E12="active",1,0)</f>
        <v>1</v>
      </c>
      <c r="I12" s="3" t="n">
        <f aca="false">H12*D12</f>
        <v>5710</v>
      </c>
      <c r="J12" s="3" t="n">
        <f aca="false">H12*F12*12</f>
        <v>137700</v>
      </c>
      <c r="K12" s="3" t="n">
        <v>11475</v>
      </c>
    </row>
    <row r="13" customFormat="false" ht="30" hidden="false" customHeight="true" outlineLevel="0" collapsed="false">
      <c r="A13" s="3" t="s">
        <v>30</v>
      </c>
      <c r="B13" s="3" t="s">
        <v>13</v>
      </c>
      <c r="C13" s="3" t="s">
        <v>14</v>
      </c>
      <c r="D13" s="3" t="n">
        <v>5380</v>
      </c>
      <c r="E13" s="3" t="s">
        <v>15</v>
      </c>
      <c r="F13" s="3" t="n">
        <v>11275</v>
      </c>
      <c r="G13" s="3" t="s">
        <v>20</v>
      </c>
      <c r="H13" s="3" t="n">
        <f aca="false">IF(E13="active",1,0)</f>
        <v>1</v>
      </c>
      <c r="I13" s="3" t="n">
        <f aca="false">H13*D13</f>
        <v>5380</v>
      </c>
      <c r="J13" s="3" t="n">
        <f aca="false">H13*F13*12</f>
        <v>135300</v>
      </c>
      <c r="K13" s="3" t="n">
        <v>11050</v>
      </c>
    </row>
    <row r="14" customFormat="false" ht="30" hidden="false" customHeight="true" outlineLevel="0" collapsed="false">
      <c r="A14" s="3" t="s">
        <v>31</v>
      </c>
      <c r="B14" s="3" t="s">
        <v>18</v>
      </c>
      <c r="C14" s="3" t="s">
        <v>19</v>
      </c>
      <c r="D14" s="3" t="n">
        <v>5500</v>
      </c>
      <c r="E14" s="3" t="s">
        <v>32</v>
      </c>
      <c r="F14" s="3" t="n">
        <v>11200</v>
      </c>
      <c r="G14" s="3" t="s">
        <v>20</v>
      </c>
      <c r="H14" s="3" t="n">
        <f aca="false">IF(E14="active",1,0)</f>
        <v>0</v>
      </c>
      <c r="I14" s="3" t="n">
        <f aca="false">H14*D14</f>
        <v>0</v>
      </c>
      <c r="J14" s="3" t="n">
        <f aca="false">H14*F14*12</f>
        <v>0</v>
      </c>
      <c r="K14" s="3" t="n">
        <v>11200</v>
      </c>
    </row>
    <row r="15" customFormat="false" ht="30" hidden="false" customHeight="true" outlineLevel="0" collapsed="false">
      <c r="A15" s="3" t="s">
        <v>33</v>
      </c>
      <c r="B15" s="3" t="s">
        <v>22</v>
      </c>
      <c r="C15" s="3" t="s">
        <v>23</v>
      </c>
      <c r="D15" s="3" t="n">
        <v>5710</v>
      </c>
      <c r="E15" s="3" t="s">
        <v>32</v>
      </c>
      <c r="F15" s="3" t="n">
        <v>11475</v>
      </c>
      <c r="G15" s="3" t="s">
        <v>20</v>
      </c>
      <c r="H15" s="3" t="n">
        <f aca="false">IF(E15="active",1,0)</f>
        <v>0</v>
      </c>
      <c r="I15" s="3" t="n">
        <f aca="false">H15*D15</f>
        <v>0</v>
      </c>
      <c r="J15" s="3" t="n">
        <f aca="false">H15*F15*12</f>
        <v>0</v>
      </c>
      <c r="K15" s="3" t="n">
        <v>11475</v>
      </c>
    </row>
    <row r="16" customFormat="false" ht="30" hidden="false" customHeight="true" outlineLevel="0" collapsed="false">
      <c r="A16" s="4" t="s">
        <v>34</v>
      </c>
      <c r="D16" s="4" t="n">
        <f aca="false">SUM(D4:D15)</f>
        <v>66360</v>
      </c>
      <c r="F16" s="4" t="n">
        <f aca="false">SUM(F4:F15)</f>
        <v>135125</v>
      </c>
      <c r="H16" s="4" t="n">
        <f aca="false">SUM(H4:H15)</f>
        <v>10</v>
      </c>
      <c r="I16" s="4" t="n">
        <f aca="false">SUM(I4:I15)</f>
        <v>55150</v>
      </c>
      <c r="J16" s="4" t="n">
        <f aca="false">SUM(J4:J15)</f>
        <v>1349400</v>
      </c>
      <c r="K16" s="4" t="n">
        <f aca="false">SUM(K4:K15)</f>
        <v>134900</v>
      </c>
    </row>
    <row r="18" customFormat="false" ht="30" hidden="false" customHeight="true" outlineLevel="0" collapsed="false">
      <c r="A18" s="2" t="s">
        <v>35</v>
      </c>
    </row>
    <row r="19" customFormat="false" ht="30" hidden="false" customHeight="true" outlineLevel="0" collapsed="false">
      <c r="A19" s="3" t="s">
        <v>36</v>
      </c>
      <c r="B19" s="3" t="n">
        <f aca="false">COUNTA(A4:A15)</f>
        <v>12</v>
      </c>
    </row>
    <row r="20" customFormat="false" ht="30" hidden="false" customHeight="true" outlineLevel="0" collapsed="false">
      <c r="A20" s="3" t="s">
        <v>37</v>
      </c>
      <c r="B20" s="3" t="n">
        <f aca="false">COUNTIF(E4:E15,"active")</f>
        <v>10</v>
      </c>
    </row>
    <row r="21" customFormat="false" ht="30" hidden="false" customHeight="true" outlineLevel="0" collapsed="false">
      <c r="A21" s="3" t="s">
        <v>38</v>
      </c>
      <c r="B21" s="3" t="n">
        <f aca="false">COUNTIF(E4:E15,"pending")</f>
        <v>0</v>
      </c>
    </row>
    <row r="22" customFormat="false" ht="30" hidden="false" customHeight="true" outlineLevel="0" collapsed="false">
      <c r="A22" s="3" t="s">
        <v>39</v>
      </c>
      <c r="B22" s="3" t="n">
        <f aca="false">COUNTIF(E4:E15,"vacant")</f>
        <v>2</v>
      </c>
    </row>
    <row r="23" customFormat="false" ht="30" hidden="false" customHeight="true" outlineLevel="0" collapsed="false">
      <c r="A23" s="3" t="s">
        <v>40</v>
      </c>
      <c r="B23" s="3" t="n">
        <f aca="false">D16</f>
        <v>66360</v>
      </c>
    </row>
    <row r="24" customFormat="false" ht="30" hidden="false" customHeight="true" outlineLevel="0" collapsed="false">
      <c r="A24" s="3" t="s">
        <v>41</v>
      </c>
      <c r="B24" s="3" t="n">
        <f aca="false">I16</f>
        <v>55150</v>
      </c>
    </row>
    <row r="25" customFormat="false" ht="30" hidden="false" customHeight="true" outlineLevel="0" collapsed="false">
      <c r="A25" s="3" t="s">
        <v>42</v>
      </c>
      <c r="B25" s="5" t="n">
        <f aca="false">B20/B19</f>
        <v>0.833333333333333</v>
      </c>
    </row>
    <row r="26" customFormat="false" ht="30" hidden="false" customHeight="true" outlineLevel="0" collapsed="false">
      <c r="A26" s="3" t="s">
        <v>43</v>
      </c>
      <c r="B26" s="5" t="n">
        <f aca="false">B24/B23</f>
        <v>0.831072935503315</v>
      </c>
    </row>
    <row r="27" customFormat="false" ht="30" hidden="false" customHeight="true" outlineLevel="0" collapsed="false">
      <c r="A27" s="3" t="s">
        <v>44</v>
      </c>
      <c r="B27" s="6" t="n">
        <f aca="false">J16</f>
        <v>1349400</v>
      </c>
    </row>
    <row r="28" customFormat="false" ht="30" hidden="false" customHeight="true" outlineLevel="0" collapsed="false">
      <c r="A28" s="3" t="s">
        <v>45</v>
      </c>
      <c r="B28" s="6" t="n">
        <f aca="false">F16</f>
        <v>135125</v>
      </c>
    </row>
    <row r="29" customFormat="false" ht="30" hidden="false" customHeight="true" outlineLevel="0" collapsed="false">
      <c r="A29" s="3" t="s">
        <v>46</v>
      </c>
      <c r="B29" s="6" t="n">
        <f aca="false">F16*12</f>
        <v>1621500</v>
      </c>
    </row>
    <row r="30" customFormat="false" ht="30" hidden="false" customHeight="true" outlineLevel="0" collapsed="false">
      <c r="A30" s="3" t="s">
        <v>47</v>
      </c>
      <c r="B30" s="6" t="n">
        <f aca="false">F4</f>
        <v>11050</v>
      </c>
    </row>
    <row r="31" customFormat="false" ht="30" hidden="false" customHeight="true" outlineLevel="0" collapsed="false">
      <c r="A31" s="3" t="s">
        <v>48</v>
      </c>
      <c r="B31" s="6" t="n">
        <f aca="false">F13-K13</f>
        <v>225</v>
      </c>
    </row>
    <row r="33" customFormat="false" ht="30" hidden="false" customHeight="true" outlineLevel="0" collapsed="false">
      <c r="A33" s="2" t="s">
        <v>49</v>
      </c>
    </row>
    <row r="34" customFormat="false" ht="30" hidden="false" customHeight="true" outlineLevel="0" collapsed="false">
      <c r="A34" s="2" t="s">
        <v>3</v>
      </c>
      <c r="B34" s="2" t="s">
        <v>50</v>
      </c>
      <c r="C34" s="2" t="s">
        <v>51</v>
      </c>
      <c r="D34" s="2" t="s">
        <v>4</v>
      </c>
    </row>
    <row r="35" customFormat="false" ht="30" hidden="false" customHeight="true" outlineLevel="0" collapsed="false">
      <c r="A35" s="3" t="s">
        <v>14</v>
      </c>
      <c r="B35" s="3" t="n">
        <f aca="false">COUNTIF($C$4:$C$15,"A")</f>
        <v>4</v>
      </c>
      <c r="C35" s="3" t="n">
        <f aca="false">SUMIF($C$4:$C$15,"A",$H$4:$H$15)</f>
        <v>4</v>
      </c>
      <c r="D35" s="3" t="n">
        <f aca="false">SUMIF($C$4:$C$15,"A",$D$4:$D$15)</f>
        <v>21520</v>
      </c>
    </row>
    <row r="36" customFormat="false" ht="30" hidden="false" customHeight="true" outlineLevel="0" collapsed="false">
      <c r="A36" s="3" t="s">
        <v>19</v>
      </c>
      <c r="B36" s="3" t="n">
        <f aca="false">COUNTIF($C$4:$C$15,"B")</f>
        <v>4</v>
      </c>
      <c r="C36" s="3" t="n">
        <f aca="false">SUMIF($C$4:$C$15,"B",$H$4:$H$15)</f>
        <v>3</v>
      </c>
      <c r="D36" s="3" t="n">
        <f aca="false">SUMIF($C$4:$C$15,"B",$D$4:$D$15)</f>
        <v>22000</v>
      </c>
    </row>
    <row r="37" customFormat="false" ht="30" hidden="false" customHeight="true" outlineLevel="0" collapsed="false">
      <c r="A37" s="3" t="s">
        <v>23</v>
      </c>
      <c r="B37" s="3" t="n">
        <f aca="false">COUNTIF($C$4:$C$15,"C")</f>
        <v>4</v>
      </c>
      <c r="C37" s="3" t="n">
        <f aca="false">SUMIF($C$4:$C$15,"C",$H$4:$H$15)</f>
        <v>3</v>
      </c>
      <c r="D37" s="3" t="n">
        <f aca="false">SUMIF($C$4:$C$15,"C",$D$4:$D$15)</f>
        <v>22840</v>
      </c>
    </row>
    <row r="39" customFormat="false" ht="30" hidden="false" customHeight="true" outlineLevel="0" collapsed="false">
      <c r="A39" s="3" t="s">
        <v>52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44"/>
  </cols>
  <sheetData>
    <row r="1" customFormat="false" ht="30" hidden="false" customHeight="true" outlineLevel="0" collapsed="false">
      <c r="A1" s="1" t="s">
        <v>53</v>
      </c>
    </row>
    <row r="3" customFormat="false" ht="30" hidden="false" customHeight="true" outlineLevel="0" collapsed="false">
      <c r="A3" s="2" t="s">
        <v>54</v>
      </c>
      <c r="B3" s="2" t="s">
        <v>55</v>
      </c>
      <c r="C3" s="2" t="s">
        <v>56</v>
      </c>
    </row>
    <row r="4" customFormat="false" ht="30" hidden="false" customHeight="true" outlineLevel="0" collapsed="false">
      <c r="A4" s="3" t="s">
        <v>57</v>
      </c>
      <c r="B4" s="7" t="n">
        <v>1621500</v>
      </c>
      <c r="C4" s="3" t="s">
        <v>58</v>
      </c>
    </row>
    <row r="5" customFormat="false" ht="30" hidden="false" customHeight="true" outlineLevel="0" collapsed="false">
      <c r="A5" s="3" t="s">
        <v>59</v>
      </c>
      <c r="B5" s="7" t="n">
        <v>4200</v>
      </c>
      <c r="C5" s="3" t="s">
        <v>60</v>
      </c>
    </row>
    <row r="6" customFormat="false" ht="30" hidden="false" customHeight="true" outlineLevel="0" collapsed="false">
      <c r="A6" s="3" t="s">
        <v>61</v>
      </c>
      <c r="B6" s="8" t="n">
        <v>0.05</v>
      </c>
      <c r="C6" s="3" t="s">
        <v>60</v>
      </c>
    </row>
    <row r="7" customFormat="false" ht="30" hidden="false" customHeight="true" outlineLevel="0" collapsed="false">
      <c r="A7" s="3" t="s">
        <v>62</v>
      </c>
      <c r="B7" s="9" t="n">
        <v>0.0775</v>
      </c>
      <c r="C7" s="3" t="s">
        <v>63</v>
      </c>
    </row>
    <row r="8" customFormat="false" ht="30" hidden="false" customHeight="true" outlineLevel="0" collapsed="false">
      <c r="A8" s="3" t="s">
        <v>64</v>
      </c>
      <c r="B8" s="9" t="n">
        <v>0.085</v>
      </c>
      <c r="C8" s="3" t="s">
        <v>65</v>
      </c>
    </row>
    <row r="9" customFormat="false" ht="30" hidden="false" customHeight="true" outlineLevel="0" collapsed="false">
      <c r="A9" s="3" t="s">
        <v>66</v>
      </c>
      <c r="B9" s="9" t="n">
        <v>0.0675</v>
      </c>
      <c r="C9" s="3" t="s">
        <v>60</v>
      </c>
    </row>
    <row r="10" customFormat="false" ht="30" hidden="false" customHeight="true" outlineLevel="0" collapsed="false">
      <c r="A10" s="3" t="s">
        <v>67</v>
      </c>
      <c r="B10" s="9" t="n">
        <v>0.06</v>
      </c>
      <c r="C10" s="3" t="s">
        <v>60</v>
      </c>
    </row>
    <row r="11" customFormat="false" ht="30" hidden="false" customHeight="true" outlineLevel="0" collapsed="false">
      <c r="A11" s="3" t="s">
        <v>68</v>
      </c>
      <c r="B11" s="10" t="n">
        <v>30</v>
      </c>
      <c r="C11" s="3" t="s">
        <v>60</v>
      </c>
    </row>
    <row r="12" customFormat="false" ht="30" hidden="false" customHeight="true" outlineLevel="0" collapsed="false">
      <c r="A12" s="3" t="s">
        <v>69</v>
      </c>
      <c r="B12" s="8" t="n">
        <v>0.6</v>
      </c>
      <c r="C12" s="3" t="s">
        <v>60</v>
      </c>
    </row>
    <row r="13" customFormat="false" ht="30" hidden="false" customHeight="true" outlineLevel="0" collapsed="false">
      <c r="A13" s="3" t="s">
        <v>70</v>
      </c>
      <c r="B13" s="11" t="n">
        <v>1.25</v>
      </c>
      <c r="C13" s="3" t="s">
        <v>60</v>
      </c>
    </row>
    <row r="14" customFormat="false" ht="30" hidden="false" customHeight="true" outlineLevel="0" collapsed="false">
      <c r="A14" s="3" t="s">
        <v>71</v>
      </c>
      <c r="B14" s="8" t="n">
        <v>0.09</v>
      </c>
      <c r="C14" s="3" t="s">
        <v>60</v>
      </c>
    </row>
    <row r="15" customFormat="false" ht="30" hidden="false" customHeight="true" outlineLevel="0" collapsed="false">
      <c r="A15" s="3" t="s">
        <v>72</v>
      </c>
      <c r="B15" s="3" t="n">
        <f aca="false">'Rent Roll'!B19</f>
        <v>12</v>
      </c>
      <c r="C15" s="3" t="s">
        <v>73</v>
      </c>
    </row>
    <row r="16" customFormat="false" ht="30" hidden="false" customHeight="true" outlineLevel="0" collapsed="false">
      <c r="A16" s="3" t="s">
        <v>74</v>
      </c>
      <c r="B16" s="7" t="n">
        <v>169974</v>
      </c>
      <c r="C16" s="3" t="s">
        <v>75</v>
      </c>
    </row>
    <row r="17" customFormat="false" ht="30" hidden="false" customHeight="true" outlineLevel="0" collapsed="false">
      <c r="A17" s="3" t="s">
        <v>76</v>
      </c>
      <c r="B17" s="7" t="n">
        <v>56658</v>
      </c>
      <c r="C17" s="3" t="s">
        <v>75</v>
      </c>
    </row>
    <row r="18" customFormat="false" ht="30" hidden="false" customHeight="true" outlineLevel="0" collapsed="false">
      <c r="A18" s="3" t="s">
        <v>77</v>
      </c>
      <c r="B18" s="7" t="n">
        <v>226632</v>
      </c>
      <c r="C18" s="3" t="s">
        <v>60</v>
      </c>
    </row>
    <row r="19" customFormat="false" ht="30" hidden="false" customHeight="true" outlineLevel="0" collapsed="false">
      <c r="A19" s="3" t="s">
        <v>78</v>
      </c>
      <c r="B19" s="8" t="n">
        <v>0.03</v>
      </c>
      <c r="C19" s="3" t="s">
        <v>60</v>
      </c>
    </row>
    <row r="20" customFormat="false" ht="30" hidden="false" customHeight="true" outlineLevel="0" collapsed="false">
      <c r="A20" s="3" t="s">
        <v>79</v>
      </c>
      <c r="B20" s="7" t="n">
        <v>300</v>
      </c>
      <c r="C20" s="3" t="s">
        <v>60</v>
      </c>
    </row>
    <row r="21" customFormat="false" ht="30" hidden="false" customHeight="true" outlineLevel="0" collapsed="false">
      <c r="A21" s="3" t="s">
        <v>80</v>
      </c>
      <c r="B21" s="8" t="n">
        <v>0.01</v>
      </c>
      <c r="C21" s="3" t="s">
        <v>60</v>
      </c>
    </row>
    <row r="22" customFormat="false" ht="30" hidden="false" customHeight="true" outlineLevel="0" collapsed="false">
      <c r="A22" s="3" t="s">
        <v>81</v>
      </c>
      <c r="B22" s="7" t="n">
        <v>45000</v>
      </c>
      <c r="C22" s="3" t="s">
        <v>60</v>
      </c>
    </row>
    <row r="23" customFormat="false" ht="30" hidden="false" customHeight="true" outlineLevel="0" collapsed="false">
      <c r="A23" s="3" t="s">
        <v>82</v>
      </c>
      <c r="B23" s="7" t="n">
        <v>6500000</v>
      </c>
      <c r="C23" s="3" t="s">
        <v>83</v>
      </c>
    </row>
    <row r="25" customFormat="false" ht="30" hidden="false" customHeight="true" outlineLevel="0" collapsed="false">
      <c r="A25" s="2" t="s">
        <v>84</v>
      </c>
    </row>
    <row r="26" customFormat="false" ht="30" hidden="false" customHeight="true" outlineLevel="0" collapsed="false">
      <c r="A26" s="3" t="s">
        <v>85</v>
      </c>
      <c r="B26" s="6" t="n">
        <f aca="false">B4</f>
        <v>1621500</v>
      </c>
    </row>
    <row r="27" customFormat="false" ht="30" hidden="false" customHeight="true" outlineLevel="0" collapsed="false">
      <c r="A27" s="3" t="s">
        <v>86</v>
      </c>
      <c r="B27" s="6" t="n">
        <f aca="false">B4*B6</f>
        <v>81075</v>
      </c>
    </row>
    <row r="28" customFormat="false" ht="30" hidden="false" customHeight="true" outlineLevel="0" collapsed="false">
      <c r="A28" s="3" t="s">
        <v>87</v>
      </c>
      <c r="B28" s="6" t="n">
        <f aca="false">B5</f>
        <v>4200</v>
      </c>
    </row>
    <row r="29" customFormat="false" ht="30" hidden="false" customHeight="true" outlineLevel="0" collapsed="false">
      <c r="A29" s="3" t="s">
        <v>88</v>
      </c>
      <c r="B29" s="12" t="n">
        <f aca="false">B26-B27+B28</f>
        <v>1544625</v>
      </c>
    </row>
    <row r="30" customFormat="false" ht="30" hidden="false" customHeight="true" outlineLevel="0" collapsed="false">
      <c r="A30" s="3" t="s">
        <v>89</v>
      </c>
      <c r="B30" s="6" t="n">
        <f aca="false">B16</f>
        <v>169974</v>
      </c>
    </row>
    <row r="31" customFormat="false" ht="30" hidden="false" customHeight="true" outlineLevel="0" collapsed="false">
      <c r="A31" s="3" t="s">
        <v>90</v>
      </c>
      <c r="B31" s="6" t="n">
        <f aca="false">B17</f>
        <v>56658</v>
      </c>
    </row>
    <row r="32" customFormat="false" ht="30" hidden="false" customHeight="true" outlineLevel="0" collapsed="false">
      <c r="A32" s="3" t="s">
        <v>91</v>
      </c>
      <c r="B32" s="6" t="n">
        <f aca="false">B18</f>
        <v>226632</v>
      </c>
    </row>
    <row r="33" customFormat="false" ht="30" hidden="false" customHeight="true" outlineLevel="0" collapsed="false">
      <c r="A33" s="3" t="s">
        <v>92</v>
      </c>
      <c r="B33" s="6" t="n">
        <f aca="false">B29*B19</f>
        <v>46338.75</v>
      </c>
    </row>
    <row r="34" customFormat="false" ht="30" hidden="false" customHeight="true" outlineLevel="0" collapsed="false">
      <c r="A34" s="3" t="s">
        <v>93</v>
      </c>
      <c r="B34" s="12" t="n">
        <f aca="false">SUM(B30:B33)</f>
        <v>499602.75</v>
      </c>
    </row>
    <row r="35" customFormat="false" ht="30" hidden="false" customHeight="true" outlineLevel="0" collapsed="false">
      <c r="A35" s="3" t="s">
        <v>94</v>
      </c>
      <c r="B35" s="12" t="n">
        <f aca="false">B29-B34</f>
        <v>1045022.25</v>
      </c>
    </row>
    <row r="36" customFormat="false" ht="30" hidden="false" customHeight="true" outlineLevel="0" collapsed="false">
      <c r="A36" s="3" t="s">
        <v>95</v>
      </c>
      <c r="B36" s="6" t="n">
        <f aca="false">B15*B20</f>
        <v>3600</v>
      </c>
    </row>
    <row r="37" customFormat="false" ht="30" hidden="false" customHeight="true" outlineLevel="0" collapsed="false">
      <c r="A37" s="3" t="s">
        <v>96</v>
      </c>
      <c r="B37" s="12" t="n">
        <f aca="false">B35-B36</f>
        <v>1041422.25</v>
      </c>
    </row>
    <row r="38" customFormat="false" ht="30" hidden="false" customHeight="true" outlineLevel="0" collapsed="false">
      <c r="A38" s="3" t="s">
        <v>97</v>
      </c>
      <c r="B38" s="5" t="n">
        <f aca="false">B34/B29</f>
        <v>0.323445982034474</v>
      </c>
    </row>
    <row r="40" customFormat="false" ht="30" hidden="false" customHeight="true" outlineLevel="0" collapsed="false">
      <c r="A40" s="2" t="s">
        <v>98</v>
      </c>
    </row>
    <row r="41" customFormat="false" ht="30" hidden="false" customHeight="true" outlineLevel="0" collapsed="false">
      <c r="A41" s="3" t="s">
        <v>99</v>
      </c>
      <c r="B41" s="12" t="n">
        <f aca="false">B35/B7</f>
        <v>13484158.0645161</v>
      </c>
    </row>
    <row r="42" customFormat="false" ht="30" hidden="false" customHeight="true" outlineLevel="0" collapsed="false">
      <c r="A42" s="3" t="s">
        <v>100</v>
      </c>
      <c r="B42" s="6" t="n">
        <f aca="false">B41*B12</f>
        <v>8090494.83870968</v>
      </c>
    </row>
    <row r="43" customFormat="false" ht="30" hidden="false" customHeight="true" outlineLevel="0" collapsed="false">
      <c r="A43" s="3" t="s">
        <v>101</v>
      </c>
      <c r="B43" s="6" t="n">
        <f aca="false">B37/B13</f>
        <v>833137.8</v>
      </c>
    </row>
    <row r="44" customFormat="false" ht="30" hidden="false" customHeight="true" outlineLevel="0" collapsed="false">
      <c r="A44" s="3" t="s">
        <v>102</v>
      </c>
      <c r="B44" s="6" t="n">
        <f aca="false">(B43/12)*(1-(1+B8/12)^(-B11*12))/(B8/12)</f>
        <v>9029383.86206427</v>
      </c>
    </row>
    <row r="45" customFormat="false" ht="30" hidden="false" customHeight="true" outlineLevel="0" collapsed="false">
      <c r="A45" s="3" t="s">
        <v>103</v>
      </c>
      <c r="B45" s="6" t="n">
        <f aca="false">B37/B14</f>
        <v>11571358.3333333</v>
      </c>
    </row>
    <row r="46" customFormat="false" ht="30" hidden="false" customHeight="true" outlineLevel="0" collapsed="false">
      <c r="A46" s="3" t="s">
        <v>104</v>
      </c>
      <c r="B46" s="12" t="n">
        <f aca="false">MIN(B42,B44,B45)</f>
        <v>8090494.83870968</v>
      </c>
    </row>
    <row r="47" customFormat="false" ht="30" hidden="false" customHeight="true" outlineLevel="0" collapsed="false">
      <c r="A47" s="3" t="s">
        <v>105</v>
      </c>
      <c r="B47" s="3" t="str">
        <f aca="false">IF(B46=B42,"LTV",IF(B46=B44,"DSCR","Debt yield"))</f>
        <v>LTV</v>
      </c>
    </row>
    <row r="48" customFormat="false" ht="30" hidden="false" customHeight="true" outlineLevel="0" collapsed="false">
      <c r="A48" s="3" t="s">
        <v>106</v>
      </c>
      <c r="B48" s="5" t="n">
        <f aca="false">B46/B41</f>
        <v>0.6</v>
      </c>
    </row>
    <row r="49" customFormat="false" ht="30" hidden="false" customHeight="true" outlineLevel="0" collapsed="false">
      <c r="A49" s="3" t="s">
        <v>107</v>
      </c>
      <c r="B49" s="6" t="n">
        <f aca="false">-PMT(B8/12,B11*12,B46)</f>
        <v>62208.9057035333</v>
      </c>
    </row>
    <row r="50" customFormat="false" ht="30" hidden="false" customHeight="true" outlineLevel="0" collapsed="false">
      <c r="A50" s="3" t="s">
        <v>108</v>
      </c>
      <c r="B50" s="13" t="n">
        <f aca="false">B37/(B49*12)</f>
        <v>1.39506050650672</v>
      </c>
    </row>
    <row r="51" customFormat="false" ht="30" hidden="false" customHeight="true" outlineLevel="0" collapsed="false">
      <c r="A51" s="3" t="s">
        <v>109</v>
      </c>
      <c r="B51" s="5" t="n">
        <f aca="false">B37/B46</f>
        <v>0.128721700064281</v>
      </c>
    </row>
    <row r="53" customFormat="false" ht="30" hidden="false" customHeight="true" outlineLevel="0" collapsed="false">
      <c r="A53" s="2" t="s">
        <v>110</v>
      </c>
    </row>
    <row r="54" customFormat="false" ht="30" hidden="false" customHeight="true" outlineLevel="0" collapsed="false">
      <c r="A54" s="3" t="s">
        <v>111</v>
      </c>
      <c r="B54" s="6" t="n">
        <f aca="false">B46</f>
        <v>8090494.83870968</v>
      </c>
    </row>
    <row r="55" customFormat="false" ht="30" hidden="false" customHeight="true" outlineLevel="0" collapsed="false">
      <c r="A55" s="3" t="s">
        <v>112</v>
      </c>
      <c r="B55" s="6" t="n">
        <f aca="false">B23</f>
        <v>6500000</v>
      </c>
    </row>
    <row r="56" customFormat="false" ht="30" hidden="false" customHeight="true" outlineLevel="0" collapsed="false">
      <c r="A56" s="3" t="s">
        <v>113</v>
      </c>
      <c r="B56" s="6" t="n">
        <f aca="false">B46*B21</f>
        <v>80904.9483870968</v>
      </c>
    </row>
    <row r="57" customFormat="false" ht="30" hidden="false" customHeight="true" outlineLevel="0" collapsed="false">
      <c r="A57" s="3" t="s">
        <v>114</v>
      </c>
      <c r="B57" s="6" t="n">
        <f aca="false">B22</f>
        <v>45000</v>
      </c>
    </row>
    <row r="58" customFormat="false" ht="30" hidden="false" customHeight="true" outlineLevel="0" collapsed="false">
      <c r="A58" s="3" t="s">
        <v>115</v>
      </c>
      <c r="B58" s="12" t="n">
        <f aca="false">SUM(B55:B57)</f>
        <v>6625904.9483871</v>
      </c>
    </row>
    <row r="59" customFormat="false" ht="30" hidden="false" customHeight="true" outlineLevel="0" collapsed="false">
      <c r="A59" s="3" t="s">
        <v>116</v>
      </c>
      <c r="B59" s="12" t="n">
        <f aca="false">B54-B58</f>
        <v>1464589.89032258</v>
      </c>
    </row>
    <row r="61" customFormat="false" ht="30" hidden="false" customHeight="true" outlineLevel="0" collapsed="false">
      <c r="A61" s="3" t="s">
        <v>117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34"/>
  </cols>
  <sheetData>
    <row r="1" customFormat="false" ht="30" hidden="false" customHeight="true" outlineLevel="0" collapsed="false">
      <c r="A1" s="1" t="s">
        <v>118</v>
      </c>
    </row>
    <row r="3" customFormat="false" ht="30" hidden="false" customHeight="true" outlineLevel="0" collapsed="false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</row>
    <row r="4" customFormat="false" ht="30" hidden="false" customHeight="true" outlineLevel="0" collapsed="false">
      <c r="A4" s="3" t="s">
        <v>124</v>
      </c>
      <c r="B4" s="3" t="s">
        <v>125</v>
      </c>
      <c r="C4" s="3" t="s">
        <v>126</v>
      </c>
      <c r="E4" s="3" t="s">
        <v>127</v>
      </c>
    </row>
    <row r="5" customFormat="false" ht="30" hidden="false" customHeight="true" outlineLevel="0" collapsed="false">
      <c r="A5" s="3" t="s">
        <v>128</v>
      </c>
      <c r="B5" s="3" t="n">
        <v>9</v>
      </c>
      <c r="C5" s="3" t="n">
        <f aca="false">'Rent Roll'!B20</f>
        <v>10</v>
      </c>
      <c r="D5" s="3" t="n">
        <f aca="false">C5-B5</f>
        <v>1</v>
      </c>
      <c r="E5" s="3" t="s">
        <v>129</v>
      </c>
    </row>
    <row r="6" customFormat="false" ht="30" hidden="false" customHeight="true" outlineLevel="0" collapsed="false">
      <c r="A6" s="3" t="s">
        <v>130</v>
      </c>
      <c r="B6" s="3" t="n">
        <v>1</v>
      </c>
      <c r="C6" s="3" t="n">
        <f aca="false">'Rent Roll'!B21</f>
        <v>0</v>
      </c>
      <c r="D6" s="3" t="n">
        <f aca="false">C6-B6</f>
        <v>-1</v>
      </c>
      <c r="E6" s="3" t="s">
        <v>131</v>
      </c>
    </row>
    <row r="7" customFormat="false" ht="30" hidden="false" customHeight="true" outlineLevel="0" collapsed="false">
      <c r="A7" s="3" t="s">
        <v>41</v>
      </c>
      <c r="B7" s="3" t="n">
        <v>49770</v>
      </c>
      <c r="C7" s="3" t="n">
        <f aca="false">'Rent Roll'!B24</f>
        <v>55150</v>
      </c>
      <c r="D7" s="3" t="n">
        <f aca="false">C7-B7</f>
        <v>5380</v>
      </c>
      <c r="E7" s="3" t="s">
        <v>132</v>
      </c>
    </row>
    <row r="8" customFormat="false" ht="30" hidden="false" customHeight="true" outlineLevel="0" collapsed="false">
      <c r="A8" s="3" t="s">
        <v>133</v>
      </c>
      <c r="B8" s="6" t="n">
        <v>1214100</v>
      </c>
      <c r="C8" s="6" t="n">
        <f aca="false">'Rent Roll'!B27</f>
        <v>1349400</v>
      </c>
      <c r="D8" s="6" t="n">
        <f aca="false">C8-B8</f>
        <v>135300</v>
      </c>
      <c r="E8" s="3" t="s">
        <v>134</v>
      </c>
    </row>
    <row r="9" customFormat="false" ht="30" hidden="false" customHeight="true" outlineLevel="0" collapsed="false">
      <c r="A9" s="3" t="s">
        <v>85</v>
      </c>
      <c r="B9" s="6" t="n">
        <v>1618800</v>
      </c>
      <c r="C9" s="6" t="n">
        <f aca="false">UW!B4</f>
        <v>1621500</v>
      </c>
      <c r="D9" s="6" t="n">
        <f aca="false">C9-B9</f>
        <v>2700</v>
      </c>
      <c r="E9" s="3" t="s">
        <v>135</v>
      </c>
    </row>
    <row r="10" customFormat="false" ht="30" hidden="false" customHeight="true" outlineLevel="0" collapsed="false">
      <c r="A10" s="3" t="s">
        <v>136</v>
      </c>
      <c r="B10" s="6" t="n">
        <v>1542060</v>
      </c>
      <c r="C10" s="6" t="n">
        <f aca="false">UW!B29</f>
        <v>1544625</v>
      </c>
      <c r="D10" s="6" t="n">
        <f aca="false">C10-B10</f>
        <v>2565</v>
      </c>
      <c r="E10" s="3" t="s">
        <v>137</v>
      </c>
    </row>
    <row r="11" customFormat="false" ht="30" hidden="false" customHeight="true" outlineLevel="0" collapsed="false">
      <c r="A11" s="3" t="s">
        <v>138</v>
      </c>
      <c r="B11" s="6" t="n">
        <v>1042534.2</v>
      </c>
      <c r="C11" s="6" t="n">
        <f aca="false">UW!B35</f>
        <v>1045022.25</v>
      </c>
      <c r="D11" s="6" t="n">
        <f aca="false">C11-B11</f>
        <v>2488.05000000005</v>
      </c>
      <c r="E11" s="3" t="s">
        <v>139</v>
      </c>
    </row>
    <row r="12" customFormat="false" ht="30" hidden="false" customHeight="true" outlineLevel="0" collapsed="false">
      <c r="A12" s="3" t="s">
        <v>140</v>
      </c>
      <c r="B12" s="6" t="n">
        <v>1038934.2</v>
      </c>
      <c r="C12" s="6" t="n">
        <f aca="false">UW!B37</f>
        <v>1041422.25</v>
      </c>
      <c r="D12" s="6" t="n">
        <f aca="false">C12-B12</f>
        <v>2488.05000000005</v>
      </c>
      <c r="E12" s="3" t="s">
        <v>141</v>
      </c>
    </row>
    <row r="13" customFormat="false" ht="30" hidden="false" customHeight="true" outlineLevel="0" collapsed="false">
      <c r="A13" s="3" t="s">
        <v>142</v>
      </c>
      <c r="B13" s="14" t="n">
        <v>0.075</v>
      </c>
      <c r="C13" s="14" t="n">
        <f aca="false">UW!B7</f>
        <v>0.0775</v>
      </c>
      <c r="D13" s="14" t="n">
        <f aca="false">C13-B13</f>
        <v>0.0025</v>
      </c>
      <c r="E13" s="3" t="s">
        <v>143</v>
      </c>
    </row>
    <row r="14" customFormat="false" ht="30" hidden="false" customHeight="true" outlineLevel="0" collapsed="false">
      <c r="A14" s="3" t="s">
        <v>144</v>
      </c>
      <c r="B14" s="14" t="n">
        <v>0.0675</v>
      </c>
      <c r="C14" s="14" t="n">
        <f aca="false">UW!B8</f>
        <v>0.085</v>
      </c>
      <c r="D14" s="14" t="n">
        <f aca="false">C14-B14</f>
        <v>0.0175</v>
      </c>
      <c r="E14" s="3" t="s">
        <v>145</v>
      </c>
    </row>
    <row r="15" customFormat="false" ht="30" hidden="false" customHeight="true" outlineLevel="0" collapsed="false">
      <c r="A15" s="3" t="s">
        <v>146</v>
      </c>
      <c r="B15" s="6" t="n">
        <v>13900456</v>
      </c>
      <c r="C15" s="6" t="n">
        <f aca="false">UW!B41</f>
        <v>13484158.0645161</v>
      </c>
      <c r="D15" s="6" t="n">
        <f aca="false">C15-B15</f>
        <v>-416297.935483871</v>
      </c>
      <c r="E15" s="3" t="s">
        <v>147</v>
      </c>
    </row>
    <row r="16" customFormat="false" ht="30" hidden="false" customHeight="true" outlineLevel="0" collapsed="false">
      <c r="A16" s="3" t="s">
        <v>148</v>
      </c>
      <c r="B16" s="6" t="n">
        <v>8340273.6</v>
      </c>
      <c r="C16" s="6" t="n">
        <f aca="false">UW!B46</f>
        <v>8090494.83870968</v>
      </c>
      <c r="D16" s="6" t="n">
        <f aca="false">C16-B16</f>
        <v>-249778.761290323</v>
      </c>
      <c r="E16" s="3" t="s">
        <v>149</v>
      </c>
    </row>
    <row r="17" customFormat="false" ht="30" hidden="false" customHeight="true" outlineLevel="0" collapsed="false">
      <c r="A17" s="3" t="s">
        <v>150</v>
      </c>
      <c r="B17" s="6" t="n">
        <v>1711870.86</v>
      </c>
      <c r="C17" s="6" t="n">
        <f aca="false">UW!B59</f>
        <v>1464589.89032258</v>
      </c>
      <c r="D17" s="6" t="n">
        <f aca="false">C17-B17</f>
        <v>-247280.96967742</v>
      </c>
      <c r="E17" s="3" t="s">
        <v>151</v>
      </c>
    </row>
    <row r="19" customFormat="false" ht="30" hidden="false" customHeight="true" outlineLevel="0" collapsed="false">
      <c r="A19" s="3" t="s">
        <v>152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38"/>
  </cols>
  <sheetData>
    <row r="1" customFormat="false" ht="30" hidden="false" customHeight="true" outlineLevel="0" collapsed="false">
      <c r="A1" s="1" t="s">
        <v>153</v>
      </c>
    </row>
    <row r="3" customFormat="false" ht="30" hidden="false" customHeight="true" outlineLevel="0" collapsed="false">
      <c r="A3" s="2" t="s">
        <v>154</v>
      </c>
      <c r="B3" s="2" t="s">
        <v>155</v>
      </c>
      <c r="C3" s="2" t="s">
        <v>156</v>
      </c>
      <c r="D3" s="2" t="s">
        <v>157</v>
      </c>
    </row>
    <row r="4" customFormat="false" ht="30" hidden="false" customHeight="true" outlineLevel="0" collapsed="false">
      <c r="A4" s="3" t="s">
        <v>158</v>
      </c>
      <c r="B4" s="6" t="n">
        <v>1456920</v>
      </c>
      <c r="C4" s="6" t="n">
        <f aca="false">UW!B29</f>
        <v>1544625</v>
      </c>
      <c r="D4" s="3" t="s">
        <v>159</v>
      </c>
    </row>
    <row r="5" customFormat="false" ht="30" hidden="false" customHeight="true" outlineLevel="0" collapsed="false">
      <c r="A5" s="3" t="s">
        <v>74</v>
      </c>
      <c r="B5" s="6" t="n">
        <v>169974</v>
      </c>
      <c r="C5" s="6" t="n">
        <f aca="false">UW!B30</f>
        <v>169974</v>
      </c>
    </row>
    <row r="6" customFormat="false" ht="30" hidden="false" customHeight="true" outlineLevel="0" collapsed="false">
      <c r="A6" s="3" t="s">
        <v>160</v>
      </c>
      <c r="B6" s="6" t="n">
        <v>56658</v>
      </c>
      <c r="C6" s="6" t="n">
        <f aca="false">UW!B31</f>
        <v>56658</v>
      </c>
    </row>
    <row r="7" customFormat="false" ht="30" hidden="false" customHeight="true" outlineLevel="0" collapsed="false">
      <c r="A7" s="3" t="s">
        <v>77</v>
      </c>
      <c r="B7" s="6" t="n">
        <v>226632</v>
      </c>
      <c r="C7" s="6" t="n">
        <f aca="false">UW!B32</f>
        <v>226632</v>
      </c>
    </row>
    <row r="8" customFormat="false" ht="30" hidden="false" customHeight="true" outlineLevel="0" collapsed="false">
      <c r="A8" s="3" t="s">
        <v>161</v>
      </c>
      <c r="B8" s="6" t="n">
        <v>0</v>
      </c>
      <c r="C8" s="6" t="n">
        <v>0</v>
      </c>
      <c r="D8" s="3" t="s">
        <v>162</v>
      </c>
    </row>
    <row r="9" customFormat="false" ht="30" hidden="false" customHeight="true" outlineLevel="0" collapsed="false">
      <c r="A9" s="3" t="s">
        <v>92</v>
      </c>
      <c r="C9" s="6" t="n">
        <f aca="false">UW!B33</f>
        <v>46338.75</v>
      </c>
      <c r="D9" s="3" t="s">
        <v>163</v>
      </c>
    </row>
    <row r="10" customFormat="false" ht="30" hidden="false" customHeight="true" outlineLevel="0" collapsed="false">
      <c r="A10" s="3" t="s">
        <v>164</v>
      </c>
      <c r="B10" s="12" t="n">
        <f aca="false">SUM(B5:B8)</f>
        <v>453264</v>
      </c>
      <c r="C10" s="12" t="n">
        <f aca="false">UW!B34</f>
        <v>499602.75</v>
      </c>
    </row>
    <row r="11" customFormat="false" ht="30" hidden="false" customHeight="true" outlineLevel="0" collapsed="false">
      <c r="A11" s="3" t="s">
        <v>165</v>
      </c>
      <c r="B11" s="12" t="n">
        <f aca="false">B4-B10</f>
        <v>1003656</v>
      </c>
      <c r="C11" s="12" t="n">
        <f aca="false">UW!B35</f>
        <v>1045022.25</v>
      </c>
    </row>
    <row r="12" customFormat="false" ht="30" hidden="false" customHeight="true" outlineLevel="0" collapsed="false">
      <c r="A12" s="3" t="s">
        <v>166</v>
      </c>
      <c r="B12" s="12" t="n">
        <v>1003656</v>
      </c>
      <c r="D12" s="3" t="s">
        <v>167</v>
      </c>
    </row>
    <row r="13" customFormat="false" ht="30" hidden="false" customHeight="true" outlineLevel="0" collapsed="false">
      <c r="A13" s="3" t="s">
        <v>95</v>
      </c>
      <c r="C13" s="6" t="n">
        <f aca="false">UW!B36</f>
        <v>3600</v>
      </c>
    </row>
    <row r="14" customFormat="false" ht="30" hidden="false" customHeight="true" outlineLevel="0" collapsed="false">
      <c r="A14" s="3" t="s">
        <v>168</v>
      </c>
      <c r="C14" s="12" t="n">
        <f aca="false">UW!B37</f>
        <v>1041422.25</v>
      </c>
    </row>
    <row r="16" customFormat="false" ht="30" hidden="false" customHeight="true" outlineLevel="0" collapsed="false">
      <c r="A16" s="3" t="s">
        <v>169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6"/>
  </cols>
  <sheetData>
    <row r="1" customFormat="false" ht="30" hidden="false" customHeight="true" outlineLevel="0" collapsed="false">
      <c r="A1" s="1" t="s">
        <v>170</v>
      </c>
    </row>
    <row r="2" customFormat="false" ht="30" hidden="false" customHeight="true" outlineLevel="0" collapsed="false">
      <c r="A2" s="2" t="s">
        <v>171</v>
      </c>
      <c r="B2" s="15" t="n">
        <v>0.0725</v>
      </c>
      <c r="C2" s="15" t="n">
        <v>0.075</v>
      </c>
      <c r="D2" s="15" t="n">
        <v>0.0775</v>
      </c>
      <c r="E2" s="15" t="n">
        <v>0.0825</v>
      </c>
    </row>
    <row r="3" customFormat="false" ht="30" hidden="false" customHeight="true" outlineLevel="0" collapsed="false">
      <c r="A3" s="15" t="n">
        <v>0.0675</v>
      </c>
      <c r="B3" s="6" t="n">
        <f aca="false">MIN(UW!$B$35/B$2*UW!$B$12,UW!$B$37/UW!$B$14,(UW!$B$37/UW!$B$13/12)*(1-(1+$A3/12)^(-UW!$B$11*12))/($A3/12))</f>
        <v>8648460</v>
      </c>
      <c r="C3" s="6" t="n">
        <f aca="false">MIN(UW!$B$35/C$2*UW!$B$12,UW!$B$37/UW!$B$14,(UW!$B$37/UW!$B$13/12)*(1-(1+$A3/12)^(-UW!$B$11*12))/($A3/12))</f>
        <v>8360178</v>
      </c>
      <c r="D3" s="6" t="n">
        <f aca="false">MIN(UW!$B$35/D$2*UW!$B$12,UW!$B$37/UW!$B$14,(UW!$B$37/UW!$B$13/12)*(1-(1+$A3/12)^(-UW!$B$11*12))/($A3/12))</f>
        <v>8090494.83870968</v>
      </c>
      <c r="E3" s="6" t="n">
        <f aca="false">MIN(UW!$B$35/E$2*UW!$B$12,UW!$B$37/UW!$B$14,(UW!$B$37/UW!$B$13/12)*(1-(1+$A3/12)^(-UW!$B$11*12))/($A3/12))</f>
        <v>7600161.81818182</v>
      </c>
    </row>
    <row r="4" customFormat="false" ht="30" hidden="false" customHeight="true" outlineLevel="0" collapsed="false">
      <c r="A4" s="15" t="n">
        <v>0.075</v>
      </c>
      <c r="B4" s="6" t="n">
        <f aca="false">MIN(UW!$B$35/B$2*UW!$B$12,UW!$B$37/UW!$B$14,(UW!$B$37/UW!$B$13/12)*(1-(1+$A4/12)^(-UW!$B$11*12))/($A4/12))</f>
        <v>8648460</v>
      </c>
      <c r="C4" s="6" t="n">
        <f aca="false">MIN(UW!$B$35/C$2*UW!$B$12,UW!$B$37/UW!$B$14,(UW!$B$37/UW!$B$13/12)*(1-(1+$A4/12)^(-UW!$B$11*12))/($A4/12))</f>
        <v>8360178</v>
      </c>
      <c r="D4" s="6" t="n">
        <f aca="false">MIN(UW!$B$35/D$2*UW!$B$12,UW!$B$37/UW!$B$14,(UW!$B$37/UW!$B$13/12)*(1-(1+$A4/12)^(-UW!$B$11*12))/($A4/12))</f>
        <v>8090494.83870968</v>
      </c>
      <c r="E4" s="6" t="n">
        <f aca="false">MIN(UW!$B$35/E$2*UW!$B$12,UW!$B$37/UW!$B$14,(UW!$B$37/UW!$B$13/12)*(1-(1+$A4/12)^(-UW!$B$11*12))/($A4/12))</f>
        <v>7600161.81818182</v>
      </c>
    </row>
    <row r="5" customFormat="false" ht="30" hidden="false" customHeight="true" outlineLevel="0" collapsed="false">
      <c r="A5" s="15" t="n">
        <v>0.0825</v>
      </c>
      <c r="B5" s="6" t="n">
        <f aca="false">MIN(UW!$B$35/B$2*UW!$B$12,UW!$B$37/UW!$B$14,(UW!$B$37/UW!$B$13/12)*(1-(1+$A5/12)^(-UW!$B$11*12))/($A5/12))</f>
        <v>8648460</v>
      </c>
      <c r="C5" s="6" t="n">
        <f aca="false">MIN(UW!$B$35/C$2*UW!$B$12,UW!$B$37/UW!$B$14,(UW!$B$37/UW!$B$13/12)*(1-(1+$A5/12)^(-UW!$B$11*12))/($A5/12))</f>
        <v>8360178</v>
      </c>
      <c r="D5" s="6" t="n">
        <f aca="false">MIN(UW!$B$35/D$2*UW!$B$12,UW!$B$37/UW!$B$14,(UW!$B$37/UW!$B$13/12)*(1-(1+$A5/12)^(-UW!$B$11*12))/($A5/12))</f>
        <v>8090494.83870968</v>
      </c>
      <c r="E5" s="6" t="n">
        <f aca="false">MIN(UW!$B$35/E$2*UW!$B$12,UW!$B$37/UW!$B$14,(UW!$B$37/UW!$B$13/12)*(1-(1+$A5/12)^(-UW!$B$11*12))/($A5/12))</f>
        <v>7600161.81818182</v>
      </c>
    </row>
    <row r="6" customFormat="false" ht="30" hidden="false" customHeight="true" outlineLevel="0" collapsed="false">
      <c r="A6" s="15" t="n">
        <v>0.09</v>
      </c>
      <c r="B6" s="6" t="n">
        <f aca="false">MIN(UW!$B$35/B$2*UW!$B$12,UW!$B$37/UW!$B$14,(UW!$B$37/UW!$B$13/12)*(1-(1+$A6/12)^(-UW!$B$11*12))/($A6/12))</f>
        <v>8628660.01251921</v>
      </c>
      <c r="C6" s="6" t="n">
        <f aca="false">MIN(UW!$B$35/C$2*UW!$B$12,UW!$B$37/UW!$B$14,(UW!$B$37/UW!$B$13/12)*(1-(1+$A6/12)^(-UW!$B$11*12))/($A6/12))</f>
        <v>8360178</v>
      </c>
      <c r="D6" s="6" t="n">
        <f aca="false">MIN(UW!$B$35/D$2*UW!$B$12,UW!$B$37/UW!$B$14,(UW!$B$37/UW!$B$13/12)*(1-(1+$A6/12)^(-UW!$B$11*12))/($A6/12))</f>
        <v>8090494.83870968</v>
      </c>
      <c r="E6" s="6" t="n">
        <f aca="false">MIN(UW!$B$35/E$2*UW!$B$12,UW!$B$37/UW!$B$14,(UW!$B$37/UW!$B$13/12)*(1-(1+$A6/12)^(-UW!$B$11*12))/($A6/12))</f>
        <v>7600161.81818182</v>
      </c>
    </row>
    <row r="8" customFormat="false" ht="30" hidden="false" customHeight="true" outlineLevel="0" collapsed="false">
      <c r="A8" s="3" t="s">
        <v>172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173</v>
      </c>
    </row>
    <row r="2" customFormat="false" ht="30" hidden="false" customHeight="true" outlineLevel="0" collapsed="false">
      <c r="A2" s="2" t="s">
        <v>174</v>
      </c>
      <c r="B2" s="2" t="s">
        <v>175</v>
      </c>
      <c r="C2" s="2" t="s">
        <v>176</v>
      </c>
    </row>
    <row r="3" customFormat="false" ht="30" hidden="false" customHeight="true" outlineLevel="0" collapsed="false">
      <c r="A3" s="3" t="s">
        <v>177</v>
      </c>
      <c r="B3" s="3" t="s">
        <v>178</v>
      </c>
      <c r="C3" s="3" t="s">
        <v>179</v>
      </c>
    </row>
    <row r="4" customFormat="false" ht="30" hidden="false" customHeight="true" outlineLevel="0" collapsed="false">
      <c r="A4" s="3" t="s">
        <v>180</v>
      </c>
      <c r="B4" s="3" t="s">
        <v>181</v>
      </c>
      <c r="C4" s="3" t="s">
        <v>182</v>
      </c>
    </row>
    <row r="5" customFormat="false" ht="30" hidden="false" customHeight="true" outlineLevel="0" collapsed="false">
      <c r="A5" s="3" t="s">
        <v>183</v>
      </c>
      <c r="B5" s="3" t="s">
        <v>178</v>
      </c>
      <c r="C5" s="3" t="s">
        <v>184</v>
      </c>
    </row>
    <row r="6" customFormat="false" ht="30" hidden="false" customHeight="true" outlineLevel="0" collapsed="false">
      <c r="A6" s="3" t="s">
        <v>185</v>
      </c>
      <c r="B6" s="3" t="s">
        <v>178</v>
      </c>
      <c r="C6" s="3" t="s">
        <v>186</v>
      </c>
    </row>
    <row r="7" customFormat="false" ht="30" hidden="false" customHeight="true" outlineLevel="0" collapsed="false">
      <c r="A7" s="3" t="s">
        <v>187</v>
      </c>
      <c r="B7" s="3" t="s">
        <v>181</v>
      </c>
      <c r="C7" s="3" t="s">
        <v>188</v>
      </c>
    </row>
    <row r="8" customFormat="false" ht="30" hidden="false" customHeight="true" outlineLevel="0" collapsed="false">
      <c r="A8" s="3" t="s">
        <v>189</v>
      </c>
      <c r="B8" s="3" t="s">
        <v>181</v>
      </c>
      <c r="C8" s="3" t="s">
        <v>190</v>
      </c>
    </row>
    <row r="9" customFormat="false" ht="30" hidden="false" customHeight="true" outlineLevel="0" collapsed="false">
      <c r="A9" s="3" t="s">
        <v>191</v>
      </c>
      <c r="B9" s="3" t="s">
        <v>181</v>
      </c>
      <c r="C9" s="3" t="s">
        <v>192</v>
      </c>
    </row>
    <row r="10" customFormat="false" ht="30" hidden="false" customHeight="true" outlineLevel="0" collapsed="false">
      <c r="A10" s="3" t="s">
        <v>193</v>
      </c>
      <c r="B10" s="3" t="s">
        <v>181</v>
      </c>
      <c r="C10" s="3" t="s">
        <v>194</v>
      </c>
    </row>
    <row r="11" customFormat="false" ht="30" hidden="false" customHeight="true" outlineLevel="0" collapsed="false">
      <c r="A11" s="3" t="s">
        <v>195</v>
      </c>
      <c r="B11" s="3" t="s">
        <v>181</v>
      </c>
      <c r="C11" s="3" t="s">
        <v>196</v>
      </c>
    </row>
    <row r="12" customFormat="false" ht="30" hidden="false" customHeight="true" outlineLevel="0" collapsed="false">
      <c r="A12" s="3" t="s">
        <v>197</v>
      </c>
      <c r="B12" s="3" t="s">
        <v>181</v>
      </c>
      <c r="C12" s="3" t="s">
        <v>198</v>
      </c>
    </row>
    <row r="13" customFormat="false" ht="30" hidden="false" customHeight="true" outlineLevel="0" collapsed="false">
      <c r="A13" s="3" t="s">
        <v>199</v>
      </c>
      <c r="B13" s="3" t="s">
        <v>181</v>
      </c>
      <c r="C13" s="3" t="s">
        <v>200</v>
      </c>
    </row>
    <row r="14" customFormat="false" ht="30" hidden="false" customHeight="true" outlineLevel="0" collapsed="false">
      <c r="A14" s="3" t="s">
        <v>201</v>
      </c>
      <c r="B14" s="3" t="s">
        <v>202</v>
      </c>
      <c r="C14" s="3" t="s">
        <v>203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2026-09-07T13:26:49Z</dcterms:created>
  <dc:creator>openpyxl</dc:creator>
  <dc:description/>
  <dc:language>en-US</dc:language>
  <cp:lastModifiedBy/>
  <dcterms:modified xsi:type="dcterms:W3CDTF">2026-09-07T14:06:36Z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