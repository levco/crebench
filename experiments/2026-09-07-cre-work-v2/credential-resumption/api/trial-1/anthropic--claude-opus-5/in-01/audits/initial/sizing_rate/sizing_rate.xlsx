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<sst xmlns="http://schemas.openxmlformats.org/spreadsheetml/2006/main" count="191" uniqueCount="158">
  <si>
    <t xml:space="preserve">Falcon Distribution | Underwriting inputs (as of 2026-08-31)</t>
  </si>
  <si>
    <t xml:space="preserve">Original fictional evaluation material; no real transaction.</t>
  </si>
  <si>
    <t xml:space="preserve">Gross potential rent (annual, all suites)</t>
  </si>
  <si>
    <t xml:space="preserve">All-suite certified scheduled monthly rent $116,900 x 12 (rent-roll-certified.xlsx E5:E12)</t>
  </si>
  <si>
    <t xml:space="preserve">Economic loss (vacancy/credit)</t>
  </si>
  <si>
    <t xml:space="preserve">underwriting-instructions.pdf p.1</t>
  </si>
  <si>
    <t xml:space="preserve">Other income per unit/suite (annual)</t>
  </si>
  <si>
    <t xml:space="preserve">Reimbursements already included; not double counted</t>
  </si>
  <si>
    <t xml:space="preserve">Unit/suite count</t>
  </si>
  <si>
    <t xml:space="preserve">Real estate tax expense</t>
  </si>
  <si>
    <t xml:space="preserve">Insurance expense</t>
  </si>
  <si>
    <t xml:space="preserve">Other recurring operating expenses</t>
  </si>
  <si>
    <t xml:space="preserve">Management fee (% of underwritten EGI)</t>
  </si>
  <si>
    <t xml:space="preserve">Replacement reserve per unit/suite</t>
  </si>
  <si>
    <t xml:space="preserve">Capitalization rate (NOI before reserves)</t>
  </si>
  <si>
    <t xml:space="preserve">Sizing rate (greater of note rate and floor)</t>
  </si>
  <si>
    <t xml:space="preserve">Floor 7.0000% exceeds note rate 6.1000%; floor binds</t>
  </si>
  <si>
    <t xml:space="preserve">Note rate (contract)</t>
  </si>
  <si>
    <t xml:space="preserve">Underwriting rate floor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</si>
  <si>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</si>
  <si>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</si>
  <si>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</si>
  <si>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</si>
  <si>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sized loan)</t>
  </si>
  <si>
    <t xml:space="preserve">Closing costs</t>
  </si>
  <si>
    <t xml:space="preserve">Existing loan payoff</t>
  </si>
  <si>
    <t xml:space="preserve">Rate-floor check: greater of note and floor</t>
  </si>
  <si>
    <t xml:space="preserve">Ties to sizing rate input B13</t>
  </si>
  <si>
    <t xml:space="preserve">Certified rent roll as of 2026-08-31 (rent-roll-certified.xlsx)</t>
  </si>
  <si>
    <t xml:space="preserve">Manager group mapping: A = Small suite, B = Standard suite, C = Large suite (manager-cover.pdf p.1)</t>
  </si>
  <si>
    <t xml:space="preserve">Suite</t>
  </si>
  <si>
    <t xml:space="preserve">Unit type</t>
  </si>
  <si>
    <t xml:space="preserve">Group</t>
  </si>
  <si>
    <t xml:space="preserve">Area SF</t>
  </si>
  <si>
    <t xml:space="preserve">Status</t>
  </si>
  <si>
    <t xml:space="preserve">Monthly rent</t>
  </si>
  <si>
    <t xml:space="preserve">Annual rent</t>
  </si>
  <si>
    <t xml:space="preserve">Expiration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</si>
  <si>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</si>
  <si>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</si>
  <si>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</si>
  <si>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</si>
  <si>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</si>
  <si>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</si>
  <si>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</si>
  <si>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</si>
  <si>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</si>
  <si>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</si>
  <si>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</si>
  <si>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</si>
  <si>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</si>
  <si>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</si>
  <si>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</si>
  <si>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</si>
  <si>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</si>
  <si>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</t>
  </si>
  <si>
    <t xml:space="preserve">Total units</t>
  </si>
  <si>
    <t xml:space="preserve">Occupied units (status active)</t>
  </si>
  <si>
    <t xml:space="preserve">Pending units (leased, no possession)</t>
  </si>
  <si>
    <t xml:space="preserve">Vacant units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</si>
  <si>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</si>
  <si>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</si>
  <si>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</si>
  <si>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</si>
  <si>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(active suites)</t>
  </si>
  <si>
    <t xml:space="preserve">Gross potential rent (all suites, annual)</t>
  </si>
  <si>
    <t xml:space="preserve">Units</t>
  </si>
  <si>
    <t xml:space="preserve">Occupied</t>
  </si>
  <si>
    <t xml:space="preserve">A (Small suite)</t>
  </si>
  <si>
    <t xml:space="preserve">B (Standard suite)</t>
  </si>
  <si>
    <t xml:space="preserve">C (Large suite)</t>
  </si>
  <si>
    <t xml:space="preserve">Suite 001 monthly rent per executed lease (lease-001.pdf p.1)</t>
  </si>
  <si>
    <t xml:space="preserve">Active suite expiries within 12 months of 2026-08-31</t>
  </si>
  <si>
    <t xml:space="preserve">Stale archive roll (2026-06-30) rents are superseded; not used.</t>
  </si>
  <si>
    <t xml:space="preserve">Underwritten cash flow (before and after reserves)</t>
  </si>
  <si>
    <t xml:space="preserve">Per underwriting-instructions.pdf p.1</t>
  </si>
  <si>
    <t xml:space="preserve">Gross potential rent (annual)</t>
  </si>
  <si>
    <t xml:space="preserve">Economic loss at 5%</t>
  </si>
  <si>
    <t xml:space="preserve">Other income ($350 per suite)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</si>
  <si>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</si>
  <si>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</si>
  <si>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</si>
  <si>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</si>
  <si>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</si>
  <si>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Underwritten NOI before reserves</t>
  </si>
  <si>
    <t xml:space="preserve">Replacement reserves ($300 per suite)</t>
  </si>
  <si>
    <t xml:space="preserve">Underwritten NCF after reserves</t>
  </si>
  <si>
    <t xml:space="preserve">Capitalization rate</t>
  </si>
  <si>
    <t xml:space="preserve">Capitalization value (NOI before reserves / cap rate)</t>
  </si>
  <si>
    <t xml:space="preserve">Operating expense ratio (share of EGI)</t>
  </si>
  <si>
    <t xml:space="preserve">Historical T-12 comparison (operating-statement.pdf p.1)</t>
  </si>
  <si>
    <t xml:space="preserve">T-12 rental and ancillary collections</t>
  </si>
  <si>
    <t xml:space="preserve">T-12 real estate tax</t>
  </si>
  <si>
    <t xml:space="preserve">T-12 insurance</t>
  </si>
  <si>
    <t xml:space="preserve">T-12 other recurring operating expenses</t>
  </si>
  <si>
    <t xml:space="preserve">Roof replacement booked in repairs (capital)</t>
  </si>
  <si>
    <t xml:space="preserve">Reported T-12 NOI (no management fee or reserves)</t>
  </si>
  <si>
    <t xml:space="preserve">Ties to reported NOI 869,736 on the statement</t>
  </si>
  <si>
    <t xml:space="preserve">Underwritten NOI less reported T-12 NOI</t>
  </si>
  <si>
    <t xml:space="preserve">Debt sizing and sources / uses</t>
  </si>
  <si>
    <t xml:space="preserve">Sized on the greater of note rate and floor; 30-year amortization, monthly pay</t>
  </si>
  <si>
    <t xml:space="preserve">LTV limit (65% of capitalization value)</t>
  </si>
  <si>
    <t xml:space="preserve">Maximum annual debt service at 1.25x DSCR on NCF</t>
  </si>
  <si>
    <t xml:space="preserve">Sizing rate applied</t>
  </si>
  <si>
    <t xml:space="preserve">Annual debt service constant per $1 of loan</t>
  </si>
  <si>
    <t xml:space="preserve">DSCR-constrained loan</t>
  </si>
  <si>
    <t xml:space="preserve">Debt-yield-constrained loan (NCF / 9%)</t>
  </si>
  <si>
    <t xml:space="preserve">Maximum loan (binding constraint)</t>
  </si>
  <si>
    <t xml:space="preserve">Binding test</t>
  </si>
  <si>
    <t xml:space="preserve">Sources and uses</t>
  </si>
  <si>
    <t xml:space="preserve">Loan proceeds (source)</t>
  </si>
  <si>
    <t xml:space="preserve">Origination fee at 1% (use)</t>
  </si>
  <si>
    <t xml:space="preserve">Closing costs (use)</t>
  </si>
  <si>
    <t xml:space="preserve">Existing loan payoff (use)</t>
  </si>
  <si>
    <t xml:space="preserve">Net cash-out (negative = additional equity required)</t>
  </si>
  <si>
    <t xml:space="preserve">Implied DSCR at maximum loan</t>
  </si>
  <si>
    <t xml:space="preserve">Implied NCF debt yield</t>
  </si>
  <si>
    <t xml:space="preserve">Implied LTV on capitalization value</t>
  </si>
  <si>
    <t xml:space="preserve">Interest-only annual interest, first 24 months at note rate</t>
  </si>
  <si>
    <t xml:space="preserve">Shown for information; sizing uses the 7.00% floor and 30-year amortization</t>
  </si>
  <si>
    <t xml:space="preserve">Maximum loan sensitivity: sizing rate (rows) vs cap rate (columns)</t>
  </si>
  <si>
    <t xml:space="preserve">Each cell = MIN(LTV limit, DSCR limit, debt yield limit) holding underwritten NOI and NCF constant</t>
  </si>
  <si>
    <t xml:space="preserve">Sizing rate / Cap rate</t>
  </si>
  <si>
    <t xml:space="preserve">Gross potential rent scenarios (5% loss, other income and expenses per instructions)</t>
  </si>
  <si>
    <t xml:space="preserve">GPR</t>
  </si>
  <si>
    <t xml:space="preserve">EGI</t>
  </si>
  <si>
    <t xml:space="preserve">NOI before reserves</t>
  </si>
  <si>
    <t xml:space="preserve">NCF</t>
  </si>
  <si>
    <t xml:space="preserve">Cap value</t>
  </si>
  <si>
    <t xml:space="preserve">Maximum loan</t>
  </si>
  <si>
    <t xml:space="preserve">Row 14 ties to the base case on the Underwriting and Debt sheets.</t>
  </si>
  <si>
    <t xml:space="preserve">Source register</t>
  </si>
  <si>
    <t xml:space="preserve">File</t>
  </si>
  <si>
    <t xml:space="preserve">Location</t>
  </si>
  <si>
    <t xml:space="preserve">Fact used</t>
  </si>
  <si>
    <t xml:space="preserve">rent-roll-certified.xlsx</t>
  </si>
  <si>
    <t xml:space="preserve">Rent Roll A2:F12</t>
  </si>
  <si>
    <t xml:space="preserve">As-of 2026-08-31; 8 suites, 176,060 SF, 7 active / 1 vacant, monthly rents, expirations 2029-08-31</t>
  </si>
  <si>
    <t xml:space="preserve">rent-roll-archive.xlsx</t>
  </si>
  <si>
    <t xml:space="preserve">Stale 2026-06-30 roll with lower rents; superseded and not used</t>
  </si>
  <si>
    <t xml:space="preserve">lease-001.pdf</t>
  </si>
  <si>
    <t xml:space="preserve">p.1</t>
  </si>
  <si>
    <t xml:space="preserve">Executed Suite 001 lease: $14,450 per month, 21,880 SF, expiry 2029-08-31, deposit $28,900, no free rent</t>
  </si>
  <si>
    <t xml:space="preserve">lease-correspondence.pdf</t>
  </si>
  <si>
    <t xml:space="preserve">Manager confirmation dated 2026-08-31: no amendments or new concessions affect Suite 001</t>
  </si>
  <si>
    <t xml:space="preserve">operating-statement.pdf</t>
  </si>
  <si>
    <t xml:space="preserve">T-12 to 2026-08-31: collections 1,262,520; tax 147,294; insurance 49,098; other 196,392; roof in repairs 0; reported NOI 869,736</t>
  </si>
  <si>
    <t xml:space="preserve">insurance.pdf</t>
  </si>
  <si>
    <t xml:space="preserve">General liability aggregate limit $2,000,000; policy period 2026-07-01 to 2027-06-30</t>
  </si>
  <si>
    <t xml:space="preserve">underwriting-instructions.pdf</t>
  </si>
  <si>
    <t xml:space="preserve">All underwriting and sizing assumptions, loan constraints, fees, closing costs and payoff</t>
  </si>
  <si>
    <t xml:space="preserve">manager-cover.pdf</t>
  </si>
  <si>
    <t xml:space="preserve">Indianapolis industrial; 7-of-8 leased headline including pending occupants; A/B/C group mapping; certified detail controls occupancy</t>
  </si>
  <si>
    <t xml:space="preserve">diligence-status.pdf</t>
  </si>
  <si>
    <t xml:space="preserve">Legal, environmental, property condition and title reviews incomplete; no defect findings supplied</t>
  </si>
  <si>
    <t xml:space="preserve">Not supplied (explicitly unknown)</t>
  </si>
  <si>
    <t xml:space="preserve">Unknown</t>
  </si>
  <si>
    <t xml:space="preserve">Photos, asking price, market sales and rent comps, sponsor history, tenant financials, appraisal, pending-unit schedule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</si>
</sst>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2" t="s">
        <v>2</v>
      </c>
      <c r="B3" s="3" t="n">
        <v>1402800</v>
      </c>
      <c r="C3" s="2" t="s">
        <v>3</v>
      </c>
    </row>
    <row r="4" customFormat="false" ht="30" hidden="false" customHeight="true" outlineLevel="0" collapsed="false">
      <c r="A4" s="2" t="s">
        <v>4</v>
      </c>
      <c r="B4" s="4" t="n">
        <v>0.05</v>
      </c>
      <c r="C4" s="2" t="s">
        <v>5</v>
      </c>
    </row>
    <row r="5" customFormat="false" ht="30" hidden="false" customHeight="true" outlineLevel="0" collapsed="false">
      <c r="A5" s="2" t="s">
        <v>6</v>
      </c>
      <c r="B5" s="3" t="n">
        <v>350</v>
      </c>
      <c r="C5" s="2" t="s">
        <v>7</v>
      </c>
    </row>
    <row r="6" customFormat="false" ht="30" hidden="false" customHeight="true" outlineLevel="0" collapsed="false">
      <c r="A6" s="2" t="s">
        <v>8</v>
      </c>
      <c r="B6" s="5" t="n">
        <v>8</v>
      </c>
    </row>
    <row r="7" customFormat="false" ht="30" hidden="false" customHeight="true" outlineLevel="0" collapsed="false">
      <c r="A7" s="2" t="s">
        <v>9</v>
      </c>
      <c r="B7" s="3" t="n">
        <v>147294</v>
      </c>
    </row>
    <row r="8" customFormat="false" ht="30" hidden="false" customHeight="true" outlineLevel="0" collapsed="false">
      <c r="A8" s="2" t="s">
        <v>10</v>
      </c>
      <c r="B8" s="3" t="n">
        <v>49098</v>
      </c>
    </row>
    <row r="9" customFormat="false" ht="30" hidden="false" customHeight="true" outlineLevel="0" collapsed="false">
      <c r="A9" s="2" t="s">
        <v>11</v>
      </c>
      <c r="B9" s="3" t="n">
        <v>196392</v>
      </c>
    </row>
    <row r="10" customFormat="false" ht="30" hidden="false" customHeight="true" outlineLevel="0" collapsed="false">
      <c r="A10" s="2" t="s">
        <v>12</v>
      </c>
      <c r="B10" s="4" t="n">
        <v>0.03</v>
      </c>
    </row>
    <row r="11" customFormat="false" ht="30" hidden="false" customHeight="true" outlineLevel="0" collapsed="false">
      <c r="A11" s="2" t="s">
        <v>13</v>
      </c>
      <c r="B11" s="3" t="n">
        <v>300</v>
      </c>
    </row>
    <row r="12" customFormat="false" ht="30" hidden="false" customHeight="true" outlineLevel="0" collapsed="false">
      <c r="A12" s="2" t="s">
        <v>14</v>
      </c>
      <c r="B12" s="6" t="n">
        <v>0.0625</v>
      </c>
    </row>
    <row r="13" customFormat="false" ht="30" hidden="false" customHeight="true" outlineLevel="0" collapsed="false">
      <c r="A13" s="2" t="s">
        <v>15</v>
      </c>
      <c r="B13" s="6" t="n">
        <v>0.08</v>
      </c>
      <c r="C13" s="2" t="s">
        <v>16</v>
      </c>
    </row>
    <row r="14" customFormat="false" ht="30" hidden="false" customHeight="true" outlineLevel="0" collapsed="false">
      <c r="A14" s="2" t="s">
        <v>17</v>
      </c>
      <c r="B14" s="6" t="n">
        <v>0.061</v>
      </c>
    </row>
    <row r="15" customFormat="false" ht="30" hidden="false" customHeight="true" outlineLevel="0" collapsed="false">
      <c r="A15" s="2" t="s">
        <v>18</v>
      </c>
      <c r="B15" s="6" t="n">
        <v>0.07</v>
      </c>
    </row>
    <row r="16" customFormat="false" ht="30" hidden="false" customHeight="true" outlineLevel="0" collapsed="false">
      <c r="A16" s="2" t="s">
        <v>19</v>
      </c>
      <c r="B16" s="5" t="n">
        <v>30</v>
      </c>
    </row>
    <row r="17" customFormat="false" ht="30" hidden="false" customHeight="true" outlineLevel="0" collapsed="false">
      <c r="A17" s="2" t="s">
        <v>20</v>
      </c>
      <c r="B17" s="4" t="n">
        <v>0.65</v>
      </c>
    </row>
    <row r="18" customFormat="false" ht="30" hidden="false" customHeight="true" outlineLevel="0" collapsed="false">
      <c r="A18" s="2" t="s">
        <v>21</v>
      </c>
      <c r="B18" s="7" t="n">
        <v>1.25</v>
      </c>
    </row>
    <row r="19" customFormat="false" ht="30" hidden="false" customHeight="true" outlineLevel="0" collapsed="false">
      <c r="A19" s="2" t="s">
        <v>22</v>
      </c>
      <c r="B19" s="4" t="n">
        <v>0.09</v>
      </c>
    </row>
    <row r="20" customFormat="false" ht="30" hidden="false" customHeight="true" outlineLevel="0" collapsed="false">
      <c r="A20" s="2" t="s">
        <v>23</v>
      </c>
      <c r="B20" s="4" t="n">
        <v>0.01</v>
      </c>
    </row>
    <row r="21" customFormat="false" ht="30" hidden="false" customHeight="true" outlineLevel="0" collapsed="false">
      <c r="A21" s="2" t="s">
        <v>24</v>
      </c>
      <c r="B21" s="3" t="n">
        <v>45000</v>
      </c>
    </row>
    <row r="22" customFormat="false" ht="30" hidden="false" customHeight="true" outlineLevel="0" collapsed="false">
      <c r="A22" s="2" t="s">
        <v>25</v>
      </c>
      <c r="B22" s="3" t="n">
        <v>7800000</v>
      </c>
    </row>
    <row r="24" customFormat="false" ht="30" hidden="false" customHeight="true" outlineLevel="0" collapsed="false">
      <c r="A24" s="2" t="s">
        <v>26</v>
      </c>
      <c r="B24" s="8" t="n">
        <f aca="false">MAX(B14,B15)</f>
        <v>0.07</v>
      </c>
      <c r="C24" s="2" t="s">
        <v>27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30" hidden="false" customHeight="true" outlineLevel="0" collapsed="false">
      <c r="A1" s="1" t="s">
        <v>28</v>
      </c>
    </row>
    <row r="2" customFormat="false" ht="30" hidden="false" customHeight="true" outlineLevel="0" collapsed="false">
      <c r="A2" s="2" t="s">
        <v>29</v>
      </c>
    </row>
    <row r="4" customFormat="false" ht="30" hidden="false" customHeight="true" outlineLevel="0" collapsed="false">
      <c r="A4" s="9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</row>
    <row r="5" customFormat="false" ht="30" hidden="false" customHeight="true" outlineLevel="0" collapsed="false">
      <c r="A5" s="2" t="s">
        <v>38</v>
      </c>
      <c r="B5" s="2" t="s">
        <v>39</v>
      </c>
      <c r="C5" s="2" t="s">
        <v>40</v>
      </c>
      <c r="D5" s="10" t="n">
        <v>21880</v>
      </c>
      <c r="E5" s="2" t="s">
        <v>41</v>
      </c>
      <c r="F5" s="10" t="n">
        <v>14450</v>
      </c>
      <c r="G5" s="10" t="n">
        <f aca="false">F5*12</f>
        <v>173400</v>
      </c>
      <c r="H5" s="2" t="s">
        <v>42</v>
      </c>
    </row>
    <row r="6" customFormat="false" ht="30" hidden="false" customHeight="true" outlineLevel="0" collapsed="false">
      <c r="A6" s="2" t="s">
        <v>43</v>
      </c>
      <c r="B6" s="2" t="s">
        <v>44</v>
      </c>
      <c r="C6" s="2" t="s">
        <v>45</v>
      </c>
      <c r="D6" s="10" t="n">
        <v>22000</v>
      </c>
      <c r="E6" s="2" t="s">
        <v>41</v>
      </c>
      <c r="F6" s="10" t="n">
        <v>14600</v>
      </c>
      <c r="G6" s="10" t="n">
        <f aca="false">F6*12</f>
        <v>175200</v>
      </c>
      <c r="H6" s="2" t="s">
        <v>42</v>
      </c>
    </row>
    <row r="7" customFormat="false" ht="30" hidden="false" customHeight="true" outlineLevel="0" collapsed="false">
      <c r="A7" s="2" t="s">
        <v>46</v>
      </c>
      <c r="B7" s="2" t="s">
        <v>47</v>
      </c>
      <c r="C7" s="2" t="s">
        <v>48</v>
      </c>
      <c r="D7" s="10" t="n">
        <v>22210</v>
      </c>
      <c r="E7" s="2" t="s">
        <v>41</v>
      </c>
      <c r="F7" s="10" t="n">
        <v>14875</v>
      </c>
      <c r="G7" s="10" t="n">
        <f aca="false">F7*12</f>
        <v>178500</v>
      </c>
      <c r="H7" s="2" t="s">
        <v>42</v>
      </c>
    </row>
    <row r="8" customFormat="false" ht="30" hidden="false" customHeight="true" outlineLevel="0" collapsed="false">
      <c r="A8" s="2" t="s">
        <v>49</v>
      </c>
      <c r="B8" s="2" t="s">
        <v>39</v>
      </c>
      <c r="C8" s="2" t="s">
        <v>40</v>
      </c>
      <c r="D8" s="10" t="n">
        <v>21880</v>
      </c>
      <c r="E8" s="2" t="s">
        <v>41</v>
      </c>
      <c r="F8" s="10" t="n">
        <v>14450</v>
      </c>
      <c r="G8" s="10" t="n">
        <f aca="false">F8*12</f>
        <v>173400</v>
      </c>
      <c r="H8" s="2" t="s">
        <v>42</v>
      </c>
    </row>
    <row r="9" customFormat="false" ht="30" hidden="false" customHeight="true" outlineLevel="0" collapsed="false">
      <c r="A9" s="2" t="s">
        <v>50</v>
      </c>
      <c r="B9" s="2" t="s">
        <v>44</v>
      </c>
      <c r="C9" s="2" t="s">
        <v>45</v>
      </c>
      <c r="D9" s="10" t="n">
        <v>22000</v>
      </c>
      <c r="E9" s="2" t="s">
        <v>41</v>
      </c>
      <c r="F9" s="10" t="n">
        <v>14600</v>
      </c>
      <c r="G9" s="10" t="n">
        <f aca="false">F9*12</f>
        <v>175200</v>
      </c>
      <c r="H9" s="2" t="s">
        <v>42</v>
      </c>
    </row>
    <row r="10" customFormat="false" ht="30" hidden="false" customHeight="true" outlineLevel="0" collapsed="false">
      <c r="A10" s="2" t="s">
        <v>51</v>
      </c>
      <c r="B10" s="2" t="s">
        <v>47</v>
      </c>
      <c r="C10" s="2" t="s">
        <v>48</v>
      </c>
      <c r="D10" s="10" t="n">
        <v>22210</v>
      </c>
      <c r="E10" s="2" t="s">
        <v>41</v>
      </c>
      <c r="F10" s="10" t="n">
        <v>14875</v>
      </c>
      <c r="G10" s="10" t="n">
        <f aca="false">F10*12</f>
        <v>178500</v>
      </c>
      <c r="H10" s="2" t="s">
        <v>42</v>
      </c>
    </row>
    <row r="11" customFormat="false" ht="30" hidden="false" customHeight="true" outlineLevel="0" collapsed="false">
      <c r="A11" s="2" t="s">
        <v>52</v>
      </c>
      <c r="B11" s="2" t="s">
        <v>39</v>
      </c>
      <c r="C11" s="2" t="s">
        <v>40</v>
      </c>
      <c r="D11" s="10" t="n">
        <v>21880</v>
      </c>
      <c r="E11" s="2" t="s">
        <v>41</v>
      </c>
      <c r="F11" s="10" t="n">
        <v>14450</v>
      </c>
      <c r="G11" s="10" t="n">
        <f aca="false">F11*12</f>
        <v>173400</v>
      </c>
      <c r="H11" s="2" t="s">
        <v>42</v>
      </c>
    </row>
    <row r="12" customFormat="false" ht="30" hidden="false" customHeight="true" outlineLevel="0" collapsed="false">
      <c r="A12" s="2" t="s">
        <v>53</v>
      </c>
      <c r="B12" s="2" t="s">
        <v>44</v>
      </c>
      <c r="C12" s="2" t="s">
        <v>45</v>
      </c>
      <c r="D12" s="10" t="n">
        <v>22000</v>
      </c>
      <c r="E12" s="2" t="s">
        <v>54</v>
      </c>
      <c r="F12" s="10" t="n">
        <v>14600</v>
      </c>
      <c r="G12" s="10" t="n">
        <f aca="false">F12*12</f>
        <v>175200</v>
      </c>
      <c r="H12" s="2" t="s">
        <v>42</v>
      </c>
    </row>
    <row r="13" customFormat="false" ht="30" hidden="false" customHeight="true" outlineLevel="0" collapsed="false">
      <c r="A13" s="11" t="s">
        <v>55</v>
      </c>
      <c r="D13" s="12" t="n">
        <f aca="false">SUM(D5:D12)</f>
        <v>176060</v>
      </c>
      <c r="F13" s="12" t="n">
        <f aca="false">SUM(F5:F12)</f>
        <v>116900</v>
      </c>
      <c r="G13" s="12" t="n">
        <f aca="false">SUM(G5:G12)</f>
        <v>1402800</v>
      </c>
    </row>
    <row r="15" customFormat="false" ht="30" hidden="false" customHeight="true" outlineLevel="0" collapsed="false">
      <c r="A15" s="2" t="s">
        <v>56</v>
      </c>
      <c r="B15" s="13" t="n">
        <f aca="false">COUNTA(A5:A12)</f>
        <v>8</v>
      </c>
    </row>
    <row r="16" customFormat="false" ht="30" hidden="false" customHeight="true" outlineLevel="0" collapsed="false">
      <c r="A16" s="2" t="s">
        <v>57</v>
      </c>
      <c r="B16" s="13" t="n">
        <f aca="false">COUNTIF(E5:E12,"active")</f>
        <v>7</v>
      </c>
    </row>
    <row r="17" customFormat="false" ht="30" hidden="false" customHeight="true" outlineLevel="0" collapsed="false">
      <c r="A17" s="2" t="s">
        <v>58</v>
      </c>
      <c r="B17" s="13" t="n">
        <f aca="false">COUNTIF(E5:E12,"pending")</f>
        <v>0</v>
      </c>
    </row>
    <row r="18" customFormat="false" ht="30" hidden="false" customHeight="true" outlineLevel="0" collapsed="false">
      <c r="A18" s="2" t="s">
        <v>59</v>
      </c>
      <c r="B18" s="13" t="n">
        <f aca="false">COUNTIF(E5:E12,"vacant")</f>
        <v>1</v>
      </c>
    </row>
    <row r="19" customFormat="false" ht="30" hidden="false" customHeight="true" outlineLevel="0" collapsed="false">
      <c r="A19" s="2" t="s">
        <v>60</v>
      </c>
      <c r="B19" s="12" t="n">
        <f aca="false">D13</f>
        <v>176060</v>
      </c>
    </row>
    <row r="20" customFormat="false" ht="30" hidden="false" customHeight="true" outlineLevel="0" collapsed="false">
      <c r="A20" s="2" t="s">
        <v>61</v>
      </c>
      <c r="B20" s="12" t="n">
        <f aca="false">SUMIF(E5:E12,"active",D5:D12)</f>
        <v>154060</v>
      </c>
    </row>
    <row r="21" customFormat="false" ht="30" hidden="false" customHeight="true" outlineLevel="0" collapsed="false">
      <c r="A21" s="2" t="s">
        <v>62</v>
      </c>
      <c r="B21" s="14" t="n">
        <f aca="false">B16/B15</f>
        <v>0.875</v>
      </c>
    </row>
    <row r="22" customFormat="false" ht="30" hidden="false" customHeight="true" outlineLevel="0" collapsed="false">
      <c r="A22" s="2" t="s">
        <v>63</v>
      </c>
      <c r="B22" s="14" t="n">
        <f aca="false">B20/B19</f>
        <v>0.875042599113938</v>
      </c>
    </row>
    <row r="23" customFormat="false" ht="30" hidden="false" customHeight="true" outlineLevel="0" collapsed="false">
      <c r="A23" s="2" t="s">
        <v>64</v>
      </c>
      <c r="B23" s="12" t="n">
        <f aca="false">SUMIF(E5:E12,"active",G5:G12)</f>
        <v>1227600</v>
      </c>
    </row>
    <row r="24" customFormat="false" ht="30" hidden="false" customHeight="true" outlineLevel="0" collapsed="false">
      <c r="A24" s="2" t="s">
        <v>65</v>
      </c>
      <c r="B24" s="12" t="n">
        <f aca="false">G13</f>
        <v>1402800</v>
      </c>
    </row>
    <row r="26" customFormat="false" ht="30" hidden="false" customHeight="true" outlineLevel="0" collapsed="false">
      <c r="A26" s="9" t="s">
        <v>32</v>
      </c>
      <c r="B26" s="9" t="s">
        <v>66</v>
      </c>
      <c r="C26" s="9" t="s">
        <v>67</v>
      </c>
      <c r="D26" s="9" t="s">
        <v>33</v>
      </c>
    </row>
    <row r="27" customFormat="false" ht="30" hidden="false" customHeight="true" outlineLevel="0" collapsed="false">
      <c r="A27" s="2" t="s">
        <v>68</v>
      </c>
      <c r="B27" s="15" t="n">
        <f aca="false">COUNTIF($C$5:$C$12,"A")</f>
        <v>3</v>
      </c>
      <c r="C27" s="15" t="n">
        <f aca="false">COUNTIFS($C$5:$C$12,"A",$E$5:$E$12,"active")</f>
        <v>3</v>
      </c>
      <c r="D27" s="10" t="n">
        <f aca="false">SUMIF($C$5:$C$12,"A",$D$5:$D$12)</f>
        <v>65640</v>
      </c>
    </row>
    <row r="28" customFormat="false" ht="30" hidden="false" customHeight="true" outlineLevel="0" collapsed="false">
      <c r="A28" s="2" t="s">
        <v>69</v>
      </c>
      <c r="B28" s="15" t="n">
        <f aca="false">COUNTIF($C$5:$C$12,"B")</f>
        <v>3</v>
      </c>
      <c r="C28" s="15" t="n">
        <f aca="false">COUNTIFS($C$5:$C$12,"B",$E$5:$E$12,"active")</f>
        <v>2</v>
      </c>
      <c r="D28" s="10" t="n">
        <f aca="false">SUMIF($C$5:$C$12,"B",$D$5:$D$12)</f>
        <v>66000</v>
      </c>
    </row>
    <row r="29" customFormat="false" ht="30" hidden="false" customHeight="true" outlineLevel="0" collapsed="false">
      <c r="A29" s="2" t="s">
        <v>70</v>
      </c>
      <c r="B29" s="15" t="n">
        <f aca="false">COUNTIF($C$5:$C$12,"C")</f>
        <v>2</v>
      </c>
      <c r="C29" s="15" t="n">
        <f aca="false">COUNTIFS($C$5:$C$12,"C",$E$5:$E$12,"active")</f>
        <v>2</v>
      </c>
      <c r="D29" s="10" t="n">
        <f aca="false">SUMIF($C$5:$C$12,"C",$D$5:$D$12)</f>
        <v>44420</v>
      </c>
    </row>
    <row r="31" customFormat="false" ht="30" hidden="false" customHeight="true" outlineLevel="0" collapsed="false">
      <c r="A31" s="2" t="s">
        <v>71</v>
      </c>
      <c r="B31" s="12" t="n">
        <v>14450</v>
      </c>
    </row>
    <row r="32" customFormat="false" ht="30" hidden="false" customHeight="true" outlineLevel="0" collapsed="false">
      <c r="A32" s="2" t="s">
        <v>72</v>
      </c>
      <c r="B32" s="13" t="n">
        <v>0</v>
      </c>
    </row>
    <row r="33" customFormat="false" ht="30" hidden="false" customHeight="true" outlineLevel="0" collapsed="false">
      <c r="A33" s="2" t="s">
        <v>73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74</v>
      </c>
    </row>
    <row r="2" customFormat="false" ht="30" hidden="false" customHeight="true" outlineLevel="0" collapsed="false">
      <c r="A2" s="2" t="s">
        <v>75</v>
      </c>
    </row>
    <row r="3" customFormat="false" ht="30" hidden="false" customHeight="true" outlineLevel="0" collapsed="false">
      <c r="A3" s="2" t="s">
        <v>76</v>
      </c>
      <c r="B3" s="10" t="n">
        <f aca="false">Inputs!B3</f>
        <v>1402800</v>
      </c>
    </row>
    <row r="4" customFormat="false" ht="30" hidden="false" customHeight="true" outlineLevel="0" collapsed="false">
      <c r="A4" s="2" t="s">
        <v>77</v>
      </c>
      <c r="B4" s="10" t="n">
        <f aca="false">-Inputs!B3*Inputs!B4</f>
        <v>-70140</v>
      </c>
    </row>
    <row r="5" customFormat="false" ht="30" hidden="false" customHeight="true" outlineLevel="0" collapsed="false">
      <c r="A5" s="2" t="s">
        <v>78</v>
      </c>
      <c r="B5" s="10" t="n">
        <f aca="false">Inputs!B5*Inputs!B6</f>
        <v>2800</v>
      </c>
    </row>
    <row r="6" customFormat="false" ht="30" hidden="false" customHeight="true" outlineLevel="0" collapsed="false">
      <c r="A6" s="11" t="s">
        <v>79</v>
      </c>
      <c r="B6" s="12" t="n">
        <f aca="false">B3+B4+B5</f>
        <v>1335460</v>
      </c>
    </row>
    <row r="8" customFormat="false" ht="30" hidden="false" customHeight="true" outlineLevel="0" collapsed="false">
      <c r="A8" s="2" t="s">
        <v>80</v>
      </c>
      <c r="B8" s="10" t="n">
        <f aca="false">Inputs!B7</f>
        <v>147294</v>
      </c>
    </row>
    <row r="9" customFormat="false" ht="30" hidden="false" customHeight="true" outlineLevel="0" collapsed="false">
      <c r="A9" s="2" t="s">
        <v>81</v>
      </c>
      <c r="B9" s="10" t="n">
        <f aca="false">Inputs!B8</f>
        <v>49098</v>
      </c>
    </row>
    <row r="10" customFormat="false" ht="30" hidden="false" customHeight="true" outlineLevel="0" collapsed="false">
      <c r="A10" s="2" t="s">
        <v>11</v>
      </c>
      <c r="B10" s="10" t="n">
        <f aca="false">Inputs!B9</f>
        <v>196392</v>
      </c>
    </row>
    <row r="11" customFormat="false" ht="30" hidden="false" customHeight="true" outlineLevel="0" collapsed="false">
      <c r="A11" s="2" t="s">
        <v>82</v>
      </c>
      <c r="B11" s="10" t="n">
        <f aca="false">Inputs!B10*B6</f>
        <v>40063.8</v>
      </c>
    </row>
    <row r="12" customFormat="false" ht="30" hidden="false" customHeight="true" outlineLevel="0" collapsed="false">
      <c r="A12" s="11" t="s">
        <v>83</v>
      </c>
      <c r="B12" s="12" t="n">
        <f aca="false">SUM(B8:B11)</f>
        <v>432847.8</v>
      </c>
    </row>
    <row r="14" customFormat="false" ht="30" hidden="false" customHeight="true" outlineLevel="0" collapsed="false">
      <c r="A14" s="11" t="s">
        <v>84</v>
      </c>
      <c r="B14" s="12" t="n">
        <f aca="false">B6-B12</f>
        <v>902612.2</v>
      </c>
    </row>
    <row r="15" customFormat="false" ht="30" hidden="false" customHeight="true" outlineLevel="0" collapsed="false">
      <c r="A15" s="2" t="s">
        <v>85</v>
      </c>
      <c r="B15" s="10" t="n">
        <f aca="false">Inputs!B11*Inputs!B6</f>
        <v>2400</v>
      </c>
    </row>
    <row r="16" customFormat="false" ht="30" hidden="false" customHeight="true" outlineLevel="0" collapsed="false">
      <c r="A16" s="11" t="s">
        <v>86</v>
      </c>
      <c r="B16" s="12" t="n">
        <f aca="false">B14-B15</f>
        <v>900212.2</v>
      </c>
    </row>
    <row r="18" customFormat="false" ht="30" hidden="false" customHeight="true" outlineLevel="0" collapsed="false">
      <c r="A18" s="2" t="s">
        <v>87</v>
      </c>
      <c r="B18" s="16" t="n">
        <f aca="false">Inputs!B12</f>
        <v>0.0625</v>
      </c>
    </row>
    <row r="19" customFormat="false" ht="30" hidden="false" customHeight="true" outlineLevel="0" collapsed="false">
      <c r="A19" s="11" t="s">
        <v>88</v>
      </c>
      <c r="B19" s="12" t="n">
        <f aca="false">B14/B18</f>
        <v>14441795.2</v>
      </c>
    </row>
    <row r="21" customFormat="false" ht="30" hidden="false" customHeight="true" outlineLevel="0" collapsed="false">
      <c r="A21" s="2" t="s">
        <v>89</v>
      </c>
      <c r="B21" s="17" t="n">
        <f aca="false">B12/B6</f>
        <v>0.324118880385785</v>
      </c>
    </row>
    <row r="23" customFormat="false" ht="30" hidden="false" customHeight="true" outlineLevel="0" collapsed="false">
      <c r="A23" s="9" t="s">
        <v>90</v>
      </c>
    </row>
    <row r="24" customFormat="false" ht="30" hidden="false" customHeight="true" outlineLevel="0" collapsed="false">
      <c r="A24" s="2" t="s">
        <v>91</v>
      </c>
      <c r="B24" s="10" t="n">
        <v>1262520</v>
      </c>
    </row>
    <row r="25" customFormat="false" ht="30" hidden="false" customHeight="true" outlineLevel="0" collapsed="false">
      <c r="A25" s="2" t="s">
        <v>92</v>
      </c>
      <c r="B25" s="10" t="n">
        <v>147294</v>
      </c>
    </row>
    <row r="26" customFormat="false" ht="30" hidden="false" customHeight="true" outlineLevel="0" collapsed="false">
      <c r="A26" s="2" t="s">
        <v>93</v>
      </c>
      <c r="B26" s="10" t="n">
        <v>49098</v>
      </c>
    </row>
    <row r="27" customFormat="false" ht="30" hidden="false" customHeight="true" outlineLevel="0" collapsed="false">
      <c r="A27" s="2" t="s">
        <v>94</v>
      </c>
      <c r="B27" s="10" t="n">
        <v>196392</v>
      </c>
    </row>
    <row r="28" customFormat="false" ht="30" hidden="false" customHeight="true" outlineLevel="0" collapsed="false">
      <c r="A28" s="2" t="s">
        <v>95</v>
      </c>
      <c r="B28" s="10" t="n">
        <v>0</v>
      </c>
    </row>
    <row r="29" customFormat="false" ht="30" hidden="false" customHeight="true" outlineLevel="0" collapsed="false">
      <c r="A29" s="11" t="s">
        <v>96</v>
      </c>
      <c r="B29" s="12" t="n">
        <f aca="false">B24-B25-B26-B27-B28</f>
        <v>869736</v>
      </c>
      <c r="C29" s="2" t="s">
        <v>97</v>
      </c>
    </row>
    <row r="30" customFormat="false" ht="30" hidden="false" customHeight="true" outlineLevel="0" collapsed="false">
      <c r="A30" s="2" t="s">
        <v>98</v>
      </c>
      <c r="B30" s="10" t="n">
        <f aca="false">B14-B29</f>
        <v>32876.2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99</v>
      </c>
    </row>
    <row r="2" customFormat="false" ht="30" hidden="false" customHeight="true" outlineLevel="0" collapsed="false">
      <c r="A2" s="2" t="s">
        <v>100</v>
      </c>
    </row>
    <row r="3" customFormat="false" ht="30" hidden="false" customHeight="true" outlineLevel="0" collapsed="false">
      <c r="A3" s="2" t="s">
        <v>101</v>
      </c>
      <c r="B3" s="10" t="n">
        <f aca="false">Underwriting!B19*Inputs!B17</f>
        <v>9387166.88</v>
      </c>
    </row>
    <row r="4" customFormat="false" ht="30" hidden="false" customHeight="true" outlineLevel="0" collapsed="false">
      <c r="A4" s="2" t="s">
        <v>102</v>
      </c>
      <c r="B4" s="10" t="n">
        <f aca="false">Underwriting!B16/Inputs!B18</f>
        <v>720169.76</v>
      </c>
    </row>
    <row r="5" customFormat="false" ht="30" hidden="false" customHeight="true" outlineLevel="0" collapsed="false">
      <c r="A5" s="2" t="s">
        <v>103</v>
      </c>
      <c r="B5" s="16" t="n">
        <f aca="false">Inputs!B13</f>
        <v>0.08</v>
      </c>
    </row>
    <row r="6" customFormat="false" ht="30" hidden="false" customHeight="true" outlineLevel="0" collapsed="false">
      <c r="A6" s="2" t="s">
        <v>104</v>
      </c>
      <c r="B6" s="18" t="n">
        <f aca="false">-PMT(B5/12,Inputs!B16*12,1)*12</f>
        <v>0.0880517488655251</v>
      </c>
    </row>
    <row r="7" customFormat="false" ht="30" hidden="false" customHeight="true" outlineLevel="0" collapsed="false">
      <c r="A7" s="2" t="s">
        <v>105</v>
      </c>
      <c r="B7" s="10" t="n">
        <f aca="false">B4/B6</f>
        <v>8178937.60520148</v>
      </c>
    </row>
    <row r="8" customFormat="false" ht="30" hidden="false" customHeight="true" outlineLevel="0" collapsed="false">
      <c r="A8" s="2" t="s">
        <v>106</v>
      </c>
      <c r="B8" s="10" t="n">
        <f aca="false">Underwriting!B16/Inputs!B19</f>
        <v>10002357.7777778</v>
      </c>
    </row>
    <row r="9" customFormat="false" ht="30" hidden="false" customHeight="true" outlineLevel="0" collapsed="false">
      <c r="A9" s="11" t="s">
        <v>107</v>
      </c>
      <c r="B9" s="12" t="n">
        <f aca="false">MIN(B3,B7,B8)</f>
        <v>8178937.60520148</v>
      </c>
    </row>
    <row r="10" customFormat="false" ht="30" hidden="false" customHeight="true" outlineLevel="0" collapsed="false">
      <c r="A10" s="2" t="s">
        <v>108</v>
      </c>
      <c r="B10" s="2" t="str">
        <f aca="false">IF(B9=B7,"DSCR",IF(B9=B3,"LTV","Debt yield"))</f>
        <v>DSCR</v>
      </c>
    </row>
    <row r="12" customFormat="false" ht="30" hidden="false" customHeight="true" outlineLevel="0" collapsed="false">
      <c r="A12" s="9" t="s">
        <v>109</v>
      </c>
    </row>
    <row r="13" customFormat="false" ht="30" hidden="false" customHeight="true" outlineLevel="0" collapsed="false">
      <c r="A13" s="2" t="s">
        <v>110</v>
      </c>
      <c r="B13" s="10" t="n">
        <f aca="false">B9</f>
        <v>8178937.60520148</v>
      </c>
    </row>
    <row r="14" customFormat="false" ht="30" hidden="false" customHeight="true" outlineLevel="0" collapsed="false">
      <c r="A14" s="2" t="s">
        <v>111</v>
      </c>
      <c r="B14" s="10" t="n">
        <f aca="false">-B9*Inputs!B20</f>
        <v>-81789.3760520148</v>
      </c>
    </row>
    <row r="15" customFormat="false" ht="30" hidden="false" customHeight="true" outlineLevel="0" collapsed="false">
      <c r="A15" s="2" t="s">
        <v>112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113</v>
      </c>
      <c r="B16" s="10" t="n">
        <f aca="false">-Inputs!B22</f>
        <v>-7800000</v>
      </c>
    </row>
    <row r="17" customFormat="false" ht="30" hidden="false" customHeight="true" outlineLevel="0" collapsed="false">
      <c r="A17" s="11" t="s">
        <v>114</v>
      </c>
      <c r="B17" s="12" t="n">
        <f aca="false">B13+B14+B15+B16</f>
        <v>252148.229149463</v>
      </c>
    </row>
    <row r="19" customFormat="false" ht="30" hidden="false" customHeight="true" outlineLevel="0" collapsed="false">
      <c r="A19" s="2" t="s">
        <v>115</v>
      </c>
      <c r="B19" s="17" t="n">
        <f aca="false">Underwriting!B16/(B9*B6)</f>
        <v>1.25</v>
      </c>
    </row>
    <row r="20" customFormat="false" ht="30" hidden="false" customHeight="true" outlineLevel="0" collapsed="false">
      <c r="A20" s="2" t="s">
        <v>116</v>
      </c>
      <c r="B20" s="17" t="n">
        <f aca="false">Underwriting!B16/B9</f>
        <v>0.110064686081906</v>
      </c>
    </row>
    <row r="21" customFormat="false" ht="30" hidden="false" customHeight="true" outlineLevel="0" collapsed="false">
      <c r="A21" s="2" t="s">
        <v>117</v>
      </c>
      <c r="B21" s="17" t="n">
        <f aca="false">B9/Underwriting!B19</f>
        <v>0.566338013517979</v>
      </c>
    </row>
    <row r="22" customFormat="false" ht="30" hidden="false" customHeight="true" outlineLevel="0" collapsed="false">
      <c r="A22" s="2" t="s">
        <v>118</v>
      </c>
      <c r="B22" s="10" t="n">
        <f aca="false">B9*Inputs!B14</f>
        <v>498915.19391729</v>
      </c>
      <c r="C22" s="2" t="s">
        <v>119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0" hidden="false" customHeight="true" outlineLevel="0" collapsed="false">
      <c r="A1" s="1" t="s">
        <v>120</v>
      </c>
    </row>
    <row r="2" customFormat="false" ht="30" hidden="false" customHeight="true" outlineLevel="0" collapsed="false">
      <c r="A2" s="2" t="s">
        <v>121</v>
      </c>
    </row>
    <row r="4" customFormat="false" ht="30" hidden="false" customHeight="true" outlineLevel="0" collapsed="false">
      <c r="A4" s="9" t="s">
        <v>122</v>
      </c>
      <c r="B4" s="19" t="n">
        <v>0.0575</v>
      </c>
      <c r="C4" s="19" t="n">
        <v>0.06</v>
      </c>
      <c r="D4" s="19" t="n">
        <v>0.0625</v>
      </c>
      <c r="E4" s="19" t="n">
        <v>0.065</v>
      </c>
      <c r="F4" s="19" t="n">
        <v>0.0675</v>
      </c>
    </row>
    <row r="5" customFormat="false" ht="30" hidden="false" customHeight="true" outlineLevel="0" collapsed="false">
      <c r="A5" s="19" t="n">
        <v>0.065</v>
      </c>
      <c r="B5" s="10" t="n">
        <f aca="false">MIN(Underwriting!$B$14/B$4*Inputs!$B$17,(Underwriting!$B$16/Inputs!$B$18)/(-PMT($A5/12,Inputs!$B$16*12,1)*12),Underwriting!$B$16/Inputs!$B$19)</f>
        <v>9494887.32795146</v>
      </c>
      <c r="C5" s="10" t="n">
        <f aca="false">MIN(Underwriting!$B$14/C$4*Inputs!$B$17,(Underwriting!$B$16/Inputs!$B$18)/(-PMT($A5/12,Inputs!$B$16*12,1)*12),Underwriting!$B$16/Inputs!$B$19)</f>
        <v>9494887.32795146</v>
      </c>
      <c r="D5" s="10" t="n">
        <f aca="false">MIN(Underwriting!$B$14/D$4*Inputs!$B$17,(Underwriting!$B$16/Inputs!$B$18)/(-PMT($A5/12,Inputs!$B$16*12,1)*12),Underwriting!$B$16/Inputs!$B$19)</f>
        <v>9387166.88</v>
      </c>
      <c r="E5" s="10" t="n">
        <f aca="false">MIN(Underwriting!$B$14/E$4*Inputs!$B$17,(Underwriting!$B$16/Inputs!$B$18)/(-PMT($A5/12,Inputs!$B$16*12,1)*12),Underwriting!$B$16/Inputs!$B$19)</f>
        <v>9026122</v>
      </c>
      <c r="F5" s="10" t="n">
        <f aca="false">MIN(Underwriting!$B$14/F$4*Inputs!$B$17,(Underwriting!$B$16/Inputs!$B$18)/(-PMT($A5/12,Inputs!$B$16*12,1)*12),Underwriting!$B$16/Inputs!$B$19)</f>
        <v>8691821.18518519</v>
      </c>
    </row>
    <row r="6" customFormat="false" ht="30" hidden="false" customHeight="true" outlineLevel="0" collapsed="false">
      <c r="A6" s="19" t="n">
        <v>0.0675</v>
      </c>
      <c r="B6" s="10" t="n">
        <f aca="false">MIN(Underwriting!$B$14/B$4*Inputs!$B$17,(Underwriting!$B$16/Inputs!$B$18)/(-PMT($A6/12,Inputs!$B$16*12,1)*12),Underwriting!$B$16/Inputs!$B$19)</f>
        <v>9252902.0643456</v>
      </c>
      <c r="C6" s="10" t="n">
        <f aca="false">MIN(Underwriting!$B$14/C$4*Inputs!$B$17,(Underwriting!$B$16/Inputs!$B$18)/(-PMT($A6/12,Inputs!$B$16*12,1)*12),Underwriting!$B$16/Inputs!$B$19)</f>
        <v>9252902.0643456</v>
      </c>
      <c r="D6" s="10" t="n">
        <f aca="false">MIN(Underwriting!$B$14/D$4*Inputs!$B$17,(Underwriting!$B$16/Inputs!$B$18)/(-PMT($A6/12,Inputs!$B$16*12,1)*12),Underwriting!$B$16/Inputs!$B$19)</f>
        <v>9252902.0643456</v>
      </c>
      <c r="E6" s="10" t="n">
        <f aca="false">MIN(Underwriting!$B$14/E$4*Inputs!$B$17,(Underwriting!$B$16/Inputs!$B$18)/(-PMT($A6/12,Inputs!$B$16*12,1)*12),Underwriting!$B$16/Inputs!$B$19)</f>
        <v>9026122</v>
      </c>
      <c r="F6" s="10" t="n">
        <f aca="false">MIN(Underwriting!$B$14/F$4*Inputs!$B$17,(Underwriting!$B$16/Inputs!$B$18)/(-PMT($A6/12,Inputs!$B$16*12,1)*12),Underwriting!$B$16/Inputs!$B$19)</f>
        <v>8691821.18518519</v>
      </c>
    </row>
    <row r="7" customFormat="false" ht="30" hidden="false" customHeight="true" outlineLevel="0" collapsed="false">
      <c r="A7" s="19" t="n">
        <v>0.07</v>
      </c>
      <c r="B7" s="10" t="n">
        <f aca="false">MIN(Underwriting!$B$14/B$4*Inputs!$B$17,(Underwriting!$B$16/Inputs!$B$18)/(-PMT($A7/12,Inputs!$B$16*12,1)*12),Underwriting!$B$16/Inputs!$B$19)</f>
        <v>9020580.4279305</v>
      </c>
      <c r="C7" s="10" t="n">
        <f aca="false">MIN(Underwriting!$B$14/C$4*Inputs!$B$17,(Underwriting!$B$16/Inputs!$B$18)/(-PMT($A7/12,Inputs!$B$16*12,1)*12),Underwriting!$B$16/Inputs!$B$19)</f>
        <v>9020580.4279305</v>
      </c>
      <c r="D7" s="10" t="n">
        <f aca="false">MIN(Underwriting!$B$14/D$4*Inputs!$B$17,(Underwriting!$B$16/Inputs!$B$18)/(-PMT($A7/12,Inputs!$B$16*12,1)*12),Underwriting!$B$16/Inputs!$B$19)</f>
        <v>9020580.4279305</v>
      </c>
      <c r="E7" s="10" t="n">
        <f aca="false">MIN(Underwriting!$B$14/E$4*Inputs!$B$17,(Underwriting!$B$16/Inputs!$B$18)/(-PMT($A7/12,Inputs!$B$16*12,1)*12),Underwriting!$B$16/Inputs!$B$19)</f>
        <v>9020580.4279305</v>
      </c>
      <c r="F7" s="10" t="n">
        <f aca="false">MIN(Underwriting!$B$14/F$4*Inputs!$B$17,(Underwriting!$B$16/Inputs!$B$18)/(-PMT($A7/12,Inputs!$B$16*12,1)*12),Underwriting!$B$16/Inputs!$B$19)</f>
        <v>8691821.18518519</v>
      </c>
    </row>
    <row r="8" customFormat="false" ht="30" hidden="false" customHeight="true" outlineLevel="0" collapsed="false">
      <c r="A8" s="19" t="n">
        <v>0.0725</v>
      </c>
      <c r="B8" s="10" t="n">
        <f aca="false">MIN(Underwriting!$B$14/B$4*Inputs!$B$17,(Underwriting!$B$16/Inputs!$B$18)/(-PMT($A8/12,Inputs!$B$16*12,1)*12),Underwriting!$B$16/Inputs!$B$19)</f>
        <v>8797454.32686742</v>
      </c>
      <c r="C8" s="10" t="n">
        <f aca="false">MIN(Underwriting!$B$14/C$4*Inputs!$B$17,(Underwriting!$B$16/Inputs!$B$18)/(-PMT($A8/12,Inputs!$B$16*12,1)*12),Underwriting!$B$16/Inputs!$B$19)</f>
        <v>8797454.32686742</v>
      </c>
      <c r="D8" s="10" t="n">
        <f aca="false">MIN(Underwriting!$B$14/D$4*Inputs!$B$17,(Underwriting!$B$16/Inputs!$B$18)/(-PMT($A8/12,Inputs!$B$16*12,1)*12),Underwriting!$B$16/Inputs!$B$19)</f>
        <v>8797454.32686742</v>
      </c>
      <c r="E8" s="10" t="n">
        <f aca="false">MIN(Underwriting!$B$14/E$4*Inputs!$B$17,(Underwriting!$B$16/Inputs!$B$18)/(-PMT($A8/12,Inputs!$B$16*12,1)*12),Underwriting!$B$16/Inputs!$B$19)</f>
        <v>8797454.32686742</v>
      </c>
      <c r="F8" s="10" t="n">
        <f aca="false">MIN(Underwriting!$B$14/F$4*Inputs!$B$17,(Underwriting!$B$16/Inputs!$B$18)/(-PMT($A8/12,Inputs!$B$16*12,1)*12),Underwriting!$B$16/Inputs!$B$19)</f>
        <v>8691821.18518519</v>
      </c>
    </row>
    <row r="9" customFormat="false" ht="30" hidden="false" customHeight="true" outlineLevel="0" collapsed="false">
      <c r="A9" s="19" t="n">
        <v>0.075</v>
      </c>
      <c r="B9" s="10" t="n">
        <f aca="false">MIN(Underwriting!$B$14/B$4*Inputs!$B$17,(Underwriting!$B$16/Inputs!$B$18)/(-PMT($A9/12,Inputs!$B$16*12,1)*12),Underwriting!$B$16/Inputs!$B$19)</f>
        <v>8583080.86182062</v>
      </c>
      <c r="C9" s="10" t="n">
        <f aca="false">MIN(Underwriting!$B$14/C$4*Inputs!$B$17,(Underwriting!$B$16/Inputs!$B$18)/(-PMT($A9/12,Inputs!$B$16*12,1)*12),Underwriting!$B$16/Inputs!$B$19)</f>
        <v>8583080.86182062</v>
      </c>
      <c r="D9" s="10" t="n">
        <f aca="false">MIN(Underwriting!$B$14/D$4*Inputs!$B$17,(Underwriting!$B$16/Inputs!$B$18)/(-PMT($A9/12,Inputs!$B$16*12,1)*12),Underwriting!$B$16/Inputs!$B$19)</f>
        <v>8583080.86182062</v>
      </c>
      <c r="E9" s="10" t="n">
        <f aca="false">MIN(Underwriting!$B$14/E$4*Inputs!$B$17,(Underwriting!$B$16/Inputs!$B$18)/(-PMT($A9/12,Inputs!$B$16*12,1)*12),Underwriting!$B$16/Inputs!$B$19)</f>
        <v>8583080.86182062</v>
      </c>
      <c r="F9" s="10" t="n">
        <f aca="false">MIN(Underwriting!$B$14/F$4*Inputs!$B$17,(Underwriting!$B$16/Inputs!$B$18)/(-PMT($A9/12,Inputs!$B$16*12,1)*12),Underwriting!$B$16/Inputs!$B$19)</f>
        <v>8583080.86182062</v>
      </c>
    </row>
    <row r="11" customFormat="false" ht="30" hidden="false" customHeight="true" outlineLevel="0" collapsed="false">
      <c r="A11" s="9" t="s">
        <v>123</v>
      </c>
    </row>
    <row r="12" customFormat="false" ht="30" hidden="false" customHeight="true" outlineLevel="0" collapsed="false">
      <c r="A12" s="9" t="s">
        <v>124</v>
      </c>
      <c r="B12" s="9" t="s">
        <v>125</v>
      </c>
      <c r="C12" s="9" t="s">
        <v>126</v>
      </c>
      <c r="D12" s="9" t="s">
        <v>127</v>
      </c>
      <c r="E12" s="9" t="s">
        <v>128</v>
      </c>
      <c r="F12" s="9" t="s">
        <v>129</v>
      </c>
    </row>
    <row r="13" customFormat="false" ht="30" hidden="false" customHeight="true" outlineLevel="0" collapsed="false">
      <c r="A13" s="10" t="n">
        <f aca="false">Inputs!$B$3*0.95</f>
        <v>1332660</v>
      </c>
      <c r="B13" s="10" t="n">
        <f aca="false">A13*(1-Inputs!$B$4)+Inputs!$B$5*Inputs!$B$6</f>
        <v>1268827</v>
      </c>
      <c r="C13" s="10" t="n">
        <f aca="false">B13*(1-Inputs!$B$10)-Inputs!$B$7-Inputs!$B$8-Inputs!$B$9</f>
        <v>837978.19</v>
      </c>
      <c r="D13" s="10" t="n">
        <f aca="false">C13-Inputs!$B$11*Inputs!$B$6</f>
        <v>835578.19</v>
      </c>
      <c r="E13" s="10" t="n">
        <f aca="false">C13/Inputs!$B$12</f>
        <v>13407651.04</v>
      </c>
      <c r="F13" s="10" t="n">
        <f aca="false">MIN(E13*Inputs!$B$17,(D13/Inputs!$B$18)/(-PMT(Inputs!$B$13/12,Inputs!$B$16*12,1)*12),D13/Inputs!$B$19)</f>
        <v>7591701.02368884</v>
      </c>
    </row>
    <row r="14" customFormat="false" ht="30" hidden="false" customHeight="true" outlineLevel="0" collapsed="false">
      <c r="A14" s="10" t="n">
        <f aca="false">Inputs!$B$3</f>
        <v>1402800</v>
      </c>
      <c r="B14" s="10" t="n">
        <f aca="false">A14*(1-Inputs!$B$4)+Inputs!$B$5*Inputs!$B$6</f>
        <v>1335460</v>
      </c>
      <c r="C14" s="10" t="n">
        <f aca="false">B14*(1-Inputs!$B$10)-Inputs!$B$7-Inputs!$B$8-Inputs!$B$9</f>
        <v>902612.2</v>
      </c>
      <c r="D14" s="10" t="n">
        <f aca="false">C14-Inputs!$B$11*Inputs!$B$6</f>
        <v>900212.2</v>
      </c>
      <c r="E14" s="10" t="n">
        <f aca="false">C14/Inputs!$B$12</f>
        <v>14441795.2</v>
      </c>
      <c r="F14" s="10" t="n">
        <f aca="false">MIN(E14*Inputs!$B$17,(D14/Inputs!$B$18)/(-PMT(Inputs!$B$13/12,Inputs!$B$16*12,1)*12),D14/Inputs!$B$19)</f>
        <v>8178937.60520148</v>
      </c>
    </row>
    <row r="15" customFormat="false" ht="30" hidden="false" customHeight="true" outlineLevel="0" collapsed="false">
      <c r="A15" s="10" t="n">
        <f aca="false">Inputs!$B$3*1.05</f>
        <v>1472940</v>
      </c>
      <c r="B15" s="10" t="n">
        <f aca="false">A15*(1-Inputs!$B$4)+Inputs!$B$5*Inputs!$B$6</f>
        <v>1402093</v>
      </c>
      <c r="C15" s="10" t="n">
        <f aca="false">B15*(1-Inputs!$B$10)-Inputs!$B$7-Inputs!$B$8-Inputs!$B$9</f>
        <v>967246.21</v>
      </c>
      <c r="D15" s="10" t="n">
        <f aca="false">C15-Inputs!$B$11*Inputs!$B$6</f>
        <v>964846.21</v>
      </c>
      <c r="E15" s="10" t="n">
        <f aca="false">C15/Inputs!$B$12</f>
        <v>15475939.36</v>
      </c>
      <c r="F15" s="10" t="n">
        <f aca="false">MIN(E15*Inputs!$B$17,(D15/Inputs!$B$18)/(-PMT(Inputs!$B$13/12,Inputs!$B$16*12,1)*12),D15/Inputs!$B$19)</f>
        <v>8766174.18671411</v>
      </c>
    </row>
    <row r="17" customFormat="false" ht="30" hidden="false" customHeight="true" outlineLevel="0" collapsed="false">
      <c r="A17" s="2" t="s">
        <v>130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30" hidden="false" customHeight="true" outlineLevel="0" collapsed="false">
      <c r="A1" s="1" t="s">
        <v>131</v>
      </c>
    </row>
    <row r="3" customFormat="false" ht="30" hidden="false" customHeight="true" outlineLevel="0" collapsed="false">
      <c r="A3" s="9" t="s">
        <v>132</v>
      </c>
      <c r="B3" s="9" t="s">
        <v>133</v>
      </c>
      <c r="C3" s="9" t="s">
        <v>134</v>
      </c>
    </row>
    <row r="4" customFormat="false" ht="30" hidden="false" customHeight="true" outlineLevel="0" collapsed="false">
      <c r="A4" s="2" t="s">
        <v>135</v>
      </c>
      <c r="B4" s="2" t="s">
        <v>136</v>
      </c>
      <c r="C4" s="2" t="s">
        <v>137</v>
      </c>
    </row>
    <row r="5" customFormat="false" ht="30" hidden="false" customHeight="true" outlineLevel="0" collapsed="false">
      <c r="A5" s="2" t="s">
        <v>138</v>
      </c>
      <c r="B5" s="2" t="s">
        <v>136</v>
      </c>
      <c r="C5" s="2" t="s">
        <v>139</v>
      </c>
    </row>
    <row r="6" customFormat="false" ht="30" hidden="false" customHeight="true" outlineLevel="0" collapsed="false">
      <c r="A6" s="2" t="s">
        <v>140</v>
      </c>
      <c r="B6" s="2" t="s">
        <v>141</v>
      </c>
      <c r="C6" s="2" t="s">
        <v>142</v>
      </c>
    </row>
    <row r="7" customFormat="false" ht="30" hidden="false" customHeight="true" outlineLevel="0" collapsed="false">
      <c r="A7" s="2" t="s">
        <v>143</v>
      </c>
      <c r="B7" s="2" t="s">
        <v>141</v>
      </c>
      <c r="C7" s="2" t="s">
        <v>144</v>
      </c>
    </row>
    <row r="8" customFormat="false" ht="30" hidden="false" customHeight="true" outlineLevel="0" collapsed="false">
      <c r="A8" s="2" t="s">
        <v>145</v>
      </c>
      <c r="B8" s="2" t="s">
        <v>141</v>
      </c>
      <c r="C8" s="2" t="s">
        <v>146</v>
      </c>
    </row>
    <row r="9" customFormat="false" ht="30" hidden="false" customHeight="true" outlineLevel="0" collapsed="false">
      <c r="A9" s="2" t="s">
        <v>147</v>
      </c>
      <c r="B9" s="2" t="s">
        <v>141</v>
      </c>
      <c r="C9" s="2" t="s">
        <v>148</v>
      </c>
    </row>
    <row r="10" customFormat="false" ht="30" hidden="false" customHeight="true" outlineLevel="0" collapsed="false">
      <c r="A10" s="2" t="s">
        <v>149</v>
      </c>
      <c r="B10" s="2" t="s">
        <v>141</v>
      </c>
      <c r="C10" s="2" t="s">
        <v>150</v>
      </c>
    </row>
    <row r="11" customFormat="false" ht="30" hidden="false" customHeight="true" outlineLevel="0" collapsed="false">
      <c r="A11" s="2" t="s">
        <v>151</v>
      </c>
      <c r="B11" s="2" t="s">
        <v>141</v>
      </c>
      <c r="C11" s="2" t="s">
        <v>152</v>
      </c>
    </row>
    <row r="12" customFormat="false" ht="30" hidden="false" customHeight="true" outlineLevel="0" collapsed="false">
      <c r="A12" s="2" t="s">
        <v>153</v>
      </c>
      <c r="B12" s="2" t="s">
        <v>141</v>
      </c>
      <c r="C12" s="2" t="s">
        <v>154</v>
      </c>
    </row>
    <row r="14" customFormat="false" ht="30" hidden="false" customHeight="true" outlineLevel="0" collapsed="false">
      <c r="A14" s="9" t="s">
        <v>155</v>
      </c>
      <c r="B14" s="2" t="s">
        <v>156</v>
      </c>
      <c r="C14" s="2" t="s">
        <v>157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2026-09-07T14:15:40Z</dcterms:created>
  <dc:creator>openpyxl</dc:creator>
  <dc:description/>
  <dc:language>en-US</dc:language>
  <cp:lastModifiedBy/>
  <dcterms:modified xsi:type="dcterms:W3CDTF">2026-09-07T14:19:56Z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