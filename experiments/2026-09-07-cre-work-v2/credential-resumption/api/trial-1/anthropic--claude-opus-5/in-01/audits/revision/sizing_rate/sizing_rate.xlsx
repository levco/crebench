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Debt" sheetId="4" state="visible" r:id="rId6"/>
    <sheet name="Changes" sheetId="5" state="visible" r:id="rId7"/>
    <sheet name="Sensitivity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<sst xmlns="http://schemas.openxmlformats.org/spreadsheetml/2006/main" count="242" uniqueCount="203">
  <si>
    <t xml:space="preserve">Falcon Distribution | Underwriting inputs (REVISED per revision-notice.pdf, roll as of 2026-09-01)</t>
  </si>
  <si>
    <t xml:space="preserve">Original fictional evaluation material; no real transaction. Revision 2 supersedes the 2026-08-31 version; prior workbook retained in the archive.</t>
  </si>
  <si>
    <t xml:space="preserve">Gross potential rent (annual, all suites)</t>
  </si>
  <si>
    <t xml:space="preserve">Revised all-suite scheduled monthly rent $117,125 x 12 (rent-roll-revised.xlsx E5:E12); was $1,402,800</t>
  </si>
  <si>
    <t xml:space="preserve">Economic loss (vacancy/credit)</t>
  </si>
  <si>
    <t xml:space="preserve">Unchanged (underwriting-instructions.pdf p.1)</t>
  </si>
  <si>
    <t xml:space="preserve">Other income per unit/suite (annual)</t>
  </si>
  <si>
    <t xml:space="preserve">Unchanged; reimbursements already included, not double counted</t>
  </si>
  <si>
    <t xml:space="preserve">Unit/suite count</t>
  </si>
  <si>
    <t xml:space="preserve">Real estate tax expense</t>
  </si>
  <si>
    <t xml:space="preserve">Insurance expense</t>
  </si>
  <si>
    <t xml:space="preserve">Other recurring operating expenses</t>
  </si>
  <si>
    <t xml:space="preserve">Management fee (% of underwritten EGI)</t>
  </si>
  <si>
    <t xml:space="preserve">Replacement reserve per unit/suite</t>
  </si>
  <si>
    <t xml:space="preserve">Capitalization rate (NOI before reserves)</t>
  </si>
  <si>
    <t xml:space="preserve">REVISED: 6.2500% + 25 bps = 6.5000%</t>
  </si>
  <si>
    <t xml:space="preserve">Sizing rate applied</t>
  </si>
  <si>
    <t xml:space="preserve">REVISED: prior sizing rate 7.0000% + 75 bps = 7.7500%; still the greater of note rate and floor</t>
  </si>
  <si>
    <t xml:space="preserve">Note rate (contract, unchanged)</t>
  </si>
  <si>
    <t xml:space="preserve">Underwriting rate floor as revised</t>
  </si>
  <si>
    <t xml:space="preserve">Floor 7.0000% + 75 bps; exceeds the 6.1000% note rate, so the floor still binds</t>
  </si>
  <si>
    <t xml:space="preserve">Amortization (years, monthly pay)</t>
  </si>
  <si>
    <t xml:space="preserve">Maximum LTV</t>
  </si>
  <si>
    <t xml:space="preserve">Minimum DSCR (on NCF)</t>
  </si>
  <si>
    <t xml:space="preserve">Minimum NCF debt yield</t>
  </si>
  <si>
    <t xml:space="preserve">Origination fee (% of sized loan)</t>
  </si>
  <si>
    <t xml:space="preserve">Closing costs</t>
  </si>
  <si>
    <t xml:space="preserve">Existing loan payoff (unchanged)</t>
  </si>
  <si>
    <t xml:space="preserve">Rate-floor check: greater of note rate and revised floor</t>
  </si>
  <si>
    <t xml:space="preserve">Ties to the sizing rate input in B13</t>
  </si>
  <si>
    <t xml:space="preserve">Revised certified rent roll as of 2026-09-01 (rent-roll-revised.xlsx)</t>
  </si>
  <si>
    <t xml:space="preserve">Groups: A = Small suite, B = Standard suite, C = Large suite (manager-cover.pdf p.1). Supersedes the 2026-08-31 certified roll; 2026-06-30 archive remains stale.</t>
  </si>
  <si>
    <t xml:space="preserve">Suite</t>
  </si>
  <si>
    <t xml:space="preserve">Unit type</t>
  </si>
  <si>
    <t xml:space="preserve">Group</t>
  </si>
  <si>
    <t xml:space="preserve">Area SF</t>
  </si>
  <si>
    <t xml:space="preserve">Status</t>
  </si>
  <si>
    <t xml:space="preserve">Monthly rent</t>
  </si>
  <si>
    <t xml:space="preserve">Annual rent</t>
  </si>
  <si>
    <t xml:space="preserve">Expiration</t>
  </si>
  <si>
    <t xml:space="preserve">Prior monthly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</si>
  <si>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</si>
  <si>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</si>
  <si>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</si>
  <si>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</si>
  <si>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</si>
  <si>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</si>
  <si>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</si>
  <si>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</si>
  <si>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</si>
  <si>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</si>
  <si>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</si>
  <si>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</si>
  <si>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</si>
  <si>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</si>
  <si>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</si>
  <si>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</si>
  <si>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</si>
  <si>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</t>
  </si>
  <si>
    <t xml:space="preserve">Total units</t>
  </si>
  <si>
    <t xml:space="preserve">Occupied units (status active)</t>
  </si>
  <si>
    <t xml:space="preserve">Pending units (leased, no possession)</t>
  </si>
  <si>
    <t xml:space="preserve">Vacant units</t>
  </si>
  <si>
    <t xml:space="preserve">Total area SF</t>
  </si>
  <si>
    <t xml:space="preserve">Occupied area SF</t>
  </si>
  <si>
    <t xml:space="preserve">Unit occupancy</t>
  </si>
  <si>
    <t xml:space="preserve">Area occupancy</t>
  </si>
  <si>
    <t xml:space="preserve">Annual in-place rent (active suites)</t>
  </si>
  <si>
    <t xml:space="preserve">Gross potential rent (all suites, annual)</t>
  </si>
  <si>
    <t xml:space="preserve">Units</t>
  </si>
  <si>
    <t xml:space="preserve">Occupied</t>
  </si>
  <si>
    <t xml:space="preserve">A (Small suite)</t>
  </si>
  <si>
    <t xml:space="preserve">B (Standard suite)</t>
  </si>
  <si>
    <t xml:space="preserve">C (Large suite)</t>
  </si>
  <si>
    <t xml:space="preserve">Suite 001 monthly rent per executed lease (lease-001.pdf p.1)</t>
  </si>
  <si>
    <t xml:space="preserve">Unchanged; no amendment or unsigned proposal in the packet</t>
  </si>
  <si>
    <t xml:space="preserve">Active suite expiries within 12 months of 2026-09-01</t>
  </si>
  <si>
    <t xml:space="preserve">Only change versus the prior roll: Suite 002 scheduled rent +$225 per month ($14,600 to $14,825). Statuses, areas and expirations unchanged.</t>
  </si>
  <si>
    <t xml:space="preserve">Underwritten cash flow (revised)</t>
  </si>
  <si>
    <t xml:space="preserve">Rules per underwriting-instructions.pdf p.1; cap rate per revision-notice.pdf p.1</t>
  </si>
  <si>
    <t xml:space="preserve">Gross potential rent (annual)</t>
  </si>
  <si>
    <t xml:space="preserve">Economic loss at 5%</t>
  </si>
  <si>
    <t xml:space="preserve">Other income ($350 per suite)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</si>
  <si>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</si>
  <si>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</si>
  <si>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</si>
  <si>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</si>
  <si>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</si>
  <si>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Underwritten NOI before reserves</t>
  </si>
  <si>
    <t xml:space="preserve">Replacement reserves ($300 per suite)</t>
  </si>
  <si>
    <t xml:space="preserve">Underwritten NCF after reserves</t>
  </si>
  <si>
    <t xml:space="preserve">Capitalization rate (revised 6.5000%)</t>
  </si>
  <si>
    <t xml:space="preserve">Capitalization value (NOI before reserves / cap rate)</t>
  </si>
  <si>
    <t xml:space="preserve">Operating expense ratio (share of EGI)</t>
  </si>
  <si>
    <t xml:space="preserve">Historical T-12 comparison (operating-statement.pdf p.1, unchanged)</t>
  </si>
  <si>
    <t xml:space="preserve">T-12 rental and ancillary collections</t>
  </si>
  <si>
    <t xml:space="preserve">T-12 real estate tax</t>
  </si>
  <si>
    <t xml:space="preserve">T-12 insurance</t>
  </si>
  <si>
    <t xml:space="preserve">T-12 other recurring operating expenses</t>
  </si>
  <si>
    <t xml:space="preserve">Roof replacement booked in repairs (capital)</t>
  </si>
  <si>
    <t xml:space="preserve">Reported T-12 NOI (no management fee or reserves)</t>
  </si>
  <si>
    <t xml:space="preserve">Ties to reported NOI 869,736 on the statement</t>
  </si>
  <si>
    <t xml:space="preserve">Underwritten NOI less reported T-12 NOI</t>
  </si>
  <si>
    <t xml:space="preserve">Debt sizing and sources / uses (revised)</t>
  </si>
  <si>
    <t xml:space="preserve">Sized at the revised 7.7500% rate (greater of note rate and revised floor), 30-year monthly amortization</t>
  </si>
  <si>
    <t xml:space="preserve">LTV limit (65% of capitalization value)</t>
  </si>
  <si>
    <t xml:space="preserve">Maximum annual debt service at 1.25x DSCR on NCF</t>
  </si>
  <si>
    <t xml:space="preserve">Annual debt service constant per $1 of loan</t>
  </si>
  <si>
    <t xml:space="preserve">DSCR-constrained loan</t>
  </si>
  <si>
    <t xml:space="preserve">Debt-yield-constrained loan (NCF / 9%)</t>
  </si>
  <si>
    <t xml:space="preserve">Maximum loan (binding constraint)</t>
  </si>
  <si>
    <t xml:space="preserve">Binding test</t>
  </si>
  <si>
    <t xml:space="preserve">Sources and uses</t>
  </si>
  <si>
    <t xml:space="preserve">Loan proceeds (source)</t>
  </si>
  <si>
    <t xml:space="preserve">Origination fee at 1% (use)</t>
  </si>
  <si>
    <t xml:space="preserve">Closing costs (use)</t>
  </si>
  <si>
    <t xml:space="preserve">Existing loan payoff (use)</t>
  </si>
  <si>
    <t xml:space="preserve">Net cash-out (negative = additional equity required)</t>
  </si>
  <si>
    <t xml:space="preserve">Implied DSCR at maximum loan</t>
  </si>
  <si>
    <t xml:space="preserve">Implied NCF debt yield</t>
  </si>
  <si>
    <t xml:space="preserve">Implied LTV on capitalization value</t>
  </si>
  <si>
    <t xml:space="preserve">Interest-only annual interest, first 24 months at note rate</t>
  </si>
  <si>
    <t xml:space="preserve">Informational; sizing uses the 7.7500% revised rate and 30-year amortization</t>
  </si>
  <si>
    <t xml:space="preserve">Revision reconciliation: prior (2026-08-31 roll) versus revised (2026-09-01 roll)</t>
  </si>
  <si>
    <t xml:space="preserve">Prior workbook artifacts/underwriting-v2.xlsx remains in the audit archive and is not replaced.</t>
  </si>
  <si>
    <t xml:space="preserve">Item</t>
  </si>
  <si>
    <t xml:space="preserve">Prior</t>
  </si>
  <si>
    <t xml:space="preserve">Revised</t>
  </si>
  <si>
    <t xml:space="preserve">Change</t>
  </si>
  <si>
    <t xml:space="preserve">Driver</t>
  </si>
  <si>
    <t xml:space="preserve">Controlling roll date</t>
  </si>
  <si>
    <t xml:space="preserve">2026-08-31</t>
  </si>
  <si>
    <t xml:space="preserve">2026-09-01</t>
  </si>
  <si>
    <t xml:space="preserve">superseded</t>
  </si>
  <si>
    <t xml:space="preserve">revision-notice.pdf p.1</t>
  </si>
  <si>
    <t xml:space="preserve">Suite 002 monthly rent</t>
  </si>
  <si>
    <t xml:space="preserve">+$225 per revision notice</t>
  </si>
  <si>
    <t xml:space="preserve">Gross potential rent</t>
  </si>
  <si>
    <t xml:space="preserve">$225 x 12</t>
  </si>
  <si>
    <t xml:space="preserve">Annual in-place rent</t>
  </si>
  <si>
    <t xml:space="preserve">Suite 002 already active; rent increase only</t>
  </si>
  <si>
    <t xml:space="preserve">95% of higher GPR</t>
  </si>
  <si>
    <t xml:space="preserve">NOI before reserves</t>
  </si>
  <si>
    <t xml:space="preserve">EGI increase net of 3% management fee</t>
  </si>
  <si>
    <t xml:space="preserve">NCF after reserves</t>
  </si>
  <si>
    <t xml:space="preserve">Reserves unchanged at $2,400</t>
  </si>
  <si>
    <t xml:space="preserve">Capitalization rate</t>
  </si>
  <si>
    <t xml:space="preserve">+25 bps per revision notice</t>
  </si>
  <si>
    <t xml:space="preserve">Capitalization value</t>
  </si>
  <si>
    <t xml:space="preserve">Higher NOI more than offset by higher cap rate</t>
  </si>
  <si>
    <t xml:space="preserve">Sizing rate</t>
  </si>
  <si>
    <t xml:space="preserve">+75 bps per revision notice; still above the 6.1000% note rate</t>
  </si>
  <si>
    <t xml:space="preserve">LTV limit</t>
  </si>
  <si>
    <t xml:space="preserve">Lower cap value</t>
  </si>
  <si>
    <t xml:space="preserve">DSCR limit</t>
  </si>
  <si>
    <t xml:space="preserve">Higher constant at 7.7500%</t>
  </si>
  <si>
    <t xml:space="preserve">Debt yield limit</t>
  </si>
  <si>
    <t xml:space="preserve">Higher NCF</t>
  </si>
  <si>
    <t xml:space="preserve">Maximum loan</t>
  </si>
  <si>
    <t xml:space="preserve">DSCR remains the binding test</t>
  </si>
  <si>
    <t xml:space="preserve">Net cash-out</t>
  </si>
  <si>
    <t xml:space="preserve">Smaller loan, same payoff and costs</t>
  </si>
  <si>
    <t xml:space="preserve">Unaffected facts preserved: 8 suites, 176,060 SF, 7 active / 1 vacant (Suite 008), occupancy 0.8750 by unit and area, Suite 001 rent $14,450, all expirations 2029-08-31, tax/insurance/other expenses, reserves, LTV/DSCR/debt-yield tests, fees, $7,800,000 payoff, insurance limit $2,000,000, reported T-12 NOI $869,736.</t>
  </si>
  <si>
    <t xml:space="preserve">Maximum loan sensitivity: sizing rate (rows) vs cap rate (columns) - revised base 7.7500% / 6.5000%</t>
  </si>
  <si>
    <t xml:space="preserve">Each cell = MIN(LTV limit, DSCR limit, debt yield limit) holding revised NOI and NCF constant</t>
  </si>
  <si>
    <t xml:space="preserve">Sizing rate / Cap rate</t>
  </si>
  <si>
    <t xml:space="preserve">Gross potential rent scenarios (5% loss, other income and expenses per instructions)</t>
  </si>
  <si>
    <t xml:space="preserve">GPR</t>
  </si>
  <si>
    <t xml:space="preserve">EGI</t>
  </si>
  <si>
    <t xml:space="preserve">NCF</t>
  </si>
  <si>
    <t xml:space="preserve">Cap value</t>
  </si>
  <si>
    <t xml:space="preserve">Row 14 and the 7.7500% / 6.5000% cell tie to the revised base case on the Underwriting and Debt sheets.</t>
  </si>
  <si>
    <t xml:space="preserve">Source register (revision 2)</t>
  </si>
  <si>
    <t xml:space="preserve">File</t>
  </si>
  <si>
    <t xml:space="preserve">Location</t>
  </si>
  <si>
    <t xml:space="preserve">Fact used</t>
  </si>
  <si>
    <t xml:space="preserve">rent-roll-revised.xlsx</t>
  </si>
  <si>
    <t xml:space="preserve">Rent Roll A2:F12</t>
  </si>
  <si>
    <t xml:space="preserve">Controlling roll as of 2026-09-01: 8 suites, 176,060 SF, 7 active / 1 vacant, Suite 002 at $14,825, expirations 2029-08-31</t>
  </si>
  <si>
    <t xml:space="preserve">revision-notice.pdf</t>
  </si>
  <si>
    <t xml:space="preserve">p.1</t>
  </si>
  <si>
    <t xml:space="preserve">Revised roll supersedes prior roll; Suite 002 rent +$225; sizing rate +75 bps; cap rate +25 bps; all other rules and payoff unchanged</t>
  </si>
  <si>
    <t xml:space="preserve">rent-roll-certified.xlsx</t>
  </si>
  <si>
    <t xml:space="preserve">Prior 2026-08-31 roll; superseded, retained for comparison on the Changes sheet</t>
  </si>
  <si>
    <t xml:space="preserve">rent-roll-archive.xlsx</t>
  </si>
  <si>
    <t xml:space="preserve">Stale 2026-06-30 roll; excluded</t>
  </si>
  <si>
    <t xml:space="preserve">lease-001.pdf</t>
  </si>
  <si>
    <t xml:space="preserve">Executed Suite 001 lease: $14,450 per month, 21,880 SF, expiry 2029-08-31, deposit $28,900, no free rent</t>
  </si>
  <si>
    <t xml:space="preserve">lease-correspondence.pdf</t>
  </si>
  <si>
    <t xml:space="preserve">Manager confirmation dated 2026-08-31: no amendments or new concessions affect Suite 001</t>
  </si>
  <si>
    <t xml:space="preserve">operating-statement.pdf</t>
  </si>
  <si>
    <t xml:space="preserve">T-12 to 2026-08-31: collections 1,262,520; tax 147,294; insurance 49,098; other 196,392; roof in repairs 0; reported NOI 869,736</t>
  </si>
  <si>
    <t xml:space="preserve">insurance.pdf</t>
  </si>
  <si>
    <t xml:space="preserve">General liability aggregate limit $2,000,000; policy period 2026-07-01 to 2027-06-30</t>
  </si>
  <si>
    <t xml:space="preserve">underwriting-instructions.pdf</t>
  </si>
  <si>
    <t xml:space="preserve">Underwriting rules, expense amounts, loan constraints, fees, closing costs, payoff, greater-of-rate sizing</t>
  </si>
  <si>
    <t xml:space="preserve">manager-cover.pdf</t>
  </si>
  <si>
    <t xml:space="preserve">Indianapolis industrial; leased headline includes unpossessed pending occupants; A/B/C group mapping; approved copy</t>
  </si>
  <si>
    <t xml:space="preserve">diligence-status.pdf</t>
  </si>
  <si>
    <t xml:space="preserve">Legal, environmental, property condition and title reviews incomplete; no defect findings supplied</t>
  </si>
  <si>
    <t xml:space="preserve">Not supplied (explicitly unknown)</t>
  </si>
  <si>
    <t xml:space="preserve">Unknown</t>
  </si>
  <si>
    <t xml:space="preserve">Photos, asking price, market sales and rent comps, sponsor history, appraisal, tenant financials, Suite 008 leasing plan, signed Suite 002 amendment document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</si>
</sst>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0"/>
    <numFmt numFmtId="168" formatCode="0.0000%"/>
    <numFmt numFmtId="169" formatCode="0.00"/>
    <numFmt numFmtId="170" formatCode="0.0000"/>
    <numFmt numFmtId="171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4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30" hidden="false" customHeight="true" outlineLevel="0" collapsed="false">
      <c r="A3" s="2" t="s">
        <v>2</v>
      </c>
      <c r="B3" s="3" t="n">
        <v>1405500</v>
      </c>
      <c r="C3" s="2" t="s">
        <v>3</v>
      </c>
    </row>
    <row r="4" customFormat="false" ht="30" hidden="false" customHeight="true" outlineLevel="0" collapsed="false">
      <c r="A4" s="2" t="s">
        <v>4</v>
      </c>
      <c r="B4" s="4" t="n">
        <v>0.05</v>
      </c>
      <c r="C4" s="2" t="s">
        <v>5</v>
      </c>
    </row>
    <row r="5" customFormat="false" ht="30" hidden="false" customHeight="true" outlineLevel="0" collapsed="false">
      <c r="A5" s="2" t="s">
        <v>6</v>
      </c>
      <c r="B5" s="3" t="n">
        <v>350</v>
      </c>
      <c r="C5" s="2" t="s">
        <v>7</v>
      </c>
    </row>
    <row r="6" customFormat="false" ht="30" hidden="false" customHeight="true" outlineLevel="0" collapsed="false">
      <c r="A6" s="2" t="s">
        <v>8</v>
      </c>
      <c r="B6" s="5" t="n">
        <v>8</v>
      </c>
    </row>
    <row r="7" customFormat="false" ht="30" hidden="false" customHeight="true" outlineLevel="0" collapsed="false">
      <c r="A7" s="2" t="s">
        <v>9</v>
      </c>
      <c r="B7" s="3" t="n">
        <v>147294</v>
      </c>
    </row>
    <row r="8" customFormat="false" ht="30" hidden="false" customHeight="true" outlineLevel="0" collapsed="false">
      <c r="A8" s="2" t="s">
        <v>10</v>
      </c>
      <c r="B8" s="3" t="n">
        <v>49098</v>
      </c>
    </row>
    <row r="9" customFormat="false" ht="30" hidden="false" customHeight="true" outlineLevel="0" collapsed="false">
      <c r="A9" s="2" t="s">
        <v>11</v>
      </c>
      <c r="B9" s="3" t="n">
        <v>196392</v>
      </c>
    </row>
    <row r="10" customFormat="false" ht="30" hidden="false" customHeight="true" outlineLevel="0" collapsed="false">
      <c r="A10" s="2" t="s">
        <v>12</v>
      </c>
      <c r="B10" s="4" t="n">
        <v>0.03</v>
      </c>
    </row>
    <row r="11" customFormat="false" ht="30" hidden="false" customHeight="true" outlineLevel="0" collapsed="false">
      <c r="A11" s="2" t="s">
        <v>13</v>
      </c>
      <c r="B11" s="3" t="n">
        <v>300</v>
      </c>
    </row>
    <row r="12" customFormat="false" ht="30" hidden="false" customHeight="true" outlineLevel="0" collapsed="false">
      <c r="A12" s="2" t="s">
        <v>14</v>
      </c>
      <c r="B12" s="6" t="n">
        <v>0.065</v>
      </c>
      <c r="C12" s="2" t="s">
        <v>15</v>
      </c>
    </row>
    <row r="13" customFormat="false" ht="30" hidden="false" customHeight="true" outlineLevel="0" collapsed="false">
      <c r="A13" s="2" t="s">
        <v>16</v>
      </c>
      <c r="B13" s="6" t="n">
        <v>0.0875</v>
      </c>
      <c r="C13" s="2" t="s">
        <v>17</v>
      </c>
    </row>
    <row r="14" customFormat="false" ht="30" hidden="false" customHeight="true" outlineLevel="0" collapsed="false">
      <c r="A14" s="2" t="s">
        <v>18</v>
      </c>
      <c r="B14" s="6" t="n">
        <v>0.061</v>
      </c>
    </row>
    <row r="15" customFormat="false" ht="30" hidden="false" customHeight="true" outlineLevel="0" collapsed="false">
      <c r="A15" s="2" t="s">
        <v>19</v>
      </c>
      <c r="B15" s="6" t="n">
        <v>0.0775</v>
      </c>
      <c r="C15" s="2" t="s">
        <v>20</v>
      </c>
    </row>
    <row r="16" customFormat="false" ht="30" hidden="false" customHeight="true" outlineLevel="0" collapsed="false">
      <c r="A16" s="2" t="s">
        <v>21</v>
      </c>
      <c r="B16" s="5" t="n">
        <v>30</v>
      </c>
    </row>
    <row r="17" customFormat="false" ht="30" hidden="false" customHeight="true" outlineLevel="0" collapsed="false">
      <c r="A17" s="2" t="s">
        <v>22</v>
      </c>
      <c r="B17" s="4" t="n">
        <v>0.65</v>
      </c>
    </row>
    <row r="18" customFormat="false" ht="30" hidden="false" customHeight="true" outlineLevel="0" collapsed="false">
      <c r="A18" s="2" t="s">
        <v>23</v>
      </c>
      <c r="B18" s="7" t="n">
        <v>1.25</v>
      </c>
    </row>
    <row r="19" customFormat="false" ht="30" hidden="false" customHeight="true" outlineLevel="0" collapsed="false">
      <c r="A19" s="2" t="s">
        <v>24</v>
      </c>
      <c r="B19" s="4" t="n">
        <v>0.09</v>
      </c>
    </row>
    <row r="20" customFormat="false" ht="30" hidden="false" customHeight="true" outlineLevel="0" collapsed="false">
      <c r="A20" s="2" t="s">
        <v>25</v>
      </c>
      <c r="B20" s="4" t="n">
        <v>0.01</v>
      </c>
    </row>
    <row r="21" customFormat="false" ht="30" hidden="false" customHeight="true" outlineLevel="0" collapsed="false">
      <c r="A21" s="2" t="s">
        <v>26</v>
      </c>
      <c r="B21" s="3" t="n">
        <v>45000</v>
      </c>
    </row>
    <row r="22" customFormat="false" ht="30" hidden="false" customHeight="true" outlineLevel="0" collapsed="false">
      <c r="A22" s="2" t="s">
        <v>27</v>
      </c>
      <c r="B22" s="3" t="n">
        <v>7800000</v>
      </c>
    </row>
    <row r="24" customFormat="false" ht="30" hidden="false" customHeight="true" outlineLevel="0" collapsed="false">
      <c r="A24" s="2" t="s">
        <v>28</v>
      </c>
      <c r="B24" s="8" t="n">
        <f aca="false">MAX(B14,B15)</f>
        <v>0.0775</v>
      </c>
      <c r="C24" s="2" t="s">
        <v>29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9" min="6" style="0" width="14"/>
  </cols>
  <sheetData>
    <row r="1" customFormat="false" ht="30" hidden="false" customHeight="true" outlineLevel="0" collapsed="false">
      <c r="A1" s="1" t="s">
        <v>30</v>
      </c>
    </row>
    <row r="2" customFormat="false" ht="30" hidden="false" customHeight="true" outlineLevel="0" collapsed="false">
      <c r="A2" s="2" t="s">
        <v>31</v>
      </c>
    </row>
    <row r="4" customFormat="false" ht="30" hidden="false" customHeight="true" outlineLevel="0" collapsed="false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  <c r="H4" s="9" t="s">
        <v>39</v>
      </c>
      <c r="I4" s="9" t="s">
        <v>40</v>
      </c>
    </row>
    <row r="5" customFormat="false" ht="30" hidden="false" customHeight="true" outlineLevel="0" collapsed="false">
      <c r="A5" s="2" t="s">
        <v>41</v>
      </c>
      <c r="B5" s="2" t="s">
        <v>42</v>
      </c>
      <c r="C5" s="2" t="s">
        <v>43</v>
      </c>
      <c r="D5" s="10" t="n">
        <v>21880</v>
      </c>
      <c r="E5" s="2" t="s">
        <v>44</v>
      </c>
      <c r="F5" s="10" t="n">
        <v>14450</v>
      </c>
      <c r="G5" s="10" t="n">
        <f aca="false">F5*12</f>
        <v>173400</v>
      </c>
      <c r="H5" s="2" t="s">
        <v>45</v>
      </c>
      <c r="I5" s="10" t="n">
        <v>14450</v>
      </c>
    </row>
    <row r="6" customFormat="false" ht="30" hidden="false" customHeight="true" outlineLevel="0" collapsed="false">
      <c r="A6" s="2" t="s">
        <v>46</v>
      </c>
      <c r="B6" s="2" t="s">
        <v>47</v>
      </c>
      <c r="C6" s="2" t="s">
        <v>48</v>
      </c>
      <c r="D6" s="10" t="n">
        <v>22000</v>
      </c>
      <c r="E6" s="2" t="s">
        <v>44</v>
      </c>
      <c r="F6" s="10" t="n">
        <v>14825</v>
      </c>
      <c r="G6" s="10" t="n">
        <f aca="false">F6*12</f>
        <v>177900</v>
      </c>
      <c r="H6" s="2" t="s">
        <v>45</v>
      </c>
      <c r="I6" s="10" t="n">
        <v>14600</v>
      </c>
    </row>
    <row r="7" customFormat="false" ht="30" hidden="false" customHeight="true" outlineLevel="0" collapsed="false">
      <c r="A7" s="2" t="s">
        <v>49</v>
      </c>
      <c r="B7" s="2" t="s">
        <v>50</v>
      </c>
      <c r="C7" s="2" t="s">
        <v>51</v>
      </c>
      <c r="D7" s="10" t="n">
        <v>22210</v>
      </c>
      <c r="E7" s="2" t="s">
        <v>44</v>
      </c>
      <c r="F7" s="10" t="n">
        <v>14875</v>
      </c>
      <c r="G7" s="10" t="n">
        <f aca="false">F7*12</f>
        <v>178500</v>
      </c>
      <c r="H7" s="2" t="s">
        <v>45</v>
      </c>
      <c r="I7" s="10" t="n">
        <v>14875</v>
      </c>
    </row>
    <row r="8" customFormat="false" ht="30" hidden="false" customHeight="true" outlineLevel="0" collapsed="false">
      <c r="A8" s="2" t="s">
        <v>52</v>
      </c>
      <c r="B8" s="2" t="s">
        <v>42</v>
      </c>
      <c r="C8" s="2" t="s">
        <v>43</v>
      </c>
      <c r="D8" s="10" t="n">
        <v>21880</v>
      </c>
      <c r="E8" s="2" t="s">
        <v>44</v>
      </c>
      <c r="F8" s="10" t="n">
        <v>14450</v>
      </c>
      <c r="G8" s="10" t="n">
        <f aca="false">F8*12</f>
        <v>173400</v>
      </c>
      <c r="H8" s="2" t="s">
        <v>45</v>
      </c>
      <c r="I8" s="10" t="n">
        <v>14450</v>
      </c>
    </row>
    <row r="9" customFormat="false" ht="30" hidden="false" customHeight="true" outlineLevel="0" collapsed="false">
      <c r="A9" s="2" t="s">
        <v>53</v>
      </c>
      <c r="B9" s="2" t="s">
        <v>47</v>
      </c>
      <c r="C9" s="2" t="s">
        <v>48</v>
      </c>
      <c r="D9" s="10" t="n">
        <v>22000</v>
      </c>
      <c r="E9" s="2" t="s">
        <v>44</v>
      </c>
      <c r="F9" s="10" t="n">
        <v>14600</v>
      </c>
      <c r="G9" s="10" t="n">
        <f aca="false">F9*12</f>
        <v>175200</v>
      </c>
      <c r="H9" s="2" t="s">
        <v>45</v>
      </c>
      <c r="I9" s="10" t="n">
        <v>14600</v>
      </c>
    </row>
    <row r="10" customFormat="false" ht="30" hidden="false" customHeight="true" outlineLevel="0" collapsed="false">
      <c r="A10" s="2" t="s">
        <v>54</v>
      </c>
      <c r="B10" s="2" t="s">
        <v>50</v>
      </c>
      <c r="C10" s="2" t="s">
        <v>51</v>
      </c>
      <c r="D10" s="10" t="n">
        <v>22210</v>
      </c>
      <c r="E10" s="2" t="s">
        <v>44</v>
      </c>
      <c r="F10" s="10" t="n">
        <v>14875</v>
      </c>
      <c r="G10" s="10" t="n">
        <f aca="false">F10*12</f>
        <v>178500</v>
      </c>
      <c r="H10" s="2" t="s">
        <v>45</v>
      </c>
      <c r="I10" s="10" t="n">
        <v>14875</v>
      </c>
    </row>
    <row r="11" customFormat="false" ht="30" hidden="false" customHeight="true" outlineLevel="0" collapsed="false">
      <c r="A11" s="2" t="s">
        <v>55</v>
      </c>
      <c r="B11" s="2" t="s">
        <v>42</v>
      </c>
      <c r="C11" s="2" t="s">
        <v>43</v>
      </c>
      <c r="D11" s="10" t="n">
        <v>21880</v>
      </c>
      <c r="E11" s="2" t="s">
        <v>44</v>
      </c>
      <c r="F11" s="10" t="n">
        <v>14450</v>
      </c>
      <c r="G11" s="10" t="n">
        <f aca="false">F11*12</f>
        <v>173400</v>
      </c>
      <c r="H11" s="2" t="s">
        <v>45</v>
      </c>
      <c r="I11" s="10" t="n">
        <v>14450</v>
      </c>
    </row>
    <row r="12" customFormat="false" ht="30" hidden="false" customHeight="true" outlineLevel="0" collapsed="false">
      <c r="A12" s="2" t="s">
        <v>56</v>
      </c>
      <c r="B12" s="2" t="s">
        <v>47</v>
      </c>
      <c r="C12" s="2" t="s">
        <v>48</v>
      </c>
      <c r="D12" s="10" t="n">
        <v>22000</v>
      </c>
      <c r="E12" s="2" t="s">
        <v>57</v>
      </c>
      <c r="F12" s="10" t="n">
        <v>14600</v>
      </c>
      <c r="G12" s="10" t="n">
        <f aca="false">F12*12</f>
        <v>175200</v>
      </c>
      <c r="H12" s="2" t="s">
        <v>45</v>
      </c>
      <c r="I12" s="10" t="n">
        <v>14600</v>
      </c>
    </row>
    <row r="13" customFormat="false" ht="30" hidden="false" customHeight="true" outlineLevel="0" collapsed="false">
      <c r="A13" s="11" t="s">
        <v>58</v>
      </c>
      <c r="D13" s="12" t="n">
        <f aca="false">SUM(D5:D12)</f>
        <v>176060</v>
      </c>
      <c r="F13" s="12" t="n">
        <f aca="false">SUM(F5:F12)</f>
        <v>117125</v>
      </c>
      <c r="G13" s="12" t="n">
        <f aca="false">SUM(G5:G12)</f>
        <v>1405500</v>
      </c>
      <c r="I13" s="12" t="n">
        <f aca="false">SUM(I5:I12)</f>
        <v>116900</v>
      </c>
    </row>
    <row r="15" customFormat="false" ht="30" hidden="false" customHeight="true" outlineLevel="0" collapsed="false">
      <c r="A15" s="2" t="s">
        <v>59</v>
      </c>
      <c r="B15" s="13" t="n">
        <f aca="false">COUNTA(A5:A12)</f>
        <v>8</v>
      </c>
    </row>
    <row r="16" customFormat="false" ht="30" hidden="false" customHeight="true" outlineLevel="0" collapsed="false">
      <c r="A16" s="2" t="s">
        <v>60</v>
      </c>
      <c r="B16" s="13" t="n">
        <f aca="false">COUNTIF(E5:E12,"active")</f>
        <v>7</v>
      </c>
    </row>
    <row r="17" customFormat="false" ht="30" hidden="false" customHeight="true" outlineLevel="0" collapsed="false">
      <c r="A17" s="2" t="s">
        <v>61</v>
      </c>
      <c r="B17" s="13" t="n">
        <f aca="false">COUNTIF(E5:E12,"pending")</f>
        <v>0</v>
      </c>
    </row>
    <row r="18" customFormat="false" ht="30" hidden="false" customHeight="true" outlineLevel="0" collapsed="false">
      <c r="A18" s="2" t="s">
        <v>62</v>
      </c>
      <c r="B18" s="13" t="n">
        <f aca="false">COUNTIF(E5:E12,"vacant")</f>
        <v>1</v>
      </c>
    </row>
    <row r="19" customFormat="false" ht="30" hidden="false" customHeight="true" outlineLevel="0" collapsed="false">
      <c r="A19" s="2" t="s">
        <v>63</v>
      </c>
      <c r="B19" s="12" t="n">
        <f aca="false">D13</f>
        <v>176060</v>
      </c>
    </row>
    <row r="20" customFormat="false" ht="30" hidden="false" customHeight="true" outlineLevel="0" collapsed="false">
      <c r="A20" s="2" t="s">
        <v>64</v>
      </c>
      <c r="B20" s="12" t="n">
        <f aca="false">SUMIF(E5:E12,"active",D5:D12)</f>
        <v>154060</v>
      </c>
    </row>
    <row r="21" customFormat="false" ht="30" hidden="false" customHeight="true" outlineLevel="0" collapsed="false">
      <c r="A21" s="2" t="s">
        <v>65</v>
      </c>
      <c r="B21" s="14" t="n">
        <f aca="false">B16/B15</f>
        <v>0.875</v>
      </c>
    </row>
    <row r="22" customFormat="false" ht="30" hidden="false" customHeight="true" outlineLevel="0" collapsed="false">
      <c r="A22" s="2" t="s">
        <v>66</v>
      </c>
      <c r="B22" s="14" t="n">
        <f aca="false">B20/B19</f>
        <v>0.875042599113938</v>
      </c>
    </row>
    <row r="23" customFormat="false" ht="30" hidden="false" customHeight="true" outlineLevel="0" collapsed="false">
      <c r="A23" s="2" t="s">
        <v>67</v>
      </c>
      <c r="B23" s="12" t="n">
        <f aca="false">SUMIF(E5:E12,"active",G5:G12)</f>
        <v>1230300</v>
      </c>
    </row>
    <row r="24" customFormat="false" ht="30" hidden="false" customHeight="true" outlineLevel="0" collapsed="false">
      <c r="A24" s="2" t="s">
        <v>68</v>
      </c>
      <c r="B24" s="12" t="n">
        <f aca="false">G13</f>
        <v>1405500</v>
      </c>
    </row>
    <row r="26" customFormat="false" ht="30" hidden="false" customHeight="true" outlineLevel="0" collapsed="false">
      <c r="A26" s="9" t="s">
        <v>34</v>
      </c>
      <c r="B26" s="9" t="s">
        <v>69</v>
      </c>
      <c r="C26" s="9" t="s">
        <v>70</v>
      </c>
      <c r="D26" s="9" t="s">
        <v>35</v>
      </c>
    </row>
    <row r="27" customFormat="false" ht="30" hidden="false" customHeight="true" outlineLevel="0" collapsed="false">
      <c r="A27" s="2" t="s">
        <v>71</v>
      </c>
      <c r="B27" s="15" t="n">
        <f aca="false">COUNTIF($C$5:$C$12,"A")</f>
        <v>3</v>
      </c>
      <c r="C27" s="15" t="n">
        <f aca="false">COUNTIFS($C$5:$C$12,"A",$E$5:$E$12,"active")</f>
        <v>3</v>
      </c>
      <c r="D27" s="10" t="n">
        <f aca="false">SUMIF($C$5:$C$12,"A",$D$5:$D$12)</f>
        <v>65640</v>
      </c>
    </row>
    <row r="28" customFormat="false" ht="30" hidden="false" customHeight="true" outlineLevel="0" collapsed="false">
      <c r="A28" s="2" t="s">
        <v>72</v>
      </c>
      <c r="B28" s="15" t="n">
        <f aca="false">COUNTIF($C$5:$C$12,"B")</f>
        <v>3</v>
      </c>
      <c r="C28" s="15" t="n">
        <f aca="false">COUNTIFS($C$5:$C$12,"B",$E$5:$E$12,"active")</f>
        <v>2</v>
      </c>
      <c r="D28" s="10" t="n">
        <f aca="false">SUMIF($C$5:$C$12,"B",$D$5:$D$12)</f>
        <v>66000</v>
      </c>
    </row>
    <row r="29" customFormat="false" ht="30" hidden="false" customHeight="true" outlineLevel="0" collapsed="false">
      <c r="A29" s="2" t="s">
        <v>73</v>
      </c>
      <c r="B29" s="15" t="n">
        <f aca="false">COUNTIF($C$5:$C$12,"C")</f>
        <v>2</v>
      </c>
      <c r="C29" s="15" t="n">
        <f aca="false">COUNTIFS($C$5:$C$12,"C",$E$5:$E$12,"active")</f>
        <v>2</v>
      </c>
      <c r="D29" s="10" t="n">
        <f aca="false">SUMIF($C$5:$C$12,"C",$D$5:$D$12)</f>
        <v>44420</v>
      </c>
    </row>
    <row r="31" customFormat="false" ht="30" hidden="false" customHeight="true" outlineLevel="0" collapsed="false">
      <c r="A31" s="2" t="s">
        <v>74</v>
      </c>
      <c r="B31" s="12" t="n">
        <v>14450</v>
      </c>
      <c r="C31" s="2" t="s">
        <v>75</v>
      </c>
    </row>
    <row r="32" customFormat="false" ht="30" hidden="false" customHeight="true" outlineLevel="0" collapsed="false">
      <c r="A32" s="2" t="s">
        <v>76</v>
      </c>
      <c r="B32" s="13" t="n">
        <v>0</v>
      </c>
    </row>
    <row r="33" customFormat="false" ht="30" hidden="false" customHeight="true" outlineLevel="0" collapsed="false">
      <c r="A33" s="2" t="s">
        <v>77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78</v>
      </c>
    </row>
    <row r="2" customFormat="false" ht="30" hidden="false" customHeight="true" outlineLevel="0" collapsed="false">
      <c r="A2" s="2" t="s">
        <v>79</v>
      </c>
    </row>
    <row r="3" customFormat="false" ht="30" hidden="false" customHeight="true" outlineLevel="0" collapsed="false">
      <c r="A3" s="2" t="s">
        <v>80</v>
      </c>
      <c r="B3" s="10" t="n">
        <f aca="false">Inputs!B3</f>
        <v>1405500</v>
      </c>
    </row>
    <row r="4" customFormat="false" ht="30" hidden="false" customHeight="true" outlineLevel="0" collapsed="false">
      <c r="A4" s="2" t="s">
        <v>81</v>
      </c>
      <c r="B4" s="10" t="n">
        <f aca="false">-Inputs!B3*Inputs!B4</f>
        <v>-70275</v>
      </c>
    </row>
    <row r="5" customFormat="false" ht="30" hidden="false" customHeight="true" outlineLevel="0" collapsed="false">
      <c r="A5" s="2" t="s">
        <v>82</v>
      </c>
      <c r="B5" s="10" t="n">
        <f aca="false">Inputs!B5*Inputs!B6</f>
        <v>2800</v>
      </c>
    </row>
    <row r="6" customFormat="false" ht="30" hidden="false" customHeight="true" outlineLevel="0" collapsed="false">
      <c r="A6" s="11" t="s">
        <v>83</v>
      </c>
      <c r="B6" s="12" t="n">
        <f aca="false">B3+B4+B5</f>
        <v>1338025</v>
      </c>
    </row>
    <row r="8" customFormat="false" ht="30" hidden="false" customHeight="true" outlineLevel="0" collapsed="false">
      <c r="A8" s="2" t="s">
        <v>84</v>
      </c>
      <c r="B8" s="10" t="n">
        <f aca="false">Inputs!B7</f>
        <v>147294</v>
      </c>
    </row>
    <row r="9" customFormat="false" ht="30" hidden="false" customHeight="true" outlineLevel="0" collapsed="false">
      <c r="A9" s="2" t="s">
        <v>85</v>
      </c>
      <c r="B9" s="10" t="n">
        <f aca="false">Inputs!B8</f>
        <v>49098</v>
      </c>
    </row>
    <row r="10" customFormat="false" ht="30" hidden="false" customHeight="true" outlineLevel="0" collapsed="false">
      <c r="A10" s="2" t="s">
        <v>11</v>
      </c>
      <c r="B10" s="10" t="n">
        <f aca="false">Inputs!B9</f>
        <v>196392</v>
      </c>
    </row>
    <row r="11" customFormat="false" ht="30" hidden="false" customHeight="true" outlineLevel="0" collapsed="false">
      <c r="A11" s="2" t="s">
        <v>86</v>
      </c>
      <c r="B11" s="10" t="n">
        <f aca="false">Inputs!B10*B6</f>
        <v>40140.75</v>
      </c>
    </row>
    <row r="12" customFormat="false" ht="30" hidden="false" customHeight="true" outlineLevel="0" collapsed="false">
      <c r="A12" s="11" t="s">
        <v>87</v>
      </c>
      <c r="B12" s="12" t="n">
        <f aca="false">SUM(B8:B11)</f>
        <v>432924.75</v>
      </c>
    </row>
    <row r="14" customFormat="false" ht="30" hidden="false" customHeight="true" outlineLevel="0" collapsed="false">
      <c r="A14" s="11" t="s">
        <v>88</v>
      </c>
      <c r="B14" s="12" t="n">
        <f aca="false">B6-B12</f>
        <v>905100.25</v>
      </c>
    </row>
    <row r="15" customFormat="false" ht="30" hidden="false" customHeight="true" outlineLevel="0" collapsed="false">
      <c r="A15" s="2" t="s">
        <v>89</v>
      </c>
      <c r="B15" s="10" t="n">
        <f aca="false">Inputs!B11*Inputs!B6</f>
        <v>2400</v>
      </c>
    </row>
    <row r="16" customFormat="false" ht="30" hidden="false" customHeight="true" outlineLevel="0" collapsed="false">
      <c r="A16" s="11" t="s">
        <v>90</v>
      </c>
      <c r="B16" s="12" t="n">
        <f aca="false">B14-B15</f>
        <v>902700.25</v>
      </c>
    </row>
    <row r="18" customFormat="false" ht="30" hidden="false" customHeight="true" outlineLevel="0" collapsed="false">
      <c r="A18" s="2" t="s">
        <v>91</v>
      </c>
      <c r="B18" s="16" t="n">
        <f aca="false">Inputs!B12</f>
        <v>0.065</v>
      </c>
    </row>
    <row r="19" customFormat="false" ht="30" hidden="false" customHeight="true" outlineLevel="0" collapsed="false">
      <c r="A19" s="11" t="s">
        <v>92</v>
      </c>
      <c r="B19" s="12" t="n">
        <f aca="false">B14/B18</f>
        <v>13924619.2307692</v>
      </c>
    </row>
    <row r="21" customFormat="false" ht="30" hidden="false" customHeight="true" outlineLevel="0" collapsed="false">
      <c r="A21" s="2" t="s">
        <v>93</v>
      </c>
      <c r="B21" s="17" t="n">
        <f aca="false">B12/B6</f>
        <v>0.323555053156705</v>
      </c>
    </row>
    <row r="23" customFormat="false" ht="30" hidden="false" customHeight="true" outlineLevel="0" collapsed="false">
      <c r="A23" s="9" t="s">
        <v>94</v>
      </c>
    </row>
    <row r="24" customFormat="false" ht="30" hidden="false" customHeight="true" outlineLevel="0" collapsed="false">
      <c r="A24" s="2" t="s">
        <v>95</v>
      </c>
      <c r="B24" s="10" t="n">
        <v>1262520</v>
      </c>
    </row>
    <row r="25" customFormat="false" ht="30" hidden="false" customHeight="true" outlineLevel="0" collapsed="false">
      <c r="A25" s="2" t="s">
        <v>96</v>
      </c>
      <c r="B25" s="10" t="n">
        <v>147294</v>
      </c>
    </row>
    <row r="26" customFormat="false" ht="30" hidden="false" customHeight="true" outlineLevel="0" collapsed="false">
      <c r="A26" s="2" t="s">
        <v>97</v>
      </c>
      <c r="B26" s="10" t="n">
        <v>49098</v>
      </c>
    </row>
    <row r="27" customFormat="false" ht="30" hidden="false" customHeight="true" outlineLevel="0" collapsed="false">
      <c r="A27" s="2" t="s">
        <v>98</v>
      </c>
      <c r="B27" s="10" t="n">
        <v>196392</v>
      </c>
    </row>
    <row r="28" customFormat="false" ht="30" hidden="false" customHeight="true" outlineLevel="0" collapsed="false">
      <c r="A28" s="2" t="s">
        <v>99</v>
      </c>
      <c r="B28" s="10" t="n">
        <v>0</v>
      </c>
    </row>
    <row r="29" customFormat="false" ht="30" hidden="false" customHeight="true" outlineLevel="0" collapsed="false">
      <c r="A29" s="11" t="s">
        <v>100</v>
      </c>
      <c r="B29" s="12" t="n">
        <f aca="false">B24-B25-B26-B27-B28</f>
        <v>869736</v>
      </c>
      <c r="C29" s="2" t="s">
        <v>101</v>
      </c>
    </row>
    <row r="30" customFormat="false" ht="30" hidden="false" customHeight="true" outlineLevel="0" collapsed="false">
      <c r="A30" s="2" t="s">
        <v>102</v>
      </c>
      <c r="B30" s="10" t="n">
        <f aca="false">B14-B29</f>
        <v>35364.25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103</v>
      </c>
    </row>
    <row r="2" customFormat="false" ht="30" hidden="false" customHeight="true" outlineLevel="0" collapsed="false">
      <c r="A2" s="2" t="s">
        <v>104</v>
      </c>
    </row>
    <row r="3" customFormat="false" ht="30" hidden="false" customHeight="true" outlineLevel="0" collapsed="false">
      <c r="A3" s="2" t="s">
        <v>105</v>
      </c>
      <c r="B3" s="10" t="n">
        <f aca="false">Underwriting!B19*Inputs!B17</f>
        <v>9051002.5</v>
      </c>
    </row>
    <row r="4" customFormat="false" ht="30" hidden="false" customHeight="true" outlineLevel="0" collapsed="false">
      <c r="A4" s="2" t="s">
        <v>106</v>
      </c>
      <c r="B4" s="10" t="n">
        <f aca="false">Underwriting!B16/Inputs!B18</f>
        <v>722160.2</v>
      </c>
    </row>
    <row r="5" customFormat="false" ht="30" hidden="false" customHeight="true" outlineLevel="0" collapsed="false">
      <c r="A5" s="2" t="s">
        <v>16</v>
      </c>
      <c r="B5" s="16" t="n">
        <f aca="false">Inputs!B13</f>
        <v>0.0875</v>
      </c>
    </row>
    <row r="6" customFormat="false" ht="30" hidden="false" customHeight="true" outlineLevel="0" collapsed="false">
      <c r="A6" s="2" t="s">
        <v>107</v>
      </c>
      <c r="B6" s="18" t="n">
        <f aca="false">-PMT(B5/12,Inputs!B16*12,1)*12</f>
        <v>0.0944040486736046</v>
      </c>
    </row>
    <row r="7" customFormat="false" ht="30" hidden="false" customHeight="true" outlineLevel="0" collapsed="false">
      <c r="A7" s="2" t="s">
        <v>108</v>
      </c>
      <c r="B7" s="10" t="n">
        <f aca="false">B4/B6</f>
        <v>7649674.03566364</v>
      </c>
    </row>
    <row r="8" customFormat="false" ht="30" hidden="false" customHeight="true" outlineLevel="0" collapsed="false">
      <c r="A8" s="2" t="s">
        <v>109</v>
      </c>
      <c r="B8" s="10" t="n">
        <f aca="false">Underwriting!B16/Inputs!B19</f>
        <v>10030002.7777778</v>
      </c>
    </row>
    <row r="9" customFormat="false" ht="30" hidden="false" customHeight="true" outlineLevel="0" collapsed="false">
      <c r="A9" s="11" t="s">
        <v>110</v>
      </c>
      <c r="B9" s="12" t="n">
        <f aca="false">MIN(B3,B7,B8)</f>
        <v>7649674.03566364</v>
      </c>
    </row>
    <row r="10" customFormat="false" ht="30" hidden="false" customHeight="true" outlineLevel="0" collapsed="false">
      <c r="A10" s="2" t="s">
        <v>111</v>
      </c>
      <c r="B10" s="2" t="str">
        <f aca="false">IF(B9=B7,"DSCR",IF(B9=B3,"LTV","Debt yield"))</f>
        <v>DSCR</v>
      </c>
    </row>
    <row r="12" customFormat="false" ht="30" hidden="false" customHeight="true" outlineLevel="0" collapsed="false">
      <c r="A12" s="9" t="s">
        <v>112</v>
      </c>
    </row>
    <row r="13" customFormat="false" ht="30" hidden="false" customHeight="true" outlineLevel="0" collapsed="false">
      <c r="A13" s="2" t="s">
        <v>113</v>
      </c>
      <c r="B13" s="10" t="n">
        <f aca="false">B9</f>
        <v>7649674.03566364</v>
      </c>
    </row>
    <row r="14" customFormat="false" ht="30" hidden="false" customHeight="true" outlineLevel="0" collapsed="false">
      <c r="A14" s="2" t="s">
        <v>114</v>
      </c>
      <c r="B14" s="10" t="n">
        <f aca="false">-B9*Inputs!B20</f>
        <v>-76496.7403566364</v>
      </c>
    </row>
    <row r="15" customFormat="false" ht="30" hidden="false" customHeight="true" outlineLevel="0" collapsed="false">
      <c r="A15" s="2" t="s">
        <v>115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116</v>
      </c>
      <c r="B16" s="10" t="n">
        <f aca="false">-Inputs!B22</f>
        <v>-7800000</v>
      </c>
    </row>
    <row r="17" customFormat="false" ht="30" hidden="false" customHeight="true" outlineLevel="0" collapsed="false">
      <c r="A17" s="11" t="s">
        <v>117</v>
      </c>
      <c r="B17" s="12" t="n">
        <f aca="false">B13+B14+B15+B16</f>
        <v>-271822.704692993</v>
      </c>
    </row>
    <row r="19" customFormat="false" ht="30" hidden="false" customHeight="true" outlineLevel="0" collapsed="false">
      <c r="A19" s="2" t="s">
        <v>118</v>
      </c>
      <c r="B19" s="17" t="n">
        <f aca="false">Underwriting!B16/(B9*B6)</f>
        <v>1.25</v>
      </c>
    </row>
    <row r="20" customFormat="false" ht="30" hidden="false" customHeight="true" outlineLevel="0" collapsed="false">
      <c r="A20" s="2" t="s">
        <v>119</v>
      </c>
      <c r="B20" s="17" t="n">
        <f aca="false">Underwriting!B16/B9</f>
        <v>0.118005060842006</v>
      </c>
    </row>
    <row r="21" customFormat="false" ht="30" hidden="false" customHeight="true" outlineLevel="0" collapsed="false">
      <c r="A21" s="2" t="s">
        <v>120</v>
      </c>
      <c r="B21" s="17" t="n">
        <f aca="false">B9/Underwriting!B19</f>
        <v>0.549363247129958</v>
      </c>
    </row>
    <row r="22" customFormat="false" ht="30" hidden="false" customHeight="true" outlineLevel="0" collapsed="false">
      <c r="A22" s="2" t="s">
        <v>121</v>
      </c>
      <c r="B22" s="10" t="n">
        <f aca="false">B9*Inputs!B14</f>
        <v>466630.116175482</v>
      </c>
      <c r="C22" s="2" t="s">
        <v>122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123</v>
      </c>
    </row>
    <row r="2" customFormat="false" ht="30" hidden="false" customHeight="true" outlineLevel="0" collapsed="false">
      <c r="A2" s="2" t="s">
        <v>124</v>
      </c>
    </row>
    <row r="4" customFormat="false" ht="30" hidden="false" customHeight="true" outlineLevel="0" collapsed="false">
      <c r="A4" s="9" t="s">
        <v>125</v>
      </c>
      <c r="B4" s="9" t="s">
        <v>126</v>
      </c>
      <c r="C4" s="9" t="s">
        <v>127</v>
      </c>
      <c r="D4" s="9" t="s">
        <v>128</v>
      </c>
      <c r="E4" s="9" t="s">
        <v>129</v>
      </c>
    </row>
    <row r="5" customFormat="false" ht="30" hidden="false" customHeight="true" outlineLevel="0" collapsed="false">
      <c r="A5" s="2" t="s">
        <v>130</v>
      </c>
      <c r="B5" s="2" t="s">
        <v>131</v>
      </c>
      <c r="C5" s="2" t="s">
        <v>132</v>
      </c>
      <c r="D5" s="2" t="s">
        <v>133</v>
      </c>
      <c r="E5" s="2" t="s">
        <v>134</v>
      </c>
    </row>
    <row r="6" customFormat="false" ht="30" hidden="false" customHeight="true" outlineLevel="0" collapsed="false">
      <c r="A6" s="2" t="s">
        <v>135</v>
      </c>
      <c r="B6" s="10" t="n">
        <v>14600</v>
      </c>
      <c r="C6" s="10" t="n">
        <v>14825</v>
      </c>
      <c r="D6" s="10" t="n">
        <f aca="false">C6-B6</f>
        <v>225</v>
      </c>
      <c r="E6" s="2" t="s">
        <v>136</v>
      </c>
    </row>
    <row r="7" customFormat="false" ht="30" hidden="false" customHeight="true" outlineLevel="0" collapsed="false">
      <c r="A7" s="2" t="s">
        <v>137</v>
      </c>
      <c r="B7" s="10" t="n">
        <v>1402800</v>
      </c>
      <c r="C7" s="10" t="n">
        <f aca="false">Inputs!B3</f>
        <v>1405500</v>
      </c>
      <c r="D7" s="10" t="n">
        <f aca="false">C7-B7</f>
        <v>2700</v>
      </c>
      <c r="E7" s="2" t="s">
        <v>138</v>
      </c>
    </row>
    <row r="8" customFormat="false" ht="30" hidden="false" customHeight="true" outlineLevel="0" collapsed="false">
      <c r="A8" s="2" t="s">
        <v>139</v>
      </c>
      <c r="B8" s="10" t="n">
        <v>1227600</v>
      </c>
      <c r="C8" s="10" t="n">
        <f aca="false">'Rent Roll'!B23</f>
        <v>1230300</v>
      </c>
      <c r="D8" s="10" t="n">
        <f aca="false">C8-B8</f>
        <v>2700</v>
      </c>
      <c r="E8" s="2" t="s">
        <v>140</v>
      </c>
    </row>
    <row r="9" customFormat="false" ht="30" hidden="false" customHeight="true" outlineLevel="0" collapsed="false">
      <c r="A9" s="2" t="s">
        <v>83</v>
      </c>
      <c r="B9" s="10" t="n">
        <v>1335460</v>
      </c>
      <c r="C9" s="10" t="n">
        <f aca="false">Underwriting!B6</f>
        <v>1338025</v>
      </c>
      <c r="D9" s="10" t="n">
        <f aca="false">C9-B9</f>
        <v>2565</v>
      </c>
      <c r="E9" s="2" t="s">
        <v>141</v>
      </c>
    </row>
    <row r="10" customFormat="false" ht="30" hidden="false" customHeight="true" outlineLevel="0" collapsed="false">
      <c r="A10" s="2" t="s">
        <v>142</v>
      </c>
      <c r="B10" s="10" t="n">
        <v>902612.2</v>
      </c>
      <c r="C10" s="10" t="n">
        <f aca="false">Underwriting!B14</f>
        <v>905100.25</v>
      </c>
      <c r="D10" s="10" t="n">
        <f aca="false">C10-B10</f>
        <v>2488.05000000005</v>
      </c>
      <c r="E10" s="2" t="s">
        <v>143</v>
      </c>
    </row>
    <row r="11" customFormat="false" ht="30" hidden="false" customHeight="true" outlineLevel="0" collapsed="false">
      <c r="A11" s="2" t="s">
        <v>144</v>
      </c>
      <c r="B11" s="10" t="n">
        <v>900212.2</v>
      </c>
      <c r="C11" s="10" t="n">
        <f aca="false">Underwriting!B16</f>
        <v>902700.25</v>
      </c>
      <c r="D11" s="10" t="n">
        <f aca="false">C11-B11</f>
        <v>2488.05000000005</v>
      </c>
      <c r="E11" s="2" t="s">
        <v>145</v>
      </c>
    </row>
    <row r="12" customFormat="false" ht="30" hidden="false" customHeight="true" outlineLevel="0" collapsed="false">
      <c r="A12" s="2" t="s">
        <v>146</v>
      </c>
      <c r="B12" s="16" t="n">
        <v>0.0625</v>
      </c>
      <c r="C12" s="16" t="n">
        <f aca="false">Inputs!B12</f>
        <v>0.065</v>
      </c>
      <c r="D12" s="16" t="n">
        <f aca="false">C12-B12</f>
        <v>0.0025</v>
      </c>
      <c r="E12" s="2" t="s">
        <v>147</v>
      </c>
    </row>
    <row r="13" customFormat="false" ht="30" hidden="false" customHeight="true" outlineLevel="0" collapsed="false">
      <c r="A13" s="2" t="s">
        <v>148</v>
      </c>
      <c r="B13" s="10" t="n">
        <v>14441795.2</v>
      </c>
      <c r="C13" s="10" t="n">
        <f aca="false">Underwriting!B19</f>
        <v>13924619.2307692</v>
      </c>
      <c r="D13" s="10" t="n">
        <f aca="false">C13-B13</f>
        <v>-517175.969230769</v>
      </c>
      <c r="E13" s="2" t="s">
        <v>149</v>
      </c>
    </row>
    <row r="14" customFormat="false" ht="30" hidden="false" customHeight="true" outlineLevel="0" collapsed="false">
      <c r="A14" s="2" t="s">
        <v>150</v>
      </c>
      <c r="B14" s="16" t="n">
        <v>0.07</v>
      </c>
      <c r="C14" s="16" t="n">
        <f aca="false">Inputs!B13</f>
        <v>0.0875</v>
      </c>
      <c r="D14" s="16" t="n">
        <f aca="false">C14-B14</f>
        <v>0.0175</v>
      </c>
      <c r="E14" s="2" t="s">
        <v>151</v>
      </c>
    </row>
    <row r="15" customFormat="false" ht="30" hidden="false" customHeight="true" outlineLevel="0" collapsed="false">
      <c r="A15" s="2" t="s">
        <v>152</v>
      </c>
      <c r="B15" s="10" t="n">
        <v>9387166.88</v>
      </c>
      <c r="C15" s="10" t="n">
        <f aca="false">Debt!B3</f>
        <v>9051002.5</v>
      </c>
      <c r="D15" s="10" t="n">
        <f aca="false">C15-B15</f>
        <v>-336164.380000001</v>
      </c>
      <c r="E15" s="2" t="s">
        <v>153</v>
      </c>
    </row>
    <row r="16" customFormat="false" ht="30" hidden="false" customHeight="true" outlineLevel="0" collapsed="false">
      <c r="A16" s="2" t="s">
        <v>154</v>
      </c>
      <c r="B16" s="10" t="n">
        <v>9020580.43</v>
      </c>
      <c r="C16" s="10" t="n">
        <f aca="false">Debt!B7</f>
        <v>7649674.03566364</v>
      </c>
      <c r="D16" s="10" t="n">
        <f aca="false">C16-B16</f>
        <v>-1370906.39433636</v>
      </c>
      <c r="E16" s="2" t="s">
        <v>155</v>
      </c>
    </row>
    <row r="17" customFormat="false" ht="30" hidden="false" customHeight="true" outlineLevel="0" collapsed="false">
      <c r="A17" s="2" t="s">
        <v>156</v>
      </c>
      <c r="B17" s="10" t="n">
        <v>10002357.78</v>
      </c>
      <c r="C17" s="10" t="n">
        <f aca="false">Debt!B8</f>
        <v>10030002.7777778</v>
      </c>
      <c r="D17" s="10" t="n">
        <f aca="false">C17-B17</f>
        <v>27644.9977777787</v>
      </c>
      <c r="E17" s="2" t="s">
        <v>157</v>
      </c>
    </row>
    <row r="18" customFormat="false" ht="30" hidden="false" customHeight="true" outlineLevel="0" collapsed="false">
      <c r="A18" s="2" t="s">
        <v>158</v>
      </c>
      <c r="B18" s="10" t="n">
        <v>9020580.43</v>
      </c>
      <c r="C18" s="10" t="n">
        <f aca="false">Debt!B9</f>
        <v>7649674.03566364</v>
      </c>
      <c r="D18" s="10" t="n">
        <f aca="false">C18-B18</f>
        <v>-1370906.39433636</v>
      </c>
      <c r="E18" s="2" t="s">
        <v>159</v>
      </c>
    </row>
    <row r="19" customFormat="false" ht="30" hidden="false" customHeight="true" outlineLevel="0" collapsed="false">
      <c r="A19" s="2" t="s">
        <v>160</v>
      </c>
      <c r="B19" s="10" t="n">
        <v>1085374.62</v>
      </c>
      <c r="C19" s="10" t="n">
        <f aca="false">Debt!B17</f>
        <v>-271822.704692993</v>
      </c>
      <c r="D19" s="10" t="n">
        <f aca="false">C19-B19</f>
        <v>-1357197.32469299</v>
      </c>
      <c r="E19" s="2" t="s">
        <v>161</v>
      </c>
    </row>
    <row r="21" customFormat="false" ht="30" hidden="false" customHeight="true" outlineLevel="0" collapsed="false">
      <c r="A21" s="2" t="s">
        <v>162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6"/>
  </cols>
  <sheetData>
    <row r="1" customFormat="false" ht="30" hidden="false" customHeight="true" outlineLevel="0" collapsed="false">
      <c r="A1" s="1" t="s">
        <v>163</v>
      </c>
    </row>
    <row r="2" customFormat="false" ht="30" hidden="false" customHeight="true" outlineLevel="0" collapsed="false">
      <c r="A2" s="2" t="s">
        <v>164</v>
      </c>
    </row>
    <row r="4" customFormat="false" ht="30" hidden="false" customHeight="true" outlineLevel="0" collapsed="false">
      <c r="A4" s="9" t="s">
        <v>165</v>
      </c>
      <c r="B4" s="19" t="n">
        <v>0.06</v>
      </c>
      <c r="C4" s="19" t="n">
        <v>0.0625</v>
      </c>
      <c r="D4" s="19" t="n">
        <v>0.065</v>
      </c>
      <c r="E4" s="19" t="n">
        <v>0.0675</v>
      </c>
      <c r="F4" s="19" t="n">
        <v>0.07</v>
      </c>
    </row>
    <row r="5" customFormat="false" ht="30" hidden="false" customHeight="true" outlineLevel="0" collapsed="false">
      <c r="A5" s="19" t="n">
        <v>0.07</v>
      </c>
      <c r="B5" s="10" t="n">
        <f aca="false">MIN(Underwriting!$B$14/B$4*Inputs!$B$17,(Underwriting!$B$16/Inputs!$B$18)/(-PMT($A5/12,Inputs!$B$16*12,1)*12),Underwriting!$B$16/Inputs!$B$19)</f>
        <v>9045511.94422601</v>
      </c>
      <c r="C5" s="10" t="n">
        <f aca="false">MIN(Underwriting!$B$14/C$4*Inputs!$B$17,(Underwriting!$B$16/Inputs!$B$18)/(-PMT($A5/12,Inputs!$B$16*12,1)*12),Underwriting!$B$16/Inputs!$B$19)</f>
        <v>9045511.94422601</v>
      </c>
      <c r="D5" s="10" t="n">
        <f aca="false">MIN(Underwriting!$B$14/D$4*Inputs!$B$17,(Underwriting!$B$16/Inputs!$B$18)/(-PMT($A5/12,Inputs!$B$16*12,1)*12),Underwriting!$B$16/Inputs!$B$19)</f>
        <v>9045511.94422601</v>
      </c>
      <c r="E5" s="10" t="n">
        <f aca="false">MIN(Underwriting!$B$14/E$4*Inputs!$B$17,(Underwriting!$B$16/Inputs!$B$18)/(-PMT($A5/12,Inputs!$B$16*12,1)*12),Underwriting!$B$16/Inputs!$B$19)</f>
        <v>8715780.18518519</v>
      </c>
      <c r="F5" s="10" t="n">
        <f aca="false">MIN(Underwriting!$B$14/F$4*Inputs!$B$17,(Underwriting!$B$16/Inputs!$B$18)/(-PMT($A5/12,Inputs!$B$16*12,1)*12),Underwriting!$B$16/Inputs!$B$19)</f>
        <v>8404502.32142857</v>
      </c>
    </row>
    <row r="6" customFormat="false" ht="30" hidden="false" customHeight="true" outlineLevel="0" collapsed="false">
      <c r="A6" s="19" t="n">
        <v>0.0725</v>
      </c>
      <c r="B6" s="10" t="n">
        <f aca="false">MIN(Underwriting!$B$14/B$4*Inputs!$B$17,(Underwriting!$B$16/Inputs!$B$18)/(-PMT($A6/12,Inputs!$B$16*12,1)*12),Underwriting!$B$16/Inputs!$B$19)</f>
        <v>8821769.15645756</v>
      </c>
      <c r="C6" s="10" t="n">
        <f aca="false">MIN(Underwriting!$B$14/C$4*Inputs!$B$17,(Underwriting!$B$16/Inputs!$B$18)/(-PMT($A6/12,Inputs!$B$16*12,1)*12),Underwriting!$B$16/Inputs!$B$19)</f>
        <v>8821769.15645756</v>
      </c>
      <c r="D6" s="10" t="n">
        <f aca="false">MIN(Underwriting!$B$14/D$4*Inputs!$B$17,(Underwriting!$B$16/Inputs!$B$18)/(-PMT($A6/12,Inputs!$B$16*12,1)*12),Underwriting!$B$16/Inputs!$B$19)</f>
        <v>8821769.15645756</v>
      </c>
      <c r="E6" s="10" t="n">
        <f aca="false">MIN(Underwriting!$B$14/E$4*Inputs!$B$17,(Underwriting!$B$16/Inputs!$B$18)/(-PMT($A6/12,Inputs!$B$16*12,1)*12),Underwriting!$B$16/Inputs!$B$19)</f>
        <v>8715780.18518519</v>
      </c>
      <c r="F6" s="10" t="n">
        <f aca="false">MIN(Underwriting!$B$14/F$4*Inputs!$B$17,(Underwriting!$B$16/Inputs!$B$18)/(-PMT($A6/12,Inputs!$B$16*12,1)*12),Underwriting!$B$16/Inputs!$B$19)</f>
        <v>8404502.32142857</v>
      </c>
    </row>
    <row r="7" customFormat="false" ht="30" hidden="false" customHeight="true" outlineLevel="0" collapsed="false">
      <c r="A7" s="19" t="n">
        <v>0.075</v>
      </c>
      <c r="B7" s="10" t="n">
        <f aca="false">MIN(Underwriting!$B$14/B$4*Inputs!$B$17,(Underwriting!$B$16/Inputs!$B$18)/(-PMT($A7/12,Inputs!$B$16*12,1)*12),Underwriting!$B$16/Inputs!$B$19)</f>
        <v>8606803.19566396</v>
      </c>
      <c r="C7" s="10" t="n">
        <f aca="false">MIN(Underwriting!$B$14/C$4*Inputs!$B$17,(Underwriting!$B$16/Inputs!$B$18)/(-PMT($A7/12,Inputs!$B$16*12,1)*12),Underwriting!$B$16/Inputs!$B$19)</f>
        <v>8606803.19566396</v>
      </c>
      <c r="D7" s="10" t="n">
        <f aca="false">MIN(Underwriting!$B$14/D$4*Inputs!$B$17,(Underwriting!$B$16/Inputs!$B$18)/(-PMT($A7/12,Inputs!$B$16*12,1)*12),Underwriting!$B$16/Inputs!$B$19)</f>
        <v>8606803.19566396</v>
      </c>
      <c r="E7" s="10" t="n">
        <f aca="false">MIN(Underwriting!$B$14/E$4*Inputs!$B$17,(Underwriting!$B$16/Inputs!$B$18)/(-PMT($A7/12,Inputs!$B$16*12,1)*12),Underwriting!$B$16/Inputs!$B$19)</f>
        <v>8606803.19566396</v>
      </c>
      <c r="F7" s="10" t="n">
        <f aca="false">MIN(Underwriting!$B$14/F$4*Inputs!$B$17,(Underwriting!$B$16/Inputs!$B$18)/(-PMT($A7/12,Inputs!$B$16*12,1)*12),Underwriting!$B$16/Inputs!$B$19)</f>
        <v>8404502.32142857</v>
      </c>
    </row>
    <row r="8" customFormat="false" ht="30" hidden="false" customHeight="true" outlineLevel="0" collapsed="false">
      <c r="A8" s="19" t="n">
        <v>0.0775</v>
      </c>
      <c r="B8" s="10" t="n">
        <f aca="false">MIN(Underwriting!$B$14/B$4*Inputs!$B$17,(Underwriting!$B$16/Inputs!$B$18)/(-PMT($A8/12,Inputs!$B$16*12,1)*12),Underwriting!$B$16/Inputs!$B$19)</f>
        <v>8400193.74874113</v>
      </c>
      <c r="C8" s="10" t="n">
        <f aca="false">MIN(Underwriting!$B$14/C$4*Inputs!$B$17,(Underwriting!$B$16/Inputs!$B$18)/(-PMT($A8/12,Inputs!$B$16*12,1)*12),Underwriting!$B$16/Inputs!$B$19)</f>
        <v>8400193.74874113</v>
      </c>
      <c r="D8" s="10" t="n">
        <f aca="false">MIN(Underwriting!$B$14/D$4*Inputs!$B$17,(Underwriting!$B$16/Inputs!$B$18)/(-PMT($A8/12,Inputs!$B$16*12,1)*12),Underwriting!$B$16/Inputs!$B$19)</f>
        <v>8400193.74874113</v>
      </c>
      <c r="E8" s="10" t="n">
        <f aca="false">MIN(Underwriting!$B$14/E$4*Inputs!$B$17,(Underwriting!$B$16/Inputs!$B$18)/(-PMT($A8/12,Inputs!$B$16*12,1)*12),Underwriting!$B$16/Inputs!$B$19)</f>
        <v>8400193.74874113</v>
      </c>
      <c r="F8" s="10" t="n">
        <f aca="false">MIN(Underwriting!$B$14/F$4*Inputs!$B$17,(Underwriting!$B$16/Inputs!$B$18)/(-PMT($A8/12,Inputs!$B$16*12,1)*12),Underwriting!$B$16/Inputs!$B$19)</f>
        <v>8400193.74874113</v>
      </c>
    </row>
    <row r="9" customFormat="false" ht="30" hidden="false" customHeight="true" outlineLevel="0" collapsed="false">
      <c r="A9" s="19" t="n">
        <v>0.08</v>
      </c>
      <c r="B9" s="10" t="n">
        <f aca="false">MIN(Underwriting!$B$14/B$4*Inputs!$B$17,(Underwriting!$B$16/Inputs!$B$18)/(-PMT($A9/12,Inputs!$B$16*12,1)*12),Underwriting!$B$16/Inputs!$B$19)</f>
        <v>8201542.94837348</v>
      </c>
      <c r="C9" s="10" t="n">
        <f aca="false">MIN(Underwriting!$B$14/C$4*Inputs!$B$17,(Underwriting!$B$16/Inputs!$B$18)/(-PMT($A9/12,Inputs!$B$16*12,1)*12),Underwriting!$B$16/Inputs!$B$19)</f>
        <v>8201542.94837348</v>
      </c>
      <c r="D9" s="10" t="n">
        <f aca="false">MIN(Underwriting!$B$14/D$4*Inputs!$B$17,(Underwriting!$B$16/Inputs!$B$18)/(-PMT($A9/12,Inputs!$B$16*12,1)*12),Underwriting!$B$16/Inputs!$B$19)</f>
        <v>8201542.94837348</v>
      </c>
      <c r="E9" s="10" t="n">
        <f aca="false">MIN(Underwriting!$B$14/E$4*Inputs!$B$17,(Underwriting!$B$16/Inputs!$B$18)/(-PMT($A9/12,Inputs!$B$16*12,1)*12),Underwriting!$B$16/Inputs!$B$19)</f>
        <v>8201542.94837348</v>
      </c>
      <c r="F9" s="10" t="n">
        <f aca="false">MIN(Underwriting!$B$14/F$4*Inputs!$B$17,(Underwriting!$B$16/Inputs!$B$18)/(-PMT($A9/12,Inputs!$B$16*12,1)*12),Underwriting!$B$16/Inputs!$B$19)</f>
        <v>8201542.94837348</v>
      </c>
    </row>
    <row r="11" customFormat="false" ht="30" hidden="false" customHeight="true" outlineLevel="0" collapsed="false">
      <c r="A11" s="9" t="s">
        <v>166</v>
      </c>
    </row>
    <row r="12" customFormat="false" ht="30" hidden="false" customHeight="true" outlineLevel="0" collapsed="false">
      <c r="A12" s="9" t="s">
        <v>167</v>
      </c>
      <c r="B12" s="9" t="s">
        <v>168</v>
      </c>
      <c r="C12" s="9" t="s">
        <v>142</v>
      </c>
      <c r="D12" s="9" t="s">
        <v>169</v>
      </c>
      <c r="E12" s="9" t="s">
        <v>170</v>
      </c>
      <c r="F12" s="9" t="s">
        <v>158</v>
      </c>
    </row>
    <row r="13" customFormat="false" ht="30" hidden="false" customHeight="true" outlineLevel="0" collapsed="false">
      <c r="A13" s="10" t="n">
        <f aca="false">Inputs!$B$3*0.95</f>
        <v>1335225</v>
      </c>
      <c r="B13" s="10" t="n">
        <f aca="false">A13*(1-Inputs!$B$4)+Inputs!$B$5*Inputs!$B$6</f>
        <v>1271263.75</v>
      </c>
      <c r="C13" s="10" t="n">
        <f aca="false">B13*(1-Inputs!$B$10)-Inputs!$B$7-Inputs!$B$8-Inputs!$B$9</f>
        <v>840341.8375</v>
      </c>
      <c r="D13" s="10" t="n">
        <f aca="false">C13-Inputs!$B$11*Inputs!$B$6</f>
        <v>837941.8375</v>
      </c>
      <c r="E13" s="10" t="n">
        <f aca="false">C13/Inputs!$B$12</f>
        <v>12928335.9615385</v>
      </c>
      <c r="F13" s="10" t="n">
        <f aca="false">MIN(E13*Inputs!$B$17,(D13/Inputs!$B$18)/(-PMT(Inputs!$B$13/12,Inputs!$B$16*12,1)*12),D13/Inputs!$B$19)</f>
        <v>7100897.46593073</v>
      </c>
    </row>
    <row r="14" customFormat="false" ht="30" hidden="false" customHeight="true" outlineLevel="0" collapsed="false">
      <c r="A14" s="10" t="n">
        <f aca="false">Inputs!$B$3</f>
        <v>1405500</v>
      </c>
      <c r="B14" s="10" t="n">
        <f aca="false">A14*(1-Inputs!$B$4)+Inputs!$B$5*Inputs!$B$6</f>
        <v>1338025</v>
      </c>
      <c r="C14" s="10" t="n">
        <f aca="false">B14*(1-Inputs!$B$10)-Inputs!$B$7-Inputs!$B$8-Inputs!$B$9</f>
        <v>905100.25</v>
      </c>
      <c r="D14" s="10" t="n">
        <f aca="false">C14-Inputs!$B$11*Inputs!$B$6</f>
        <v>902700.25</v>
      </c>
      <c r="E14" s="10" t="n">
        <f aca="false">C14/Inputs!$B$12</f>
        <v>13924619.2307692</v>
      </c>
      <c r="F14" s="10" t="n">
        <f aca="false">MIN(E14*Inputs!$B$17,(D14/Inputs!$B$18)/(-PMT(Inputs!$B$13/12,Inputs!$B$16*12,1)*12),D14/Inputs!$B$19)</f>
        <v>7649674.03566364</v>
      </c>
    </row>
    <row r="15" customFormat="false" ht="30" hidden="false" customHeight="true" outlineLevel="0" collapsed="false">
      <c r="A15" s="10" t="n">
        <f aca="false">Inputs!$B$3*1.05</f>
        <v>1475775</v>
      </c>
      <c r="B15" s="10" t="n">
        <f aca="false">A15*(1-Inputs!$B$4)+Inputs!$B$5*Inputs!$B$6</f>
        <v>1404786.25</v>
      </c>
      <c r="C15" s="10" t="n">
        <f aca="false">B15*(1-Inputs!$B$10)-Inputs!$B$7-Inputs!$B$8-Inputs!$B$9</f>
        <v>969858.6625</v>
      </c>
      <c r="D15" s="10" t="n">
        <f aca="false">C15-Inputs!$B$11*Inputs!$B$6</f>
        <v>967458.6625</v>
      </c>
      <c r="E15" s="10" t="n">
        <f aca="false">C15/Inputs!$B$12</f>
        <v>14920902.5</v>
      </c>
      <c r="F15" s="10" t="n">
        <f aca="false">MIN(E15*Inputs!$B$17,(D15/Inputs!$B$18)/(-PMT(Inputs!$B$13/12,Inputs!$B$16*12,1)*12),D15/Inputs!$B$19)</f>
        <v>8198450.60539656</v>
      </c>
    </row>
    <row r="17" customFormat="false" ht="30" hidden="false" customHeight="true" outlineLevel="0" collapsed="false">
      <c r="A17" s="2" t="s">
        <v>171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2"/>
  </cols>
  <sheetData>
    <row r="1" customFormat="false" ht="30" hidden="false" customHeight="true" outlineLevel="0" collapsed="false">
      <c r="A1" s="1" t="s">
        <v>172</v>
      </c>
    </row>
    <row r="3" customFormat="false" ht="30" hidden="false" customHeight="true" outlineLevel="0" collapsed="false">
      <c r="A3" s="9" t="s">
        <v>173</v>
      </c>
      <c r="B3" s="9" t="s">
        <v>174</v>
      </c>
      <c r="C3" s="9" t="s">
        <v>175</v>
      </c>
    </row>
    <row r="4" customFormat="false" ht="30" hidden="false" customHeight="true" outlineLevel="0" collapsed="false">
      <c r="A4" s="2" t="s">
        <v>176</v>
      </c>
      <c r="B4" s="2" t="s">
        <v>177</v>
      </c>
      <c r="C4" s="2" t="s">
        <v>178</v>
      </c>
    </row>
    <row r="5" customFormat="false" ht="30" hidden="false" customHeight="true" outlineLevel="0" collapsed="false">
      <c r="A5" s="2" t="s">
        <v>179</v>
      </c>
      <c r="B5" s="2" t="s">
        <v>180</v>
      </c>
      <c r="C5" s="2" t="s">
        <v>181</v>
      </c>
    </row>
    <row r="6" customFormat="false" ht="30" hidden="false" customHeight="true" outlineLevel="0" collapsed="false">
      <c r="A6" s="2" t="s">
        <v>182</v>
      </c>
      <c r="B6" s="2" t="s">
        <v>177</v>
      </c>
      <c r="C6" s="2" t="s">
        <v>183</v>
      </c>
    </row>
    <row r="7" customFormat="false" ht="30" hidden="false" customHeight="true" outlineLevel="0" collapsed="false">
      <c r="A7" s="2" t="s">
        <v>184</v>
      </c>
      <c r="B7" s="2" t="s">
        <v>177</v>
      </c>
      <c r="C7" s="2" t="s">
        <v>185</v>
      </c>
    </row>
    <row r="8" customFormat="false" ht="30" hidden="false" customHeight="true" outlineLevel="0" collapsed="false">
      <c r="A8" s="2" t="s">
        <v>186</v>
      </c>
      <c r="B8" s="2" t="s">
        <v>180</v>
      </c>
      <c r="C8" s="2" t="s">
        <v>187</v>
      </c>
    </row>
    <row r="9" customFormat="false" ht="30" hidden="false" customHeight="true" outlineLevel="0" collapsed="false">
      <c r="A9" s="2" t="s">
        <v>188</v>
      </c>
      <c r="B9" s="2" t="s">
        <v>180</v>
      </c>
      <c r="C9" s="2" t="s">
        <v>189</v>
      </c>
    </row>
    <row r="10" customFormat="false" ht="30" hidden="false" customHeight="true" outlineLevel="0" collapsed="false">
      <c r="A10" s="2" t="s">
        <v>190</v>
      </c>
      <c r="B10" s="2" t="s">
        <v>180</v>
      </c>
      <c r="C10" s="2" t="s">
        <v>191</v>
      </c>
    </row>
    <row r="11" customFormat="false" ht="30" hidden="false" customHeight="true" outlineLevel="0" collapsed="false">
      <c r="A11" s="2" t="s">
        <v>192</v>
      </c>
      <c r="B11" s="2" t="s">
        <v>180</v>
      </c>
      <c r="C11" s="2" t="s">
        <v>193</v>
      </c>
    </row>
    <row r="12" customFormat="false" ht="30" hidden="false" customHeight="true" outlineLevel="0" collapsed="false">
      <c r="A12" s="2" t="s">
        <v>194</v>
      </c>
      <c r="B12" s="2" t="s">
        <v>180</v>
      </c>
      <c r="C12" s="2" t="s">
        <v>195</v>
      </c>
    </row>
    <row r="13" customFormat="false" ht="30" hidden="false" customHeight="true" outlineLevel="0" collapsed="false">
      <c r="A13" s="2" t="s">
        <v>196</v>
      </c>
      <c r="B13" s="2" t="s">
        <v>180</v>
      </c>
      <c r="C13" s="2" t="s">
        <v>197</v>
      </c>
    </row>
    <row r="14" customFormat="false" ht="30" hidden="false" customHeight="true" outlineLevel="0" collapsed="false">
      <c r="A14" s="2" t="s">
        <v>198</v>
      </c>
      <c r="B14" s="2" t="s">
        <v>180</v>
      </c>
      <c r="C14" s="2" t="s">
        <v>199</v>
      </c>
    </row>
    <row r="16" customFormat="false" ht="30" hidden="false" customHeight="true" outlineLevel="0" collapsed="false">
      <c r="A16" s="9" t="s">
        <v>200</v>
      </c>
      <c r="B16" s="2" t="s">
        <v>201</v>
      </c>
      <c r="C16" s="2" t="s">
        <v>202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2026-09-07T14:22:22Z</dcterms:created>
  <dc:creator>openpyxl</dc:creator>
  <dc:description/>
  <dc:language>en-US</dc:language>
  <cp:lastModifiedBy/>
  <dcterms:modified xsi:type="dcterms:W3CDTF">2026-09-07T14:25:59Z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