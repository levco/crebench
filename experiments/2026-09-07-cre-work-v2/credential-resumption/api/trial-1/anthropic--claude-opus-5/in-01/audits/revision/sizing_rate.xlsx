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hange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4" customWidth="1" min="3" max="3"/>
  </cols>
  <sheetData>
    <row r="1" ht="30" customHeight="1">
      <c r="A1" s="1" t="inlineStr">
        <is>
          <t>Falcon Distribution | Underwriting inputs (REVISED per revision-notice.pdf, roll as of 2026-09-01)</t>
        </is>
      </c>
    </row>
    <row r="2" ht="30" customHeight="1">
      <c r="A2" s="2" t="inlineStr">
        <is>
          <t>Original fictional evaluation material; no real transaction. Revision 2 supersedes the 2026-08-31 version; prior workbook retained in the archive.</t>
        </is>
      </c>
    </row>
    <row r="3" ht="30" customHeight="1">
      <c r="A3" s="2" t="inlineStr">
        <is>
          <t>Gross potential rent (annual, all suites)</t>
        </is>
      </c>
      <c r="B3" s="3" t="n">
        <v>1405500</v>
      </c>
      <c r="C3" s="2" t="inlineStr">
        <is>
          <t>Revised all-suite scheduled monthly rent $117,125 x 12 (rent-roll-revised.xlsx E5:E12); was $1,402,800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Unchanged (underwriting-instructions.pdf p.1)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Unchanged; reimbursements already included,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0.065</v>
      </c>
      <c r="C12" s="2" t="inlineStr">
        <is>
          <t>REVISED: 6.2500% + 25 bps = 6.5000%</t>
        </is>
      </c>
    </row>
    <row r="13" ht="30" customHeight="1">
      <c r="A13" s="2" t="inlineStr">
        <is>
          <t>Sizing rate applied</t>
        </is>
      </c>
      <c r="B13" s="6" t="n">
        <v>0.08750000000000001</v>
      </c>
      <c r="C13" s="2" t="inlineStr">
        <is>
          <t>REVISED: prior sizing rate 7.0000% + 75 bps = 7.7500%; still the greater of note rate and floor</t>
        </is>
      </c>
    </row>
    <row r="14" ht="30" customHeight="1">
      <c r="A14" s="2" t="inlineStr">
        <is>
          <t>Note rate (contract, unchanged)</t>
        </is>
      </c>
      <c r="B14" s="6" t="n">
        <v>0.061</v>
      </c>
    </row>
    <row r="15" ht="30" customHeight="1">
      <c r="A15" s="2" t="inlineStr">
        <is>
          <t>Underwriting rate floor as revised</t>
        </is>
      </c>
      <c r="B15" s="6" t="n">
        <v>0.0775</v>
      </c>
      <c r="C15" s="2" t="inlineStr">
        <is>
          <t>Floor 7.0000% + 75 bps; exceeds the 6.1000% note rate, so the floor still binds</t>
        </is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 (unchanged)</t>
        </is>
      </c>
      <c r="B22" s="3" t="n">
        <v>7800000</v>
      </c>
    </row>
    <row r="24" ht="30" customHeight="1">
      <c r="A24" s="2" t="inlineStr">
        <is>
          <t>Rate-floor check: greater of note rate and revised floor</t>
        </is>
      </c>
      <c r="B24" s="8">
        <f>MAX(B14,B15)</f>
        <v/>
      </c>
      <c r="C24" s="2" t="inlineStr">
        <is>
          <t>Ties to the sizing rate input in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Revised certified rent roll as of 2026-09-01 (rent-roll-revised.xlsx)</t>
        </is>
      </c>
    </row>
    <row r="2" ht="30" customHeight="1">
      <c r="A2" s="2" t="inlineStr">
        <is>
          <t>Groups: A = Small suite, B = Standard suite, C = Large suite (manager-cover.pdf p.1). Supersedes the 2026-08-31 certified roll; 2026-06-30 archive remains stale.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  <c r="I4" s="9" t="inlineStr">
        <is>
          <t>Prior monthly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  <c r="I5" s="10" t="n">
        <v>14450</v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14825</v>
      </c>
      <c r="G6" s="10">
        <f>F6*12</f>
        <v/>
      </c>
      <c r="H6" s="2" t="inlineStr">
        <is>
          <t>2029-08-31</t>
        </is>
      </c>
      <c r="I6" s="10" t="n">
        <v>14600</v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  <c r="I7" s="10" t="n">
        <v>14875</v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  <c r="I8" s="10" t="n">
        <v>14450</v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  <c r="I9" s="10" t="n">
        <v>14600</v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  <c r="I10" s="10" t="n">
        <v>14875</v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  <c r="I11" s="10" t="n">
        <v>14450</v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  <c r="I12" s="10" t="n">
        <v>14600</v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  <c r="I13" s="12">
        <f>SUM(I5:I12)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  <c r="C31" s="2" t="inlineStr">
        <is>
          <t>Unchanged; no amendment or unsigned proposal in the packet</t>
        </is>
      </c>
    </row>
    <row r="32" ht="30" customHeight="1">
      <c r="A32" s="2" t="inlineStr">
        <is>
          <t>Active suite expiries within 12 months of 2026-09-01</t>
        </is>
      </c>
      <c r="B32" s="13" t="n">
        <v>0</v>
      </c>
    </row>
    <row r="33" ht="30" customHeight="1">
      <c r="A33" s="2" t="inlineStr">
        <is>
          <t>Only change versus the prior roll: Suite 002 scheduled rent +$225 per month ($14,600 to $14,825). Statuses, areas and expirations unchanged.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(revised)</t>
        </is>
      </c>
    </row>
    <row r="2" ht="30" customHeight="1">
      <c r="A2" s="2" t="inlineStr">
        <is>
          <t>Rules per underwriting-instructions.pdf p.1; cap rate per revision-notice.pdf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 (revised 6.5000%)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p.1, unchanged)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 (revised)</t>
        </is>
      </c>
    </row>
    <row r="2" ht="30" customHeight="1">
      <c r="A2" s="2" t="inlineStr">
        <is>
          <t>Sized at the revised 7.7500% rate (greater of note rate and revised floor), 30-year monthly amortization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Informational; sizing uses the 7.7500% revised rate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30" customHeight="1">
      <c r="A1" s="1" t="inlineStr">
        <is>
          <t>Revision reconciliation: prior (2026-08-31 roll) versus revised (2026-09-01 roll)</t>
        </is>
      </c>
    </row>
    <row r="2" ht="30" customHeight="1">
      <c r="A2" s="2" t="inlineStr">
        <is>
          <t>Prior workbook artifacts/underwriting-v2.xlsx remains in the audit archive and is not replaced.</t>
        </is>
      </c>
    </row>
    <row r="4" ht="30" customHeight="1">
      <c r="A4" s="9" t="inlineStr">
        <is>
          <t>Item</t>
        </is>
      </c>
      <c r="B4" s="9" t="inlineStr">
        <is>
          <t>Prior</t>
        </is>
      </c>
      <c r="C4" s="9" t="inlineStr">
        <is>
          <t>Revised</t>
        </is>
      </c>
      <c r="D4" s="9" t="inlineStr">
        <is>
          <t>Change</t>
        </is>
      </c>
      <c r="E4" s="9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superseded</t>
        </is>
      </c>
      <c r="E5" s="2" t="inlineStr">
        <is>
          <t>revision-notice.pdf p.1</t>
        </is>
      </c>
    </row>
    <row r="6" ht="30" customHeight="1">
      <c r="A6" s="2" t="inlineStr">
        <is>
          <t>Suite 002 monthly rent</t>
        </is>
      </c>
      <c r="B6" s="10" t="n">
        <v>14600</v>
      </c>
      <c r="C6" s="10" t="n">
        <v>14825</v>
      </c>
      <c r="D6" s="10">
        <f>C6-B6</f>
        <v/>
      </c>
      <c r="E6" s="2" t="inlineStr">
        <is>
          <t>+$225 per revision notice</t>
        </is>
      </c>
    </row>
    <row r="7" ht="30" customHeight="1">
      <c r="A7" s="2" t="inlineStr">
        <is>
          <t>Gross potential rent</t>
        </is>
      </c>
      <c r="B7" s="10" t="n">
        <v>1402800</v>
      </c>
      <c r="C7" s="10">
        <f>Inputs!B3</f>
        <v/>
      </c>
      <c r="D7" s="10">
        <f>C7-B7</f>
        <v/>
      </c>
      <c r="E7" s="2" t="inlineStr">
        <is>
          <t>$225 x 12</t>
        </is>
      </c>
    </row>
    <row r="8" ht="30" customHeight="1">
      <c r="A8" s="2" t="inlineStr">
        <is>
          <t>Annual in-place rent</t>
        </is>
      </c>
      <c r="B8" s="10" t="n">
        <v>1227600</v>
      </c>
      <c r="C8" s="10">
        <f>'Rent Roll'!B23</f>
        <v/>
      </c>
      <c r="D8" s="10">
        <f>C8-B8</f>
        <v/>
      </c>
      <c r="E8" s="2" t="inlineStr">
        <is>
          <t>Suite 002 already active; rent increase only</t>
        </is>
      </c>
    </row>
    <row r="9" ht="30" customHeight="1">
      <c r="A9" s="2" t="inlineStr">
        <is>
          <t>Underwritten EGI</t>
        </is>
      </c>
      <c r="B9" s="10" t="n">
        <v>1335460</v>
      </c>
      <c r="C9" s="10">
        <f>Underwriting!B6</f>
        <v/>
      </c>
      <c r="D9" s="10">
        <f>C9-B9</f>
        <v/>
      </c>
      <c r="E9" s="2" t="inlineStr">
        <is>
          <t>95% of higher GPR</t>
        </is>
      </c>
    </row>
    <row r="10" ht="30" customHeight="1">
      <c r="A10" s="2" t="inlineStr">
        <is>
          <t>NOI before reserves</t>
        </is>
      </c>
      <c r="B10" s="10" t="n">
        <v>902612.2</v>
      </c>
      <c r="C10" s="10">
        <f>Underwriting!B14</f>
        <v/>
      </c>
      <c r="D10" s="10">
        <f>C10-B10</f>
        <v/>
      </c>
      <c r="E10" s="2" t="inlineStr">
        <is>
          <t>EGI increase net of 3% management fee</t>
        </is>
      </c>
    </row>
    <row r="11" ht="30" customHeight="1">
      <c r="A11" s="2" t="inlineStr">
        <is>
          <t>NCF after reserves</t>
        </is>
      </c>
      <c r="B11" s="10" t="n">
        <v>900212.2</v>
      </c>
      <c r="C11" s="10">
        <f>Underwriting!B16</f>
        <v/>
      </c>
      <c r="D11" s="10">
        <f>C11-B11</f>
        <v/>
      </c>
      <c r="E11" s="2" t="inlineStr">
        <is>
          <t>Reserves unchanged at $2,400</t>
        </is>
      </c>
    </row>
    <row r="12" ht="30" customHeight="1">
      <c r="A12" s="2" t="inlineStr">
        <is>
          <t>Capitalization rate</t>
        </is>
      </c>
      <c r="B12" s="16" t="n">
        <v>0.0625</v>
      </c>
      <c r="C12" s="16">
        <f>Inputs!B12</f>
        <v/>
      </c>
      <c r="D12" s="16">
        <f>C12-B12</f>
        <v/>
      </c>
      <c r="E12" s="2" t="inlineStr">
        <is>
          <t>+25 bps per revision notice</t>
        </is>
      </c>
    </row>
    <row r="13" ht="30" customHeight="1">
      <c r="A13" s="2" t="inlineStr">
        <is>
          <t>Capitalization value</t>
        </is>
      </c>
      <c r="B13" s="10" t="n">
        <v>14441795.2</v>
      </c>
      <c r="C13" s="10">
        <f>Underwriting!B19</f>
        <v/>
      </c>
      <c r="D13" s="10">
        <f>C13-B13</f>
        <v/>
      </c>
      <c r="E13" s="2" t="inlineStr">
        <is>
          <t>Higher NOI more than offset by higher cap rate</t>
        </is>
      </c>
    </row>
    <row r="14" ht="30" customHeight="1">
      <c r="A14" s="2" t="inlineStr">
        <is>
          <t>Sizing rate</t>
        </is>
      </c>
      <c r="B14" s="16" t="n">
        <v>0.07000000000000001</v>
      </c>
      <c r="C14" s="16">
        <f>Inputs!B13</f>
        <v/>
      </c>
      <c r="D14" s="16">
        <f>C14-B14</f>
        <v/>
      </c>
      <c r="E14" s="2" t="inlineStr">
        <is>
          <t>+75 bps per revision notice; still above the 6.1000% note rate</t>
        </is>
      </c>
    </row>
    <row r="15" ht="30" customHeight="1">
      <c r="A15" s="2" t="inlineStr">
        <is>
          <t>LTV limit</t>
        </is>
      </c>
      <c r="B15" s="10" t="n">
        <v>9387166.880000001</v>
      </c>
      <c r="C15" s="10">
        <f>Debt!B3</f>
        <v/>
      </c>
      <c r="D15" s="10">
        <f>C15-B15</f>
        <v/>
      </c>
      <c r="E15" s="2" t="inlineStr">
        <is>
          <t>Lower cap value</t>
        </is>
      </c>
    </row>
    <row r="16" ht="30" customHeight="1">
      <c r="A16" s="2" t="inlineStr">
        <is>
          <t>DSCR limit</t>
        </is>
      </c>
      <c r="B16" s="10" t="n">
        <v>9020580.43</v>
      </c>
      <c r="C16" s="10">
        <f>Debt!B7</f>
        <v/>
      </c>
      <c r="D16" s="10">
        <f>C16-B16</f>
        <v/>
      </c>
      <c r="E16" s="2" t="inlineStr">
        <is>
          <t>Higher constant at 7.7500%</t>
        </is>
      </c>
    </row>
    <row r="17" ht="30" customHeight="1">
      <c r="A17" s="2" t="inlineStr">
        <is>
          <t>Debt yield limit</t>
        </is>
      </c>
      <c r="B17" s="10" t="n">
        <v>10002357.78</v>
      </c>
      <c r="C17" s="10">
        <f>Debt!B8</f>
        <v/>
      </c>
      <c r="D17" s="10">
        <f>C17-B17</f>
        <v/>
      </c>
      <c r="E17" s="2" t="inlineStr">
        <is>
          <t>Higher NCF</t>
        </is>
      </c>
    </row>
    <row r="18" ht="30" customHeight="1">
      <c r="A18" s="2" t="inlineStr">
        <is>
          <t>Maximum loan</t>
        </is>
      </c>
      <c r="B18" s="10" t="n">
        <v>9020580.43</v>
      </c>
      <c r="C18" s="10">
        <f>Debt!B9</f>
        <v/>
      </c>
      <c r="D18" s="10">
        <f>C18-B18</f>
        <v/>
      </c>
      <c r="E18" s="2" t="inlineStr">
        <is>
          <t>DSCR remains the binding test</t>
        </is>
      </c>
    </row>
    <row r="19" ht="30" customHeight="1">
      <c r="A19" s="2" t="inlineStr">
        <is>
          <t>Net cash-out</t>
        </is>
      </c>
      <c r="B19" s="10" t="n">
        <v>1085374.62</v>
      </c>
      <c r="C19" s="10">
        <f>Debt!B17</f>
        <v/>
      </c>
      <c r="D19" s="10">
        <f>C19-B19</f>
        <v/>
      </c>
      <c r="E19" s="2" t="inlineStr">
        <is>
          <t>Smaller loan, same payoff and costs</t>
        </is>
      </c>
    </row>
    <row r="21" ht="30" customHeight="1">
      <c r="A21" s="2" t="inlineStr">
        <is>
          <t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 - revised base 7.7500% / 6.5000%</t>
        </is>
      </c>
    </row>
    <row r="2" ht="30" customHeight="1">
      <c r="A2" s="2" t="inlineStr">
        <is>
          <t>Each cell = MIN(LTV limit, DSCR limit, debt yield limit) holding revised NOI and NCF constant</t>
        </is>
      </c>
    </row>
    <row r="4" ht="30" customHeight="1">
      <c r="A4" s="9" t="inlineStr">
        <is>
          <t>Sizing rate / Cap rate</t>
        </is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0.07000000000000001</v>
      </c>
    </row>
    <row r="5" ht="30" customHeight="1">
      <c r="A5" s="19" t="n">
        <v>0.07000000000000001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0.0725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0.075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0.0775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0.08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and the 7.7500% / 6.5000% cell tie to the revised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 (revision 2)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rent-roll-revised.xlsx</t>
        </is>
      </c>
      <c r="B4" s="2" t="inlineStr">
        <is>
          <t>Rent Roll A2:F12</t>
        </is>
      </c>
      <c r="C4" s="2" t="inlineStr">
        <is>
          <t>Controlling roll as of 2026-09-01: 8 suites, 176,060 SF, 7 active / 1 vacant, Suite 002 at $14,825,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Revised roll supersedes prior roll; Suite 002 rent +$225;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A2:F12</t>
        </is>
      </c>
      <c r="C6" s="2" t="inlineStr">
        <is>
          <t>Prior 2026-08-31 roll; superseded, retained for comparison on the Changes sheet</t>
        </is>
      </c>
    </row>
    <row r="7" ht="30" customHeight="1">
      <c r="A7" s="2" t="inlineStr">
        <is>
          <t>rent-roll-archive.xlsx</t>
        </is>
      </c>
      <c r="B7" s="2" t="inlineStr">
        <is>
          <t>Rent Roll A2:F12</t>
        </is>
      </c>
      <c r="C7" s="2" t="inlineStr">
        <is>
          <t>Stale 2026-06-30 roll; excluded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Executed Suite 001 lease: $14,450 per month, 21,880 SF, expiry 2029-08-31, deposit $28,900,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Manager confirmation dated 2026-08-31: no amendments or new concessions affect Suite 001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T-12 to 2026-08-31: collections 1,262,520; tax 147,294; insurance 49,098; other 196,392; roof in repairs 0; reported NOI 869,736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General liability aggregate limit $2,000,000; policy period 2026-07-01 to 2027-06-30</t>
        </is>
      </c>
    </row>
    <row r="12" ht="30" customHeight="1">
      <c r="A12" s="2" t="inlineStr">
        <is>
          <t>underwriting-instructions.pdf</t>
        </is>
      </c>
      <c r="B12" s="2" t="inlineStr">
        <is>
          <t>p.1</t>
        </is>
      </c>
      <c r="C12" s="2" t="inlineStr">
        <is>
          <t>Underwriting rules, expense amounts, loan constraints, fees, closing costs, payoff, greater-of-rate sizing</t>
        </is>
      </c>
    </row>
    <row r="13" ht="30" customHeight="1">
      <c r="A13" s="2" t="inlineStr">
        <is>
          <t>manager-cover.pdf</t>
        </is>
      </c>
      <c r="B13" s="2" t="inlineStr">
        <is>
          <t>p.1</t>
        </is>
      </c>
      <c r="C13" s="2" t="inlineStr">
        <is>
          <t>Indianapolis industrial; leased headline includes unpossessed pending occupants; A/B/C group mapping; approved copy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property condition and title reviews incomplete; no defect findings supplied</t>
        </is>
      </c>
    </row>
    <row r="16" ht="30" customHeight="1">
      <c r="A16" s="9" t="inlineStr">
        <is>
          <t>Not supplied (explicitly unknown)</t>
        </is>
      </c>
      <c r="B16" s="2" t="inlineStr">
        <is>
          <t>Unknown</t>
        </is>
      </c>
      <c r="C16" s="2" t="inlineStr">
        <is>
          <t>Photos, asking price, market sales and rent comps, sponsor history, appraisal, tenant financials, Suite 008 leasing plan, signed Suite 002 amendment document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2026-09-07T14:22:22Z</dcterms:created>
  <dcterms:modified xmlns:dcterms="http://purl.org/dc/terms/" xmlns:xsi="http://www.w3.org/2001/XMLSchema-instance" xsi:type="dcterms:W3CDTF">2026-09-07T14:25:59Z</dcterms:modified>
</cp:coreProperties>
</file>