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Rent Roll" sheetId="2" state="visible" r:id="rId2"/>
    <sheet xmlns:r="http://schemas.openxmlformats.org/officeDocument/2006/relationships" name="Underwriting" sheetId="3" state="visible" r:id="rId3"/>
    <sheet xmlns:r="http://schemas.openxmlformats.org/officeDocument/2006/relationships" name="Debt" sheetId="4" state="visible" r:id="rId4"/>
    <sheet xmlns:r="http://schemas.openxmlformats.org/officeDocument/2006/relationships" name="Changes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Sourc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%"/>
    <numFmt numFmtId="165" formatCode="0.0000"/>
    <numFmt numFmtId="166" formatCode="0.00000000"/>
  </numFmts>
  <fonts count="5">
    <font>
      <name val="Calibri"/>
      <family val="2"/>
      <color theme="1"/>
      <sz val="11"/>
      <scheme val="minor"/>
    </font>
    <font>
      <name val="Arial"/>
      <b val="1"/>
      <sz val="15"/>
    </font>
    <font>
      <name val="Arial"/>
      <sz val="10"/>
    </font>
    <font>
      <name val="Arial"/>
      <color rgb="00185CB5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E5EE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3" fontId="3" fillId="0" borderId="0" applyAlignment="1" pivotButton="0" quotePrefix="0" xfId="0">
      <alignment vertical="top" wrapText="1"/>
    </xf>
    <xf numFmtId="10" fontId="3" fillId="0" borderId="0" applyAlignment="1" pivotButton="0" quotePrefix="0" xfId="0">
      <alignment vertical="top" wrapText="1"/>
    </xf>
    <xf numFmtId="1" fontId="3" fillId="0" borderId="0" applyAlignment="1" pivotButton="0" quotePrefix="0" xfId="0">
      <alignment vertical="top" wrapText="1"/>
    </xf>
    <xf numFmtId="164" fontId="3" fillId="0" borderId="0" applyAlignment="1" pivotButton="0" quotePrefix="0" xfId="0">
      <alignment vertical="top" wrapText="1"/>
    </xf>
    <xf numFmtId="2" fontId="3" fillId="0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  <xf numFmtId="3" fontId="2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3" fontId="4" fillId="0" borderId="0" applyAlignment="1" pivotButton="0" quotePrefix="0" xfId="0">
      <alignment vertical="top" wrapText="1"/>
    </xf>
    <xf numFmtId="1" fontId="4" fillId="0" borderId="0" applyAlignment="1" pivotButton="0" quotePrefix="0" xfId="0">
      <alignment vertical="top" wrapText="1"/>
    </xf>
    <xf numFmtId="165" fontId="4" fillId="0" borderId="0" applyAlignment="1" pivotButton="0" quotePrefix="0" xfId="0">
      <alignment vertical="top" wrapText="1"/>
    </xf>
    <xf numFmtId="1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5" fontId="2" fillId="0" borderId="0" applyAlignment="1" pivotButton="0" quotePrefix="0" xfId="0">
      <alignment vertical="top" wrapText="1"/>
    </xf>
    <xf numFmtId="166" fontId="2" fillId="0" borderId="0" applyAlignment="1" pivotButton="0" quotePrefix="0" xfId="0">
      <alignment vertical="top" wrapText="1"/>
    </xf>
    <xf numFmtId="164" fontId="4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4" customWidth="1" min="1" max="1"/>
    <col width="16" customWidth="1" min="2" max="2"/>
    <col width="54" customWidth="1" min="3" max="3"/>
  </cols>
  <sheetData>
    <row r="1" ht="30" customHeight="1">
      <c r="A1" s="1" t="inlineStr">
        <is>
          <t>Falcon Distribution | Underwriting inputs (REVISED per revision-notice.pdf, roll as of 2026-09-01)</t>
        </is>
      </c>
    </row>
    <row r="2" ht="30" customHeight="1">
      <c r="A2" s="2" t="inlineStr">
        <is>
          <t>Original fictional evaluation material; no real transaction. Revision 2 supersedes the 2026-08-31 version; prior workbook retained in the archive.</t>
        </is>
      </c>
    </row>
    <row r="3" ht="30" customHeight="1">
      <c r="A3" s="2" t="inlineStr">
        <is>
          <t>Gross potential rent (annual, all suites)</t>
        </is>
      </c>
      <c r="B3" s="3" t="n">
        <v>1405500</v>
      </c>
      <c r="C3" s="2" t="inlineStr">
        <is>
          <t>Revised all-suite scheduled monthly rent $117,125 x 12 (rent-roll-revised.xlsx E5:E12); was $1,402,800</t>
        </is>
      </c>
    </row>
    <row r="4" ht="30" customHeight="1">
      <c r="A4" s="2" t="inlineStr">
        <is>
          <t>Economic loss (vacancy/credit)</t>
        </is>
      </c>
      <c r="B4" s="4" t="n">
        <v>0.05</v>
      </c>
      <c r="C4" s="2" t="inlineStr">
        <is>
          <t>Unchanged (underwriting-instructions.pdf p.1)</t>
        </is>
      </c>
    </row>
    <row r="5" ht="30" customHeight="1">
      <c r="A5" s="2" t="inlineStr">
        <is>
          <t>Other income per unit/suite (annual)</t>
        </is>
      </c>
      <c r="B5" s="3" t="n">
        <v>350</v>
      </c>
      <c r="C5" s="2" t="inlineStr">
        <is>
          <t>Unchanged; reimbursements already included, not double counted</t>
        </is>
      </c>
    </row>
    <row r="6" ht="30" customHeight="1">
      <c r="A6" s="2" t="inlineStr">
        <is>
          <t>Unit/suite count</t>
        </is>
      </c>
      <c r="B6" s="5" t="n">
        <v>8</v>
      </c>
    </row>
    <row r="7" ht="30" customHeight="1">
      <c r="A7" s="2" t="inlineStr">
        <is>
          <t>Real estate tax expense</t>
        </is>
      </c>
      <c r="B7" s="3" t="n">
        <v>147294</v>
      </c>
    </row>
    <row r="8" ht="30" customHeight="1">
      <c r="A8" s="2" t="inlineStr">
        <is>
          <t>Insurance expense</t>
        </is>
      </c>
      <c r="B8" s="3" t="n">
        <v>49098</v>
      </c>
    </row>
    <row r="9" ht="30" customHeight="1">
      <c r="A9" s="2" t="inlineStr">
        <is>
          <t>Other recurring operating expenses</t>
        </is>
      </c>
      <c r="B9" s="3" t="n">
        <v>196392</v>
      </c>
    </row>
    <row r="10" ht="30" customHeight="1">
      <c r="A10" s="2" t="inlineStr">
        <is>
          <t>Management fee (% of underwritten EGI)</t>
        </is>
      </c>
      <c r="B10" s="4" t="n">
        <v>0.03</v>
      </c>
    </row>
    <row r="11" ht="30" customHeight="1">
      <c r="A11" s="2" t="inlineStr">
        <is>
          <t>Replacement reserve per unit/suite</t>
        </is>
      </c>
      <c r="B11" s="3" t="n">
        <v>300</v>
      </c>
    </row>
    <row r="12" ht="30" customHeight="1">
      <c r="A12" s="2" t="inlineStr">
        <is>
          <t>Capitalization rate (NOI before reserves)</t>
        </is>
      </c>
      <c r="B12" s="6" t="n">
        <v>0.065</v>
      </c>
      <c r="C12" s="2" t="inlineStr">
        <is>
          <t>REVISED: 6.2500% + 25 bps = 6.5000%</t>
        </is>
      </c>
    </row>
    <row r="13" ht="30" customHeight="1">
      <c r="A13" s="2" t="inlineStr">
        <is>
          <t>Sizing rate applied</t>
        </is>
      </c>
      <c r="B13" s="6" t="n">
        <v>0.0775</v>
      </c>
      <c r="C13" s="2" t="inlineStr">
        <is>
          <t>REVISED: prior sizing rate 7.0000% + 75 bps = 7.7500%; still the greater of note rate and floor</t>
        </is>
      </c>
    </row>
    <row r="14" ht="30" customHeight="1">
      <c r="A14" s="2" t="inlineStr">
        <is>
          <t>Note rate (contract, unchanged)</t>
        </is>
      </c>
      <c r="B14" s="6" t="n">
        <v>0.061</v>
      </c>
    </row>
    <row r="15" ht="30" customHeight="1">
      <c r="A15" s="2" t="inlineStr">
        <is>
          <t>Underwriting rate floor as revised</t>
        </is>
      </c>
      <c r="B15" s="6" t="n">
        <v>0.0775</v>
      </c>
      <c r="C15" s="2" t="inlineStr">
        <is>
          <t>Floor 7.0000% + 75 bps; exceeds the 6.1000% note rate, so the floor still binds</t>
        </is>
      </c>
    </row>
    <row r="16" ht="30" customHeight="1">
      <c r="A16" s="2" t="inlineStr">
        <is>
          <t>Amortization (years, monthly pay)</t>
        </is>
      </c>
      <c r="B16" s="5" t="n">
        <v>30</v>
      </c>
    </row>
    <row r="17" ht="30" customHeight="1">
      <c r="A17" s="2" t="inlineStr">
        <is>
          <t>Maximum LTV</t>
        </is>
      </c>
      <c r="B17" s="4" t="n">
        <v>0.65</v>
      </c>
    </row>
    <row r="18" ht="30" customHeight="1">
      <c r="A18" s="2" t="inlineStr">
        <is>
          <t>Minimum DSCR (on NCF)</t>
        </is>
      </c>
      <c r="B18" s="7" t="n">
        <v>1.25</v>
      </c>
    </row>
    <row r="19" ht="30" customHeight="1">
      <c r="A19" s="2" t="inlineStr">
        <is>
          <t>Minimum NCF debt yield</t>
        </is>
      </c>
      <c r="B19" s="4" t="n">
        <v>0.09</v>
      </c>
    </row>
    <row r="20" ht="30" customHeight="1">
      <c r="A20" s="2" t="inlineStr">
        <is>
          <t>Origination fee (% of sized loan)</t>
        </is>
      </c>
      <c r="B20" s="4" t="n">
        <v>0.01</v>
      </c>
    </row>
    <row r="21" ht="30" customHeight="1">
      <c r="A21" s="2" t="inlineStr">
        <is>
          <t>Closing costs</t>
        </is>
      </c>
      <c r="B21" s="3" t="n">
        <v>45000</v>
      </c>
    </row>
    <row r="22" ht="30" customHeight="1">
      <c r="A22" s="2" t="inlineStr">
        <is>
          <t>Existing loan payoff (unchanged)</t>
        </is>
      </c>
      <c r="B22" s="3" t="n">
        <v>7800000</v>
      </c>
    </row>
    <row r="24" ht="30" customHeight="1">
      <c r="A24" s="2" t="inlineStr">
        <is>
          <t>Rate-floor check: greater of note rate and revised floor</t>
        </is>
      </c>
      <c r="B24" s="8">
        <f>MAX(B14,B15)</f>
        <v/>
      </c>
      <c r="C24" s="2" t="inlineStr">
        <is>
          <t>Ties to the sizing rate input in B13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3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0" customWidth="1" min="4" max="4"/>
    <col width="12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30" customHeight="1">
      <c r="A1" s="1" t="inlineStr">
        <is>
          <t>Revised certified rent roll as of 2026-09-01 (rent-roll-revised.xlsx)</t>
        </is>
      </c>
    </row>
    <row r="2" ht="30" customHeight="1">
      <c r="A2" s="2" t="inlineStr">
        <is>
          <t>Groups: A = Small suite, B = Standard suite, C = Large suite (manager-cover.pdf p.1). Supersedes the 2026-08-31 certified roll; 2026-06-30 archive remains stale.</t>
        </is>
      </c>
    </row>
    <row r="4" ht="30" customHeight="1">
      <c r="A4" s="9" t="inlineStr">
        <is>
          <t>Suite</t>
        </is>
      </c>
      <c r="B4" s="9" t="inlineStr">
        <is>
          <t>Unit type</t>
        </is>
      </c>
      <c r="C4" s="9" t="inlineStr">
        <is>
          <t>Group</t>
        </is>
      </c>
      <c r="D4" s="9" t="inlineStr">
        <is>
          <t>Area SF</t>
        </is>
      </c>
      <c r="E4" s="9" t="inlineStr">
        <is>
          <t>Status</t>
        </is>
      </c>
      <c r="F4" s="9" t="inlineStr">
        <is>
          <t>Monthly rent</t>
        </is>
      </c>
      <c r="G4" s="9" t="inlineStr">
        <is>
          <t>Annual rent</t>
        </is>
      </c>
      <c r="H4" s="9" t="inlineStr">
        <is>
          <t>Expiration</t>
        </is>
      </c>
      <c r="I4" s="9" t="inlineStr">
        <is>
          <t>Prior monthly</t>
        </is>
      </c>
    </row>
    <row r="5" ht="30" customHeight="1">
      <c r="A5" s="2" t="inlineStr">
        <is>
          <t>001</t>
        </is>
      </c>
      <c r="B5" s="2" t="inlineStr">
        <is>
          <t>Small suite</t>
        </is>
      </c>
      <c r="C5" s="2" t="inlineStr">
        <is>
          <t>A</t>
        </is>
      </c>
      <c r="D5" s="10" t="n">
        <v>21880</v>
      </c>
      <c r="E5" s="2" t="inlineStr">
        <is>
          <t>active</t>
        </is>
      </c>
      <c r="F5" s="10" t="n">
        <v>14450</v>
      </c>
      <c r="G5" s="10">
        <f>F5*12</f>
        <v/>
      </c>
      <c r="H5" s="2" t="inlineStr">
        <is>
          <t>2029-08-31</t>
        </is>
      </c>
      <c r="I5" s="10" t="n">
        <v>14450</v>
      </c>
    </row>
    <row r="6" ht="30" customHeight="1">
      <c r="A6" s="2" t="inlineStr">
        <is>
          <t>002</t>
        </is>
      </c>
      <c r="B6" s="2" t="inlineStr">
        <is>
          <t>Standard suite</t>
        </is>
      </c>
      <c r="C6" s="2" t="inlineStr">
        <is>
          <t>B</t>
        </is>
      </c>
      <c r="D6" s="10" t="n">
        <v>22000</v>
      </c>
      <c r="E6" s="2" t="inlineStr">
        <is>
          <t>active</t>
        </is>
      </c>
      <c r="F6" s="10" t="n">
        <v>14825</v>
      </c>
      <c r="G6" s="10">
        <f>F6*12</f>
        <v/>
      </c>
      <c r="H6" s="2" t="inlineStr">
        <is>
          <t>2029-08-31</t>
        </is>
      </c>
      <c r="I6" s="10" t="n">
        <v>14600</v>
      </c>
    </row>
    <row r="7" ht="30" customHeight="1">
      <c r="A7" s="2" t="inlineStr">
        <is>
          <t>003</t>
        </is>
      </c>
      <c r="B7" s="2" t="inlineStr">
        <is>
          <t>Large suite</t>
        </is>
      </c>
      <c r="C7" s="2" t="inlineStr">
        <is>
          <t>C</t>
        </is>
      </c>
      <c r="D7" s="10" t="n">
        <v>22210</v>
      </c>
      <c r="E7" s="2" t="inlineStr">
        <is>
          <t>active</t>
        </is>
      </c>
      <c r="F7" s="10" t="n">
        <v>14875</v>
      </c>
      <c r="G7" s="10">
        <f>F7*12</f>
        <v/>
      </c>
      <c r="H7" s="2" t="inlineStr">
        <is>
          <t>2029-08-31</t>
        </is>
      </c>
      <c r="I7" s="10" t="n">
        <v>14875</v>
      </c>
    </row>
    <row r="8" ht="30" customHeight="1">
      <c r="A8" s="2" t="inlineStr">
        <is>
          <t>004</t>
        </is>
      </c>
      <c r="B8" s="2" t="inlineStr">
        <is>
          <t>Small suite</t>
        </is>
      </c>
      <c r="C8" s="2" t="inlineStr">
        <is>
          <t>A</t>
        </is>
      </c>
      <c r="D8" s="10" t="n">
        <v>21880</v>
      </c>
      <c r="E8" s="2" t="inlineStr">
        <is>
          <t>active</t>
        </is>
      </c>
      <c r="F8" s="10" t="n">
        <v>14450</v>
      </c>
      <c r="G8" s="10">
        <f>F8*12</f>
        <v/>
      </c>
      <c r="H8" s="2" t="inlineStr">
        <is>
          <t>2029-08-31</t>
        </is>
      </c>
      <c r="I8" s="10" t="n">
        <v>14450</v>
      </c>
    </row>
    <row r="9" ht="30" customHeight="1">
      <c r="A9" s="2" t="inlineStr">
        <is>
          <t>005</t>
        </is>
      </c>
      <c r="B9" s="2" t="inlineStr">
        <is>
          <t>Standard suite</t>
        </is>
      </c>
      <c r="C9" s="2" t="inlineStr">
        <is>
          <t>B</t>
        </is>
      </c>
      <c r="D9" s="10" t="n">
        <v>22000</v>
      </c>
      <c r="E9" s="2" t="inlineStr">
        <is>
          <t>active</t>
        </is>
      </c>
      <c r="F9" s="10" t="n">
        <v>14600</v>
      </c>
      <c r="G9" s="10">
        <f>F9*12</f>
        <v/>
      </c>
      <c r="H9" s="2" t="inlineStr">
        <is>
          <t>2029-08-31</t>
        </is>
      </c>
      <c r="I9" s="10" t="n">
        <v>14600</v>
      </c>
    </row>
    <row r="10" ht="30" customHeight="1">
      <c r="A10" s="2" t="inlineStr">
        <is>
          <t>006</t>
        </is>
      </c>
      <c r="B10" s="2" t="inlineStr">
        <is>
          <t>Large suite</t>
        </is>
      </c>
      <c r="C10" s="2" t="inlineStr">
        <is>
          <t>C</t>
        </is>
      </c>
      <c r="D10" s="10" t="n">
        <v>22210</v>
      </c>
      <c r="E10" s="2" t="inlineStr">
        <is>
          <t>active</t>
        </is>
      </c>
      <c r="F10" s="10" t="n">
        <v>14875</v>
      </c>
      <c r="G10" s="10">
        <f>F10*12</f>
        <v/>
      </c>
      <c r="H10" s="2" t="inlineStr">
        <is>
          <t>2029-08-31</t>
        </is>
      </c>
      <c r="I10" s="10" t="n">
        <v>14875</v>
      </c>
    </row>
    <row r="11" ht="30" customHeight="1">
      <c r="A11" s="2" t="inlineStr">
        <is>
          <t>007</t>
        </is>
      </c>
      <c r="B11" s="2" t="inlineStr">
        <is>
          <t>Small suite</t>
        </is>
      </c>
      <c r="C11" s="2" t="inlineStr">
        <is>
          <t>A</t>
        </is>
      </c>
      <c r="D11" s="10" t="n">
        <v>21880</v>
      </c>
      <c r="E11" s="2" t="inlineStr">
        <is>
          <t>active</t>
        </is>
      </c>
      <c r="F11" s="10" t="n">
        <v>14450</v>
      </c>
      <c r="G11" s="10">
        <f>F11*12</f>
        <v/>
      </c>
      <c r="H11" s="2" t="inlineStr">
        <is>
          <t>2029-08-31</t>
        </is>
      </c>
      <c r="I11" s="10" t="n">
        <v>14450</v>
      </c>
    </row>
    <row r="12" ht="30" customHeight="1">
      <c r="A12" s="2" t="inlineStr">
        <is>
          <t>008</t>
        </is>
      </c>
      <c r="B12" s="2" t="inlineStr">
        <is>
          <t>Standard suite</t>
        </is>
      </c>
      <c r="C12" s="2" t="inlineStr">
        <is>
          <t>B</t>
        </is>
      </c>
      <c r="D12" s="10" t="n">
        <v>22000</v>
      </c>
      <c r="E12" s="2" t="inlineStr">
        <is>
          <t>vacant</t>
        </is>
      </c>
      <c r="F12" s="10" t="n">
        <v>14600</v>
      </c>
      <c r="G12" s="10">
        <f>F12*12</f>
        <v/>
      </c>
      <c r="H12" s="2" t="inlineStr">
        <is>
          <t>2029-08-31</t>
        </is>
      </c>
      <c r="I12" s="10" t="n">
        <v>14600</v>
      </c>
    </row>
    <row r="13" ht="30" customHeight="1">
      <c r="A13" s="11" t="inlineStr">
        <is>
          <t>Total</t>
        </is>
      </c>
      <c r="D13" s="12">
        <f>SUM(D5:D12)</f>
        <v/>
      </c>
      <c r="F13" s="12">
        <f>SUM(F5:F12)</f>
        <v/>
      </c>
      <c r="G13" s="12">
        <f>SUM(G5:G12)</f>
        <v/>
      </c>
      <c r="I13" s="12">
        <f>SUM(I5:I12)</f>
        <v/>
      </c>
    </row>
    <row r="15" ht="30" customHeight="1">
      <c r="A15" s="2" t="inlineStr">
        <is>
          <t>Total units</t>
        </is>
      </c>
      <c r="B15" s="13">
        <f>COUNTA(A5:A12)</f>
        <v/>
      </c>
    </row>
    <row r="16" ht="30" customHeight="1">
      <c r="A16" s="2" t="inlineStr">
        <is>
          <t>Occupied units (status active)</t>
        </is>
      </c>
      <c r="B16" s="13">
        <f>COUNTIF(E5:E12,"active")</f>
        <v/>
      </c>
    </row>
    <row r="17" ht="30" customHeight="1">
      <c r="A17" s="2" t="inlineStr">
        <is>
          <t>Pending units (leased, no possession)</t>
        </is>
      </c>
      <c r="B17" s="13">
        <f>COUNTIF(E5:E12,"pending")</f>
        <v/>
      </c>
    </row>
    <row r="18" ht="30" customHeight="1">
      <c r="A18" s="2" t="inlineStr">
        <is>
          <t>Vacant units</t>
        </is>
      </c>
      <c r="B18" s="13">
        <f>COUNTIF(E5:E12,"vacant")</f>
        <v/>
      </c>
    </row>
    <row r="19" ht="30" customHeight="1">
      <c r="A19" s="2" t="inlineStr">
        <is>
          <t>Total area SF</t>
        </is>
      </c>
      <c r="B19" s="12">
        <f>D13</f>
        <v/>
      </c>
    </row>
    <row r="20" ht="30" customHeight="1">
      <c r="A20" s="2" t="inlineStr">
        <is>
          <t>Occupied area SF</t>
        </is>
      </c>
      <c r="B20" s="12">
        <f>SUMIF(E5:E12,"active",D5:D12)</f>
        <v/>
      </c>
    </row>
    <row r="21" ht="30" customHeight="1">
      <c r="A21" s="2" t="inlineStr">
        <is>
          <t>Unit occupancy</t>
        </is>
      </c>
      <c r="B21" s="14">
        <f>B16/B15</f>
        <v/>
      </c>
    </row>
    <row r="22" ht="30" customHeight="1">
      <c r="A22" s="2" t="inlineStr">
        <is>
          <t>Area occupancy</t>
        </is>
      </c>
      <c r="B22" s="14">
        <f>B20/B19</f>
        <v/>
      </c>
    </row>
    <row r="23" ht="30" customHeight="1">
      <c r="A23" s="2" t="inlineStr">
        <is>
          <t>Annual in-place rent (active suites)</t>
        </is>
      </c>
      <c r="B23" s="12">
        <f>SUMIF(E5:E12,"active",G5:G12)</f>
        <v/>
      </c>
    </row>
    <row r="24" ht="30" customHeight="1">
      <c r="A24" s="2" t="inlineStr">
        <is>
          <t>Gross potential rent (all suites, annual)</t>
        </is>
      </c>
      <c r="B24" s="12">
        <f>G13</f>
        <v/>
      </c>
    </row>
    <row r="26" ht="30" customHeight="1">
      <c r="A26" s="9" t="inlineStr">
        <is>
          <t>Group</t>
        </is>
      </c>
      <c r="B26" s="9" t="inlineStr">
        <is>
          <t>Units</t>
        </is>
      </c>
      <c r="C26" s="9" t="inlineStr">
        <is>
          <t>Occupied</t>
        </is>
      </c>
      <c r="D26" s="9" t="inlineStr">
        <is>
          <t>Area SF</t>
        </is>
      </c>
    </row>
    <row r="27" ht="30" customHeight="1">
      <c r="A27" s="2" t="inlineStr">
        <is>
          <t>A (Small suite)</t>
        </is>
      </c>
      <c r="B27" s="15">
        <f>COUNTIF($C$5:$C$12,"A")</f>
        <v/>
      </c>
      <c r="C27" s="15">
        <f>COUNTIFS($C$5:$C$12,"A",$E$5:$E$12,"active")</f>
        <v/>
      </c>
      <c r="D27" s="10">
        <f>SUMIF($C$5:$C$12,"A",$D$5:$D$12)</f>
        <v/>
      </c>
    </row>
    <row r="28" ht="30" customHeight="1">
      <c r="A28" s="2" t="inlineStr">
        <is>
          <t>B (Standard suite)</t>
        </is>
      </c>
      <c r="B28" s="15">
        <f>COUNTIF($C$5:$C$12,"B")</f>
        <v/>
      </c>
      <c r="C28" s="15">
        <f>COUNTIFS($C$5:$C$12,"B",$E$5:$E$12,"active")</f>
        <v/>
      </c>
      <c r="D28" s="10">
        <f>SUMIF($C$5:$C$12,"B",$D$5:$D$12)</f>
        <v/>
      </c>
    </row>
    <row r="29" ht="30" customHeight="1">
      <c r="A29" s="2" t="inlineStr">
        <is>
          <t>C (Large suite)</t>
        </is>
      </c>
      <c r="B29" s="15">
        <f>COUNTIF($C$5:$C$12,"C")</f>
        <v/>
      </c>
      <c r="C29" s="15">
        <f>COUNTIFS($C$5:$C$12,"C",$E$5:$E$12,"active")</f>
        <v/>
      </c>
      <c r="D29" s="10">
        <f>SUMIF($C$5:$C$12,"C",$D$5:$D$12)</f>
        <v/>
      </c>
    </row>
    <row r="31" ht="30" customHeight="1">
      <c r="A31" s="2" t="inlineStr">
        <is>
          <t>Suite 001 monthly rent per executed lease (lease-001.pdf p.1)</t>
        </is>
      </c>
      <c r="B31" s="12" t="n">
        <v>14450</v>
      </c>
      <c r="C31" s="2" t="inlineStr">
        <is>
          <t>Unchanged; no amendment or unsigned proposal in the packet</t>
        </is>
      </c>
    </row>
    <row r="32" ht="30" customHeight="1">
      <c r="A32" s="2" t="inlineStr">
        <is>
          <t>Active suite expiries within 12 months of 2026-09-01</t>
        </is>
      </c>
      <c r="B32" s="13" t="n">
        <v>0</v>
      </c>
    </row>
    <row r="33" ht="30" customHeight="1">
      <c r="A33" s="2" t="inlineStr">
        <is>
          <t>Only change versus the prior roll: Suite 002 scheduled rent +$225 per month ($14,600 to $14,825). Statuses, areas and expirations unchanged.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3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4" customWidth="1" min="1" max="1"/>
    <col width="16" customWidth="1" min="2" max="2"/>
    <col width="46" customWidth="1" min="3" max="3"/>
  </cols>
  <sheetData>
    <row r="1" ht="30" customHeight="1">
      <c r="A1" s="1" t="inlineStr">
        <is>
          <t>Underwritten cash flow (revised)</t>
        </is>
      </c>
    </row>
    <row r="2" ht="30" customHeight="1">
      <c r="A2" s="2" t="inlineStr">
        <is>
          <t>Rules per underwriting-instructions.pdf p.1; cap rate per revision-notice.pdf p.1</t>
        </is>
      </c>
    </row>
    <row r="3" ht="30" customHeight="1">
      <c r="A3" s="2" t="inlineStr">
        <is>
          <t>Gross potential rent (annual)</t>
        </is>
      </c>
      <c r="B3" s="10">
        <f>Inputs!B3</f>
        <v/>
      </c>
    </row>
    <row r="4" ht="30" customHeight="1">
      <c r="A4" s="2" t="inlineStr">
        <is>
          <t>Economic loss at 5%</t>
        </is>
      </c>
      <c r="B4" s="10">
        <f>-Inputs!B3*Inputs!B4</f>
        <v/>
      </c>
    </row>
    <row r="5" ht="30" customHeight="1">
      <c r="A5" s="2" t="inlineStr">
        <is>
          <t>Other income ($350 per suite)</t>
        </is>
      </c>
      <c r="B5" s="10">
        <f>Inputs!B5*Inputs!B6</f>
        <v/>
      </c>
    </row>
    <row r="6" ht="30" customHeight="1">
      <c r="A6" s="11" t="inlineStr">
        <is>
          <t>Underwritten EGI</t>
        </is>
      </c>
      <c r="B6" s="12">
        <f>B3+B4+B5</f>
        <v/>
      </c>
    </row>
    <row r="8" ht="30" customHeight="1">
      <c r="A8" s="2" t="inlineStr">
        <is>
          <t>Real estate tax</t>
        </is>
      </c>
      <c r="B8" s="10">
        <f>Inputs!B7</f>
        <v/>
      </c>
    </row>
    <row r="9" ht="30" customHeight="1">
      <c r="A9" s="2" t="inlineStr">
        <is>
          <t>Insurance</t>
        </is>
      </c>
      <c r="B9" s="10">
        <f>Inputs!B8</f>
        <v/>
      </c>
    </row>
    <row r="10" ht="30" customHeight="1">
      <c r="A10" s="2" t="inlineStr">
        <is>
          <t>Other recurring operating expenses</t>
        </is>
      </c>
      <c r="B10" s="10">
        <f>Inputs!B9</f>
        <v/>
      </c>
    </row>
    <row r="11" ht="30" customHeight="1">
      <c r="A11" s="2" t="inlineStr">
        <is>
          <t>Management fee (3% of EGI)</t>
        </is>
      </c>
      <c r="B11" s="10">
        <f>Inputs!B10*B6</f>
        <v/>
      </c>
    </row>
    <row r="12" ht="30" customHeight="1">
      <c r="A12" s="11" t="inlineStr">
        <is>
          <t>Total operating expenses</t>
        </is>
      </c>
      <c r="B12" s="12">
        <f>SUM(B8:B11)</f>
        <v/>
      </c>
    </row>
    <row r="14" ht="30" customHeight="1">
      <c r="A14" s="11" t="inlineStr">
        <is>
          <t>Underwritten NOI before reserves</t>
        </is>
      </c>
      <c r="B14" s="12">
        <f>B6-B12</f>
        <v/>
      </c>
    </row>
    <row r="15" ht="30" customHeight="1">
      <c r="A15" s="2" t="inlineStr">
        <is>
          <t>Replacement reserves ($300 per suite)</t>
        </is>
      </c>
      <c r="B15" s="10">
        <f>Inputs!B11*Inputs!B6</f>
        <v/>
      </c>
    </row>
    <row r="16" ht="30" customHeight="1">
      <c r="A16" s="11" t="inlineStr">
        <is>
          <t>Underwritten NCF after reserves</t>
        </is>
      </c>
      <c r="B16" s="12">
        <f>B14-B15</f>
        <v/>
      </c>
    </row>
    <row r="18" ht="30" customHeight="1">
      <c r="A18" s="2" t="inlineStr">
        <is>
          <t>Capitalization rate (revised 6.5000%)</t>
        </is>
      </c>
      <c r="B18" s="16">
        <f>Inputs!B12</f>
        <v/>
      </c>
    </row>
    <row r="19" ht="30" customHeight="1">
      <c r="A19" s="11" t="inlineStr">
        <is>
          <t>Capitalization value (NOI before reserves / cap rate)</t>
        </is>
      </c>
      <c r="B19" s="12">
        <f>B14/B18</f>
        <v/>
      </c>
    </row>
    <row r="21" ht="30" customHeight="1">
      <c r="A21" s="2" t="inlineStr">
        <is>
          <t>Operating expense ratio (share of EGI)</t>
        </is>
      </c>
      <c r="B21" s="17">
        <f>B12/B6</f>
        <v/>
      </c>
    </row>
    <row r="23" ht="30" customHeight="1">
      <c r="A23" s="9" t="inlineStr">
        <is>
          <t>Historical T-12 comparison (operating-statement.pdf p.1, unchanged)</t>
        </is>
      </c>
    </row>
    <row r="24" ht="30" customHeight="1">
      <c r="A24" s="2" t="inlineStr">
        <is>
          <t>T-12 rental and ancillary collections</t>
        </is>
      </c>
      <c r="B24" s="10" t="n">
        <v>1262520</v>
      </c>
    </row>
    <row r="25" ht="30" customHeight="1">
      <c r="A25" s="2" t="inlineStr">
        <is>
          <t>T-12 real estate tax</t>
        </is>
      </c>
      <c r="B25" s="10" t="n">
        <v>147294</v>
      </c>
    </row>
    <row r="26" ht="30" customHeight="1">
      <c r="A26" s="2" t="inlineStr">
        <is>
          <t>T-12 insurance</t>
        </is>
      </c>
      <c r="B26" s="10" t="n">
        <v>49098</v>
      </c>
    </row>
    <row r="27" ht="30" customHeight="1">
      <c r="A27" s="2" t="inlineStr">
        <is>
          <t>T-12 other recurring operating expenses</t>
        </is>
      </c>
      <c r="B27" s="10" t="n">
        <v>196392</v>
      </c>
    </row>
    <row r="28" ht="30" customHeight="1">
      <c r="A28" s="2" t="inlineStr">
        <is>
          <t>Roof replacement booked in repairs (capital)</t>
        </is>
      </c>
      <c r="B28" s="10" t="n">
        <v>0</v>
      </c>
    </row>
    <row r="29" ht="30" customHeight="1">
      <c r="A29" s="11" t="inlineStr">
        <is>
          <t>Reported T-12 NOI (no management fee or reserves)</t>
        </is>
      </c>
      <c r="B29" s="12">
        <f>B24-B25-B26-B27-B28</f>
        <v/>
      </c>
      <c r="C29" s="2" t="inlineStr">
        <is>
          <t>Ties to reported NOI 869,736 on the statement</t>
        </is>
      </c>
    </row>
    <row r="30" ht="30" customHeight="1">
      <c r="A30" s="2" t="inlineStr">
        <is>
          <t>Underwritten NOI less reported T-12 NOI</t>
        </is>
      </c>
      <c r="B30" s="10">
        <f>B14-B29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2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16" customWidth="1" min="2" max="2"/>
    <col width="44" customWidth="1" min="3" max="3"/>
  </cols>
  <sheetData>
    <row r="1" ht="30" customHeight="1">
      <c r="A1" s="1" t="inlineStr">
        <is>
          <t>Debt sizing and sources / uses (revised)</t>
        </is>
      </c>
    </row>
    <row r="2" ht="30" customHeight="1">
      <c r="A2" s="2" t="inlineStr">
        <is>
          <t>Sized at the revised 7.7500% rate (greater of note rate and revised floor), 30-year monthly amortization</t>
        </is>
      </c>
    </row>
    <row r="3" ht="30" customHeight="1">
      <c r="A3" s="2" t="inlineStr">
        <is>
          <t>LTV limit (65% of capitalization value)</t>
        </is>
      </c>
      <c r="B3" s="10">
        <f>Underwriting!B19*Inputs!B17</f>
        <v/>
      </c>
    </row>
    <row r="4" ht="30" customHeight="1">
      <c r="A4" s="2" t="inlineStr">
        <is>
          <t>Maximum annual debt service at 1.25x DSCR on NCF</t>
        </is>
      </c>
      <c r="B4" s="10">
        <f>Underwriting!B16/Inputs!B18</f>
        <v/>
      </c>
    </row>
    <row r="5" ht="30" customHeight="1">
      <c r="A5" s="2" t="inlineStr">
        <is>
          <t>Sizing rate applied</t>
        </is>
      </c>
      <c r="B5" s="16">
        <f>Inputs!B13</f>
        <v/>
      </c>
    </row>
    <row r="6" ht="30" customHeight="1">
      <c r="A6" s="2" t="inlineStr">
        <is>
          <t>Annual debt service constant per $1 of loan</t>
        </is>
      </c>
      <c r="B6" s="18">
        <f>-PMT(B5/12,Inputs!B16*12,1)*12</f>
        <v/>
      </c>
    </row>
    <row r="7" ht="30" customHeight="1">
      <c r="A7" s="2" t="inlineStr">
        <is>
          <t>DSCR-constrained loan</t>
        </is>
      </c>
      <c r="B7" s="10">
        <f>B4/B6</f>
        <v/>
      </c>
    </row>
    <row r="8" ht="30" customHeight="1">
      <c r="A8" s="2" t="inlineStr">
        <is>
          <t>Debt-yield-constrained loan (NCF / 9%)</t>
        </is>
      </c>
      <c r="B8" s="10">
        <f>Underwriting!B16/Inputs!B19</f>
        <v/>
      </c>
    </row>
    <row r="9" ht="30" customHeight="1">
      <c r="A9" s="11" t="inlineStr">
        <is>
          <t>Maximum loan (binding constraint)</t>
        </is>
      </c>
      <c r="B9" s="12">
        <f>MIN(B3,B7,B8)</f>
        <v/>
      </c>
    </row>
    <row r="10" ht="30" customHeight="1">
      <c r="A10" s="2" t="inlineStr">
        <is>
          <t>Binding test</t>
        </is>
      </c>
      <c r="B10" s="2">
        <f>IF(B9=B7,"DSCR",IF(B9=B3,"LTV","Debt yield"))</f>
        <v/>
      </c>
    </row>
    <row r="12" ht="30" customHeight="1">
      <c r="A12" s="9" t="inlineStr">
        <is>
          <t>Sources and uses</t>
        </is>
      </c>
    </row>
    <row r="13" ht="30" customHeight="1">
      <c r="A13" s="2" t="inlineStr">
        <is>
          <t>Loan proceeds (source)</t>
        </is>
      </c>
      <c r="B13" s="10">
        <f>B9</f>
        <v/>
      </c>
    </row>
    <row r="14" ht="30" customHeight="1">
      <c r="A14" s="2" t="inlineStr">
        <is>
          <t>Origination fee at 1% (use)</t>
        </is>
      </c>
      <c r="B14" s="10">
        <f>-B9*Inputs!B20</f>
        <v/>
      </c>
    </row>
    <row r="15" ht="30" customHeight="1">
      <c r="A15" s="2" t="inlineStr">
        <is>
          <t>Closing costs (use)</t>
        </is>
      </c>
      <c r="B15" s="10">
        <f>-Inputs!B21</f>
        <v/>
      </c>
    </row>
    <row r="16" ht="30" customHeight="1">
      <c r="A16" s="2" t="inlineStr">
        <is>
          <t>Existing loan payoff (use)</t>
        </is>
      </c>
      <c r="B16" s="10">
        <f>-Inputs!B22</f>
        <v/>
      </c>
    </row>
    <row r="17" ht="30" customHeight="1">
      <c r="A17" s="11" t="inlineStr">
        <is>
          <t>Net cash-out (negative = additional equity required)</t>
        </is>
      </c>
      <c r="B17" s="12">
        <f>B13+B14+B15+B16</f>
        <v/>
      </c>
    </row>
    <row r="19" ht="30" customHeight="1">
      <c r="A19" s="2" t="inlineStr">
        <is>
          <t>Implied DSCR at maximum loan</t>
        </is>
      </c>
      <c r="B19" s="17">
        <f>Underwriting!B16/(B9*B6)</f>
        <v/>
      </c>
    </row>
    <row r="20" ht="30" customHeight="1">
      <c r="A20" s="2" t="inlineStr">
        <is>
          <t>Implied NCF debt yield</t>
        </is>
      </c>
      <c r="B20" s="17">
        <f>Underwriting!B16/B9</f>
        <v/>
      </c>
    </row>
    <row r="21" ht="30" customHeight="1">
      <c r="A21" s="2" t="inlineStr">
        <is>
          <t>Implied LTV on capitalization value</t>
        </is>
      </c>
      <c r="B21" s="17">
        <f>B9/Underwriting!B19</f>
        <v/>
      </c>
    </row>
    <row r="22" ht="30" customHeight="1">
      <c r="A22" s="2" t="inlineStr">
        <is>
          <t>Interest-only annual interest, first 24 months at note rate</t>
        </is>
      </c>
      <c r="B22" s="10">
        <f>B9*Inputs!B14</f>
        <v/>
      </c>
      <c r="C22" s="2" t="inlineStr">
        <is>
          <t>Informational; sizing uses the 7.7500% revised rate and 30-year amortization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21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8" customWidth="1" min="4" max="4"/>
    <col width="34" customWidth="1" min="5" max="5"/>
  </cols>
  <sheetData>
    <row r="1" ht="30" customHeight="1">
      <c r="A1" s="1" t="inlineStr">
        <is>
          <t>Revision reconciliation: prior (2026-08-31 roll) versus revised (2026-09-01 roll)</t>
        </is>
      </c>
    </row>
    <row r="2" ht="30" customHeight="1">
      <c r="A2" s="2" t="inlineStr">
        <is>
          <t>Prior workbook artifacts/underwriting-v2.xlsx remains in the audit archive and is not replaced.</t>
        </is>
      </c>
    </row>
    <row r="4" ht="30" customHeight="1">
      <c r="A4" s="9" t="inlineStr">
        <is>
          <t>Item</t>
        </is>
      </c>
      <c r="B4" s="9" t="inlineStr">
        <is>
          <t>Prior</t>
        </is>
      </c>
      <c r="C4" s="9" t="inlineStr">
        <is>
          <t>Revised</t>
        </is>
      </c>
      <c r="D4" s="9" t="inlineStr">
        <is>
          <t>Change</t>
        </is>
      </c>
      <c r="E4" s="9" t="inlineStr">
        <is>
          <t>Driver</t>
        </is>
      </c>
    </row>
    <row r="5" ht="30" customHeight="1">
      <c r="A5" s="2" t="inlineStr">
        <is>
          <t>Controlling roll date</t>
        </is>
      </c>
      <c r="B5" s="2" t="inlineStr">
        <is>
          <t>2026-08-31</t>
        </is>
      </c>
      <c r="C5" s="2" t="inlineStr">
        <is>
          <t>2026-09-01</t>
        </is>
      </c>
      <c r="D5" s="2" t="inlineStr">
        <is>
          <t>superseded</t>
        </is>
      </c>
      <c r="E5" s="2" t="inlineStr">
        <is>
          <t>revision-notice.pdf p.1</t>
        </is>
      </c>
    </row>
    <row r="6" ht="30" customHeight="1">
      <c r="A6" s="2" t="inlineStr">
        <is>
          <t>Suite 002 monthly rent</t>
        </is>
      </c>
      <c r="B6" s="10" t="n">
        <v>14600</v>
      </c>
      <c r="C6" s="10" t="n">
        <v>14825</v>
      </c>
      <c r="D6" s="10">
        <f>C6-B6</f>
        <v/>
      </c>
      <c r="E6" s="2" t="inlineStr">
        <is>
          <t>+$225 per revision notice</t>
        </is>
      </c>
    </row>
    <row r="7" ht="30" customHeight="1">
      <c r="A7" s="2" t="inlineStr">
        <is>
          <t>Gross potential rent</t>
        </is>
      </c>
      <c r="B7" s="10" t="n">
        <v>1402800</v>
      </c>
      <c r="C7" s="10">
        <f>Inputs!B3</f>
        <v/>
      </c>
      <c r="D7" s="10">
        <f>C7-B7</f>
        <v/>
      </c>
      <c r="E7" s="2" t="inlineStr">
        <is>
          <t>$225 x 12</t>
        </is>
      </c>
    </row>
    <row r="8" ht="30" customHeight="1">
      <c r="A8" s="2" t="inlineStr">
        <is>
          <t>Annual in-place rent</t>
        </is>
      </c>
      <c r="B8" s="10" t="n">
        <v>1227600</v>
      </c>
      <c r="C8" s="10">
        <f>'Rent Roll'!B23</f>
        <v/>
      </c>
      <c r="D8" s="10">
        <f>C8-B8</f>
        <v/>
      </c>
      <c r="E8" s="2" t="inlineStr">
        <is>
          <t>Suite 002 already active; rent increase only</t>
        </is>
      </c>
    </row>
    <row r="9" ht="30" customHeight="1">
      <c r="A9" s="2" t="inlineStr">
        <is>
          <t>Underwritten EGI</t>
        </is>
      </c>
      <c r="B9" s="10" t="n">
        <v>1335460</v>
      </c>
      <c r="C9" s="10">
        <f>Underwriting!B6</f>
        <v/>
      </c>
      <c r="D9" s="10">
        <f>C9-B9</f>
        <v/>
      </c>
      <c r="E9" s="2" t="inlineStr">
        <is>
          <t>95% of higher GPR</t>
        </is>
      </c>
    </row>
    <row r="10" ht="30" customHeight="1">
      <c r="A10" s="2" t="inlineStr">
        <is>
          <t>NOI before reserves</t>
        </is>
      </c>
      <c r="B10" s="10" t="n">
        <v>902612.2</v>
      </c>
      <c r="C10" s="10">
        <f>Underwriting!B14</f>
        <v/>
      </c>
      <c r="D10" s="10">
        <f>C10-B10</f>
        <v/>
      </c>
      <c r="E10" s="2" t="inlineStr">
        <is>
          <t>EGI increase net of 3% management fee</t>
        </is>
      </c>
    </row>
    <row r="11" ht="30" customHeight="1">
      <c r="A11" s="2" t="inlineStr">
        <is>
          <t>NCF after reserves</t>
        </is>
      </c>
      <c r="B11" s="10" t="n">
        <v>900212.2</v>
      </c>
      <c r="C11" s="10">
        <f>Underwriting!B16</f>
        <v/>
      </c>
      <c r="D11" s="10">
        <f>C11-B11</f>
        <v/>
      </c>
      <c r="E11" s="2" t="inlineStr">
        <is>
          <t>Reserves unchanged at $2,400</t>
        </is>
      </c>
    </row>
    <row r="12" ht="30" customHeight="1">
      <c r="A12" s="2" t="inlineStr">
        <is>
          <t>Capitalization rate</t>
        </is>
      </c>
      <c r="B12" s="16" t="n">
        <v>0.0625</v>
      </c>
      <c r="C12" s="16">
        <f>Inputs!B12</f>
        <v/>
      </c>
      <c r="D12" s="16">
        <f>C12-B12</f>
        <v/>
      </c>
      <c r="E12" s="2" t="inlineStr">
        <is>
          <t>+25 bps per revision notice</t>
        </is>
      </c>
    </row>
    <row r="13" ht="30" customHeight="1">
      <c r="A13" s="2" t="inlineStr">
        <is>
          <t>Capitalization value</t>
        </is>
      </c>
      <c r="B13" s="10" t="n">
        <v>14441795.2</v>
      </c>
      <c r="C13" s="10">
        <f>Underwriting!B19</f>
        <v/>
      </c>
      <c r="D13" s="10">
        <f>C13-B13</f>
        <v/>
      </c>
      <c r="E13" s="2" t="inlineStr">
        <is>
          <t>Higher NOI more than offset by higher cap rate</t>
        </is>
      </c>
    </row>
    <row r="14" ht="30" customHeight="1">
      <c r="A14" s="2" t="inlineStr">
        <is>
          <t>Sizing rate</t>
        </is>
      </c>
      <c r="B14" s="16" t="n">
        <v>0.07000000000000001</v>
      </c>
      <c r="C14" s="16">
        <f>Inputs!B13</f>
        <v/>
      </c>
      <c r="D14" s="16">
        <f>C14-B14</f>
        <v/>
      </c>
      <c r="E14" s="2" t="inlineStr">
        <is>
          <t>+75 bps per revision notice; still above the 6.1000% note rate</t>
        </is>
      </c>
    </row>
    <row r="15" ht="30" customHeight="1">
      <c r="A15" s="2" t="inlineStr">
        <is>
          <t>LTV limit</t>
        </is>
      </c>
      <c r="B15" s="10" t="n">
        <v>9387166.880000001</v>
      </c>
      <c r="C15" s="10">
        <f>Debt!B3</f>
        <v/>
      </c>
      <c r="D15" s="10">
        <f>C15-B15</f>
        <v/>
      </c>
      <c r="E15" s="2" t="inlineStr">
        <is>
          <t>Lower cap value</t>
        </is>
      </c>
    </row>
    <row r="16" ht="30" customHeight="1">
      <c r="A16" s="2" t="inlineStr">
        <is>
          <t>DSCR limit</t>
        </is>
      </c>
      <c r="B16" s="10" t="n">
        <v>9020580.43</v>
      </c>
      <c r="C16" s="10">
        <f>Debt!B7</f>
        <v/>
      </c>
      <c r="D16" s="10">
        <f>C16-B16</f>
        <v/>
      </c>
      <c r="E16" s="2" t="inlineStr">
        <is>
          <t>Higher constant at 7.7500%</t>
        </is>
      </c>
    </row>
    <row r="17" ht="30" customHeight="1">
      <c r="A17" s="2" t="inlineStr">
        <is>
          <t>Debt yield limit</t>
        </is>
      </c>
      <c r="B17" s="10" t="n">
        <v>10002357.78</v>
      </c>
      <c r="C17" s="10">
        <f>Debt!B8</f>
        <v/>
      </c>
      <c r="D17" s="10">
        <f>C17-B17</f>
        <v/>
      </c>
      <c r="E17" s="2" t="inlineStr">
        <is>
          <t>Higher NCF</t>
        </is>
      </c>
    </row>
    <row r="18" ht="30" customHeight="1">
      <c r="A18" s="2" t="inlineStr">
        <is>
          <t>Maximum loan</t>
        </is>
      </c>
      <c r="B18" s="10" t="n">
        <v>9020580.43</v>
      </c>
      <c r="C18" s="10">
        <f>Debt!B9</f>
        <v/>
      </c>
      <c r="D18" s="10">
        <f>C18-B18</f>
        <v/>
      </c>
      <c r="E18" s="2" t="inlineStr">
        <is>
          <t>DSCR remains the binding test</t>
        </is>
      </c>
    </row>
    <row r="19" ht="30" customHeight="1">
      <c r="A19" s="2" t="inlineStr">
        <is>
          <t>Net cash-out</t>
        </is>
      </c>
      <c r="B19" s="10" t="n">
        <v>1085374.62</v>
      </c>
      <c r="C19" s="10">
        <f>Debt!B17</f>
        <v/>
      </c>
      <c r="D19" s="10">
        <f>C19-B19</f>
        <v/>
      </c>
      <c r="E19" s="2" t="inlineStr">
        <is>
          <t>Smaller loan, same payoff and costs</t>
        </is>
      </c>
    </row>
    <row r="21" ht="30" customHeight="1">
      <c r="A21" s="2" t="inlineStr">
        <is>
          <t>Unaffected facts preserved: 8 suites, 176,060 SF, 7 active / 1 vacant (Suite 008), occupancy 0.8750 by unit and area, Suite 001 rent $14,450, all expirations 2029-08-31, tax/insurance/other expenses, reserves, LTV/DSCR/debt-yield tests, fees, $7,800,000 payoff, insurance limit $2,000,000, reported T-12 NOI $869,736.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1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</cols>
  <sheetData>
    <row r="1" ht="30" customHeight="1">
      <c r="A1" s="1" t="inlineStr">
        <is>
          <t>Maximum loan sensitivity: sizing rate (rows) vs cap rate (columns) - revised base 7.7500% / 6.5000%</t>
        </is>
      </c>
    </row>
    <row r="2" ht="30" customHeight="1">
      <c r="A2" s="2" t="inlineStr">
        <is>
          <t>Each cell = MIN(LTV limit, DSCR limit, debt yield limit) holding revised NOI and NCF constant</t>
        </is>
      </c>
    </row>
    <row r="4" ht="30" customHeight="1">
      <c r="A4" s="9" t="inlineStr">
        <is>
          <t>Sizing rate / Cap rate</t>
        </is>
      </c>
      <c r="B4" s="19" t="n">
        <v>0.06</v>
      </c>
      <c r="C4" s="19" t="n">
        <v>0.0625</v>
      </c>
      <c r="D4" s="19" t="n">
        <v>0.065</v>
      </c>
      <c r="E4" s="19" t="n">
        <v>0.0675</v>
      </c>
      <c r="F4" s="19" t="n">
        <v>0.07000000000000001</v>
      </c>
    </row>
    <row r="5" ht="30" customHeight="1">
      <c r="A5" s="19" t="n">
        <v>0.07000000000000001</v>
      </c>
      <c r="B5" s="10">
        <f>MIN(Underwriting!$B$14/B$4*Inputs!$B$17,(Underwriting!$B$16/Inputs!$B$18)/(-PMT($A5/12,Inputs!$B$16*12,1)*12),Underwriting!$B$16/Inputs!$B$19)</f>
        <v/>
      </c>
      <c r="C5" s="10">
        <f>MIN(Underwriting!$B$14/C$4*Inputs!$B$17,(Underwriting!$B$16/Inputs!$B$18)/(-PMT($A5/12,Inputs!$B$16*12,1)*12),Underwriting!$B$16/Inputs!$B$19)</f>
        <v/>
      </c>
      <c r="D5" s="10">
        <f>MIN(Underwriting!$B$14/D$4*Inputs!$B$17,(Underwriting!$B$16/Inputs!$B$18)/(-PMT($A5/12,Inputs!$B$16*12,1)*12),Underwriting!$B$16/Inputs!$B$19)</f>
        <v/>
      </c>
      <c r="E5" s="10">
        <f>MIN(Underwriting!$B$14/E$4*Inputs!$B$17,(Underwriting!$B$16/Inputs!$B$18)/(-PMT($A5/12,Inputs!$B$16*12,1)*12),Underwriting!$B$16/Inputs!$B$19)</f>
        <v/>
      </c>
      <c r="F5" s="10">
        <f>MIN(Underwriting!$B$14/F$4*Inputs!$B$17,(Underwriting!$B$16/Inputs!$B$18)/(-PMT($A5/12,Inputs!$B$16*12,1)*12),Underwriting!$B$16/Inputs!$B$19)</f>
        <v/>
      </c>
    </row>
    <row r="6" ht="30" customHeight="1">
      <c r="A6" s="19" t="n">
        <v>0.0725</v>
      </c>
      <c r="B6" s="10">
        <f>MIN(Underwriting!$B$14/B$4*Inputs!$B$17,(Underwriting!$B$16/Inputs!$B$18)/(-PMT($A6/12,Inputs!$B$16*12,1)*12),Underwriting!$B$16/Inputs!$B$19)</f>
        <v/>
      </c>
      <c r="C6" s="10">
        <f>MIN(Underwriting!$B$14/C$4*Inputs!$B$17,(Underwriting!$B$16/Inputs!$B$18)/(-PMT($A6/12,Inputs!$B$16*12,1)*12),Underwriting!$B$16/Inputs!$B$19)</f>
        <v/>
      </c>
      <c r="D6" s="10">
        <f>MIN(Underwriting!$B$14/D$4*Inputs!$B$17,(Underwriting!$B$16/Inputs!$B$18)/(-PMT($A6/12,Inputs!$B$16*12,1)*12),Underwriting!$B$16/Inputs!$B$19)</f>
        <v/>
      </c>
      <c r="E6" s="10">
        <f>MIN(Underwriting!$B$14/E$4*Inputs!$B$17,(Underwriting!$B$16/Inputs!$B$18)/(-PMT($A6/12,Inputs!$B$16*12,1)*12),Underwriting!$B$16/Inputs!$B$19)</f>
        <v/>
      </c>
      <c r="F6" s="10">
        <f>MIN(Underwriting!$B$14/F$4*Inputs!$B$17,(Underwriting!$B$16/Inputs!$B$18)/(-PMT($A6/12,Inputs!$B$16*12,1)*12),Underwriting!$B$16/Inputs!$B$19)</f>
        <v/>
      </c>
    </row>
    <row r="7" ht="30" customHeight="1">
      <c r="A7" s="19" t="n">
        <v>0.075</v>
      </c>
      <c r="B7" s="10">
        <f>MIN(Underwriting!$B$14/B$4*Inputs!$B$17,(Underwriting!$B$16/Inputs!$B$18)/(-PMT($A7/12,Inputs!$B$16*12,1)*12),Underwriting!$B$16/Inputs!$B$19)</f>
        <v/>
      </c>
      <c r="C7" s="10">
        <f>MIN(Underwriting!$B$14/C$4*Inputs!$B$17,(Underwriting!$B$16/Inputs!$B$18)/(-PMT($A7/12,Inputs!$B$16*12,1)*12),Underwriting!$B$16/Inputs!$B$19)</f>
        <v/>
      </c>
      <c r="D7" s="10">
        <f>MIN(Underwriting!$B$14/D$4*Inputs!$B$17,(Underwriting!$B$16/Inputs!$B$18)/(-PMT($A7/12,Inputs!$B$16*12,1)*12),Underwriting!$B$16/Inputs!$B$19)</f>
        <v/>
      </c>
      <c r="E7" s="10">
        <f>MIN(Underwriting!$B$14/E$4*Inputs!$B$17,(Underwriting!$B$16/Inputs!$B$18)/(-PMT($A7/12,Inputs!$B$16*12,1)*12),Underwriting!$B$16/Inputs!$B$19)</f>
        <v/>
      </c>
      <c r="F7" s="10">
        <f>MIN(Underwriting!$B$14/F$4*Inputs!$B$17,(Underwriting!$B$16/Inputs!$B$18)/(-PMT($A7/12,Inputs!$B$16*12,1)*12),Underwriting!$B$16/Inputs!$B$19)</f>
        <v/>
      </c>
    </row>
    <row r="8" ht="30" customHeight="1">
      <c r="A8" s="19" t="n">
        <v>0.0775</v>
      </c>
      <c r="B8" s="10">
        <f>MIN(Underwriting!$B$14/B$4*Inputs!$B$17,(Underwriting!$B$16/Inputs!$B$18)/(-PMT($A8/12,Inputs!$B$16*12,1)*12),Underwriting!$B$16/Inputs!$B$19)</f>
        <v/>
      </c>
      <c r="C8" s="10">
        <f>MIN(Underwriting!$B$14/C$4*Inputs!$B$17,(Underwriting!$B$16/Inputs!$B$18)/(-PMT($A8/12,Inputs!$B$16*12,1)*12),Underwriting!$B$16/Inputs!$B$19)</f>
        <v/>
      </c>
      <c r="D8" s="10">
        <f>MIN(Underwriting!$B$14/D$4*Inputs!$B$17,(Underwriting!$B$16/Inputs!$B$18)/(-PMT($A8/12,Inputs!$B$16*12,1)*12),Underwriting!$B$16/Inputs!$B$19)</f>
        <v/>
      </c>
      <c r="E8" s="10">
        <f>MIN(Underwriting!$B$14/E$4*Inputs!$B$17,(Underwriting!$B$16/Inputs!$B$18)/(-PMT($A8/12,Inputs!$B$16*12,1)*12),Underwriting!$B$16/Inputs!$B$19)</f>
        <v/>
      </c>
      <c r="F8" s="10">
        <f>MIN(Underwriting!$B$14/F$4*Inputs!$B$17,(Underwriting!$B$16/Inputs!$B$18)/(-PMT($A8/12,Inputs!$B$16*12,1)*12),Underwriting!$B$16/Inputs!$B$19)</f>
        <v/>
      </c>
    </row>
    <row r="9" ht="30" customHeight="1">
      <c r="A9" s="19" t="n">
        <v>0.08</v>
      </c>
      <c r="B9" s="10">
        <f>MIN(Underwriting!$B$14/B$4*Inputs!$B$17,(Underwriting!$B$16/Inputs!$B$18)/(-PMT($A9/12,Inputs!$B$16*12,1)*12),Underwriting!$B$16/Inputs!$B$19)</f>
        <v/>
      </c>
      <c r="C9" s="10">
        <f>MIN(Underwriting!$B$14/C$4*Inputs!$B$17,(Underwriting!$B$16/Inputs!$B$18)/(-PMT($A9/12,Inputs!$B$16*12,1)*12),Underwriting!$B$16/Inputs!$B$19)</f>
        <v/>
      </c>
      <c r="D9" s="10">
        <f>MIN(Underwriting!$B$14/D$4*Inputs!$B$17,(Underwriting!$B$16/Inputs!$B$18)/(-PMT($A9/12,Inputs!$B$16*12,1)*12),Underwriting!$B$16/Inputs!$B$19)</f>
        <v/>
      </c>
      <c r="E9" s="10">
        <f>MIN(Underwriting!$B$14/E$4*Inputs!$B$17,(Underwriting!$B$16/Inputs!$B$18)/(-PMT($A9/12,Inputs!$B$16*12,1)*12),Underwriting!$B$16/Inputs!$B$19)</f>
        <v/>
      </c>
      <c r="F9" s="10">
        <f>MIN(Underwriting!$B$14/F$4*Inputs!$B$17,(Underwriting!$B$16/Inputs!$B$18)/(-PMT($A9/12,Inputs!$B$16*12,1)*12),Underwriting!$B$16/Inputs!$B$19)</f>
        <v/>
      </c>
    </row>
    <row r="11" ht="30" customHeight="1">
      <c r="A11" s="9" t="inlineStr">
        <is>
          <t>Gross potential rent scenarios (5% loss, other income and expenses per instructions)</t>
        </is>
      </c>
    </row>
    <row r="12" ht="30" customHeight="1">
      <c r="A12" s="9" t="inlineStr">
        <is>
          <t>GPR</t>
        </is>
      </c>
      <c r="B12" s="9" t="inlineStr">
        <is>
          <t>EGI</t>
        </is>
      </c>
      <c r="C12" s="9" t="inlineStr">
        <is>
          <t>NOI before reserves</t>
        </is>
      </c>
      <c r="D12" s="9" t="inlineStr">
        <is>
          <t>NCF</t>
        </is>
      </c>
      <c r="E12" s="9" t="inlineStr">
        <is>
          <t>Cap value</t>
        </is>
      </c>
      <c r="F12" s="9" t="inlineStr">
        <is>
          <t>Maximum loan</t>
        </is>
      </c>
    </row>
    <row r="13" ht="30" customHeight="1">
      <c r="A13" s="10">
        <f>Inputs!$B$3*0.95</f>
        <v/>
      </c>
      <c r="B13" s="10">
        <f>A13*(1-Inputs!$B$4)+Inputs!$B$5*Inputs!$B$6</f>
        <v/>
      </c>
      <c r="C13" s="10">
        <f>B13*(1-Inputs!$B$10)-Inputs!$B$7-Inputs!$B$8-Inputs!$B$9</f>
        <v/>
      </c>
      <c r="D13" s="10">
        <f>C13-Inputs!$B$11*Inputs!$B$6</f>
        <v/>
      </c>
      <c r="E13" s="10">
        <f>C13/Inputs!$B$12</f>
        <v/>
      </c>
      <c r="F13" s="10">
        <f>MIN(E13*Inputs!$B$17,(D13/Inputs!$B$18)/(-PMT(Inputs!$B$13/12,Inputs!$B$16*12,1)*12),D13/Inputs!$B$19)</f>
        <v/>
      </c>
    </row>
    <row r="14" ht="30" customHeight="1">
      <c r="A14" s="10">
        <f>Inputs!$B$3</f>
        <v/>
      </c>
      <c r="B14" s="10">
        <f>A14*(1-Inputs!$B$4)+Inputs!$B$5*Inputs!$B$6</f>
        <v/>
      </c>
      <c r="C14" s="10">
        <f>B14*(1-Inputs!$B$10)-Inputs!$B$7-Inputs!$B$8-Inputs!$B$9</f>
        <v/>
      </c>
      <c r="D14" s="10">
        <f>C14-Inputs!$B$11*Inputs!$B$6</f>
        <v/>
      </c>
      <c r="E14" s="10">
        <f>C14/Inputs!$B$12</f>
        <v/>
      </c>
      <c r="F14" s="10">
        <f>MIN(E14*Inputs!$B$17,(D14/Inputs!$B$18)/(-PMT(Inputs!$B$13/12,Inputs!$B$16*12,1)*12),D14/Inputs!$B$19)</f>
        <v/>
      </c>
    </row>
    <row r="15" ht="30" customHeight="1">
      <c r="A15" s="10">
        <f>Inputs!$B$3*1.05</f>
        <v/>
      </c>
      <c r="B15" s="10">
        <f>A15*(1-Inputs!$B$4)+Inputs!$B$5*Inputs!$B$6</f>
        <v/>
      </c>
      <c r="C15" s="10">
        <f>B15*(1-Inputs!$B$10)-Inputs!$B$7-Inputs!$B$8-Inputs!$B$9</f>
        <v/>
      </c>
      <c r="D15" s="10">
        <f>C15-Inputs!$B$11*Inputs!$B$6</f>
        <v/>
      </c>
      <c r="E15" s="10">
        <f>C15/Inputs!$B$12</f>
        <v/>
      </c>
      <c r="F15" s="10">
        <f>MIN(E15*Inputs!$B$17,(D15/Inputs!$B$18)/(-PMT(Inputs!$B$13/12,Inputs!$B$16*12,1)*12),D15/Inputs!$B$19)</f>
        <v/>
      </c>
    </row>
    <row r="17" ht="30" customHeight="1">
      <c r="A17" s="2" t="inlineStr">
        <is>
          <t>Row 14 and the 7.7500% / 6.5000% cell tie to the revised base case on the Underwriting and Debt sheets.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C1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62" customWidth="1" min="3" max="3"/>
  </cols>
  <sheetData>
    <row r="1" ht="30" customHeight="1">
      <c r="A1" s="1" t="inlineStr">
        <is>
          <t>Source register (revision 2)</t>
        </is>
      </c>
    </row>
    <row r="3" ht="30" customHeight="1">
      <c r="A3" s="9" t="inlineStr">
        <is>
          <t>File</t>
        </is>
      </c>
      <c r="B3" s="9" t="inlineStr">
        <is>
          <t>Location</t>
        </is>
      </c>
      <c r="C3" s="9" t="inlineStr">
        <is>
          <t>Fact used</t>
        </is>
      </c>
    </row>
    <row r="4" ht="30" customHeight="1">
      <c r="A4" s="2" t="inlineStr">
        <is>
          <t>rent-roll-revised.xlsx</t>
        </is>
      </c>
      <c r="B4" s="2" t="inlineStr">
        <is>
          <t>Rent Roll A2:F12</t>
        </is>
      </c>
      <c r="C4" s="2" t="inlineStr">
        <is>
          <t>Controlling roll as of 2026-09-01: 8 suites, 176,060 SF, 7 active / 1 vacant, Suite 002 at $14,825, expirations 2029-08-31</t>
        </is>
      </c>
    </row>
    <row r="5" ht="30" customHeight="1">
      <c r="A5" s="2" t="inlineStr">
        <is>
          <t>revision-notice.pdf</t>
        </is>
      </c>
      <c r="B5" s="2" t="inlineStr">
        <is>
          <t>p.1</t>
        </is>
      </c>
      <c r="C5" s="2" t="inlineStr">
        <is>
          <t>Revised roll supersedes prior roll; Suite 002 rent +$225; sizing rate +75 bps; cap rate +25 bps; all other rules and payoff unchanged</t>
        </is>
      </c>
    </row>
    <row r="6" ht="30" customHeight="1">
      <c r="A6" s="2" t="inlineStr">
        <is>
          <t>rent-roll-certified.xlsx</t>
        </is>
      </c>
      <c r="B6" s="2" t="inlineStr">
        <is>
          <t>Rent Roll A2:F12</t>
        </is>
      </c>
      <c r="C6" s="2" t="inlineStr">
        <is>
          <t>Prior 2026-08-31 roll; superseded, retained for comparison on the Changes sheet</t>
        </is>
      </c>
    </row>
    <row r="7" ht="30" customHeight="1">
      <c r="A7" s="2" t="inlineStr">
        <is>
          <t>rent-roll-archive.xlsx</t>
        </is>
      </c>
      <c r="B7" s="2" t="inlineStr">
        <is>
          <t>Rent Roll A2:F12</t>
        </is>
      </c>
      <c r="C7" s="2" t="inlineStr">
        <is>
          <t>Stale 2026-06-30 roll; excluded</t>
        </is>
      </c>
    </row>
    <row r="8" ht="30" customHeight="1">
      <c r="A8" s="2" t="inlineStr">
        <is>
          <t>lease-001.pdf</t>
        </is>
      </c>
      <c r="B8" s="2" t="inlineStr">
        <is>
          <t>p.1</t>
        </is>
      </c>
      <c r="C8" s="2" t="inlineStr">
        <is>
          <t>Executed Suite 001 lease: $14,450 per month, 21,880 SF, expiry 2029-08-31, deposit $28,900, no free rent</t>
        </is>
      </c>
    </row>
    <row r="9" ht="30" customHeight="1">
      <c r="A9" s="2" t="inlineStr">
        <is>
          <t>lease-correspondence.pdf</t>
        </is>
      </c>
      <c r="B9" s="2" t="inlineStr">
        <is>
          <t>p.1</t>
        </is>
      </c>
      <c r="C9" s="2" t="inlineStr">
        <is>
          <t>Manager confirmation dated 2026-08-31: no amendments or new concessions affect Suite 001</t>
        </is>
      </c>
    </row>
    <row r="10" ht="30" customHeight="1">
      <c r="A10" s="2" t="inlineStr">
        <is>
          <t>operating-statement.pdf</t>
        </is>
      </c>
      <c r="B10" s="2" t="inlineStr">
        <is>
          <t>p.1</t>
        </is>
      </c>
      <c r="C10" s="2" t="inlineStr">
        <is>
          <t>T-12 to 2026-08-31: collections 1,262,520; tax 147,294; insurance 49,098; other 196,392; roof in repairs 0; reported NOI 869,736</t>
        </is>
      </c>
    </row>
    <row r="11" ht="30" customHeight="1">
      <c r="A11" s="2" t="inlineStr">
        <is>
          <t>insurance.pdf</t>
        </is>
      </c>
      <c r="B11" s="2" t="inlineStr">
        <is>
          <t>p.1</t>
        </is>
      </c>
      <c r="C11" s="2" t="inlineStr">
        <is>
          <t>General liability aggregate limit $2,000,000; policy period 2026-07-01 to 2027-06-30</t>
        </is>
      </c>
    </row>
    <row r="12" ht="30" customHeight="1">
      <c r="A12" s="2" t="inlineStr">
        <is>
          <t>underwriting-instructions.pdf</t>
        </is>
      </c>
      <c r="B12" s="2" t="inlineStr">
        <is>
          <t>p.1</t>
        </is>
      </c>
      <c r="C12" s="2" t="inlineStr">
        <is>
          <t>Underwriting rules, expense amounts, loan constraints, fees, closing costs, payoff, greater-of-rate sizing</t>
        </is>
      </c>
    </row>
    <row r="13" ht="30" customHeight="1">
      <c r="A13" s="2" t="inlineStr">
        <is>
          <t>manager-cover.pdf</t>
        </is>
      </c>
      <c r="B13" s="2" t="inlineStr">
        <is>
          <t>p.1</t>
        </is>
      </c>
      <c r="C13" s="2" t="inlineStr">
        <is>
          <t>Indianapolis industrial; leased headline includes unpossessed pending occupants; A/B/C group mapping; approved copy</t>
        </is>
      </c>
    </row>
    <row r="14" ht="30" customHeight="1">
      <c r="A14" s="2" t="inlineStr">
        <is>
          <t>diligence-status.pdf</t>
        </is>
      </c>
      <c r="B14" s="2" t="inlineStr">
        <is>
          <t>p.1</t>
        </is>
      </c>
      <c r="C14" s="2" t="inlineStr">
        <is>
          <t>Legal, environmental, property condition and title reviews incomplete; no defect findings supplied</t>
        </is>
      </c>
    </row>
    <row r="16" ht="30" customHeight="1">
      <c r="A16" s="9" t="inlineStr">
        <is>
          <t>Not supplied (explicitly unknown)</t>
        </is>
      </c>
      <c r="B16" s="2" t="inlineStr">
        <is>
          <t>Unknown</t>
        </is>
      </c>
      <c r="C16" s="2" t="inlineStr">
        <is>
          <t>Photos, asking price, market sales and rent comps, sponsor history, appraisal, tenant financials, Suite 008 leasing plan, signed Suite 002 amendment document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2026-09-07T14:22:22Z</dcterms:created>
  <dcterms:modified xmlns:dcterms="http://purl.org/dc/terms/" xmlns:xsi="http://www.w3.org/2001/XMLSchema-instance" xsi:type="dcterms:W3CDTF">2026-09-07T14:22:22Z</dcterms:modified>
</cp:coreProperties>
</file>