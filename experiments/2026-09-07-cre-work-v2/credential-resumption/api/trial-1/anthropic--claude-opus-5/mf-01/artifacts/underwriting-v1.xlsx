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Underwriting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color rgb="00185CB5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9" customWidth="1" min="4" max="4"/>
    <col width="13" customWidth="1" min="5" max="5"/>
    <col width="13" customWidth="1" min="6" max="6"/>
    <col width="15" customWidth="1" min="7" max="7"/>
    <col width="13" customWidth="1" min="8" max="8"/>
    <col width="8" customWidth="1" min="9" max="9"/>
    <col width="10" customWidth="1" min="10" max="10"/>
  </cols>
  <sheetData>
    <row r="1" ht="30" customHeight="1">
      <c r="A1" s="1" t="inlineStr">
        <is>
          <t>Magnolia Terrace - Certified rent roll (controlling)</t>
        </is>
      </c>
    </row>
    <row r="2" ht="30" customHeight="1">
      <c r="A2" s="2" t="inlineStr">
        <is>
          <t>Roll date</t>
        </is>
      </c>
      <c r="B2" s="2" t="inlineStr">
        <is>
          <t>2026-08-31</t>
        </is>
      </c>
      <c r="I2" s="2" t="inlineStr">
        <is>
          <t>Suite 001 signed amendment ($/mo)</t>
        </is>
      </c>
      <c r="J2" s="3" t="n">
        <v>350</v>
      </c>
    </row>
    <row r="4" ht="30" customHeight="1">
      <c r="A4" s="4" t="inlineStr">
        <is>
          <t>Suite</t>
        </is>
      </c>
      <c r="B4" s="4" t="inlineStr">
        <is>
          <t>Unit type</t>
        </is>
      </c>
      <c r="C4" s="4" t="inlineStr">
        <is>
          <t>Group</t>
        </is>
      </c>
      <c r="D4" s="4" t="inlineStr">
        <is>
          <t>Area SF</t>
        </is>
      </c>
      <c r="E4" s="4" t="inlineStr">
        <is>
          <t>Possession</t>
        </is>
      </c>
      <c r="F4" s="4" t="inlineStr">
        <is>
          <t>Sched. rent/mo</t>
        </is>
      </c>
      <c r="G4" s="4" t="inlineStr">
        <is>
          <t>In-place rent/mo</t>
        </is>
      </c>
      <c r="H4" s="4" t="inlineStr">
        <is>
          <t>Expiration</t>
        </is>
      </c>
    </row>
    <row r="5" ht="30" customHeight="1">
      <c r="A5" s="2" t="inlineStr">
        <is>
          <t>001</t>
        </is>
      </c>
      <c r="B5" s="2" t="inlineStr">
        <is>
          <t>Studio</t>
        </is>
      </c>
      <c r="C5" s="2" t="inlineStr">
        <is>
          <t>A</t>
        </is>
      </c>
      <c r="D5" s="2" t="n">
        <v>700</v>
      </c>
      <c r="E5" s="2" t="inlineStr">
        <is>
          <t>active</t>
        </is>
      </c>
      <c r="F5" s="2" t="n">
        <v>1500</v>
      </c>
      <c r="G5" s="2">
        <f>F5+$J$2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1BR</t>
        </is>
      </c>
      <c r="C6" s="2" t="inlineStr">
        <is>
          <t>B</t>
        </is>
      </c>
      <c r="D6" s="2" t="n">
        <v>820</v>
      </c>
      <c r="E6" s="2" t="inlineStr">
        <is>
          <t>active</t>
        </is>
      </c>
      <c r="F6" s="2" t="n">
        <v>1650</v>
      </c>
      <c r="G6" s="2">
        <f>F6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2BR</t>
        </is>
      </c>
      <c r="C7" s="2" t="inlineStr">
        <is>
          <t>C</t>
        </is>
      </c>
      <c r="D7" s="2" t="n">
        <v>1030</v>
      </c>
      <c r="E7" s="2" t="inlineStr">
        <is>
          <t>active</t>
        </is>
      </c>
      <c r="F7" s="2" t="n">
        <v>1925</v>
      </c>
      <c r="G7" s="2">
        <f>F7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Studio</t>
        </is>
      </c>
      <c r="C8" s="2" t="inlineStr">
        <is>
          <t>A</t>
        </is>
      </c>
      <c r="D8" s="2" t="n">
        <v>700</v>
      </c>
      <c r="E8" s="2" t="inlineStr">
        <is>
          <t>active</t>
        </is>
      </c>
      <c r="F8" s="2" t="n">
        <v>1500</v>
      </c>
      <c r="G8" s="2">
        <f>F8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1BR</t>
        </is>
      </c>
      <c r="C9" s="2" t="inlineStr">
        <is>
          <t>B</t>
        </is>
      </c>
      <c r="D9" s="2" t="n">
        <v>820</v>
      </c>
      <c r="E9" s="2" t="inlineStr">
        <is>
          <t>active</t>
        </is>
      </c>
      <c r="F9" s="2" t="n">
        <v>1650</v>
      </c>
      <c r="G9" s="2">
        <f>F9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2BR</t>
        </is>
      </c>
      <c r="C10" s="2" t="inlineStr">
        <is>
          <t>C</t>
        </is>
      </c>
      <c r="D10" s="2" t="n">
        <v>1030</v>
      </c>
      <c r="E10" s="2" t="inlineStr">
        <is>
          <t>active</t>
        </is>
      </c>
      <c r="F10" s="2" t="n">
        <v>1925</v>
      </c>
      <c r="G10" s="2">
        <f>F10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Studio</t>
        </is>
      </c>
      <c r="C11" s="2" t="inlineStr">
        <is>
          <t>A</t>
        </is>
      </c>
      <c r="D11" s="2" t="n">
        <v>700</v>
      </c>
      <c r="E11" s="2" t="inlineStr">
        <is>
          <t>active</t>
        </is>
      </c>
      <c r="F11" s="2" t="n">
        <v>1500</v>
      </c>
      <c r="G11" s="2">
        <f>F11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1BR</t>
        </is>
      </c>
      <c r="C12" s="2" t="inlineStr">
        <is>
          <t>B</t>
        </is>
      </c>
      <c r="D12" s="2" t="n">
        <v>820</v>
      </c>
      <c r="E12" s="2" t="inlineStr">
        <is>
          <t>active</t>
        </is>
      </c>
      <c r="F12" s="2" t="n">
        <v>1650</v>
      </c>
      <c r="G12" s="2">
        <f>F12</f>
        <v/>
      </c>
      <c r="H12" s="2" t="inlineStr">
        <is>
          <t>2029-08-31</t>
        </is>
      </c>
    </row>
    <row r="13" ht="30" customHeight="1">
      <c r="A13" s="2" t="inlineStr">
        <is>
          <t>009</t>
        </is>
      </c>
      <c r="B13" s="2" t="inlineStr">
        <is>
          <t>2BR</t>
        </is>
      </c>
      <c r="C13" s="2" t="inlineStr">
        <is>
          <t>C</t>
        </is>
      </c>
      <c r="D13" s="2" t="n">
        <v>1030</v>
      </c>
      <c r="E13" s="2" t="inlineStr">
        <is>
          <t>active</t>
        </is>
      </c>
      <c r="F13" s="2" t="n">
        <v>1925</v>
      </c>
      <c r="G13" s="2">
        <f>F13</f>
        <v/>
      </c>
      <c r="H13" s="2" t="inlineStr">
        <is>
          <t>2029-08-31</t>
        </is>
      </c>
    </row>
    <row r="14" ht="30" customHeight="1">
      <c r="A14" s="2" t="inlineStr">
        <is>
          <t>010</t>
        </is>
      </c>
      <c r="B14" s="2" t="inlineStr">
        <is>
          <t>Studio</t>
        </is>
      </c>
      <c r="C14" s="2" t="inlineStr">
        <is>
          <t>A</t>
        </is>
      </c>
      <c r="D14" s="2" t="n">
        <v>700</v>
      </c>
      <c r="E14" s="2" t="inlineStr">
        <is>
          <t>active</t>
        </is>
      </c>
      <c r="F14" s="2" t="n">
        <v>1500</v>
      </c>
      <c r="G14" s="2">
        <f>F14</f>
        <v/>
      </c>
      <c r="H14" s="2" t="inlineStr">
        <is>
          <t>2029-08-31</t>
        </is>
      </c>
    </row>
    <row r="15" ht="30" customHeight="1">
      <c r="A15" s="2" t="inlineStr">
        <is>
          <t>011</t>
        </is>
      </c>
      <c r="B15" s="2" t="inlineStr">
        <is>
          <t>1BR</t>
        </is>
      </c>
      <c r="C15" s="2" t="inlineStr">
        <is>
          <t>B</t>
        </is>
      </c>
      <c r="D15" s="2" t="n">
        <v>820</v>
      </c>
      <c r="E15" s="2" t="inlineStr">
        <is>
          <t>active</t>
        </is>
      </c>
      <c r="F15" s="2" t="n">
        <v>1650</v>
      </c>
      <c r="G15" s="2">
        <f>F15</f>
        <v/>
      </c>
      <c r="H15" s="2" t="inlineStr">
        <is>
          <t>2029-08-31</t>
        </is>
      </c>
    </row>
    <row r="16" ht="30" customHeight="1">
      <c r="A16" s="2" t="inlineStr">
        <is>
          <t>012</t>
        </is>
      </c>
      <c r="B16" s="2" t="inlineStr">
        <is>
          <t>2BR</t>
        </is>
      </c>
      <c r="C16" s="2" t="inlineStr">
        <is>
          <t>C</t>
        </is>
      </c>
      <c r="D16" s="2" t="n">
        <v>1030</v>
      </c>
      <c r="E16" s="2" t="inlineStr">
        <is>
          <t>active</t>
        </is>
      </c>
      <c r="F16" s="2" t="n">
        <v>1925</v>
      </c>
      <c r="G16" s="2">
        <f>F16</f>
        <v/>
      </c>
      <c r="H16" s="2" t="inlineStr">
        <is>
          <t>2029-08-31</t>
        </is>
      </c>
    </row>
    <row r="17" ht="30" customHeight="1">
      <c r="A17" s="2" t="inlineStr">
        <is>
          <t>013</t>
        </is>
      </c>
      <c r="B17" s="2" t="inlineStr">
        <is>
          <t>Studio</t>
        </is>
      </c>
      <c r="C17" s="2" t="inlineStr">
        <is>
          <t>A</t>
        </is>
      </c>
      <c r="D17" s="2" t="n">
        <v>700</v>
      </c>
      <c r="E17" s="2" t="inlineStr">
        <is>
          <t>active</t>
        </is>
      </c>
      <c r="F17" s="2" t="n">
        <v>1500</v>
      </c>
      <c r="G17" s="2">
        <f>F17</f>
        <v/>
      </c>
      <c r="H17" s="2" t="inlineStr">
        <is>
          <t>2029-08-31</t>
        </is>
      </c>
    </row>
    <row r="18" ht="30" customHeight="1">
      <c r="A18" s="2" t="inlineStr">
        <is>
          <t>014</t>
        </is>
      </c>
      <c r="B18" s="2" t="inlineStr">
        <is>
          <t>1BR</t>
        </is>
      </c>
      <c r="C18" s="2" t="inlineStr">
        <is>
          <t>B</t>
        </is>
      </c>
      <c r="D18" s="2" t="n">
        <v>820</v>
      </c>
      <c r="E18" s="2" t="inlineStr">
        <is>
          <t>active</t>
        </is>
      </c>
      <c r="F18" s="2" t="n">
        <v>1650</v>
      </c>
      <c r="G18" s="2">
        <f>F18</f>
        <v/>
      </c>
      <c r="H18" s="2" t="inlineStr">
        <is>
          <t>2029-08-31</t>
        </is>
      </c>
    </row>
    <row r="19" ht="30" customHeight="1">
      <c r="A19" s="2" t="inlineStr">
        <is>
          <t>015</t>
        </is>
      </c>
      <c r="B19" s="2" t="inlineStr">
        <is>
          <t>2BR</t>
        </is>
      </c>
      <c r="C19" s="2" t="inlineStr">
        <is>
          <t>C</t>
        </is>
      </c>
      <c r="D19" s="2" t="n">
        <v>1030</v>
      </c>
      <c r="E19" s="2" t="inlineStr">
        <is>
          <t>active</t>
        </is>
      </c>
      <c r="F19" s="2" t="n">
        <v>1925</v>
      </c>
      <c r="G19" s="2">
        <f>F19</f>
        <v/>
      </c>
      <c r="H19" s="2" t="inlineStr">
        <is>
          <t>2029-08-31</t>
        </is>
      </c>
    </row>
    <row r="20" ht="30" customHeight="1">
      <c r="A20" s="2" t="inlineStr">
        <is>
          <t>016</t>
        </is>
      </c>
      <c r="B20" s="2" t="inlineStr">
        <is>
          <t>Studio</t>
        </is>
      </c>
      <c r="C20" s="2" t="inlineStr">
        <is>
          <t>A</t>
        </is>
      </c>
      <c r="D20" s="2" t="n">
        <v>700</v>
      </c>
      <c r="E20" s="2" t="inlineStr">
        <is>
          <t>active</t>
        </is>
      </c>
      <c r="F20" s="2" t="n">
        <v>1500</v>
      </c>
      <c r="G20" s="2">
        <f>F20</f>
        <v/>
      </c>
      <c r="H20" s="2" t="inlineStr">
        <is>
          <t>2029-08-31</t>
        </is>
      </c>
    </row>
    <row r="21" ht="30" customHeight="1">
      <c r="A21" s="2" t="inlineStr">
        <is>
          <t>017</t>
        </is>
      </c>
      <c r="B21" s="2" t="inlineStr">
        <is>
          <t>1BR</t>
        </is>
      </c>
      <c r="C21" s="2" t="inlineStr">
        <is>
          <t>B</t>
        </is>
      </c>
      <c r="D21" s="2" t="n">
        <v>820</v>
      </c>
      <c r="E21" s="2" t="inlineStr">
        <is>
          <t>active</t>
        </is>
      </c>
      <c r="F21" s="2" t="n">
        <v>1650</v>
      </c>
      <c r="G21" s="2">
        <f>F21</f>
        <v/>
      </c>
      <c r="H21" s="2" t="inlineStr">
        <is>
          <t>2029-08-31</t>
        </is>
      </c>
    </row>
    <row r="22" ht="30" customHeight="1">
      <c r="A22" s="2" t="inlineStr">
        <is>
          <t>018</t>
        </is>
      </c>
      <c r="B22" s="2" t="inlineStr">
        <is>
          <t>2BR</t>
        </is>
      </c>
      <c r="C22" s="2" t="inlineStr">
        <is>
          <t>C</t>
        </is>
      </c>
      <c r="D22" s="2" t="n">
        <v>1030</v>
      </c>
      <c r="E22" s="2" t="inlineStr">
        <is>
          <t>active</t>
        </is>
      </c>
      <c r="F22" s="2" t="n">
        <v>1925</v>
      </c>
      <c r="G22" s="2">
        <f>F22</f>
        <v/>
      </c>
      <c r="H22" s="2" t="inlineStr">
        <is>
          <t>2029-08-31</t>
        </is>
      </c>
    </row>
    <row r="23" ht="30" customHeight="1">
      <c r="A23" s="2" t="inlineStr">
        <is>
          <t>019</t>
        </is>
      </c>
      <c r="B23" s="2" t="inlineStr">
        <is>
          <t>Studio</t>
        </is>
      </c>
      <c r="C23" s="2" t="inlineStr">
        <is>
          <t>A</t>
        </is>
      </c>
      <c r="D23" s="2" t="n">
        <v>700</v>
      </c>
      <c r="E23" s="2" t="inlineStr">
        <is>
          <t>active</t>
        </is>
      </c>
      <c r="F23" s="2" t="n">
        <v>1500</v>
      </c>
      <c r="G23" s="2">
        <f>F23</f>
        <v/>
      </c>
      <c r="H23" s="2" t="inlineStr">
        <is>
          <t>2029-08-31</t>
        </is>
      </c>
    </row>
    <row r="24" ht="30" customHeight="1">
      <c r="A24" s="2" t="inlineStr">
        <is>
          <t>020</t>
        </is>
      </c>
      <c r="B24" s="2" t="inlineStr">
        <is>
          <t>1BR</t>
        </is>
      </c>
      <c r="C24" s="2" t="inlineStr">
        <is>
          <t>B</t>
        </is>
      </c>
      <c r="D24" s="2" t="n">
        <v>820</v>
      </c>
      <c r="E24" s="2" t="inlineStr">
        <is>
          <t>active</t>
        </is>
      </c>
      <c r="F24" s="2" t="n">
        <v>1650</v>
      </c>
      <c r="G24" s="2">
        <f>F24</f>
        <v/>
      </c>
      <c r="H24" s="2" t="inlineStr">
        <is>
          <t>2029-08-31</t>
        </is>
      </c>
    </row>
    <row r="25" ht="30" customHeight="1">
      <c r="A25" s="2" t="inlineStr">
        <is>
          <t>021</t>
        </is>
      </c>
      <c r="B25" s="2" t="inlineStr">
        <is>
          <t>2BR</t>
        </is>
      </c>
      <c r="C25" s="2" t="inlineStr">
        <is>
          <t>C</t>
        </is>
      </c>
      <c r="D25" s="2" t="n">
        <v>1030</v>
      </c>
      <c r="E25" s="2" t="inlineStr">
        <is>
          <t>active</t>
        </is>
      </c>
      <c r="F25" s="2" t="n">
        <v>1925</v>
      </c>
      <c r="G25" s="2">
        <f>F25</f>
        <v/>
      </c>
      <c r="H25" s="2" t="inlineStr">
        <is>
          <t>2029-08-31</t>
        </is>
      </c>
    </row>
    <row r="26" ht="30" customHeight="1">
      <c r="A26" s="2" t="inlineStr">
        <is>
          <t>022</t>
        </is>
      </c>
      <c r="B26" s="2" t="inlineStr">
        <is>
          <t>Studio</t>
        </is>
      </c>
      <c r="C26" s="2" t="inlineStr">
        <is>
          <t>A</t>
        </is>
      </c>
      <c r="D26" s="2" t="n">
        <v>700</v>
      </c>
      <c r="E26" s="2" t="inlineStr">
        <is>
          <t>active</t>
        </is>
      </c>
      <c r="F26" s="2" t="n">
        <v>1500</v>
      </c>
      <c r="G26" s="2">
        <f>F26</f>
        <v/>
      </c>
      <c r="H26" s="2" t="inlineStr">
        <is>
          <t>2029-08-31</t>
        </is>
      </c>
    </row>
    <row r="27" ht="30" customHeight="1">
      <c r="A27" s="2" t="inlineStr">
        <is>
          <t>023</t>
        </is>
      </c>
      <c r="B27" s="2" t="inlineStr">
        <is>
          <t>1BR</t>
        </is>
      </c>
      <c r="C27" s="2" t="inlineStr">
        <is>
          <t>B</t>
        </is>
      </c>
      <c r="D27" s="2" t="n">
        <v>820</v>
      </c>
      <c r="E27" s="2" t="inlineStr">
        <is>
          <t>active</t>
        </is>
      </c>
      <c r="F27" s="2" t="n">
        <v>1650</v>
      </c>
      <c r="G27" s="2">
        <f>F27</f>
        <v/>
      </c>
      <c r="H27" s="2" t="inlineStr">
        <is>
          <t>2029-08-31</t>
        </is>
      </c>
    </row>
    <row r="28" ht="30" customHeight="1">
      <c r="A28" s="2" t="inlineStr">
        <is>
          <t>024</t>
        </is>
      </c>
      <c r="B28" s="2" t="inlineStr">
        <is>
          <t>2BR</t>
        </is>
      </c>
      <c r="C28" s="2" t="inlineStr">
        <is>
          <t>C</t>
        </is>
      </c>
      <c r="D28" s="2" t="n">
        <v>1030</v>
      </c>
      <c r="E28" s="2" t="inlineStr">
        <is>
          <t>active</t>
        </is>
      </c>
      <c r="F28" s="2" t="n">
        <v>1925</v>
      </c>
      <c r="G28" s="2">
        <f>F28</f>
        <v/>
      </c>
      <c r="H28" s="2" t="inlineStr">
        <is>
          <t>2029-08-31</t>
        </is>
      </c>
    </row>
    <row r="29" ht="30" customHeight="1">
      <c r="A29" s="2" t="inlineStr">
        <is>
          <t>025</t>
        </is>
      </c>
      <c r="B29" s="2" t="inlineStr">
        <is>
          <t>Studio</t>
        </is>
      </c>
      <c r="C29" s="2" t="inlineStr">
        <is>
          <t>A</t>
        </is>
      </c>
      <c r="D29" s="2" t="n">
        <v>700</v>
      </c>
      <c r="E29" s="2" t="inlineStr">
        <is>
          <t>active</t>
        </is>
      </c>
      <c r="F29" s="2" t="n">
        <v>1500</v>
      </c>
      <c r="G29" s="2">
        <f>F29</f>
        <v/>
      </c>
      <c r="H29" s="2" t="inlineStr">
        <is>
          <t>2029-08-31</t>
        </is>
      </c>
    </row>
    <row r="30" ht="30" customHeight="1">
      <c r="A30" s="2" t="inlineStr">
        <is>
          <t>026</t>
        </is>
      </c>
      <c r="B30" s="2" t="inlineStr">
        <is>
          <t>1BR</t>
        </is>
      </c>
      <c r="C30" s="2" t="inlineStr">
        <is>
          <t>B</t>
        </is>
      </c>
      <c r="D30" s="2" t="n">
        <v>820</v>
      </c>
      <c r="E30" s="2" t="inlineStr">
        <is>
          <t>active</t>
        </is>
      </c>
      <c r="F30" s="2" t="n">
        <v>1650</v>
      </c>
      <c r="G30" s="2">
        <f>F30</f>
        <v/>
      </c>
      <c r="H30" s="2" t="inlineStr">
        <is>
          <t>2029-08-31</t>
        </is>
      </c>
    </row>
    <row r="31" ht="30" customHeight="1">
      <c r="A31" s="2" t="inlineStr">
        <is>
          <t>027</t>
        </is>
      </c>
      <c r="B31" s="2" t="inlineStr">
        <is>
          <t>2BR</t>
        </is>
      </c>
      <c r="C31" s="2" t="inlineStr">
        <is>
          <t>C</t>
        </is>
      </c>
      <c r="D31" s="2" t="n">
        <v>1030</v>
      </c>
      <c r="E31" s="2" t="inlineStr">
        <is>
          <t>active</t>
        </is>
      </c>
      <c r="F31" s="2" t="n">
        <v>1925</v>
      </c>
      <c r="G31" s="2">
        <f>F31</f>
        <v/>
      </c>
      <c r="H31" s="2" t="inlineStr">
        <is>
          <t>2029-08-31</t>
        </is>
      </c>
    </row>
    <row r="32" ht="30" customHeight="1">
      <c r="A32" s="2" t="inlineStr">
        <is>
          <t>028</t>
        </is>
      </c>
      <c r="B32" s="2" t="inlineStr">
        <is>
          <t>Studio</t>
        </is>
      </c>
      <c r="C32" s="2" t="inlineStr">
        <is>
          <t>A</t>
        </is>
      </c>
      <c r="D32" s="2" t="n">
        <v>700</v>
      </c>
      <c r="E32" s="2" t="inlineStr">
        <is>
          <t>active</t>
        </is>
      </c>
      <c r="F32" s="2" t="n">
        <v>1500</v>
      </c>
      <c r="G32" s="2">
        <f>F32</f>
        <v/>
      </c>
      <c r="H32" s="2" t="inlineStr">
        <is>
          <t>2029-08-31</t>
        </is>
      </c>
    </row>
    <row r="33" ht="30" customHeight="1">
      <c r="A33" s="2" t="inlineStr">
        <is>
          <t>029</t>
        </is>
      </c>
      <c r="B33" s="2" t="inlineStr">
        <is>
          <t>1BR</t>
        </is>
      </c>
      <c r="C33" s="2" t="inlineStr">
        <is>
          <t>B</t>
        </is>
      </c>
      <c r="D33" s="2" t="n">
        <v>820</v>
      </c>
      <c r="E33" s="2" t="inlineStr">
        <is>
          <t>active</t>
        </is>
      </c>
      <c r="F33" s="2" t="n">
        <v>1650</v>
      </c>
      <c r="G33" s="2">
        <f>F33</f>
        <v/>
      </c>
      <c r="H33" s="2" t="inlineStr">
        <is>
          <t>2029-08-31</t>
        </is>
      </c>
    </row>
    <row r="34" ht="30" customHeight="1">
      <c r="A34" s="2" t="inlineStr">
        <is>
          <t>030</t>
        </is>
      </c>
      <c r="B34" s="2" t="inlineStr">
        <is>
          <t>2BR</t>
        </is>
      </c>
      <c r="C34" s="2" t="inlineStr">
        <is>
          <t>C</t>
        </is>
      </c>
      <c r="D34" s="2" t="n">
        <v>1030</v>
      </c>
      <c r="E34" s="2" t="inlineStr">
        <is>
          <t>active</t>
        </is>
      </c>
      <c r="F34" s="2" t="n">
        <v>1925</v>
      </c>
      <c r="G34" s="2">
        <f>F34</f>
        <v/>
      </c>
      <c r="H34" s="2" t="inlineStr">
        <is>
          <t>2029-08-31</t>
        </is>
      </c>
    </row>
    <row r="35" ht="30" customHeight="1">
      <c r="A35" s="2" t="inlineStr">
        <is>
          <t>031</t>
        </is>
      </c>
      <c r="B35" s="2" t="inlineStr">
        <is>
          <t>Studio</t>
        </is>
      </c>
      <c r="C35" s="2" t="inlineStr">
        <is>
          <t>A</t>
        </is>
      </c>
      <c r="D35" s="2" t="n">
        <v>700</v>
      </c>
      <c r="E35" s="2" t="inlineStr">
        <is>
          <t>active</t>
        </is>
      </c>
      <c r="F35" s="2" t="n">
        <v>1500</v>
      </c>
      <c r="G35" s="2">
        <f>F35</f>
        <v/>
      </c>
      <c r="H35" s="2" t="inlineStr">
        <is>
          <t>2029-08-31</t>
        </is>
      </c>
    </row>
    <row r="36" ht="30" customHeight="1">
      <c r="A36" s="2" t="inlineStr">
        <is>
          <t>032</t>
        </is>
      </c>
      <c r="B36" s="2" t="inlineStr">
        <is>
          <t>1BR</t>
        </is>
      </c>
      <c r="C36" s="2" t="inlineStr">
        <is>
          <t>B</t>
        </is>
      </c>
      <c r="D36" s="2" t="n">
        <v>820</v>
      </c>
      <c r="E36" s="2" t="inlineStr">
        <is>
          <t>active</t>
        </is>
      </c>
      <c r="F36" s="2" t="n">
        <v>1650</v>
      </c>
      <c r="G36" s="2">
        <f>F36</f>
        <v/>
      </c>
      <c r="H36" s="2" t="inlineStr">
        <is>
          <t>2029-08-31</t>
        </is>
      </c>
    </row>
    <row r="37" ht="30" customHeight="1">
      <c r="A37" s="2" t="inlineStr">
        <is>
          <t>033</t>
        </is>
      </c>
      <c r="B37" s="2" t="inlineStr">
        <is>
          <t>2BR</t>
        </is>
      </c>
      <c r="C37" s="2" t="inlineStr">
        <is>
          <t>C</t>
        </is>
      </c>
      <c r="D37" s="2" t="n">
        <v>1030</v>
      </c>
      <c r="E37" s="2" t="inlineStr">
        <is>
          <t>active</t>
        </is>
      </c>
      <c r="F37" s="2" t="n">
        <v>1925</v>
      </c>
      <c r="G37" s="2">
        <f>F37</f>
        <v/>
      </c>
      <c r="H37" s="2" t="inlineStr">
        <is>
          <t>2029-08-31</t>
        </is>
      </c>
    </row>
    <row r="38" ht="30" customHeight="1">
      <c r="A38" s="2" t="inlineStr">
        <is>
          <t>034</t>
        </is>
      </c>
      <c r="B38" s="2" t="inlineStr">
        <is>
          <t>Studio</t>
        </is>
      </c>
      <c r="C38" s="2" t="inlineStr">
        <is>
          <t>A</t>
        </is>
      </c>
      <c r="D38" s="2" t="n">
        <v>700</v>
      </c>
      <c r="E38" s="2" t="inlineStr">
        <is>
          <t>active</t>
        </is>
      </c>
      <c r="F38" s="2" t="n">
        <v>1500</v>
      </c>
      <c r="G38" s="2">
        <f>F38</f>
        <v/>
      </c>
      <c r="H38" s="2" t="inlineStr">
        <is>
          <t>2029-08-31</t>
        </is>
      </c>
    </row>
    <row r="39" ht="30" customHeight="1">
      <c r="A39" s="2" t="inlineStr">
        <is>
          <t>035</t>
        </is>
      </c>
      <c r="B39" s="2" t="inlineStr">
        <is>
          <t>1BR</t>
        </is>
      </c>
      <c r="C39" s="2" t="inlineStr">
        <is>
          <t>B</t>
        </is>
      </c>
      <c r="D39" s="2" t="n">
        <v>820</v>
      </c>
      <c r="E39" s="2" t="inlineStr">
        <is>
          <t>active</t>
        </is>
      </c>
      <c r="F39" s="2" t="n">
        <v>1650</v>
      </c>
      <c r="G39" s="2">
        <f>F39</f>
        <v/>
      </c>
      <c r="H39" s="2" t="inlineStr">
        <is>
          <t>2029-08-31</t>
        </is>
      </c>
    </row>
    <row r="40" ht="30" customHeight="1">
      <c r="A40" s="2" t="inlineStr">
        <is>
          <t>036</t>
        </is>
      </c>
      <c r="B40" s="2" t="inlineStr">
        <is>
          <t>2BR</t>
        </is>
      </c>
      <c r="C40" s="2" t="inlineStr">
        <is>
          <t>C</t>
        </is>
      </c>
      <c r="D40" s="2" t="n">
        <v>1030</v>
      </c>
      <c r="E40" s="2" t="inlineStr">
        <is>
          <t>active</t>
        </is>
      </c>
      <c r="F40" s="2" t="n">
        <v>1925</v>
      </c>
      <c r="G40" s="2">
        <f>F40</f>
        <v/>
      </c>
      <c r="H40" s="2" t="inlineStr">
        <is>
          <t>2029-08-31</t>
        </is>
      </c>
    </row>
    <row r="41" ht="30" customHeight="1">
      <c r="A41" s="2" t="inlineStr">
        <is>
          <t>037</t>
        </is>
      </c>
      <c r="B41" s="2" t="inlineStr">
        <is>
          <t>Studio</t>
        </is>
      </c>
      <c r="C41" s="2" t="inlineStr">
        <is>
          <t>A</t>
        </is>
      </c>
      <c r="D41" s="2" t="n">
        <v>700</v>
      </c>
      <c r="E41" s="2" t="inlineStr">
        <is>
          <t>active</t>
        </is>
      </c>
      <c r="F41" s="2" t="n">
        <v>1500</v>
      </c>
      <c r="G41" s="2">
        <f>F41</f>
        <v/>
      </c>
      <c r="H41" s="2" t="inlineStr">
        <is>
          <t>2029-08-31</t>
        </is>
      </c>
    </row>
    <row r="42" ht="30" customHeight="1">
      <c r="A42" s="2" t="inlineStr">
        <is>
          <t>038</t>
        </is>
      </c>
      <c r="B42" s="2" t="inlineStr">
        <is>
          <t>1BR</t>
        </is>
      </c>
      <c r="C42" s="2" t="inlineStr">
        <is>
          <t>B</t>
        </is>
      </c>
      <c r="D42" s="2" t="n">
        <v>820</v>
      </c>
      <c r="E42" s="2" t="inlineStr">
        <is>
          <t>active</t>
        </is>
      </c>
      <c r="F42" s="2" t="n">
        <v>1650</v>
      </c>
      <c r="G42" s="2">
        <f>F42</f>
        <v/>
      </c>
      <c r="H42" s="2" t="inlineStr">
        <is>
          <t>2029-08-31</t>
        </is>
      </c>
    </row>
    <row r="43" ht="30" customHeight="1">
      <c r="A43" s="2" t="inlineStr">
        <is>
          <t>039</t>
        </is>
      </c>
      <c r="B43" s="2" t="inlineStr">
        <is>
          <t>2BR</t>
        </is>
      </c>
      <c r="C43" s="2" t="inlineStr">
        <is>
          <t>C</t>
        </is>
      </c>
      <c r="D43" s="2" t="n">
        <v>1030</v>
      </c>
      <c r="E43" s="2" t="inlineStr">
        <is>
          <t>active</t>
        </is>
      </c>
      <c r="F43" s="2" t="n">
        <v>1925</v>
      </c>
      <c r="G43" s="2">
        <f>F43</f>
        <v/>
      </c>
      <c r="H43" s="2" t="inlineStr">
        <is>
          <t>2029-08-31</t>
        </is>
      </c>
    </row>
    <row r="44" ht="30" customHeight="1">
      <c r="A44" s="2" t="inlineStr">
        <is>
          <t>040</t>
        </is>
      </c>
      <c r="B44" s="2" t="inlineStr">
        <is>
          <t>Studio</t>
        </is>
      </c>
      <c r="C44" s="2" t="inlineStr">
        <is>
          <t>A</t>
        </is>
      </c>
      <c r="D44" s="2" t="n">
        <v>700</v>
      </c>
      <c r="E44" s="2" t="inlineStr">
        <is>
          <t>active</t>
        </is>
      </c>
      <c r="F44" s="2" t="n">
        <v>1500</v>
      </c>
      <c r="G44" s="2">
        <f>F44</f>
        <v/>
      </c>
      <c r="H44" s="2" t="inlineStr">
        <is>
          <t>2029-08-31</t>
        </is>
      </c>
    </row>
    <row r="45" ht="30" customHeight="1">
      <c r="A45" s="2" t="inlineStr">
        <is>
          <t>041</t>
        </is>
      </c>
      <c r="B45" s="2" t="inlineStr">
        <is>
          <t>1BR</t>
        </is>
      </c>
      <c r="C45" s="2" t="inlineStr">
        <is>
          <t>B</t>
        </is>
      </c>
      <c r="D45" s="2" t="n">
        <v>820</v>
      </c>
      <c r="E45" s="2" t="inlineStr">
        <is>
          <t>active</t>
        </is>
      </c>
      <c r="F45" s="2" t="n">
        <v>1650</v>
      </c>
      <c r="G45" s="2">
        <f>F45</f>
        <v/>
      </c>
      <c r="H45" s="2" t="inlineStr">
        <is>
          <t>2029-08-31</t>
        </is>
      </c>
    </row>
    <row r="46" ht="30" customHeight="1">
      <c r="A46" s="2" t="inlineStr">
        <is>
          <t>042</t>
        </is>
      </c>
      <c r="B46" s="2" t="inlineStr">
        <is>
          <t>2BR</t>
        </is>
      </c>
      <c r="C46" s="2" t="inlineStr">
        <is>
          <t>C</t>
        </is>
      </c>
      <c r="D46" s="2" t="n">
        <v>1030</v>
      </c>
      <c r="E46" s="2" t="inlineStr">
        <is>
          <t>active</t>
        </is>
      </c>
      <c r="F46" s="2" t="n">
        <v>1925</v>
      </c>
      <c r="G46" s="2">
        <f>F46</f>
        <v/>
      </c>
      <c r="H46" s="2" t="inlineStr">
        <is>
          <t>2029-08-31</t>
        </is>
      </c>
    </row>
    <row r="47" ht="30" customHeight="1">
      <c r="A47" s="2" t="inlineStr">
        <is>
          <t>043</t>
        </is>
      </c>
      <c r="B47" s="2" t="inlineStr">
        <is>
          <t>Studio</t>
        </is>
      </c>
      <c r="C47" s="2" t="inlineStr">
        <is>
          <t>A</t>
        </is>
      </c>
      <c r="D47" s="2" t="n">
        <v>700</v>
      </c>
      <c r="E47" s="2" t="inlineStr">
        <is>
          <t>active</t>
        </is>
      </c>
      <c r="F47" s="2" t="n">
        <v>1500</v>
      </c>
      <c r="G47" s="2">
        <f>F47</f>
        <v/>
      </c>
      <c r="H47" s="2" t="inlineStr">
        <is>
          <t>2029-08-31</t>
        </is>
      </c>
    </row>
    <row r="48" ht="30" customHeight="1">
      <c r="A48" s="2" t="inlineStr">
        <is>
          <t>044</t>
        </is>
      </c>
      <c r="B48" s="2" t="inlineStr">
        <is>
          <t>1BR</t>
        </is>
      </c>
      <c r="C48" s="2" t="inlineStr">
        <is>
          <t>B</t>
        </is>
      </c>
      <c r="D48" s="2" t="n">
        <v>820</v>
      </c>
      <c r="E48" s="2" t="inlineStr">
        <is>
          <t>active</t>
        </is>
      </c>
      <c r="F48" s="2" t="n">
        <v>1650</v>
      </c>
      <c r="G48" s="2">
        <f>F48</f>
        <v/>
      </c>
      <c r="H48" s="2" t="inlineStr">
        <is>
          <t>2029-08-31</t>
        </is>
      </c>
    </row>
    <row r="49" ht="30" customHeight="1">
      <c r="A49" s="2" t="inlineStr">
        <is>
          <t>045</t>
        </is>
      </c>
      <c r="B49" s="2" t="inlineStr">
        <is>
          <t>2BR</t>
        </is>
      </c>
      <c r="C49" s="2" t="inlineStr">
        <is>
          <t>C</t>
        </is>
      </c>
      <c r="D49" s="2" t="n">
        <v>1030</v>
      </c>
      <c r="E49" s="2" t="inlineStr">
        <is>
          <t>pending</t>
        </is>
      </c>
      <c r="F49" s="2" t="n">
        <v>1925</v>
      </c>
      <c r="G49" s="2">
        <f>F49</f>
        <v/>
      </c>
      <c r="H49" s="2" t="inlineStr">
        <is>
          <t>2029-08-31</t>
        </is>
      </c>
    </row>
    <row r="50" ht="30" customHeight="1">
      <c r="A50" s="2" t="inlineStr">
        <is>
          <t>046</t>
        </is>
      </c>
      <c r="B50" s="2" t="inlineStr">
        <is>
          <t>Studio</t>
        </is>
      </c>
      <c r="C50" s="2" t="inlineStr">
        <is>
          <t>A</t>
        </is>
      </c>
      <c r="D50" s="2" t="n">
        <v>700</v>
      </c>
      <c r="E50" s="2" t="inlineStr">
        <is>
          <t>vacant</t>
        </is>
      </c>
      <c r="F50" s="2" t="n">
        <v>1500</v>
      </c>
      <c r="G50" s="2">
        <f>F50</f>
        <v/>
      </c>
      <c r="H50" s="2" t="inlineStr">
        <is>
          <t>2029-08-31</t>
        </is>
      </c>
    </row>
    <row r="51" ht="30" customHeight="1">
      <c r="A51" s="2" t="inlineStr">
        <is>
          <t>047</t>
        </is>
      </c>
      <c r="B51" s="2" t="inlineStr">
        <is>
          <t>1BR</t>
        </is>
      </c>
      <c r="C51" s="2" t="inlineStr">
        <is>
          <t>B</t>
        </is>
      </c>
      <c r="D51" s="2" t="n">
        <v>820</v>
      </c>
      <c r="E51" s="2" t="inlineStr">
        <is>
          <t>vacant</t>
        </is>
      </c>
      <c r="F51" s="2" t="n">
        <v>1650</v>
      </c>
      <c r="G51" s="2">
        <f>F51</f>
        <v/>
      </c>
      <c r="H51" s="2" t="inlineStr">
        <is>
          <t>2029-08-31</t>
        </is>
      </c>
    </row>
    <row r="52" ht="30" customHeight="1">
      <c r="A52" s="2" t="inlineStr">
        <is>
          <t>048</t>
        </is>
      </c>
      <c r="B52" s="2" t="inlineStr">
        <is>
          <t>2BR</t>
        </is>
      </c>
      <c r="C52" s="2" t="inlineStr">
        <is>
          <t>C</t>
        </is>
      </c>
      <c r="D52" s="2" t="n">
        <v>1030</v>
      </c>
      <c r="E52" s="2" t="inlineStr">
        <is>
          <t>vacant</t>
        </is>
      </c>
      <c r="F52" s="2" t="n">
        <v>1925</v>
      </c>
      <c r="G52" s="2">
        <f>F52</f>
        <v/>
      </c>
      <c r="H52" s="2" t="inlineStr">
        <is>
          <t>2029-08-31</t>
        </is>
      </c>
    </row>
    <row r="54" ht="30" customHeight="1">
      <c r="A54" s="4" t="inlineStr">
        <is>
          <t>Roll summary</t>
        </is>
      </c>
    </row>
    <row r="55" ht="30" customHeight="1">
      <c r="A55" s="2" t="inlineStr">
        <is>
          <t>Total units</t>
        </is>
      </c>
      <c r="B55" s="5">
        <f>COUNTA(A5:A52)</f>
        <v/>
      </c>
    </row>
    <row r="56" ht="30" customHeight="1">
      <c r="A56" s="2" t="inlineStr">
        <is>
          <t>Occupied units (active possession)</t>
        </is>
      </c>
      <c r="B56" s="5">
        <f>COUNTIF(E5:E52,"active")</f>
        <v/>
      </c>
    </row>
    <row r="57" ht="30" customHeight="1">
      <c r="A57" s="2" t="inlineStr">
        <is>
          <t>Pending units (no possession)</t>
        </is>
      </c>
      <c r="B57" s="5">
        <f>COUNTIF(E5:E52,"pending")</f>
        <v/>
      </c>
    </row>
    <row r="58" ht="30" customHeight="1">
      <c r="A58" s="2" t="inlineStr">
        <is>
          <t>Vacant units</t>
        </is>
      </c>
      <c r="B58" s="5">
        <f>COUNTIF(E5:E52,"vacant")</f>
        <v/>
      </c>
    </row>
    <row r="59" ht="30" customHeight="1">
      <c r="A59" s="2" t="inlineStr">
        <is>
          <t>Total area SF</t>
        </is>
      </c>
      <c r="B59" s="6">
        <f>SUM(D5:D52)</f>
        <v/>
      </c>
    </row>
    <row r="60" ht="30" customHeight="1">
      <c r="A60" s="2" t="inlineStr">
        <is>
          <t>Occupied area SF</t>
        </is>
      </c>
      <c r="B60" s="6">
        <f>SUMIF(E5:E52,"active",D5:D52)</f>
        <v/>
      </c>
    </row>
    <row r="61" ht="30" customHeight="1">
      <c r="A61" s="2" t="inlineStr">
        <is>
          <t>Unit occupancy (decimal)</t>
        </is>
      </c>
      <c r="B61" s="7">
        <f>B56/B55</f>
        <v/>
      </c>
    </row>
    <row r="62" ht="30" customHeight="1">
      <c r="A62" s="2" t="inlineStr">
        <is>
          <t>Area occupancy (decimal)</t>
        </is>
      </c>
      <c r="B62" s="7">
        <f>B60/B59</f>
        <v/>
      </c>
    </row>
    <row r="63" ht="30" customHeight="1">
      <c r="A63" s="2" t="inlineStr">
        <is>
          <t>Scheduled monthly rent, all 48 suites (pre-amendment)</t>
        </is>
      </c>
      <c r="B63" s="6">
        <f>SUM(F5:F52)</f>
        <v/>
      </c>
    </row>
    <row r="64" ht="30" customHeight="1">
      <c r="A64" s="2" t="inlineStr">
        <is>
          <t>Gross potential rent, annual (roll x 12, pre-amendment)</t>
        </is>
      </c>
      <c r="B64" s="6">
        <f>B63*12</f>
        <v/>
      </c>
    </row>
    <row r="65" ht="30" customHeight="1">
      <c r="A65" s="2" t="inlineStr">
        <is>
          <t>In-place monthly rent, occupied suites (executed)</t>
        </is>
      </c>
      <c r="B65" s="6">
        <f>SUMIF(E5:E52,"active",G5:G52)</f>
        <v/>
      </c>
    </row>
    <row r="66" ht="30" customHeight="1">
      <c r="A66" s="2" t="inlineStr">
        <is>
          <t>Annual in-place rent (occupied x 12)</t>
        </is>
      </c>
      <c r="B66" s="6">
        <f>B65*12</f>
        <v/>
      </c>
    </row>
    <row r="67" ht="30" customHeight="1">
      <c r="A67" s="2" t="inlineStr">
        <is>
          <t>Suite 001 monthly rent after signed amendment</t>
        </is>
      </c>
      <c r="B67" s="6">
        <f>G5</f>
        <v/>
      </c>
    </row>
    <row r="69" ht="30" customHeight="1">
      <c r="A69" s="4" t="inlineStr">
        <is>
          <t>Group</t>
        </is>
      </c>
      <c r="B69" s="4" t="inlineStr">
        <is>
          <t>Type</t>
        </is>
      </c>
      <c r="C69" s="4" t="inlineStr">
        <is>
          <t>Units</t>
        </is>
      </c>
      <c r="D69" s="4" t="inlineStr">
        <is>
          <t>Occupied</t>
        </is>
      </c>
      <c r="E69" s="4" t="inlineStr">
        <is>
          <t>Area SF</t>
        </is>
      </c>
    </row>
    <row r="70" ht="30" customHeight="1">
      <c r="A70" s="2" t="inlineStr">
        <is>
          <t>A</t>
        </is>
      </c>
      <c r="B70" s="2" t="inlineStr">
        <is>
          <t>Studio</t>
        </is>
      </c>
      <c r="C70" s="2">
        <f>COUNTIF($C$5:$C$52,"A")</f>
        <v/>
      </c>
      <c r="D70" s="2">
        <f>COUNTIFS($C$5:$C$52,"A",$E$5:$E$52,"active")</f>
        <v/>
      </c>
      <c r="E70" s="8">
        <f>SUMIF($C$5:$C$52,"A",$D$5:$D$52)</f>
        <v/>
      </c>
    </row>
    <row r="71" ht="30" customHeight="1">
      <c r="A71" s="2" t="inlineStr">
        <is>
          <t>B</t>
        </is>
      </c>
      <c r="B71" s="2" t="inlineStr">
        <is>
          <t>1BR</t>
        </is>
      </c>
      <c r="C71" s="2">
        <f>COUNTIF($C$5:$C$52,"B")</f>
        <v/>
      </c>
      <c r="D71" s="2">
        <f>COUNTIFS($C$5:$C$52,"B",$E$5:$E$52,"active")</f>
        <v/>
      </c>
      <c r="E71" s="8">
        <f>SUMIF($C$5:$C$52,"B",$D$5:$D$52)</f>
        <v/>
      </c>
    </row>
    <row r="72" ht="30" customHeight="1">
      <c r="A72" s="2" t="inlineStr">
        <is>
          <t>C</t>
        </is>
      </c>
      <c r="B72" s="2" t="inlineStr">
        <is>
          <t>2BR</t>
        </is>
      </c>
      <c r="C72" s="2">
        <f>COUNTIF($C$5:$C$52,"C")</f>
        <v/>
      </c>
      <c r="D72" s="2">
        <f>COUNTIFS($C$5:$C$52,"C",$E$5:$E$52,"active")</f>
        <v/>
      </c>
      <c r="E72" s="8">
        <f>SUMIF($C$5:$C$52,"C",$D$5:$D$52)</f>
        <v/>
      </c>
    </row>
    <row r="74" ht="30" customHeight="1">
      <c r="A74" s="2" t="inlineStr">
        <is>
          <t>Manager headline: 45 of 48 leased (occupied + pending); pending occupants have not taken possession (manager-cover.pdf p.1). Physical occupancy per certified detail is 44 of 48.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4" customWidth="1" min="3" max="3"/>
  </cols>
  <sheetData>
    <row r="1" ht="30" customHeight="1">
      <c r="A1" s="1" t="inlineStr">
        <is>
          <t>Magnolia Terrace - Underwritten cash flow (as of 2026-08-31)</t>
        </is>
      </c>
    </row>
    <row r="3" ht="30" customHeight="1">
      <c r="A3" s="4" t="inlineStr">
        <is>
          <t>Income</t>
        </is>
      </c>
      <c r="B3" s="4" t="inlineStr">
        <is>
          <t>Amount</t>
        </is>
      </c>
      <c r="C3" s="4" t="inlineStr">
        <is>
          <t>Source / note</t>
        </is>
      </c>
    </row>
    <row r="4" ht="30" customHeight="1">
      <c r="A4" s="2" t="inlineStr">
        <is>
          <t>Gross potential rent (annual) [INPUT]</t>
        </is>
      </c>
      <c r="B4" s="3" t="n">
        <v>974400</v>
      </c>
      <c r="C4" s="2" t="inlineStr">
        <is>
          <t>Certified roll scheduled rent 81,200/mo x 12, pre-amendment (rent-roll-certified.xlsx E5:E52)</t>
        </is>
      </c>
    </row>
    <row r="5" ht="30" customHeight="1">
      <c r="A5" s="2" t="inlineStr">
        <is>
          <t>Economic loss (vacancy/credit) [INPUT]</t>
        </is>
      </c>
      <c r="B5" s="9" t="n">
        <v>0.05</v>
      </c>
      <c r="C5" s="2" t="inlineStr">
        <is>
          <t>underwriting-instructions.pdf p.1</t>
        </is>
      </c>
    </row>
    <row r="6" ht="30" customHeight="1">
      <c r="A6" s="2" t="inlineStr">
        <is>
          <t>Effective rental income</t>
        </is>
      </c>
      <c r="B6" s="8">
        <f>B4*(1-B5)</f>
        <v/>
      </c>
    </row>
    <row r="7" ht="30" customHeight="1">
      <c r="A7" s="2" t="inlineStr">
        <is>
          <t>Other income per unit per year [INPUT]</t>
        </is>
      </c>
      <c r="B7" s="3" t="n">
        <v>350</v>
      </c>
      <c r="C7" s="2" t="inlineStr">
        <is>
          <t>Reimbursements already included; not added twice</t>
        </is>
      </c>
    </row>
    <row r="8" ht="30" customHeight="1">
      <c r="A8" s="2" t="inlineStr">
        <is>
          <t>Units</t>
        </is>
      </c>
      <c r="B8" s="2">
        <f>'Rent Roll'!B55</f>
        <v/>
      </c>
    </row>
    <row r="9" ht="30" customHeight="1">
      <c r="A9" s="2" t="inlineStr">
        <is>
          <t>Other income (annual)</t>
        </is>
      </c>
      <c r="B9" s="8">
        <f>B7*B8</f>
        <v/>
      </c>
    </row>
    <row r="10" ht="30" customHeight="1">
      <c r="A10" s="5" t="inlineStr">
        <is>
          <t>Underwritten EGI</t>
        </is>
      </c>
      <c r="B10" s="6">
        <f>B6+B9</f>
        <v/>
      </c>
    </row>
    <row r="12" ht="30" customHeight="1">
      <c r="A12" s="4" t="inlineStr">
        <is>
          <t>Operating expenses</t>
        </is>
      </c>
      <c r="B12" s="4" t="inlineStr">
        <is>
          <t>Amount</t>
        </is>
      </c>
    </row>
    <row r="13" ht="30" customHeight="1">
      <c r="A13" s="2" t="inlineStr">
        <is>
          <t>Real estate taxes [INPUT]</t>
        </is>
      </c>
      <c r="B13" s="3" t="n">
        <v>102312</v>
      </c>
      <c r="C13" s="2" t="inlineStr">
        <is>
          <t>underwriting-instructions.pdf p.1; matches T12</t>
        </is>
      </c>
    </row>
    <row r="14" ht="30" customHeight="1">
      <c r="A14" s="2" t="inlineStr">
        <is>
          <t>Insurance expense [INPUT]</t>
        </is>
      </c>
      <c r="B14" s="3" t="n">
        <v>34104</v>
      </c>
      <c r="C14" s="2" t="inlineStr">
        <is>
          <t>underwriting-instructions.pdf p.1; matches T12</t>
        </is>
      </c>
    </row>
    <row r="15" ht="30" customHeight="1">
      <c r="A15" s="2" t="inlineStr">
        <is>
          <t>Other recurring operating expenses [INPUT]</t>
        </is>
      </c>
      <c r="B15" s="3" t="n">
        <v>136416</v>
      </c>
    </row>
    <row r="16" ht="30" customHeight="1">
      <c r="A16" s="2" t="inlineStr">
        <is>
          <t>Management fee % of EGI [INPUT]</t>
        </is>
      </c>
      <c r="B16" s="9" t="n">
        <v>0.03</v>
      </c>
    </row>
    <row r="17" ht="30" customHeight="1">
      <c r="A17" s="2" t="inlineStr">
        <is>
          <t>Management fee</t>
        </is>
      </c>
      <c r="B17" s="8">
        <f>B16*B10</f>
        <v/>
      </c>
    </row>
    <row r="18" ht="30" customHeight="1">
      <c r="A18" s="5" t="inlineStr">
        <is>
          <t>Total underwritten operating expenses</t>
        </is>
      </c>
      <c r="B18" s="6">
        <f>SUM(B13:B15)+B17</f>
        <v/>
      </c>
    </row>
    <row r="19" ht="30" customHeight="1">
      <c r="A19" s="5" t="inlineStr">
        <is>
          <t>Underwritten NOI before reserves</t>
        </is>
      </c>
      <c r="B19" s="6">
        <f>B10-B18</f>
        <v/>
      </c>
    </row>
    <row r="20" ht="30" customHeight="1">
      <c r="A20" s="2" t="inlineStr">
        <is>
          <t>Replacement reserve per unit [INPUT]</t>
        </is>
      </c>
      <c r="B20" s="3" t="n">
        <v>300</v>
      </c>
    </row>
    <row r="21" ht="30" customHeight="1">
      <c r="A21" s="2" t="inlineStr">
        <is>
          <t>Replacement reserves</t>
        </is>
      </c>
      <c r="B21" s="8">
        <f>B20*B8</f>
        <v/>
      </c>
    </row>
    <row r="22" ht="30" customHeight="1">
      <c r="A22" s="5" t="inlineStr">
        <is>
          <t>Underwritten NCF after reserves</t>
        </is>
      </c>
      <c r="B22" s="6">
        <f>B19-B21</f>
        <v/>
      </c>
    </row>
    <row r="24" ht="30" customHeight="1">
      <c r="A24" s="4" t="inlineStr">
        <is>
          <t>Valuation</t>
        </is>
      </c>
    </row>
    <row r="25" ht="30" customHeight="1">
      <c r="A25" s="2" t="inlineStr">
        <is>
          <t>Capitalization rate [INPUT]</t>
        </is>
      </c>
      <c r="B25" s="10" t="n">
        <v>0.0575</v>
      </c>
    </row>
    <row r="26" ht="30" customHeight="1">
      <c r="A26" s="5" t="inlineStr">
        <is>
          <t>Capitalization value (NOI before reserves / cap rate)</t>
        </is>
      </c>
      <c r="B26" s="6">
        <f>B19/B25</f>
        <v/>
      </c>
    </row>
    <row r="28" ht="30" customHeight="1">
      <c r="A28" s="4" t="inlineStr">
        <is>
          <t>Historical comparison (T12 09/2025-08/2026)</t>
        </is>
      </c>
    </row>
    <row r="29" ht="30" customHeight="1">
      <c r="A29" s="2" t="inlineStr">
        <is>
          <t>Reported collections</t>
        </is>
      </c>
      <c r="B29" s="8" t="n">
        <v>876960</v>
      </c>
      <c r="C29" s="2" t="inlineStr">
        <is>
          <t>operating-statement.pdf p.1</t>
        </is>
      </c>
    </row>
    <row r="30" ht="30" customHeight="1">
      <c r="A30" s="2" t="inlineStr">
        <is>
          <t>Reported T12 NOI</t>
        </is>
      </c>
      <c r="B30" s="8" t="n">
        <v>604128</v>
      </c>
      <c r="C30" s="2" t="inlineStr">
        <is>
          <t>operating-statement.pdf p.1 (no mgmt fee or reserves)</t>
        </is>
      </c>
    </row>
    <row r="31" ht="30" customHeight="1">
      <c r="A31" s="2" t="inlineStr">
        <is>
          <t>Underwritten NOI vs reported T12 NOI</t>
        </is>
      </c>
      <c r="B31" s="8">
        <f>B19-B30</f>
        <v/>
      </c>
    </row>
    <row r="32" ht="30" customHeight="1">
      <c r="A32" s="2" t="inlineStr">
        <is>
          <t>Annual in-place rent (executed, occupied suites)</t>
        </is>
      </c>
      <c r="B32" s="8">
        <f>'Rent Roll'!B66</f>
        <v/>
      </c>
    </row>
    <row r="34" ht="30" customHeight="1">
      <c r="A34" s="2" t="inlineStr">
        <is>
          <t>Underwriting definitions differ: T12 NOI is cash-basis actual before management fee and reserves; underwritten NOI is a stabilized prescribed gross potential less 5% loss plus other income, less prescribed expenses; NCF deducts reserves.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0" customWidth="1" min="3" max="3"/>
  </cols>
  <sheetData>
    <row r="1" ht="30" customHeight="1">
      <c r="A1" s="1" t="inlineStr">
        <is>
          <t>Debt sizing and sources / uses</t>
        </is>
      </c>
    </row>
    <row r="3" ht="30" customHeight="1">
      <c r="A3" s="4" t="inlineStr">
        <is>
          <t>Constraint inputs</t>
        </is>
      </c>
      <c r="B3" s="4" t="inlineStr">
        <is>
          <t>Value</t>
        </is>
      </c>
      <c r="C3" s="4" t="inlineStr">
        <is>
          <t>Note</t>
        </is>
      </c>
    </row>
    <row r="4" ht="30" customHeight="1">
      <c r="A4" s="2" t="inlineStr">
        <is>
          <t>Maximum LTV</t>
        </is>
      </c>
      <c r="B4" s="9" t="n">
        <v>0.65</v>
      </c>
    </row>
    <row r="5" ht="30" customHeight="1">
      <c r="A5" s="2" t="inlineStr">
        <is>
          <t>Minimum DSCR (on NCF)</t>
        </is>
      </c>
      <c r="B5" s="11" t="n">
        <v>1.25</v>
      </c>
    </row>
    <row r="6" ht="30" customHeight="1">
      <c r="A6" s="2" t="inlineStr">
        <is>
          <t>Minimum NCF debt yield</t>
        </is>
      </c>
      <c r="B6" s="9" t="n">
        <v>0.09</v>
      </c>
    </row>
    <row r="7" ht="30" customHeight="1">
      <c r="A7" s="2" t="inlineStr">
        <is>
          <t>Amortization (years)</t>
        </is>
      </c>
      <c r="B7" s="12" t="n">
        <v>30</v>
      </c>
    </row>
    <row r="8" ht="30" customHeight="1">
      <c r="A8" s="2" t="inlineStr">
        <is>
          <t>Note rate</t>
        </is>
      </c>
      <c r="B8" s="13" t="n">
        <v>0.0625</v>
      </c>
      <c r="C8" s="2" t="inlineStr">
        <is>
          <t>underwriting-instructions.pdf p.1</t>
        </is>
      </c>
    </row>
    <row r="9" ht="30" customHeight="1">
      <c r="A9" s="2" t="inlineStr">
        <is>
          <t>Underwriting rate floor</t>
        </is>
      </c>
      <c r="B9" s="13" t="n">
        <v>0.06</v>
      </c>
      <c r="C9" s="2" t="inlineStr">
        <is>
          <t>Floor below note rate; not binding</t>
        </is>
      </c>
    </row>
    <row r="10" ht="30" customHeight="1">
      <c r="A10" s="2" t="inlineStr">
        <is>
          <t>Sizing rate (greater of note rate and floor) [INPUT]</t>
        </is>
      </c>
      <c r="B10" s="10" t="n">
        <v>0.0625</v>
      </c>
      <c r="C10" s="2" t="inlineStr">
        <is>
          <t>= MAX(B8,B9); sized on amortizing basis despite 24-month IO</t>
        </is>
      </c>
    </row>
    <row r="12" ht="30" customHeight="1">
      <c r="A12" s="4" t="inlineStr">
        <is>
          <t>Sizing tests</t>
        </is>
      </c>
      <c r="B12" s="4" t="inlineStr">
        <is>
          <t>Loan amount</t>
        </is>
      </c>
    </row>
    <row r="13" ht="30" customHeight="1">
      <c r="A13" s="2" t="inlineStr">
        <is>
          <t>LTV limit</t>
        </is>
      </c>
      <c r="B13" s="8">
        <f>B4*Underwriting!B26</f>
        <v/>
      </c>
    </row>
    <row r="14" ht="30" customHeight="1">
      <c r="A14" s="2" t="inlineStr">
        <is>
          <t>Maximum annual debt service at min DSCR</t>
        </is>
      </c>
      <c r="B14" s="8">
        <f>Underwriting!B22/B5</f>
        <v/>
      </c>
    </row>
    <row r="15" ht="30" customHeight="1">
      <c r="A15" s="2" t="inlineStr">
        <is>
          <t>DSCR limit (PV of monthly payment, 30-yr amort)</t>
        </is>
      </c>
      <c r="B15" s="8">
        <f>(B14/12)*(1-(1+B10/12)^(-B7*12))/(B10/12)</f>
        <v/>
      </c>
    </row>
    <row r="16" ht="30" customHeight="1">
      <c r="A16" s="2" t="inlineStr">
        <is>
          <t>Debt yield limit</t>
        </is>
      </c>
      <c r="B16" s="8">
        <f>Underwriting!B22/B6</f>
        <v/>
      </c>
    </row>
    <row r="17" ht="30" customHeight="1">
      <c r="A17" s="5" t="inlineStr">
        <is>
          <t>Maximum loan (binding = minimum)</t>
        </is>
      </c>
      <c r="B17" s="6">
        <f>MIN(B13,B15,B16)</f>
        <v/>
      </c>
    </row>
    <row r="18" ht="30" customHeight="1">
      <c r="A18" s="2" t="inlineStr">
        <is>
          <t>Binding constraint</t>
        </is>
      </c>
      <c r="B18" s="2">
        <f>IF(B17=B15,"DSCR",IF(B17=B13,"LTV","Debt yield"))</f>
        <v/>
      </c>
    </row>
    <row r="19" ht="30" customHeight="1">
      <c r="A19" s="2" t="inlineStr">
        <is>
          <t>Loan to capitalization value</t>
        </is>
      </c>
      <c r="B19" s="14">
        <f>B17/Underwriting!B26</f>
        <v/>
      </c>
    </row>
    <row r="20" ht="30" customHeight="1">
      <c r="A20" s="2" t="inlineStr">
        <is>
          <t>Actual annual debt service at sized loan</t>
        </is>
      </c>
      <c r="B20" s="8">
        <f>-PMT(B10/12,B7*12,B17)*12</f>
        <v/>
      </c>
    </row>
    <row r="21" ht="30" customHeight="1">
      <c r="A21" s="2" t="inlineStr">
        <is>
          <t>DSCR at sized loan (NCF basis)</t>
        </is>
      </c>
      <c r="B21" s="14">
        <f>Underwriting!B22/B20</f>
        <v/>
      </c>
    </row>
    <row r="22" ht="30" customHeight="1">
      <c r="A22" s="2" t="inlineStr">
        <is>
          <t>NCF debt yield at sized loan</t>
        </is>
      </c>
      <c r="B22" s="14">
        <f>Underwriting!B22/B17</f>
        <v/>
      </c>
    </row>
    <row r="24" ht="30" customHeight="1">
      <c r="A24" s="4" t="inlineStr">
        <is>
          <t>Sources</t>
        </is>
      </c>
      <c r="B24" s="4" t="inlineStr">
        <is>
          <t>Amount</t>
        </is>
      </c>
    </row>
    <row r="25" ht="30" customHeight="1">
      <c r="A25" s="2" t="inlineStr">
        <is>
          <t>Sized first mortgage</t>
        </is>
      </c>
      <c r="B25" s="8">
        <f>B17</f>
        <v/>
      </c>
    </row>
    <row r="27" ht="30" customHeight="1">
      <c r="A27" s="4" t="inlineStr">
        <is>
          <t>Uses</t>
        </is>
      </c>
      <c r="B27" s="4" t="inlineStr">
        <is>
          <t>Amount</t>
        </is>
      </c>
    </row>
    <row r="28" ht="30" customHeight="1">
      <c r="A28" s="2" t="inlineStr">
        <is>
          <t>Existing loan payoff</t>
        </is>
      </c>
      <c r="B28" s="3" t="n">
        <v>4200000</v>
      </c>
    </row>
    <row r="29" ht="30" customHeight="1">
      <c r="A29" s="2" t="inlineStr">
        <is>
          <t>Origination fee (1% of sized loan)</t>
        </is>
      </c>
      <c r="B29" s="8">
        <f>0.01*B17</f>
        <v/>
      </c>
    </row>
    <row r="30" ht="30" customHeight="1">
      <c r="A30" s="2" t="inlineStr">
        <is>
          <t>Closing costs</t>
        </is>
      </c>
      <c r="B30" s="3" t="n">
        <v>45000</v>
      </c>
    </row>
    <row r="31" ht="30" customHeight="1">
      <c r="A31" s="5" t="inlineStr">
        <is>
          <t>Total uses before distribution</t>
        </is>
      </c>
      <c r="B31" s="6">
        <f>SUM(B28:B30)</f>
        <v/>
      </c>
    </row>
    <row r="32" ht="30" customHeight="1">
      <c r="A32" s="5" t="inlineStr">
        <is>
          <t>Net cash-out (negative = equity required)</t>
        </is>
      </c>
      <c r="B32" s="6">
        <f>B25-B31</f>
        <v/>
      </c>
    </row>
    <row r="34" ht="30" customHeight="1">
      <c r="A34" s="2" t="inlineStr">
        <is>
          <t>Refinance shortfall test (loan net of costs vs payoff)</t>
        </is>
      </c>
      <c r="B34" s="2">
        <f>IF(B32&lt;0,"Shortfall","No shortfall")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- cap rate (rows) vs sizing rate (columns)</t>
        </is>
      </c>
    </row>
    <row r="2" ht="30" customHeight="1">
      <c r="A2" s="2" t="inlineStr">
        <is>
          <t>Each cell = MIN(LTV limit, DSCR limit, debt yield limit) holding NOI/NCF constant</t>
        </is>
      </c>
    </row>
    <row r="4" ht="30" customHeight="1">
      <c r="A4" s="4" t="inlineStr">
        <is>
          <t>Cap rate \ Sizing rate</t>
        </is>
      </c>
      <c r="B4" s="15" t="n">
        <v>0.06</v>
      </c>
      <c r="C4" s="15" t="n">
        <v>0.0625</v>
      </c>
      <c r="D4" s="15" t="n">
        <v>0.065</v>
      </c>
      <c r="E4" s="15" t="n">
        <v>0.07000000000000001</v>
      </c>
    </row>
    <row r="5" ht="30" customHeight="1">
      <c r="A5" s="13" t="n">
        <v>0.0525</v>
      </c>
      <c r="B5" s="8">
        <f>MIN(Debt!$B$4*Underwriting!$B$19/$A5,(Underwriting!$B$22/Debt!$B$5/12)*(1-(1+B$4/12)^(-Debt!$B$7*12))/(B$4/12),Underwriting!$B$22/Debt!$B$6)</f>
        <v/>
      </c>
      <c r="C5" s="8">
        <f>MIN(Debt!$B$4*Underwriting!$B$19/$A5,(Underwriting!$B$22/Debt!$B$5/12)*(1-(1+C$4/12)^(-Debt!$B$7*12))/(C$4/12),Underwriting!$B$22/Debt!$B$6)</f>
        <v/>
      </c>
      <c r="D5" s="8">
        <f>MIN(Debt!$B$4*Underwriting!$B$19/$A5,(Underwriting!$B$22/Debt!$B$5/12)*(1-(1+D$4/12)^(-Debt!$B$7*12))/(D$4/12),Underwriting!$B$22/Debt!$B$6)</f>
        <v/>
      </c>
      <c r="E5" s="8">
        <f>MIN(Debt!$B$4*Underwriting!$B$19/$A5,(Underwriting!$B$22/Debt!$B$5/12)*(1-(1+E$4/12)^(-Debt!$B$7*12))/(E$4/12),Underwriting!$B$22/Debt!$B$6)</f>
        <v/>
      </c>
    </row>
    <row r="6" ht="30" customHeight="1">
      <c r="A6" s="13" t="n">
        <v>0.055</v>
      </c>
      <c r="B6" s="8">
        <f>MIN(Debt!$B$4*Underwriting!$B$19/$A6,(Underwriting!$B$22/Debt!$B$5/12)*(1-(1+B$4/12)^(-Debt!$B$7*12))/(B$4/12),Underwriting!$B$22/Debt!$B$6)</f>
        <v/>
      </c>
      <c r="C6" s="8">
        <f>MIN(Debt!$B$4*Underwriting!$B$19/$A6,(Underwriting!$B$22/Debt!$B$5/12)*(1-(1+C$4/12)^(-Debt!$B$7*12))/(C$4/12),Underwriting!$B$22/Debt!$B$6)</f>
        <v/>
      </c>
      <c r="D6" s="8">
        <f>MIN(Debt!$B$4*Underwriting!$B$19/$A6,(Underwriting!$B$22/Debt!$B$5/12)*(1-(1+D$4/12)^(-Debt!$B$7*12))/(D$4/12),Underwriting!$B$22/Debt!$B$6)</f>
        <v/>
      </c>
      <c r="E6" s="8">
        <f>MIN(Debt!$B$4*Underwriting!$B$19/$A6,(Underwriting!$B$22/Debt!$B$5/12)*(1-(1+E$4/12)^(-Debt!$B$7*12))/(E$4/12),Underwriting!$B$22/Debt!$B$6)</f>
        <v/>
      </c>
    </row>
    <row r="7" ht="30" customHeight="1">
      <c r="A7" s="13" t="n">
        <v>0.0575</v>
      </c>
      <c r="B7" s="8">
        <f>MIN(Debt!$B$4*Underwriting!$B$19/$A7,(Underwriting!$B$22/Debt!$B$5/12)*(1-(1+B$4/12)^(-Debt!$B$7*12))/(B$4/12),Underwriting!$B$22/Debt!$B$6)</f>
        <v/>
      </c>
      <c r="C7" s="8">
        <f>MIN(Debt!$B$4*Underwriting!$B$19/$A7,(Underwriting!$B$22/Debt!$B$5/12)*(1-(1+C$4/12)^(-Debt!$B$7*12))/(C$4/12),Underwriting!$B$22/Debt!$B$6)</f>
        <v/>
      </c>
      <c r="D7" s="8">
        <f>MIN(Debt!$B$4*Underwriting!$B$19/$A7,(Underwriting!$B$22/Debt!$B$5/12)*(1-(1+D$4/12)^(-Debt!$B$7*12))/(D$4/12),Underwriting!$B$22/Debt!$B$6)</f>
        <v/>
      </c>
      <c r="E7" s="8">
        <f>MIN(Debt!$B$4*Underwriting!$B$19/$A7,(Underwriting!$B$22/Debt!$B$5/12)*(1-(1+E$4/12)^(-Debt!$B$7*12))/(E$4/12),Underwriting!$B$22/Debt!$B$6)</f>
        <v/>
      </c>
    </row>
    <row r="8" ht="30" customHeight="1">
      <c r="A8" s="13" t="n">
        <v>0.06</v>
      </c>
      <c r="B8" s="8">
        <f>MIN(Debt!$B$4*Underwriting!$B$19/$A8,(Underwriting!$B$22/Debt!$B$5/12)*(1-(1+B$4/12)^(-Debt!$B$7*12))/(B$4/12),Underwriting!$B$22/Debt!$B$6)</f>
        <v/>
      </c>
      <c r="C8" s="8">
        <f>MIN(Debt!$B$4*Underwriting!$B$19/$A8,(Underwriting!$B$22/Debt!$B$5/12)*(1-(1+C$4/12)^(-Debt!$B$7*12))/(C$4/12),Underwriting!$B$22/Debt!$B$6)</f>
        <v/>
      </c>
      <c r="D8" s="8">
        <f>MIN(Debt!$B$4*Underwriting!$B$19/$A8,(Underwriting!$B$22/Debt!$B$5/12)*(1-(1+D$4/12)^(-Debt!$B$7*12))/(D$4/12),Underwriting!$B$22/Debt!$B$6)</f>
        <v/>
      </c>
      <c r="E8" s="8">
        <f>MIN(Debt!$B$4*Underwriting!$B$19/$A8,(Underwriting!$B$22/Debt!$B$5/12)*(1-(1+E$4/12)^(-Debt!$B$7*12))/(E$4/12),Underwriting!$B$22/Debt!$B$6)</f>
        <v/>
      </c>
    </row>
    <row r="9" ht="30" customHeight="1">
      <c r="A9" s="13" t="n">
        <v>0.0625</v>
      </c>
      <c r="B9" s="8">
        <f>MIN(Debt!$B$4*Underwriting!$B$19/$A9,(Underwriting!$B$22/Debt!$B$5/12)*(1-(1+B$4/12)^(-Debt!$B$7*12))/(B$4/12),Underwriting!$B$22/Debt!$B$6)</f>
        <v/>
      </c>
      <c r="C9" s="8">
        <f>MIN(Debt!$B$4*Underwriting!$B$19/$A9,(Underwriting!$B$22/Debt!$B$5/12)*(1-(1+C$4/12)^(-Debt!$B$7*12))/(C$4/12),Underwriting!$B$22/Debt!$B$6)</f>
        <v/>
      </c>
      <c r="D9" s="8">
        <f>MIN(Debt!$B$4*Underwriting!$B$19/$A9,(Underwriting!$B$22/Debt!$B$5/12)*(1-(1+D$4/12)^(-Debt!$B$7*12))/(D$4/12),Underwriting!$B$22/Debt!$B$6)</f>
        <v/>
      </c>
      <c r="E9" s="8">
        <f>MIN(Debt!$B$4*Underwriting!$B$19/$A9,(Underwriting!$B$22/Debt!$B$5/12)*(1-(1+E$4/12)^(-Debt!$B$7*12))/(E$4/12),Underwriting!$B$22/Debt!$B$6)</f>
        <v/>
      </c>
    </row>
    <row r="11" ht="30" customHeight="1">
      <c r="A11" s="2" t="inlineStr">
        <is>
          <t>Net cash-out at base case</t>
        </is>
      </c>
      <c r="B11" s="8">
        <f>Debt!B32</f>
        <v/>
      </c>
    </row>
    <row r="12" ht="30" customHeight="1">
      <c r="A12" s="2" t="inlineStr">
        <is>
          <t>Debt yield limit is a flat ceiling; DSCR governs at the base case.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8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4" t="inlineStr">
        <is>
          <t>File</t>
        </is>
      </c>
      <c r="B3" s="4" t="inlineStr">
        <is>
          <t>Location</t>
        </is>
      </c>
      <c r="C3" s="4" t="inlineStr">
        <is>
          <t>Facts used / status</t>
        </is>
      </c>
    </row>
    <row r="4" ht="30" customHeight="1">
      <c r="A4" s="2" t="inlineStr">
        <is>
          <t>rent-roll-certified.xlsx</t>
        </is>
      </c>
      <c r="B4" s="2" t="inlineStr">
        <is>
          <t>Rent Roll A2:G52</t>
        </is>
      </c>
      <c r="C4" s="2" t="inlineStr">
        <is>
          <t>Controlling roll dated 2026-08-31: 48 units, 44 active, 1 pending, 3 vacant, areas, scheduled rents, expirations 2029-08-31</t>
        </is>
      </c>
    </row>
    <row r="5" ht="30" customHeight="1">
      <c r="A5" s="2" t="inlineStr">
        <is>
          <t>rent-roll-archive.xlsx</t>
        </is>
      </c>
      <c r="B5" s="2" t="inlineStr">
        <is>
          <t>Rent Roll A2:G52</t>
        </is>
      </c>
      <c r="C5" s="2" t="inlineStr">
        <is>
          <t>Stale archive dated 2026-06-30 (lower rents); superseded, not used for underwriting</t>
        </is>
      </c>
    </row>
    <row r="6" ht="30" customHeight="1">
      <c r="A6" s="2" t="inlineStr">
        <is>
          <t>lease-001.pdf</t>
        </is>
      </c>
      <c r="B6" s="2" t="inlineStr">
        <is>
          <t>p.1</t>
        </is>
      </c>
      <c r="C6" s="2" t="inlineStr">
        <is>
          <t>Suite 001 executed lease: $1,500/mo, 700 SF, expiry 2029-08-31, deposit $3,000, no free rent</t>
        </is>
      </c>
    </row>
    <row r="7" ht="30" customHeight="1">
      <c r="A7" s="2" t="inlineStr">
        <is>
          <t>lease-correspondence.pdf</t>
        </is>
      </c>
      <c r="B7" s="2" t="inlineStr">
        <is>
          <t>p.1</t>
        </is>
      </c>
      <c r="C7" s="2" t="inlineStr">
        <is>
          <t>Signed amendment executed 2026-07-20, effective 2026-08-01: +$350/mo; Suite 001 in-place rent $1,850</t>
        </is>
      </c>
    </row>
    <row r="8" ht="30" customHeight="1">
      <c r="A8" s="2" t="inlineStr">
        <is>
          <t>operating-statement.pdf</t>
        </is>
      </c>
      <c r="B8" s="2" t="inlineStr">
        <is>
          <t>p.1</t>
        </is>
      </c>
      <c r="C8" s="2" t="inlineStr">
        <is>
          <t>T12 09/2025-08/2026: collections 876,960; tax 102,312; insurance 34,104; other 136,416; roof capital booked 0; reported NOI 604,128</t>
        </is>
      </c>
    </row>
    <row r="9" ht="30" customHeight="1">
      <c r="A9" s="2" t="inlineStr">
        <is>
          <t>insurance.pdf</t>
        </is>
      </c>
      <c r="B9" s="2" t="inlineStr">
        <is>
          <t>p.1</t>
        </is>
      </c>
      <c r="C9" s="2" t="inlineStr">
        <is>
          <t>GL aggregate limit $2,000,000; policy 2026-07-01 to 2027-06-30 (coverage limit, not expense)</t>
        </is>
      </c>
    </row>
    <row r="10" ht="30" customHeight="1">
      <c r="A10" s="2" t="inlineStr">
        <is>
          <t>manager-cover.pdf</t>
        </is>
      </c>
      <c r="B10" s="2" t="inlineStr">
        <is>
          <t>p.1</t>
        </is>
      </c>
      <c r="C10" s="2" t="inlineStr">
        <is>
          <t>Raleigh, NC multifamily; group mapping A/B/C = Studio/1BR/2BR; manager headline 45 of 48 leased includes pending</t>
        </is>
      </c>
    </row>
    <row r="11" ht="30" customHeight="1">
      <c r="A11" s="2" t="inlineStr">
        <is>
          <t>underwriting-instructions.pdf</t>
        </is>
      </c>
      <c r="B11" s="2" t="inlineStr">
        <is>
          <t>p.1</t>
        </is>
      </c>
      <c r="C11" s="2" t="inlineStr">
        <is>
          <t>Prescribed GPR method, 5% loss, $350/unit other income, expense line items, 3% management, $300/unit reserves, 5.75% cap, 65% LTV / 1.25x DSCR / 9% debt yield, 6.25% note vs 6.00% floor, 1% fee, $45,000 closing, $4,200,000 payoff</t>
        </is>
      </c>
    </row>
    <row r="12" ht="30" customHeight="1">
      <c r="A12" s="2" t="inlineStr">
        <is>
          <t>diligence-status.pdf</t>
        </is>
      </c>
      <c r="B12" s="2" t="inlineStr">
        <is>
          <t>p.1</t>
        </is>
      </c>
      <c r="C12" s="2" t="inlineStr">
        <is>
          <t>Legal, environmental, PCA, title reviews incomplete - routine pending items, no defect findings</t>
        </is>
      </c>
    </row>
    <row r="14" ht="30" customHeight="1">
      <c r="A14" s="2" t="inlineStr">
        <is>
          <t>Not supplied (explicitly unknown, not zero): photographs, asking price, market sale/rent comparables, sponsor history, capital budget, unit-level concessions detail, tax/insurance renewal quotes.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2026-09-07T12:48:09Z</dcterms:created>
  <dcterms:modified xmlns:dcterms="http://purl.org/dc/terms/" xmlns:xsi="http://www.w3.org/2001/XMLSchema-instance" xsi:type="dcterms:W3CDTF">2026-09-07T12:48:09Z</dcterms:modified>
</cp:coreProperties>
</file>