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ision Log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<sst xmlns="http://schemas.openxmlformats.org/spreadsheetml/2006/main" count="430" uniqueCount="224">
  <si>
    <t xml:space="preserve">Magnolia Terrace - Revision R1 (revision-notice.pdf p.1, effective 2026-09-01)</t>
  </si>
  <si>
    <t xml:space="preserve">Approved copy preserved exactly: "Source-backed analysis. Assumptions remain subject to diligence."</t>
  </si>
  <si>
    <t xml:space="preserve">Item</t>
  </si>
  <si>
    <t xml:space="preserve">Prior (initial)</t>
  </si>
  <si>
    <t xml:space="preserve">Revised (R1)</t>
  </si>
  <si>
    <t xml:space="preserve">Driver</t>
  </si>
  <si>
    <t xml:space="preserve">Controlling roll date</t>
  </si>
  <si>
    <t xml:space="preserve">2026-08-31</t>
  </si>
  <si>
    <t xml:space="preserve">2026-09-01</t>
  </si>
  <si>
    <t xml:space="preserve">Revised certified roll supersedes prior roll</t>
  </si>
  <si>
    <t xml:space="preserve">Suite 045 status</t>
  </si>
  <si>
    <t xml:space="preserve">pending (no possession)</t>
  </si>
  <si>
    <t xml:space="preserve">active</t>
  </si>
  <si>
    <t xml:space="preserve">revision-notice.pdf p.1; rent-roll-revised.xlsx D49</t>
  </si>
  <si>
    <t xml:space="preserve">Suite 045 scheduled rent / mo</t>
  </si>
  <si>
    <t xml:space="preserve">+$225 per revision notice</t>
  </si>
  <si>
    <t xml:space="preserve">Occupied units / pending units</t>
  </si>
  <si>
    <t xml:space="preserve">44 / 1</t>
  </si>
  <si>
    <t xml:space="preserve">45 / 0</t>
  </si>
  <si>
    <t xml:space="preserve">Suite 045 took possession</t>
  </si>
  <si>
    <t xml:space="preserve">Gross potential rent</t>
  </si>
  <si>
    <t xml:space="preserve">All-unit scheduled rent on new roll x 12</t>
  </si>
  <si>
    <t xml:space="preserve">Cap rate</t>
  </si>
  <si>
    <t xml:space="preserve">+25 bps per revision notice</t>
  </si>
  <si>
    <t xml:space="preserve">Sizing rate</t>
  </si>
  <si>
    <t xml:space="preserve">Initial sizing rate 6.2500% + 75 bps; floor 6.0000% still not binding</t>
  </si>
  <si>
    <t xml:space="preserve">Maximum loan</t>
  </si>
  <si>
    <t xml:space="preserve">DSCR remains the binding test at the higher sizing rate</t>
  </si>
  <si>
    <t xml:space="preserve">Net cash-out</t>
  </si>
  <si>
    <t xml:space="preserve">Lower proceeds; payoff and cost assumptions unchanged</t>
  </si>
  <si>
    <t xml:space="preserve">Unchanged and preserved: 48 units and 40,800 SF; unit type mix and group mapping A/B/C = Studio/1BR/2BR; all lease expirations 2029-08-31; Suite 001 executed amendment (+$350, in-place $1,850); T12 operating statement figures and reported NOI $604,128; prescribed expense lines, 5% loss, $350/unit other income, 3% management, $300/unit reserves; 65% LTV, 1.25x DSCR, 9% debt yield, 30-yr amortization, 1% fee, $45,000 closing costs, $4,200,000 payoff; insurance policy limit $2,000,000; diligence status. Prior initial workbook and OM remain in the audit archive and are not replaced.</t>
  </si>
  <si>
    <t xml:space="preserve">Magnolia Terrace - Revised certified rent roll (controlling)</t>
  </si>
  <si>
    <t xml:space="preserve">Roll date</t>
  </si>
  <si>
    <t xml:space="preserve">Suite 001 signed amendment ($/mo)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</si>
  <si>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</si>
  <si>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</si>
  <si>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</si>
  <si>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</si>
  <si>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</si>
  <si>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Sched. rent/mo</t>
  </si>
  <si>
    <t xml:space="preserve">In-place rent/mo</t>
  </si>
  <si>
    <t xml:space="preserve">Expiration</t>
  </si>
  <si>
    <t xml:space="preserve">001</t>
  </si>
  <si>
    <t xml:space="preserve">Studio</t>
  </si>
  <si>
    <t xml:space="preserve">A</t>
  </si>
  <si>
    <t xml:space="preserve">2029-08-31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</si>
  <si>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</si>
  <si>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</si>
  <si>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</si>
  <si>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</si>
  <si>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</si>
  <si>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</si>
  <si>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</si>
  <si>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</si>
  <si>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</si>
  <si>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</si>
  <si>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</si>
  <si>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</si>
  <si>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</si>
  <si>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</si>
  <si>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</si>
  <si>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</si>
  <si>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</si>
  <si>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</si>
  <si>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</si>
  <si>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</si>
  <si>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</si>
  <si>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</si>
  <si>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</si>
  <si>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</si>
  <si>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</si>
  <si>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</si>
  <si>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</si>
  <si>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</si>
  <si>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</si>
  <si>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</si>
  <si>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</si>
  <si>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</si>
  <si>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</si>
  <si>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</si>
  <si>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</si>
  <si>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</si>
  <si>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</si>
  <si>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</si>
  <si>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</si>
  <si>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</si>
  <si>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</si>
  <si>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</si>
  <si>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</si>
  <si>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</si>
  <si>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</si>
  <si>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</si>
  <si>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</si>
  <si>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</si>
  <si>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R1: now active; rent +$225</t>
  </si>
  <si>
    <t xml:space="preserve">046</t>
  </si>
  <si>
    <t xml:space="preserve">vacant</t>
  </si>
  <si>
    <t xml:space="preserve">047</t>
  </si>
  <si>
    <t xml:space="preserve">048</t>
  </si>
  <si>
    <t xml:space="preserve">Roll summary</t>
  </si>
  <si>
    <t xml:space="preserve">Total units</t>
  </si>
  <si>
    <t xml:space="preserve">Occupied units (active possession)</t>
  </si>
  <si>
    <t xml:space="preserve">Pending units (no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</si>
  <si>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</si>
  <si>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</si>
  <si>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</si>
  <si>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</si>
  <si>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</si>
  <si>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Scheduled monthly rent, all 48 suites (revised roll)</t>
  </si>
  <si>
    <t xml:space="preserve">Gross potential rent, annual (roll x 12)</t>
  </si>
  <si>
    <t xml:space="preserve">In-place monthly rent, occupied suites (executed)</t>
  </si>
  <si>
    <t xml:space="preserve">Annual in-place rent (occupied x 12)</t>
  </si>
  <si>
    <t xml:space="preserve">Suite 001 monthly rent after signed amendment</t>
  </si>
  <si>
    <t xml:space="preserve">Type</t>
  </si>
  <si>
    <t xml:space="preserve">Units</t>
  </si>
  <si>
    <t xml:space="preserve">Occupied</t>
  </si>
  <si>
    <t xml:space="preserve">On the revised roll there are no pending suites; the manager's 45-of-48 headline now equals certified physical occupancy. Group mapping A/B/C = Studio/1BR/2BR per manager-cover.pdf p.1.</t>
  </si>
  <si>
    <t xml:space="preserve">Magnolia Terrace - Revised underwritten cash flow (roll as of 2026-09-01)</t>
  </si>
  <si>
    <t xml:space="preserve">Income</t>
  </si>
  <si>
    <t xml:space="preserve">Amount</t>
  </si>
  <si>
    <t xml:space="preserve">Source / note</t>
  </si>
  <si>
    <t xml:space="preserve">Gross potential rent (annual) [INPUT]</t>
  </si>
  <si>
    <t xml:space="preserve">Revised roll all-unit scheduled rent 81,425/mo x 12 (rent-roll-revised.xlsx E5:E52)</t>
  </si>
  <si>
    <t xml:space="preserve">Economic loss (vacancy/credit) [INPUT]</t>
  </si>
  <si>
    <t xml:space="preserve">underwriting-instructions.pdf p.1 (unchanged)</t>
  </si>
  <si>
    <t xml:space="preserve">Effective rental income</t>
  </si>
  <si>
    <t xml:space="preserve">Other income per unit per year [INPUT]</t>
  </si>
  <si>
    <t xml:space="preserve">Reimbursements already included; not added twice</t>
  </si>
  <si>
    <t xml:space="preserve">Other income (annual)</t>
  </si>
  <si>
    <t xml:space="preserve">Underwritten EGI</t>
  </si>
  <si>
    <t xml:space="preserve">Operating expenses</t>
  </si>
  <si>
    <t xml:space="preserve">Real estate taxes [INPUT]</t>
  </si>
  <si>
    <t xml:space="preserve">Insurance expense [INPUT]</t>
  </si>
  <si>
    <t xml:space="preserve">Other recurring operating expenses [INPUT]</t>
  </si>
  <si>
    <t xml:space="preserve">Management fee % of EGI [INPUT]</t>
  </si>
  <si>
    <t xml:space="preserve">Management fee</t>
  </si>
  <si>
    <t xml:space="preserve">Total underwritten operating expenses</t>
  </si>
  <si>
    <t xml:space="preserve">Underwritten NOI before reserves</t>
  </si>
  <si>
    <t xml:space="preserve">Replacement reserve per unit [INPUT]</t>
  </si>
  <si>
    <t xml:space="preserve">Replacement reserves</t>
  </si>
  <si>
    <t xml:space="preserve">Underwritten NCF after reserves</t>
  </si>
  <si>
    <t xml:space="preserve">Valuation</t>
  </si>
  <si>
    <t xml:space="preserve">Capitalization rate [INPUT]</t>
  </si>
  <si>
    <t xml:space="preserve">Prior 5.7500% + 25 bps (revision-notice.pdf p.1)</t>
  </si>
  <si>
    <t xml:space="preserve">Capitalization value (NOI before reserves / cap rate)</t>
  </si>
  <si>
    <t xml:space="preserve">Historical comparison (T12 09/2025-08/2026, unchanged)</t>
  </si>
  <si>
    <t xml:space="preserve">Reported collections</t>
  </si>
  <si>
    <t xml:space="preserve">operating-statement.pdf p.1</t>
  </si>
  <si>
    <t xml:space="preserve">Reported T12 NOI</t>
  </si>
  <si>
    <t xml:space="preserve">Cash basis; before management fee and reserves</t>
  </si>
  <si>
    <t xml:space="preserve">Revised underwritten NOI vs reported T12 NOI</t>
  </si>
  <si>
    <t xml:space="preserve">Annual in-place rent (executed, occupied suites)</t>
  </si>
  <si>
    <t xml:space="preserve">Definitions unchanged: T12 NOI is cash-basis actual before management fee and reserves; underwritten NOI is stabilized all-unit gross potential less 5% loss plus other income, less prescribed expenses; NCF deducts $300/unit reserves.</t>
  </si>
  <si>
    <t xml:space="preserve">Revised debt sizing and sources / uses</t>
  </si>
  <si>
    <t xml:space="preserve">Constraint inputs</t>
  </si>
  <si>
    <t xml:space="preserve">Value</t>
  </si>
  <si>
    <t xml:space="preserve">Note</t>
  </si>
  <si>
    <t xml:space="preserve">Maximum LTV</t>
  </si>
  <si>
    <t xml:space="preserve">Minimum DSCR (on NCF)</t>
  </si>
  <si>
    <t xml:space="preserve">Minimum NCF debt yield</t>
  </si>
  <si>
    <t xml:space="preserve">Amortization (years)</t>
  </si>
  <si>
    <t xml:space="preserve">Note rate</t>
  </si>
  <si>
    <t xml:space="preserve">Underwriting rate floor</t>
  </si>
  <si>
    <t xml:space="preserve">Floor still below note rate; not binding</t>
  </si>
  <si>
    <t xml:space="preserve">Sizing rate (initial 6.2500% + 75 bps) [INPUT]</t>
  </si>
  <si>
    <t xml:space="preserve">revision-notice.pdf p.1; exceeds both note rate and floor</t>
  </si>
  <si>
    <t xml:space="preserve">Sizing tests</t>
  </si>
  <si>
    <t xml:space="preserve">Loan amount</t>
  </si>
  <si>
    <t xml:space="preserve">LTV limit</t>
  </si>
  <si>
    <t xml:space="preserve">Maximum annual debt service at min DSCR</t>
  </si>
  <si>
    <t xml:space="preserve">DSCR limit (PV of monthly payment, 30-yr amort)</t>
  </si>
  <si>
    <t xml:space="preserve">Debt yield limit</t>
  </si>
  <si>
    <t xml:space="preserve">Maximum loan (binding = minimum)</t>
  </si>
  <si>
    <t xml:space="preserve">Binding constraint</t>
  </si>
  <si>
    <t xml:space="preserve">Loan to capitalization value</t>
  </si>
  <si>
    <t xml:space="preserve">Actual annual debt service at sized loan</t>
  </si>
  <si>
    <t xml:space="preserve">DSCR at sized loan (NCF basis)</t>
  </si>
  <si>
    <t xml:space="preserve">NCF debt yield at sized loan</t>
  </si>
  <si>
    <t xml:space="preserve">Sources</t>
  </si>
  <si>
    <t xml:space="preserve">Sized first mortgage</t>
  </si>
  <si>
    <t xml:space="preserve">Uses</t>
  </si>
  <si>
    <t xml:space="preserve">Existing loan payoff</t>
  </si>
  <si>
    <t xml:space="preserve">Origination fee (1% of sized loan)</t>
  </si>
  <si>
    <t xml:space="preserve">Closing costs</t>
  </si>
  <si>
    <t xml:space="preserve">Total uses before distribution</t>
  </si>
  <si>
    <t xml:space="preserve">Net cash-out (negative = equity required)</t>
  </si>
  <si>
    <t xml:space="preserve">Refinance shortfall test</t>
  </si>
  <si>
    <t xml:space="preserve">Change vs initial: maximum loan falls from $6,788,545 to the amount above because the sizing rate rises 75 bps; the higher cap rate lowers the LTV ceiling, while DSCR remains binding.</t>
  </si>
  <si>
    <t xml:space="preserve">Revised maximum loan sensitivity - cap rate (rows) vs sizing rate (columns)</t>
  </si>
  <si>
    <t xml:space="preserve">Each cell = MIN(LTV limit, DSCR limit, debt yield limit) holding revised NOI/NCF constant. Base case shaded by rate 7.0000% / cap 6.0000%.</t>
  </si>
  <si>
    <t xml:space="preserve">Cap rate \ Sizing rate</t>
  </si>
  <si>
    <t xml:space="preserve">Net cash-out at revised base case</t>
  </si>
  <si>
    <t xml:space="preserve">Net cash-out at prior initial base case (archive)</t>
  </si>
  <si>
    <t xml:space="preserve">DSCR governs throughout this grid at the revised rates; the debt yield ceiling of NCF/9% and the LTV ceiling sit above it.</t>
  </si>
  <si>
    <t xml:space="preserve">Source register (revision R1)</t>
  </si>
  <si>
    <t xml:space="preserve">File</t>
  </si>
  <si>
    <t xml:space="preserve">Location</t>
  </si>
  <si>
    <t xml:space="preserve">Facts used / status</t>
  </si>
  <si>
    <t xml:space="preserve">rent-roll-revised.xlsx</t>
  </si>
  <si>
    <t xml:space="preserve">Rent Roll A2:G52</t>
  </si>
  <si>
    <t xml:space="preserve">CONTROLLING roll dated 2026-09-01: 48 units, 45 active, 0 pending, 3 vacant; suite 045 active at $2,150/mo; all expirations 2029-08-31</t>
  </si>
  <si>
    <t xml:space="preserve">revision-notice.pdf</t>
  </si>
  <si>
    <t xml:space="preserve">p.1</t>
  </si>
  <si>
    <t xml:space="preserve">Supersession effective 2026-09-01; suite 045 active and +$225 rent; sizing rate +75 bps; cap rate +25 bps; all other rules and payoff unchanged</t>
  </si>
  <si>
    <t xml:space="preserve">rent-roll-certified.xlsx</t>
  </si>
  <si>
    <t xml:space="preserve">Prior certified roll dated 2026-08-31; superseded, retained for audit trail</t>
  </si>
  <si>
    <t xml:space="preserve">rent-roll-archive.xlsx</t>
  </si>
  <si>
    <t xml:space="preserve">Stale archive dated 2026-06-30; superseded, not used</t>
  </si>
  <si>
    <t xml:space="preserve">lease-001.pdf</t>
  </si>
  <si>
    <t xml:space="preserve">Suite 001 executed lease: $1,500/mo, 700 SF, expiry 2029-08-31, deposit $3,000, no free rent</t>
  </si>
  <si>
    <t xml:space="preserve">lease-correspondence.pdf</t>
  </si>
  <si>
    <t xml:space="preserve">Signed amendment executed 2026-07-20, effective 2026-08-01: +$350/mo; continues to apply (in-place $1,850)</t>
  </si>
  <si>
    <t xml:space="preserve">operating-statement.pdf</t>
  </si>
  <si>
    <t xml:space="preserve">T12 09/2025-08/2026: collections 876,960; tax 102,312; insurance 34,104; other 136,416; roof capital 0; reported NOI 604,128</t>
  </si>
  <si>
    <t xml:space="preserve">insurance.pdf</t>
  </si>
  <si>
    <t xml:space="preserve">GL aggregate limit $2,000,000; policy 2026-07-01 to 2027-06-30</t>
  </si>
  <si>
    <t xml:space="preserve">manager-cover.pdf</t>
  </si>
  <si>
    <t xml:space="preserve">Raleigh, NC multifamily; A/B/C = Studio/1BR/2BR; approved copy sentence</t>
  </si>
  <si>
    <t xml:space="preserve">underwriting-instructions.pdf</t>
  </si>
  <si>
    <t xml:space="preserve">5% loss, $350/unit other income, expense lines, 3% management, $300/unit reserves, 65% LTV / 1.25x DSCR / 9% debt yield, 30-yr amort, note 6.2500% vs floor 6.0000%, 1% fee, $45,000 closing, $4,200,000 payoff</t>
  </si>
  <si>
    <t xml:space="preserve">diligence-status.pdf</t>
  </si>
  <si>
    <t xml:space="preserve">Legal, environmental, PCA and title reviews incomplete - routine pending items, no defect findings</t>
  </si>
  <si>
    <t xml:space="preserve">Not supplied (explicitly unknown, not zero): photographs, asking price, market sale/rent comparables, sponsor history, capital budget, tax/insurance renewal quotes, suite 045 possession-date documentation beyond the revision notice.</t>
  </si>
  <si>
    <t xml:space="preserve">Approved copy: "Source-backed analysis. Assumptions remain subject to diligence."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</si>
</sst>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%"/>
    <numFmt numFmtId="167" formatCode="0.0000"/>
    <numFmt numFmtId="168" formatCode="0.00%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4"/>
    <col collapsed="false" customWidth="true" hidden="false" outlineLevel="0" max="4" min="4" style="0" width="44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0" hidden="false" customHeight="true" outlineLevel="0" collapsed="false">
      <c r="A5" s="2" t="s">
        <v>6</v>
      </c>
      <c r="B5" s="2" t="s">
        <v>7</v>
      </c>
      <c r="C5" s="2" t="s">
        <v>8</v>
      </c>
      <c r="D5" s="2" t="s">
        <v>9</v>
      </c>
    </row>
    <row r="6" customFormat="false" ht="30" hidden="false" customHeight="true" outlineLevel="0" collapsed="false">
      <c r="A6" s="2" t="s">
        <v>10</v>
      </c>
      <c r="B6" s="2" t="s">
        <v>11</v>
      </c>
      <c r="C6" s="2" t="s">
        <v>12</v>
      </c>
      <c r="D6" s="2" t="s">
        <v>13</v>
      </c>
    </row>
    <row r="7" customFormat="false" ht="30" hidden="false" customHeight="true" outlineLevel="0" collapsed="false">
      <c r="A7" s="2" t="s">
        <v>14</v>
      </c>
      <c r="B7" s="4" t="n">
        <v>1925</v>
      </c>
      <c r="C7" s="4" t="n">
        <v>2150</v>
      </c>
      <c r="D7" s="2" t="s">
        <v>15</v>
      </c>
    </row>
    <row r="8" customFormat="false" ht="30" hidden="false" customHeight="true" outlineLevel="0" collapsed="false">
      <c r="A8" s="2" t="s">
        <v>16</v>
      </c>
      <c r="B8" s="2" t="s">
        <v>17</v>
      </c>
      <c r="C8" s="2" t="s">
        <v>18</v>
      </c>
      <c r="D8" s="2" t="s">
        <v>19</v>
      </c>
    </row>
    <row r="9" customFormat="false" ht="30" hidden="false" customHeight="true" outlineLevel="0" collapsed="false">
      <c r="A9" s="2" t="s">
        <v>20</v>
      </c>
      <c r="B9" s="4" t="n">
        <v>974400</v>
      </c>
      <c r="C9" s="4" t="n">
        <v>977100</v>
      </c>
      <c r="D9" s="2" t="s">
        <v>21</v>
      </c>
    </row>
    <row r="10" customFormat="false" ht="30" hidden="false" customHeight="true" outlineLevel="0" collapsed="false">
      <c r="A10" s="2" t="s">
        <v>22</v>
      </c>
      <c r="B10" s="5" t="n">
        <v>0.0575</v>
      </c>
      <c r="C10" s="5" t="n">
        <v>0.06</v>
      </c>
      <c r="D10" s="2" t="s">
        <v>23</v>
      </c>
    </row>
    <row r="11" customFormat="false" ht="30" hidden="false" customHeight="true" outlineLevel="0" collapsed="false">
      <c r="A11" s="2" t="s">
        <v>24</v>
      </c>
      <c r="B11" s="5" t="n">
        <v>0.0625</v>
      </c>
      <c r="C11" s="5" t="n">
        <v>0.07</v>
      </c>
      <c r="D11" s="2" t="s">
        <v>25</v>
      </c>
    </row>
    <row r="12" customFormat="false" ht="30" hidden="false" customHeight="true" outlineLevel="0" collapsed="false">
      <c r="A12" s="2" t="s">
        <v>26</v>
      </c>
      <c r="B12" s="4" t="n">
        <v>6788545</v>
      </c>
      <c r="C12" s="4" t="n">
        <f aca="false">Debt!B17</f>
        <v>5719015.53902197</v>
      </c>
      <c r="D12" s="2" t="s">
        <v>27</v>
      </c>
    </row>
    <row r="13" customFormat="false" ht="30" hidden="false" customHeight="true" outlineLevel="0" collapsed="false">
      <c r="A13" s="2" t="s">
        <v>28</v>
      </c>
      <c r="B13" s="4" t="n">
        <v>2475660</v>
      </c>
      <c r="C13" s="4" t="n">
        <f aca="false">Debt!B32</f>
        <v>1416825.38363175</v>
      </c>
      <c r="D13" s="2" t="s">
        <v>29</v>
      </c>
    </row>
    <row r="15" customFormat="false" ht="30" hidden="false" customHeight="true" outlineLevel="0" collapsed="false">
      <c r="A15" s="2" t="s">
        <v>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31</v>
      </c>
    </row>
    <row r="2" customFormat="false" ht="30" hidden="false" customHeight="true" outlineLevel="0" collapsed="false">
      <c r="A2" s="2" t="s">
        <v>32</v>
      </c>
      <c r="B2" s="2" t="s">
        <v>8</v>
      </c>
      <c r="I2" s="2" t="s">
        <v>33</v>
      </c>
      <c r="J2" s="6" t="n">
        <v>350</v>
      </c>
    </row>
    <row r="4" customFormat="false" ht="30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</row>
    <row r="5" customFormat="false" ht="30" hidden="false" customHeight="true" outlineLevel="0" collapsed="false">
      <c r="A5" s="2" t="s">
        <v>42</v>
      </c>
      <c r="B5" s="2" t="s">
        <v>43</v>
      </c>
      <c r="C5" s="2" t="s">
        <v>44</v>
      </c>
      <c r="D5" s="2" t="n">
        <v>700</v>
      </c>
      <c r="E5" s="2" t="s">
        <v>12</v>
      </c>
      <c r="F5" s="2" t="n">
        <v>1500</v>
      </c>
      <c r="G5" s="2" t="n">
        <f aca="false">F5+$J$2</f>
        <v>1850</v>
      </c>
      <c r="H5" s="2" t="s">
        <v>45</v>
      </c>
    </row>
    <row r="6" customFormat="false" ht="30" hidden="false" customHeight="true" outlineLevel="0" collapsed="false">
      <c r="A6" s="2" t="s">
        <v>46</v>
      </c>
      <c r="B6" s="2" t="s">
        <v>47</v>
      </c>
      <c r="C6" s="2" t="s">
        <v>48</v>
      </c>
      <c r="D6" s="2" t="n">
        <v>820</v>
      </c>
      <c r="E6" s="2" t="s">
        <v>12</v>
      </c>
      <c r="F6" s="2" t="n">
        <v>1650</v>
      </c>
      <c r="G6" s="2" t="n">
        <f aca="false">F6</f>
        <v>1650</v>
      </c>
      <c r="H6" s="2" t="s">
        <v>45</v>
      </c>
    </row>
    <row r="7" customFormat="false" ht="30" hidden="false" customHeight="true" outlineLevel="0" collapsed="false">
      <c r="A7" s="2" t="s">
        <v>49</v>
      </c>
      <c r="B7" s="2" t="s">
        <v>50</v>
      </c>
      <c r="C7" s="2" t="s">
        <v>51</v>
      </c>
      <c r="D7" s="2" t="n">
        <v>1030</v>
      </c>
      <c r="E7" s="2" t="s">
        <v>12</v>
      </c>
      <c r="F7" s="2" t="n">
        <v>1925</v>
      </c>
      <c r="G7" s="2" t="n">
        <f aca="false">F7</f>
        <v>1925</v>
      </c>
      <c r="H7" s="2" t="s">
        <v>45</v>
      </c>
    </row>
    <row r="8" customFormat="false" ht="30" hidden="false" customHeight="true" outlineLevel="0" collapsed="false">
      <c r="A8" s="2" t="s">
        <v>52</v>
      </c>
      <c r="B8" s="2" t="s">
        <v>43</v>
      </c>
      <c r="C8" s="2" t="s">
        <v>44</v>
      </c>
      <c r="D8" s="2" t="n">
        <v>700</v>
      </c>
      <c r="E8" s="2" t="s">
        <v>12</v>
      </c>
      <c r="F8" s="2" t="n">
        <v>1500</v>
      </c>
      <c r="G8" s="2" t="n">
        <f aca="false">F8</f>
        <v>1500</v>
      </c>
      <c r="H8" s="2" t="s">
        <v>45</v>
      </c>
    </row>
    <row r="9" customFormat="false" ht="30" hidden="false" customHeight="true" outlineLevel="0" collapsed="false">
      <c r="A9" s="2" t="s">
        <v>53</v>
      </c>
      <c r="B9" s="2" t="s">
        <v>47</v>
      </c>
      <c r="C9" s="2" t="s">
        <v>48</v>
      </c>
      <c r="D9" s="2" t="n">
        <v>820</v>
      </c>
      <c r="E9" s="2" t="s">
        <v>12</v>
      </c>
      <c r="F9" s="2" t="n">
        <v>1650</v>
      </c>
      <c r="G9" s="2" t="n">
        <f aca="false">F9</f>
        <v>1650</v>
      </c>
      <c r="H9" s="2" t="s">
        <v>45</v>
      </c>
    </row>
    <row r="10" customFormat="false" ht="30" hidden="false" customHeight="true" outlineLevel="0" collapsed="false">
      <c r="A10" s="2" t="s">
        <v>54</v>
      </c>
      <c r="B10" s="2" t="s">
        <v>50</v>
      </c>
      <c r="C10" s="2" t="s">
        <v>51</v>
      </c>
      <c r="D10" s="2" t="n">
        <v>1030</v>
      </c>
      <c r="E10" s="2" t="s">
        <v>12</v>
      </c>
      <c r="F10" s="2" t="n">
        <v>1925</v>
      </c>
      <c r="G10" s="2" t="n">
        <f aca="false">F10</f>
        <v>1925</v>
      </c>
      <c r="H10" s="2" t="s">
        <v>45</v>
      </c>
    </row>
    <row r="11" customFormat="false" ht="30" hidden="false" customHeight="true" outlineLevel="0" collapsed="false">
      <c r="A11" s="2" t="s">
        <v>55</v>
      </c>
      <c r="B11" s="2" t="s">
        <v>43</v>
      </c>
      <c r="C11" s="2" t="s">
        <v>44</v>
      </c>
      <c r="D11" s="2" t="n">
        <v>700</v>
      </c>
      <c r="E11" s="2" t="s">
        <v>12</v>
      </c>
      <c r="F11" s="2" t="n">
        <v>1500</v>
      </c>
      <c r="G11" s="2" t="n">
        <f aca="false">F11</f>
        <v>1500</v>
      </c>
      <c r="H11" s="2" t="s">
        <v>45</v>
      </c>
    </row>
    <row r="12" customFormat="false" ht="30" hidden="false" customHeight="true" outlineLevel="0" collapsed="false">
      <c r="A12" s="2" t="s">
        <v>56</v>
      </c>
      <c r="B12" s="2" t="s">
        <v>47</v>
      </c>
      <c r="C12" s="2" t="s">
        <v>48</v>
      </c>
      <c r="D12" s="2" t="n">
        <v>820</v>
      </c>
      <c r="E12" s="2" t="s">
        <v>12</v>
      </c>
      <c r="F12" s="2" t="n">
        <v>1650</v>
      </c>
      <c r="G12" s="2" t="n">
        <f aca="false">F12</f>
        <v>1650</v>
      </c>
      <c r="H12" s="2" t="s">
        <v>45</v>
      </c>
    </row>
    <row r="13" customFormat="false" ht="30" hidden="false" customHeight="true" outlineLevel="0" collapsed="false">
      <c r="A13" s="2" t="s">
        <v>57</v>
      </c>
      <c r="B13" s="2" t="s">
        <v>50</v>
      </c>
      <c r="C13" s="2" t="s">
        <v>51</v>
      </c>
      <c r="D13" s="2" t="n">
        <v>1030</v>
      </c>
      <c r="E13" s="2" t="s">
        <v>12</v>
      </c>
      <c r="F13" s="2" t="n">
        <v>1925</v>
      </c>
      <c r="G13" s="2" t="n">
        <f aca="false">F13</f>
        <v>1925</v>
      </c>
      <c r="H13" s="2" t="s">
        <v>45</v>
      </c>
    </row>
    <row r="14" customFormat="false" ht="30" hidden="false" customHeight="true" outlineLevel="0" collapsed="false">
      <c r="A14" s="2" t="s">
        <v>58</v>
      </c>
      <c r="B14" s="2" t="s">
        <v>43</v>
      </c>
      <c r="C14" s="2" t="s">
        <v>44</v>
      </c>
      <c r="D14" s="2" t="n">
        <v>700</v>
      </c>
      <c r="E14" s="2" t="s">
        <v>12</v>
      </c>
      <c r="F14" s="2" t="n">
        <v>1500</v>
      </c>
      <c r="G14" s="2" t="n">
        <f aca="false">F14</f>
        <v>1500</v>
      </c>
      <c r="H14" s="2" t="s">
        <v>45</v>
      </c>
    </row>
    <row r="15" customFormat="false" ht="30" hidden="false" customHeight="true" outlineLevel="0" collapsed="false">
      <c r="A15" s="2" t="s">
        <v>59</v>
      </c>
      <c r="B15" s="2" t="s">
        <v>47</v>
      </c>
      <c r="C15" s="2" t="s">
        <v>48</v>
      </c>
      <c r="D15" s="2" t="n">
        <v>820</v>
      </c>
      <c r="E15" s="2" t="s">
        <v>12</v>
      </c>
      <c r="F15" s="2" t="n">
        <v>1650</v>
      </c>
      <c r="G15" s="2" t="n">
        <f aca="false">F15</f>
        <v>1650</v>
      </c>
      <c r="H15" s="2" t="s">
        <v>45</v>
      </c>
    </row>
    <row r="16" customFormat="false" ht="30" hidden="false" customHeight="true" outlineLevel="0" collapsed="false">
      <c r="A16" s="2" t="s">
        <v>60</v>
      </c>
      <c r="B16" s="2" t="s">
        <v>50</v>
      </c>
      <c r="C16" s="2" t="s">
        <v>51</v>
      </c>
      <c r="D16" s="2" t="n">
        <v>1030</v>
      </c>
      <c r="E16" s="2" t="s">
        <v>12</v>
      </c>
      <c r="F16" s="2" t="n">
        <v>1925</v>
      </c>
      <c r="G16" s="2" t="n">
        <f aca="false">F16</f>
        <v>1925</v>
      </c>
      <c r="H16" s="2" t="s">
        <v>45</v>
      </c>
    </row>
    <row r="17" customFormat="false" ht="30" hidden="false" customHeight="true" outlineLevel="0" collapsed="false">
      <c r="A17" s="2" t="s">
        <v>61</v>
      </c>
      <c r="B17" s="2" t="s">
        <v>43</v>
      </c>
      <c r="C17" s="2" t="s">
        <v>44</v>
      </c>
      <c r="D17" s="2" t="n">
        <v>700</v>
      </c>
      <c r="E17" s="2" t="s">
        <v>12</v>
      </c>
      <c r="F17" s="2" t="n">
        <v>1500</v>
      </c>
      <c r="G17" s="2" t="n">
        <f aca="false">F17</f>
        <v>1500</v>
      </c>
      <c r="H17" s="2" t="s">
        <v>45</v>
      </c>
    </row>
    <row r="18" customFormat="false" ht="30" hidden="false" customHeight="true" outlineLevel="0" collapsed="false">
      <c r="A18" s="2" t="s">
        <v>62</v>
      </c>
      <c r="B18" s="2" t="s">
        <v>47</v>
      </c>
      <c r="C18" s="2" t="s">
        <v>48</v>
      </c>
      <c r="D18" s="2" t="n">
        <v>820</v>
      </c>
      <c r="E18" s="2" t="s">
        <v>12</v>
      </c>
      <c r="F18" s="2" t="n">
        <v>1650</v>
      </c>
      <c r="G18" s="2" t="n">
        <f aca="false">F18</f>
        <v>1650</v>
      </c>
      <c r="H18" s="2" t="s">
        <v>45</v>
      </c>
    </row>
    <row r="19" customFormat="false" ht="30" hidden="false" customHeight="true" outlineLevel="0" collapsed="false">
      <c r="A19" s="2" t="s">
        <v>63</v>
      </c>
      <c r="B19" s="2" t="s">
        <v>50</v>
      </c>
      <c r="C19" s="2" t="s">
        <v>51</v>
      </c>
      <c r="D19" s="2" t="n">
        <v>1030</v>
      </c>
      <c r="E19" s="2" t="s">
        <v>12</v>
      </c>
      <c r="F19" s="2" t="n">
        <v>1925</v>
      </c>
      <c r="G19" s="2" t="n">
        <f aca="false">F19</f>
        <v>1925</v>
      </c>
      <c r="H19" s="2" t="s">
        <v>45</v>
      </c>
    </row>
    <row r="20" customFormat="false" ht="30" hidden="false" customHeight="true" outlineLevel="0" collapsed="false">
      <c r="A20" s="2" t="s">
        <v>64</v>
      </c>
      <c r="B20" s="2" t="s">
        <v>43</v>
      </c>
      <c r="C20" s="2" t="s">
        <v>44</v>
      </c>
      <c r="D20" s="2" t="n">
        <v>700</v>
      </c>
      <c r="E20" s="2" t="s">
        <v>12</v>
      </c>
      <c r="F20" s="2" t="n">
        <v>1500</v>
      </c>
      <c r="G20" s="2" t="n">
        <f aca="false">F20</f>
        <v>1500</v>
      </c>
      <c r="H20" s="2" t="s">
        <v>45</v>
      </c>
    </row>
    <row r="21" customFormat="false" ht="30" hidden="false" customHeight="true" outlineLevel="0" collapsed="false">
      <c r="A21" s="2" t="s">
        <v>65</v>
      </c>
      <c r="B21" s="2" t="s">
        <v>47</v>
      </c>
      <c r="C21" s="2" t="s">
        <v>48</v>
      </c>
      <c r="D21" s="2" t="n">
        <v>820</v>
      </c>
      <c r="E21" s="2" t="s">
        <v>12</v>
      </c>
      <c r="F21" s="2" t="n">
        <v>1650</v>
      </c>
      <c r="G21" s="2" t="n">
        <f aca="false">F21</f>
        <v>1650</v>
      </c>
      <c r="H21" s="2" t="s">
        <v>45</v>
      </c>
    </row>
    <row r="22" customFormat="false" ht="30" hidden="false" customHeight="true" outlineLevel="0" collapsed="false">
      <c r="A22" s="2" t="s">
        <v>66</v>
      </c>
      <c r="B22" s="2" t="s">
        <v>50</v>
      </c>
      <c r="C22" s="2" t="s">
        <v>51</v>
      </c>
      <c r="D22" s="2" t="n">
        <v>1030</v>
      </c>
      <c r="E22" s="2" t="s">
        <v>12</v>
      </c>
      <c r="F22" s="2" t="n">
        <v>1925</v>
      </c>
      <c r="G22" s="2" t="n">
        <f aca="false">F22</f>
        <v>1925</v>
      </c>
      <c r="H22" s="2" t="s">
        <v>45</v>
      </c>
    </row>
    <row r="23" customFormat="false" ht="30" hidden="false" customHeight="true" outlineLevel="0" collapsed="false">
      <c r="A23" s="2" t="s">
        <v>67</v>
      </c>
      <c r="B23" s="2" t="s">
        <v>43</v>
      </c>
      <c r="C23" s="2" t="s">
        <v>44</v>
      </c>
      <c r="D23" s="2" t="n">
        <v>700</v>
      </c>
      <c r="E23" s="2" t="s">
        <v>12</v>
      </c>
      <c r="F23" s="2" t="n">
        <v>1500</v>
      </c>
      <c r="G23" s="2" t="n">
        <f aca="false">F23</f>
        <v>1500</v>
      </c>
      <c r="H23" s="2" t="s">
        <v>45</v>
      </c>
    </row>
    <row r="24" customFormat="false" ht="30" hidden="false" customHeight="true" outlineLevel="0" collapsed="false">
      <c r="A24" s="2" t="s">
        <v>68</v>
      </c>
      <c r="B24" s="2" t="s">
        <v>47</v>
      </c>
      <c r="C24" s="2" t="s">
        <v>48</v>
      </c>
      <c r="D24" s="2" t="n">
        <v>820</v>
      </c>
      <c r="E24" s="2" t="s">
        <v>12</v>
      </c>
      <c r="F24" s="2" t="n">
        <v>1650</v>
      </c>
      <c r="G24" s="2" t="n">
        <f aca="false">F24</f>
        <v>1650</v>
      </c>
      <c r="H24" s="2" t="s">
        <v>45</v>
      </c>
    </row>
    <row r="25" customFormat="false" ht="30" hidden="false" customHeight="true" outlineLevel="0" collapsed="false">
      <c r="A25" s="2" t="s">
        <v>69</v>
      </c>
      <c r="B25" s="2" t="s">
        <v>50</v>
      </c>
      <c r="C25" s="2" t="s">
        <v>51</v>
      </c>
      <c r="D25" s="2" t="n">
        <v>1030</v>
      </c>
      <c r="E25" s="2" t="s">
        <v>12</v>
      </c>
      <c r="F25" s="2" t="n">
        <v>1925</v>
      </c>
      <c r="G25" s="2" t="n">
        <f aca="false">F25</f>
        <v>1925</v>
      </c>
      <c r="H25" s="2" t="s">
        <v>45</v>
      </c>
    </row>
    <row r="26" customFormat="false" ht="30" hidden="false" customHeight="true" outlineLevel="0" collapsed="false">
      <c r="A26" s="2" t="s">
        <v>70</v>
      </c>
      <c r="B26" s="2" t="s">
        <v>43</v>
      </c>
      <c r="C26" s="2" t="s">
        <v>44</v>
      </c>
      <c r="D26" s="2" t="n">
        <v>700</v>
      </c>
      <c r="E26" s="2" t="s">
        <v>12</v>
      </c>
      <c r="F26" s="2" t="n">
        <v>1500</v>
      </c>
      <c r="G26" s="2" t="n">
        <f aca="false">F26</f>
        <v>1500</v>
      </c>
      <c r="H26" s="2" t="s">
        <v>45</v>
      </c>
    </row>
    <row r="27" customFormat="false" ht="30" hidden="false" customHeight="true" outlineLevel="0" collapsed="false">
      <c r="A27" s="2" t="s">
        <v>71</v>
      </c>
      <c r="B27" s="2" t="s">
        <v>47</v>
      </c>
      <c r="C27" s="2" t="s">
        <v>48</v>
      </c>
      <c r="D27" s="2" t="n">
        <v>820</v>
      </c>
      <c r="E27" s="2" t="s">
        <v>12</v>
      </c>
      <c r="F27" s="2" t="n">
        <v>1650</v>
      </c>
      <c r="G27" s="2" t="n">
        <f aca="false">F27</f>
        <v>1650</v>
      </c>
      <c r="H27" s="2" t="s">
        <v>45</v>
      </c>
    </row>
    <row r="28" customFormat="false" ht="30" hidden="false" customHeight="true" outlineLevel="0" collapsed="false">
      <c r="A28" s="2" t="s">
        <v>72</v>
      </c>
      <c r="B28" s="2" t="s">
        <v>50</v>
      </c>
      <c r="C28" s="2" t="s">
        <v>51</v>
      </c>
      <c r="D28" s="2" t="n">
        <v>1030</v>
      </c>
      <c r="E28" s="2" t="s">
        <v>12</v>
      </c>
      <c r="F28" s="2" t="n">
        <v>1925</v>
      </c>
      <c r="G28" s="2" t="n">
        <f aca="false">F28</f>
        <v>1925</v>
      </c>
      <c r="H28" s="2" t="s">
        <v>45</v>
      </c>
    </row>
    <row r="29" customFormat="false" ht="30" hidden="false" customHeight="true" outlineLevel="0" collapsed="false">
      <c r="A29" s="2" t="s">
        <v>73</v>
      </c>
      <c r="B29" s="2" t="s">
        <v>43</v>
      </c>
      <c r="C29" s="2" t="s">
        <v>44</v>
      </c>
      <c r="D29" s="2" t="n">
        <v>700</v>
      </c>
      <c r="E29" s="2" t="s">
        <v>12</v>
      </c>
      <c r="F29" s="2" t="n">
        <v>1500</v>
      </c>
      <c r="G29" s="2" t="n">
        <f aca="false">F29</f>
        <v>1500</v>
      </c>
      <c r="H29" s="2" t="s">
        <v>45</v>
      </c>
    </row>
    <row r="30" customFormat="false" ht="30" hidden="false" customHeight="true" outlineLevel="0" collapsed="false">
      <c r="A30" s="2" t="s">
        <v>74</v>
      </c>
      <c r="B30" s="2" t="s">
        <v>47</v>
      </c>
      <c r="C30" s="2" t="s">
        <v>48</v>
      </c>
      <c r="D30" s="2" t="n">
        <v>820</v>
      </c>
      <c r="E30" s="2" t="s">
        <v>12</v>
      </c>
      <c r="F30" s="2" t="n">
        <v>1650</v>
      </c>
      <c r="G30" s="2" t="n">
        <f aca="false">F30</f>
        <v>1650</v>
      </c>
      <c r="H30" s="2" t="s">
        <v>45</v>
      </c>
    </row>
    <row r="31" customFormat="false" ht="30" hidden="false" customHeight="true" outlineLevel="0" collapsed="false">
      <c r="A31" s="2" t="s">
        <v>75</v>
      </c>
      <c r="B31" s="2" t="s">
        <v>50</v>
      </c>
      <c r="C31" s="2" t="s">
        <v>51</v>
      </c>
      <c r="D31" s="2" t="n">
        <v>1030</v>
      </c>
      <c r="E31" s="2" t="s">
        <v>12</v>
      </c>
      <c r="F31" s="2" t="n">
        <v>1925</v>
      </c>
      <c r="G31" s="2" t="n">
        <f aca="false">F31</f>
        <v>1925</v>
      </c>
      <c r="H31" s="2" t="s">
        <v>45</v>
      </c>
    </row>
    <row r="32" customFormat="false" ht="30" hidden="false" customHeight="true" outlineLevel="0" collapsed="false">
      <c r="A32" s="2" t="s">
        <v>76</v>
      </c>
      <c r="B32" s="2" t="s">
        <v>43</v>
      </c>
      <c r="C32" s="2" t="s">
        <v>44</v>
      </c>
      <c r="D32" s="2" t="n">
        <v>700</v>
      </c>
      <c r="E32" s="2" t="s">
        <v>12</v>
      </c>
      <c r="F32" s="2" t="n">
        <v>1500</v>
      </c>
      <c r="G32" s="2" t="n">
        <f aca="false">F32</f>
        <v>1500</v>
      </c>
      <c r="H32" s="2" t="s">
        <v>45</v>
      </c>
    </row>
    <row r="33" customFormat="false" ht="30" hidden="false" customHeight="true" outlineLevel="0" collapsed="false">
      <c r="A33" s="2" t="s">
        <v>77</v>
      </c>
      <c r="B33" s="2" t="s">
        <v>47</v>
      </c>
      <c r="C33" s="2" t="s">
        <v>48</v>
      </c>
      <c r="D33" s="2" t="n">
        <v>820</v>
      </c>
      <c r="E33" s="2" t="s">
        <v>12</v>
      </c>
      <c r="F33" s="2" t="n">
        <v>1650</v>
      </c>
      <c r="G33" s="2" t="n">
        <f aca="false">F33</f>
        <v>1650</v>
      </c>
      <c r="H33" s="2" t="s">
        <v>45</v>
      </c>
    </row>
    <row r="34" customFormat="false" ht="30" hidden="false" customHeight="true" outlineLevel="0" collapsed="false">
      <c r="A34" s="2" t="s">
        <v>78</v>
      </c>
      <c r="B34" s="2" t="s">
        <v>50</v>
      </c>
      <c r="C34" s="2" t="s">
        <v>51</v>
      </c>
      <c r="D34" s="2" t="n">
        <v>1030</v>
      </c>
      <c r="E34" s="2" t="s">
        <v>12</v>
      </c>
      <c r="F34" s="2" t="n">
        <v>1925</v>
      </c>
      <c r="G34" s="2" t="n">
        <f aca="false">F34</f>
        <v>1925</v>
      </c>
      <c r="H34" s="2" t="s">
        <v>45</v>
      </c>
    </row>
    <row r="35" customFormat="false" ht="30" hidden="false" customHeight="true" outlineLevel="0" collapsed="false">
      <c r="A35" s="2" t="s">
        <v>79</v>
      </c>
      <c r="B35" s="2" t="s">
        <v>43</v>
      </c>
      <c r="C35" s="2" t="s">
        <v>44</v>
      </c>
      <c r="D35" s="2" t="n">
        <v>700</v>
      </c>
      <c r="E35" s="2" t="s">
        <v>12</v>
      </c>
      <c r="F35" s="2" t="n">
        <v>1500</v>
      </c>
      <c r="G35" s="2" t="n">
        <f aca="false">F35</f>
        <v>1500</v>
      </c>
      <c r="H35" s="2" t="s">
        <v>45</v>
      </c>
    </row>
    <row r="36" customFormat="false" ht="30" hidden="false" customHeight="true" outlineLevel="0" collapsed="false">
      <c r="A36" s="2" t="s">
        <v>80</v>
      </c>
      <c r="B36" s="2" t="s">
        <v>47</v>
      </c>
      <c r="C36" s="2" t="s">
        <v>48</v>
      </c>
      <c r="D36" s="2" t="n">
        <v>820</v>
      </c>
      <c r="E36" s="2" t="s">
        <v>12</v>
      </c>
      <c r="F36" s="2" t="n">
        <v>1650</v>
      </c>
      <c r="G36" s="2" t="n">
        <f aca="false">F36</f>
        <v>1650</v>
      </c>
      <c r="H36" s="2" t="s">
        <v>45</v>
      </c>
    </row>
    <row r="37" customFormat="false" ht="30" hidden="false" customHeight="true" outlineLevel="0" collapsed="false">
      <c r="A37" s="2" t="s">
        <v>81</v>
      </c>
      <c r="B37" s="2" t="s">
        <v>50</v>
      </c>
      <c r="C37" s="2" t="s">
        <v>51</v>
      </c>
      <c r="D37" s="2" t="n">
        <v>1030</v>
      </c>
      <c r="E37" s="2" t="s">
        <v>12</v>
      </c>
      <c r="F37" s="2" t="n">
        <v>1925</v>
      </c>
      <c r="G37" s="2" t="n">
        <f aca="false">F37</f>
        <v>1925</v>
      </c>
      <c r="H37" s="2" t="s">
        <v>45</v>
      </c>
    </row>
    <row r="38" customFormat="false" ht="30" hidden="false" customHeight="true" outlineLevel="0" collapsed="false">
      <c r="A38" s="2" t="s">
        <v>82</v>
      </c>
      <c r="B38" s="2" t="s">
        <v>43</v>
      </c>
      <c r="C38" s="2" t="s">
        <v>44</v>
      </c>
      <c r="D38" s="2" t="n">
        <v>700</v>
      </c>
      <c r="E38" s="2" t="s">
        <v>12</v>
      </c>
      <c r="F38" s="2" t="n">
        <v>1500</v>
      </c>
      <c r="G38" s="2" t="n">
        <f aca="false">F38</f>
        <v>1500</v>
      </c>
      <c r="H38" s="2" t="s">
        <v>45</v>
      </c>
    </row>
    <row r="39" customFormat="false" ht="30" hidden="false" customHeight="true" outlineLevel="0" collapsed="false">
      <c r="A39" s="2" t="s">
        <v>83</v>
      </c>
      <c r="B39" s="2" t="s">
        <v>47</v>
      </c>
      <c r="C39" s="2" t="s">
        <v>48</v>
      </c>
      <c r="D39" s="2" t="n">
        <v>820</v>
      </c>
      <c r="E39" s="2" t="s">
        <v>12</v>
      </c>
      <c r="F39" s="2" t="n">
        <v>1650</v>
      </c>
      <c r="G39" s="2" t="n">
        <f aca="false">F39</f>
        <v>1650</v>
      </c>
      <c r="H39" s="2" t="s">
        <v>45</v>
      </c>
    </row>
    <row r="40" customFormat="false" ht="30" hidden="false" customHeight="true" outlineLevel="0" collapsed="false">
      <c r="A40" s="2" t="s">
        <v>84</v>
      </c>
      <c r="B40" s="2" t="s">
        <v>50</v>
      </c>
      <c r="C40" s="2" t="s">
        <v>51</v>
      </c>
      <c r="D40" s="2" t="n">
        <v>1030</v>
      </c>
      <c r="E40" s="2" t="s">
        <v>12</v>
      </c>
      <c r="F40" s="2" t="n">
        <v>1925</v>
      </c>
      <c r="G40" s="2" t="n">
        <f aca="false">F40</f>
        <v>1925</v>
      </c>
      <c r="H40" s="2" t="s">
        <v>45</v>
      </c>
    </row>
    <row r="41" customFormat="false" ht="30" hidden="false" customHeight="true" outlineLevel="0" collapsed="false">
      <c r="A41" s="2" t="s">
        <v>85</v>
      </c>
      <c r="B41" s="2" t="s">
        <v>43</v>
      </c>
      <c r="C41" s="2" t="s">
        <v>44</v>
      </c>
      <c r="D41" s="2" t="n">
        <v>700</v>
      </c>
      <c r="E41" s="2" t="s">
        <v>12</v>
      </c>
      <c r="F41" s="2" t="n">
        <v>1500</v>
      </c>
      <c r="G41" s="2" t="n">
        <f aca="false">F41</f>
        <v>1500</v>
      </c>
      <c r="H41" s="2" t="s">
        <v>45</v>
      </c>
    </row>
    <row r="42" customFormat="false" ht="30" hidden="false" customHeight="true" outlineLevel="0" collapsed="false">
      <c r="A42" s="2" t="s">
        <v>86</v>
      </c>
      <c r="B42" s="2" t="s">
        <v>47</v>
      </c>
      <c r="C42" s="2" t="s">
        <v>48</v>
      </c>
      <c r="D42" s="2" t="n">
        <v>820</v>
      </c>
      <c r="E42" s="2" t="s">
        <v>12</v>
      </c>
      <c r="F42" s="2" t="n">
        <v>1650</v>
      </c>
      <c r="G42" s="2" t="n">
        <f aca="false">F42</f>
        <v>1650</v>
      </c>
      <c r="H42" s="2" t="s">
        <v>45</v>
      </c>
    </row>
    <row r="43" customFormat="false" ht="30" hidden="false" customHeight="true" outlineLevel="0" collapsed="false">
      <c r="A43" s="2" t="s">
        <v>87</v>
      </c>
      <c r="B43" s="2" t="s">
        <v>50</v>
      </c>
      <c r="C43" s="2" t="s">
        <v>51</v>
      </c>
      <c r="D43" s="2" t="n">
        <v>1030</v>
      </c>
      <c r="E43" s="2" t="s">
        <v>12</v>
      </c>
      <c r="F43" s="2" t="n">
        <v>1925</v>
      </c>
      <c r="G43" s="2" t="n">
        <f aca="false">F43</f>
        <v>1925</v>
      </c>
      <c r="H43" s="2" t="s">
        <v>45</v>
      </c>
    </row>
    <row r="44" customFormat="false" ht="30" hidden="false" customHeight="true" outlineLevel="0" collapsed="false">
      <c r="A44" s="2" t="s">
        <v>88</v>
      </c>
      <c r="B44" s="2" t="s">
        <v>43</v>
      </c>
      <c r="C44" s="2" t="s">
        <v>44</v>
      </c>
      <c r="D44" s="2" t="n">
        <v>700</v>
      </c>
      <c r="E44" s="2" t="s">
        <v>12</v>
      </c>
      <c r="F44" s="2" t="n">
        <v>1500</v>
      </c>
      <c r="G44" s="2" t="n">
        <f aca="false">F44</f>
        <v>1500</v>
      </c>
      <c r="H44" s="2" t="s">
        <v>45</v>
      </c>
    </row>
    <row r="45" customFormat="false" ht="30" hidden="false" customHeight="true" outlineLevel="0" collapsed="false">
      <c r="A45" s="2" t="s">
        <v>89</v>
      </c>
      <c r="B45" s="2" t="s">
        <v>47</v>
      </c>
      <c r="C45" s="2" t="s">
        <v>48</v>
      </c>
      <c r="D45" s="2" t="n">
        <v>820</v>
      </c>
      <c r="E45" s="2" t="s">
        <v>12</v>
      </c>
      <c r="F45" s="2" t="n">
        <v>1650</v>
      </c>
      <c r="G45" s="2" t="n">
        <f aca="false">F45</f>
        <v>1650</v>
      </c>
      <c r="H45" s="2" t="s">
        <v>45</v>
      </c>
    </row>
    <row r="46" customFormat="false" ht="30" hidden="false" customHeight="true" outlineLevel="0" collapsed="false">
      <c r="A46" s="2" t="s">
        <v>90</v>
      </c>
      <c r="B46" s="2" t="s">
        <v>50</v>
      </c>
      <c r="C46" s="2" t="s">
        <v>51</v>
      </c>
      <c r="D46" s="2" t="n">
        <v>1030</v>
      </c>
      <c r="E46" s="2" t="s">
        <v>12</v>
      </c>
      <c r="F46" s="2" t="n">
        <v>1925</v>
      </c>
      <c r="G46" s="2" t="n">
        <f aca="false">F46</f>
        <v>1925</v>
      </c>
      <c r="H46" s="2" t="s">
        <v>45</v>
      </c>
    </row>
    <row r="47" customFormat="false" ht="30" hidden="false" customHeight="true" outlineLevel="0" collapsed="false">
      <c r="A47" s="2" t="s">
        <v>91</v>
      </c>
      <c r="B47" s="2" t="s">
        <v>43</v>
      </c>
      <c r="C47" s="2" t="s">
        <v>44</v>
      </c>
      <c r="D47" s="2" t="n">
        <v>700</v>
      </c>
      <c r="E47" s="2" t="s">
        <v>12</v>
      </c>
      <c r="F47" s="2" t="n">
        <v>1500</v>
      </c>
      <c r="G47" s="2" t="n">
        <f aca="false">F47</f>
        <v>1500</v>
      </c>
      <c r="H47" s="2" t="s">
        <v>45</v>
      </c>
    </row>
    <row r="48" customFormat="false" ht="30" hidden="false" customHeight="true" outlineLevel="0" collapsed="false">
      <c r="A48" s="2" t="s">
        <v>92</v>
      </c>
      <c r="B48" s="2" t="s">
        <v>47</v>
      </c>
      <c r="C48" s="2" t="s">
        <v>48</v>
      </c>
      <c r="D48" s="2" t="n">
        <v>820</v>
      </c>
      <c r="E48" s="2" t="s">
        <v>12</v>
      </c>
      <c r="F48" s="2" t="n">
        <v>1650</v>
      </c>
      <c r="G48" s="2" t="n">
        <f aca="false">F48</f>
        <v>1650</v>
      </c>
      <c r="H48" s="2" t="s">
        <v>45</v>
      </c>
    </row>
    <row r="49" customFormat="false" ht="30" hidden="false" customHeight="true" outlineLevel="0" collapsed="false">
      <c r="A49" s="2" t="s">
        <v>93</v>
      </c>
      <c r="B49" s="2" t="s">
        <v>50</v>
      </c>
      <c r="C49" s="2" t="s">
        <v>51</v>
      </c>
      <c r="D49" s="2" t="n">
        <v>1030</v>
      </c>
      <c r="E49" s="2" t="s">
        <v>12</v>
      </c>
      <c r="F49" s="2" t="n">
        <v>2150</v>
      </c>
      <c r="G49" s="2" t="n">
        <f aca="false">F49</f>
        <v>2150</v>
      </c>
      <c r="H49" s="2" t="s">
        <v>45</v>
      </c>
      <c r="I49" s="2" t="s">
        <v>94</v>
      </c>
    </row>
    <row r="50" customFormat="false" ht="30" hidden="false" customHeight="true" outlineLevel="0" collapsed="false">
      <c r="A50" s="2" t="s">
        <v>95</v>
      </c>
      <c r="B50" s="2" t="s">
        <v>43</v>
      </c>
      <c r="C50" s="2" t="s">
        <v>44</v>
      </c>
      <c r="D50" s="2" t="n">
        <v>700</v>
      </c>
      <c r="E50" s="2" t="s">
        <v>96</v>
      </c>
      <c r="F50" s="2" t="n">
        <v>1500</v>
      </c>
      <c r="G50" s="2" t="n">
        <f aca="false">F50</f>
        <v>1500</v>
      </c>
      <c r="H50" s="2" t="s">
        <v>45</v>
      </c>
    </row>
    <row r="51" customFormat="false" ht="30" hidden="false" customHeight="true" outlineLevel="0" collapsed="false">
      <c r="A51" s="2" t="s">
        <v>97</v>
      </c>
      <c r="B51" s="2" t="s">
        <v>47</v>
      </c>
      <c r="C51" s="2" t="s">
        <v>48</v>
      </c>
      <c r="D51" s="2" t="n">
        <v>820</v>
      </c>
      <c r="E51" s="2" t="s">
        <v>96</v>
      </c>
      <c r="F51" s="2" t="n">
        <v>1650</v>
      </c>
      <c r="G51" s="2" t="n">
        <f aca="false">F51</f>
        <v>1650</v>
      </c>
      <c r="H51" s="2" t="s">
        <v>45</v>
      </c>
    </row>
    <row r="52" customFormat="false" ht="30" hidden="false" customHeight="true" outlineLevel="0" collapsed="false">
      <c r="A52" s="2" t="s">
        <v>98</v>
      </c>
      <c r="B52" s="2" t="s">
        <v>50</v>
      </c>
      <c r="C52" s="2" t="s">
        <v>51</v>
      </c>
      <c r="D52" s="2" t="n">
        <v>1030</v>
      </c>
      <c r="E52" s="2" t="s">
        <v>96</v>
      </c>
      <c r="F52" s="2" t="n">
        <v>1925</v>
      </c>
      <c r="G52" s="2" t="n">
        <f aca="false">F52</f>
        <v>1925</v>
      </c>
      <c r="H52" s="2" t="s">
        <v>45</v>
      </c>
    </row>
    <row r="54" customFormat="false" ht="30" hidden="false" customHeight="true" outlineLevel="0" collapsed="false">
      <c r="A54" s="3" t="s">
        <v>99</v>
      </c>
    </row>
    <row r="55" customFormat="false" ht="30" hidden="false" customHeight="true" outlineLevel="0" collapsed="false">
      <c r="A55" s="2" t="s">
        <v>100</v>
      </c>
      <c r="B55" s="7" t="n">
        <f aca="false">COUNTA(A5:A52)</f>
        <v>48</v>
      </c>
    </row>
    <row r="56" customFormat="false" ht="30" hidden="false" customHeight="true" outlineLevel="0" collapsed="false">
      <c r="A56" s="2" t="s">
        <v>101</v>
      </c>
      <c r="B56" s="7" t="n">
        <f aca="false">COUNTIF(E5:E52,"active")</f>
        <v>45</v>
      </c>
    </row>
    <row r="57" customFormat="false" ht="30" hidden="false" customHeight="true" outlineLevel="0" collapsed="false">
      <c r="A57" s="2" t="s">
        <v>102</v>
      </c>
      <c r="B57" s="7" t="n">
        <f aca="false">COUNTIF(E5:E52,"pending")</f>
        <v>0</v>
      </c>
    </row>
    <row r="58" customFormat="false" ht="30" hidden="false" customHeight="true" outlineLevel="0" collapsed="false">
      <c r="A58" s="2" t="s">
        <v>103</v>
      </c>
      <c r="B58" s="7" t="n">
        <f aca="false">COUNTIF(E5:E52,"vacant")</f>
        <v>3</v>
      </c>
    </row>
    <row r="59" customFormat="false" ht="30" hidden="false" customHeight="true" outlineLevel="0" collapsed="false">
      <c r="A59" s="2" t="s">
        <v>104</v>
      </c>
      <c r="B59" s="8" t="n">
        <f aca="false">SUM(D5:D52)</f>
        <v>40800</v>
      </c>
    </row>
    <row r="60" customFormat="false" ht="30" hidden="false" customHeight="true" outlineLevel="0" collapsed="false">
      <c r="A60" s="2" t="s">
        <v>105</v>
      </c>
      <c r="B60" s="8" t="n">
        <f aca="false">SUMIF(E5:E52,"active",D5:D52)</f>
        <v>38250</v>
      </c>
    </row>
    <row r="61" customFormat="false" ht="30" hidden="false" customHeight="true" outlineLevel="0" collapsed="false">
      <c r="A61" s="2" t="s">
        <v>106</v>
      </c>
      <c r="B61" s="9" t="n">
        <f aca="false">B56/B55</f>
        <v>0.9375</v>
      </c>
    </row>
    <row r="62" customFormat="false" ht="30" hidden="false" customHeight="true" outlineLevel="0" collapsed="false">
      <c r="A62" s="2" t="s">
        <v>107</v>
      </c>
      <c r="B62" s="9" t="n">
        <f aca="false">B60/B59</f>
        <v>0.9375</v>
      </c>
    </row>
    <row r="63" customFormat="false" ht="30" hidden="false" customHeight="true" outlineLevel="0" collapsed="false">
      <c r="A63" s="2" t="s">
        <v>108</v>
      </c>
      <c r="B63" s="8" t="n">
        <f aca="false">SUM(F5:F52)</f>
        <v>81425</v>
      </c>
    </row>
    <row r="64" customFormat="false" ht="30" hidden="false" customHeight="true" outlineLevel="0" collapsed="false">
      <c r="A64" s="2" t="s">
        <v>109</v>
      </c>
      <c r="B64" s="8" t="n">
        <f aca="false">B63*12</f>
        <v>977100</v>
      </c>
    </row>
    <row r="65" customFormat="false" ht="30" hidden="false" customHeight="true" outlineLevel="0" collapsed="false">
      <c r="A65" s="2" t="s">
        <v>110</v>
      </c>
      <c r="B65" s="8" t="n">
        <f aca="false">SUMIF(E5:E52,"active",G5:G52)</f>
        <v>76700</v>
      </c>
    </row>
    <row r="66" customFormat="false" ht="30" hidden="false" customHeight="true" outlineLevel="0" collapsed="false">
      <c r="A66" s="2" t="s">
        <v>111</v>
      </c>
      <c r="B66" s="8" t="n">
        <f aca="false">B65*12</f>
        <v>920400</v>
      </c>
    </row>
    <row r="67" customFormat="false" ht="30" hidden="false" customHeight="true" outlineLevel="0" collapsed="false">
      <c r="A67" s="2" t="s">
        <v>112</v>
      </c>
      <c r="B67" s="8" t="n">
        <f aca="false">G5</f>
        <v>1850</v>
      </c>
    </row>
    <row r="69" customFormat="false" ht="30" hidden="false" customHeight="true" outlineLevel="0" collapsed="false">
      <c r="A69" s="3" t="s">
        <v>36</v>
      </c>
      <c r="B69" s="3" t="s">
        <v>113</v>
      </c>
      <c r="C69" s="3" t="s">
        <v>114</v>
      </c>
      <c r="D69" s="3" t="s">
        <v>115</v>
      </c>
      <c r="E69" s="3" t="s">
        <v>37</v>
      </c>
    </row>
    <row r="70" customFormat="false" ht="30" hidden="false" customHeight="true" outlineLevel="0" collapsed="false">
      <c r="A70" s="2" t="s">
        <v>44</v>
      </c>
      <c r="B70" s="2" t="s">
        <v>43</v>
      </c>
      <c r="C70" s="2" t="n">
        <f aca="false">COUNTIF($C$5:$C$52,"A")</f>
        <v>16</v>
      </c>
      <c r="D70" s="2" t="n">
        <f aca="false">COUNTIFS($C$5:$C$52,"A",$E$5:$E$52,"active")</f>
        <v>15</v>
      </c>
      <c r="E70" s="4" t="n">
        <f aca="false">SUMIF($C$5:$C$52,"A",$D$5:$D$52)</f>
        <v>11200</v>
      </c>
    </row>
    <row r="71" customFormat="false" ht="30" hidden="false" customHeight="true" outlineLevel="0" collapsed="false">
      <c r="A71" s="2" t="s">
        <v>48</v>
      </c>
      <c r="B71" s="2" t="s">
        <v>47</v>
      </c>
      <c r="C71" s="2" t="n">
        <f aca="false">COUNTIF($C$5:$C$52,"B")</f>
        <v>16</v>
      </c>
      <c r="D71" s="2" t="n">
        <f aca="false">COUNTIFS($C$5:$C$52,"B",$E$5:$E$52,"active")</f>
        <v>15</v>
      </c>
      <c r="E71" s="4" t="n">
        <f aca="false">SUMIF($C$5:$C$52,"B",$D$5:$D$52)</f>
        <v>13120</v>
      </c>
    </row>
    <row r="72" customFormat="false" ht="30" hidden="false" customHeight="true" outlineLevel="0" collapsed="false">
      <c r="A72" s="2" t="s">
        <v>51</v>
      </c>
      <c r="B72" s="2" t="s">
        <v>50</v>
      </c>
      <c r="C72" s="2" t="n">
        <f aca="false">COUNTIF($C$5:$C$52,"C")</f>
        <v>16</v>
      </c>
      <c r="D72" s="2" t="n">
        <f aca="false">COUNTIFS($C$5:$C$52,"C",$E$5:$E$52,"active")</f>
        <v>15</v>
      </c>
      <c r="E72" s="4" t="n">
        <f aca="false">SUMIF($C$5:$C$52,"C",$D$5:$D$52)</f>
        <v>16480</v>
      </c>
    </row>
    <row r="74" customFormat="false" ht="30" hidden="false" customHeight="true" outlineLevel="0" collapsed="false">
      <c r="A74" s="2" t="s">
        <v>116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117</v>
      </c>
    </row>
    <row r="3" customFormat="false" ht="30" hidden="false" customHeight="true" outlineLevel="0" collapsed="false">
      <c r="A3" s="3" t="s">
        <v>118</v>
      </c>
      <c r="B3" s="3" t="s">
        <v>119</v>
      </c>
      <c r="C3" s="3" t="s">
        <v>120</v>
      </c>
    </row>
    <row r="4" customFormat="false" ht="30" hidden="false" customHeight="true" outlineLevel="0" collapsed="false">
      <c r="A4" s="2" t="s">
        <v>121</v>
      </c>
      <c r="B4" s="6" t="n">
        <v>977100</v>
      </c>
      <c r="C4" s="2" t="s">
        <v>122</v>
      </c>
    </row>
    <row r="5" customFormat="false" ht="30" hidden="false" customHeight="true" outlineLevel="0" collapsed="false">
      <c r="A5" s="2" t="s">
        <v>123</v>
      </c>
      <c r="B5" s="10" t="n">
        <v>0.05</v>
      </c>
      <c r="C5" s="2" t="s">
        <v>124</v>
      </c>
    </row>
    <row r="6" customFormat="false" ht="30" hidden="false" customHeight="true" outlineLevel="0" collapsed="false">
      <c r="A6" s="2" t="s">
        <v>125</v>
      </c>
      <c r="B6" s="4" t="n">
        <f aca="false">B4*(1-B5)</f>
        <v>928245</v>
      </c>
    </row>
    <row r="7" customFormat="false" ht="30" hidden="false" customHeight="true" outlineLevel="0" collapsed="false">
      <c r="A7" s="2" t="s">
        <v>126</v>
      </c>
      <c r="B7" s="6" t="n">
        <v>350</v>
      </c>
      <c r="C7" s="2" t="s">
        <v>127</v>
      </c>
    </row>
    <row r="8" customFormat="false" ht="30" hidden="false" customHeight="true" outlineLevel="0" collapsed="false">
      <c r="A8" s="2" t="s">
        <v>114</v>
      </c>
      <c r="B8" s="2" t="n">
        <f aca="false">'Rent Roll'!B55</f>
        <v>48</v>
      </c>
    </row>
    <row r="9" customFormat="false" ht="30" hidden="false" customHeight="true" outlineLevel="0" collapsed="false">
      <c r="A9" s="2" t="s">
        <v>128</v>
      </c>
      <c r="B9" s="4" t="n">
        <f aca="false">B7*B8</f>
        <v>16800</v>
      </c>
    </row>
    <row r="10" customFormat="false" ht="30" hidden="false" customHeight="true" outlineLevel="0" collapsed="false">
      <c r="A10" s="7" t="s">
        <v>129</v>
      </c>
      <c r="B10" s="8" t="n">
        <f aca="false">B6+B9</f>
        <v>945045</v>
      </c>
    </row>
    <row r="12" customFormat="false" ht="30" hidden="false" customHeight="true" outlineLevel="0" collapsed="false">
      <c r="A12" s="3" t="s">
        <v>130</v>
      </c>
      <c r="B12" s="3" t="s">
        <v>119</v>
      </c>
    </row>
    <row r="13" customFormat="false" ht="30" hidden="false" customHeight="true" outlineLevel="0" collapsed="false">
      <c r="A13" s="2" t="s">
        <v>131</v>
      </c>
      <c r="B13" s="6" t="n">
        <v>102312</v>
      </c>
    </row>
    <row r="14" customFormat="false" ht="30" hidden="false" customHeight="true" outlineLevel="0" collapsed="false">
      <c r="A14" s="2" t="s">
        <v>132</v>
      </c>
      <c r="B14" s="6" t="n">
        <v>34104</v>
      </c>
    </row>
    <row r="15" customFormat="false" ht="30" hidden="false" customHeight="true" outlineLevel="0" collapsed="false">
      <c r="A15" s="2" t="s">
        <v>133</v>
      </c>
      <c r="B15" s="6" t="n">
        <v>136416</v>
      </c>
    </row>
    <row r="16" customFormat="false" ht="30" hidden="false" customHeight="true" outlineLevel="0" collapsed="false">
      <c r="A16" s="2" t="s">
        <v>134</v>
      </c>
      <c r="B16" s="10" t="n">
        <v>0.03</v>
      </c>
    </row>
    <row r="17" customFormat="false" ht="30" hidden="false" customHeight="true" outlineLevel="0" collapsed="false">
      <c r="A17" s="2" t="s">
        <v>135</v>
      </c>
      <c r="B17" s="4" t="n">
        <f aca="false">B16*B10</f>
        <v>28351.35</v>
      </c>
    </row>
    <row r="18" customFormat="false" ht="30" hidden="false" customHeight="true" outlineLevel="0" collapsed="false">
      <c r="A18" s="7" t="s">
        <v>136</v>
      </c>
      <c r="B18" s="8" t="n">
        <f aca="false">SUM(B13:B15)+B17</f>
        <v>301183.35</v>
      </c>
    </row>
    <row r="19" customFormat="false" ht="30" hidden="false" customHeight="true" outlineLevel="0" collapsed="false">
      <c r="A19" s="7" t="s">
        <v>137</v>
      </c>
      <c r="B19" s="8" t="n">
        <f aca="false">B10-B18</f>
        <v>643861.65</v>
      </c>
    </row>
    <row r="20" customFormat="false" ht="30" hidden="false" customHeight="true" outlineLevel="0" collapsed="false">
      <c r="A20" s="2" t="s">
        <v>138</v>
      </c>
      <c r="B20" s="6" t="n">
        <v>300</v>
      </c>
    </row>
    <row r="21" customFormat="false" ht="30" hidden="false" customHeight="true" outlineLevel="0" collapsed="false">
      <c r="A21" s="2" t="s">
        <v>139</v>
      </c>
      <c r="B21" s="4" t="n">
        <f aca="false">B20*B8</f>
        <v>14400</v>
      </c>
    </row>
    <row r="22" customFormat="false" ht="30" hidden="false" customHeight="true" outlineLevel="0" collapsed="false">
      <c r="A22" s="7" t="s">
        <v>140</v>
      </c>
      <c r="B22" s="8" t="n">
        <f aca="false">B19-B21</f>
        <v>629461.65</v>
      </c>
    </row>
    <row r="24" customFormat="false" ht="30" hidden="false" customHeight="true" outlineLevel="0" collapsed="false">
      <c r="A24" s="3" t="s">
        <v>141</v>
      </c>
    </row>
    <row r="25" customFormat="false" ht="30" hidden="false" customHeight="true" outlineLevel="0" collapsed="false">
      <c r="A25" s="2" t="s">
        <v>142</v>
      </c>
      <c r="B25" s="11" t="n">
        <v>0.06</v>
      </c>
      <c r="C25" s="2" t="s">
        <v>143</v>
      </c>
    </row>
    <row r="26" customFormat="false" ht="30" hidden="false" customHeight="true" outlineLevel="0" collapsed="false">
      <c r="A26" s="7" t="s">
        <v>144</v>
      </c>
      <c r="B26" s="8" t="n">
        <f aca="false">B19/B25</f>
        <v>10731027.5</v>
      </c>
    </row>
    <row r="28" customFormat="false" ht="30" hidden="false" customHeight="true" outlineLevel="0" collapsed="false">
      <c r="A28" s="3" t="s">
        <v>145</v>
      </c>
    </row>
    <row r="29" customFormat="false" ht="30" hidden="false" customHeight="true" outlineLevel="0" collapsed="false">
      <c r="A29" s="2" t="s">
        <v>146</v>
      </c>
      <c r="B29" s="4" t="n">
        <v>876960</v>
      </c>
      <c r="C29" s="2" t="s">
        <v>147</v>
      </c>
    </row>
    <row r="30" customFormat="false" ht="30" hidden="false" customHeight="true" outlineLevel="0" collapsed="false">
      <c r="A30" s="2" t="s">
        <v>148</v>
      </c>
      <c r="B30" s="4" t="n">
        <v>604128</v>
      </c>
      <c r="C30" s="2" t="s">
        <v>149</v>
      </c>
    </row>
    <row r="31" customFormat="false" ht="30" hidden="false" customHeight="true" outlineLevel="0" collapsed="false">
      <c r="A31" s="2" t="s">
        <v>150</v>
      </c>
      <c r="B31" s="4" t="n">
        <f aca="false">B19-B30</f>
        <v>39733.65</v>
      </c>
    </row>
    <row r="32" customFormat="false" ht="30" hidden="false" customHeight="true" outlineLevel="0" collapsed="false">
      <c r="A32" s="2" t="s">
        <v>151</v>
      </c>
      <c r="B32" s="4" t="n">
        <f aca="false">'Rent Roll'!B66</f>
        <v>920400</v>
      </c>
    </row>
    <row r="34" customFormat="false" ht="30" hidden="false" customHeight="true" outlineLevel="0" collapsed="false">
      <c r="A34" s="2" t="s">
        <v>152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153</v>
      </c>
    </row>
    <row r="3" customFormat="false" ht="30" hidden="false" customHeight="true" outlineLevel="0" collapsed="false">
      <c r="A3" s="3" t="s">
        <v>154</v>
      </c>
      <c r="B3" s="3" t="s">
        <v>155</v>
      </c>
      <c r="C3" s="3" t="s">
        <v>156</v>
      </c>
    </row>
    <row r="4" customFormat="false" ht="30" hidden="false" customHeight="true" outlineLevel="0" collapsed="false">
      <c r="A4" s="2" t="s">
        <v>157</v>
      </c>
      <c r="B4" s="10" t="n">
        <v>0.65</v>
      </c>
    </row>
    <row r="5" customFormat="false" ht="30" hidden="false" customHeight="true" outlineLevel="0" collapsed="false">
      <c r="A5" s="2" t="s">
        <v>158</v>
      </c>
      <c r="B5" s="12" t="n">
        <v>1.25</v>
      </c>
    </row>
    <row r="6" customFormat="false" ht="30" hidden="false" customHeight="true" outlineLevel="0" collapsed="false">
      <c r="A6" s="2" t="s">
        <v>159</v>
      </c>
      <c r="B6" s="10" t="n">
        <v>0.09</v>
      </c>
    </row>
    <row r="7" customFormat="false" ht="30" hidden="false" customHeight="true" outlineLevel="0" collapsed="false">
      <c r="A7" s="2" t="s">
        <v>160</v>
      </c>
      <c r="B7" s="13" t="n">
        <v>30</v>
      </c>
    </row>
    <row r="8" customFormat="false" ht="30" hidden="false" customHeight="true" outlineLevel="0" collapsed="false">
      <c r="A8" s="2" t="s">
        <v>161</v>
      </c>
      <c r="B8" s="5" t="n">
        <v>0.0625</v>
      </c>
    </row>
    <row r="9" customFormat="false" ht="30" hidden="false" customHeight="true" outlineLevel="0" collapsed="false">
      <c r="A9" s="2" t="s">
        <v>162</v>
      </c>
      <c r="B9" s="5" t="n">
        <v>0.06</v>
      </c>
      <c r="C9" s="2" t="s">
        <v>163</v>
      </c>
    </row>
    <row r="10" customFormat="false" ht="30" hidden="false" customHeight="true" outlineLevel="0" collapsed="false">
      <c r="A10" s="2" t="s">
        <v>164</v>
      </c>
      <c r="B10" s="11" t="n">
        <v>0.08</v>
      </c>
      <c r="C10" s="2" t="s">
        <v>165</v>
      </c>
    </row>
    <row r="12" customFormat="false" ht="30" hidden="false" customHeight="true" outlineLevel="0" collapsed="false">
      <c r="A12" s="3" t="s">
        <v>166</v>
      </c>
      <c r="B12" s="3" t="s">
        <v>167</v>
      </c>
    </row>
    <row r="13" customFormat="false" ht="30" hidden="false" customHeight="true" outlineLevel="0" collapsed="false">
      <c r="A13" s="2" t="s">
        <v>168</v>
      </c>
      <c r="B13" s="4" t="n">
        <f aca="false">B4*Underwriting!B26</f>
        <v>6975167.875</v>
      </c>
    </row>
    <row r="14" customFormat="false" ht="30" hidden="false" customHeight="true" outlineLevel="0" collapsed="false">
      <c r="A14" s="2" t="s">
        <v>169</v>
      </c>
      <c r="B14" s="4" t="n">
        <f aca="false">Underwriting!B22/B5</f>
        <v>503569.32</v>
      </c>
    </row>
    <row r="15" customFormat="false" ht="30" hidden="false" customHeight="true" outlineLevel="0" collapsed="false">
      <c r="A15" s="2" t="s">
        <v>170</v>
      </c>
      <c r="B15" s="4" t="n">
        <f aca="false">(B14/12)*(1-(1+B10/12)^(-B7*12))/(B10/12)</f>
        <v>5719015.53902197</v>
      </c>
    </row>
    <row r="16" customFormat="false" ht="30" hidden="false" customHeight="true" outlineLevel="0" collapsed="false">
      <c r="A16" s="2" t="s">
        <v>171</v>
      </c>
      <c r="B16" s="4" t="n">
        <f aca="false">Underwriting!B22/B6</f>
        <v>6994018.33333333</v>
      </c>
    </row>
    <row r="17" customFormat="false" ht="30" hidden="false" customHeight="true" outlineLevel="0" collapsed="false">
      <c r="A17" s="7" t="s">
        <v>172</v>
      </c>
      <c r="B17" s="8" t="n">
        <f aca="false">MIN(B13,B15,B16)</f>
        <v>5719015.53902197</v>
      </c>
    </row>
    <row r="18" customFormat="false" ht="30" hidden="false" customHeight="true" outlineLevel="0" collapsed="false">
      <c r="A18" s="2" t="s">
        <v>173</v>
      </c>
      <c r="B18" s="2" t="str">
        <f aca="false">IF(B17=B15,"DSCR",IF(B17=B13,"LTV","Debt yield"))</f>
        <v>DSCR</v>
      </c>
    </row>
    <row r="19" customFormat="false" ht="30" hidden="false" customHeight="true" outlineLevel="0" collapsed="false">
      <c r="A19" s="2" t="s">
        <v>174</v>
      </c>
      <c r="B19" s="14" t="n">
        <f aca="false">B17/Underwriting!B26</f>
        <v>0.53294202619665</v>
      </c>
    </row>
    <row r="20" customFormat="false" ht="30" hidden="false" customHeight="true" outlineLevel="0" collapsed="false">
      <c r="A20" s="2" t="s">
        <v>175</v>
      </c>
      <c r="B20" s="4" t="n">
        <f aca="false">-PMT(B10/12,B7*12,B17)*12</f>
        <v>503569.319999999</v>
      </c>
    </row>
    <row r="21" customFormat="false" ht="30" hidden="false" customHeight="true" outlineLevel="0" collapsed="false">
      <c r="A21" s="2" t="s">
        <v>176</v>
      </c>
      <c r="B21" s="14" t="n">
        <f aca="false">Underwriting!B22/B20</f>
        <v>1.25</v>
      </c>
    </row>
    <row r="22" customFormat="false" ht="30" hidden="false" customHeight="true" outlineLevel="0" collapsed="false">
      <c r="A22" s="2" t="s">
        <v>177</v>
      </c>
      <c r="B22" s="14" t="n">
        <f aca="false">Underwriting!B22/B17</f>
        <v>0.110064686081907</v>
      </c>
    </row>
    <row r="24" customFormat="false" ht="30" hidden="false" customHeight="true" outlineLevel="0" collapsed="false">
      <c r="A24" s="3" t="s">
        <v>178</v>
      </c>
      <c r="B24" s="3" t="s">
        <v>119</v>
      </c>
    </row>
    <row r="25" customFormat="false" ht="30" hidden="false" customHeight="true" outlineLevel="0" collapsed="false">
      <c r="A25" s="2" t="s">
        <v>179</v>
      </c>
      <c r="B25" s="4" t="n">
        <f aca="false">B17</f>
        <v>5719015.53902197</v>
      </c>
    </row>
    <row r="27" customFormat="false" ht="30" hidden="false" customHeight="true" outlineLevel="0" collapsed="false">
      <c r="A27" s="3" t="s">
        <v>180</v>
      </c>
      <c r="B27" s="3" t="s">
        <v>119</v>
      </c>
    </row>
    <row r="28" customFormat="false" ht="30" hidden="false" customHeight="true" outlineLevel="0" collapsed="false">
      <c r="A28" s="2" t="s">
        <v>181</v>
      </c>
      <c r="B28" s="6" t="n">
        <v>4200000</v>
      </c>
    </row>
    <row r="29" customFormat="false" ht="30" hidden="false" customHeight="true" outlineLevel="0" collapsed="false">
      <c r="A29" s="2" t="s">
        <v>182</v>
      </c>
      <c r="B29" s="4" t="n">
        <f aca="false">0.01*B17</f>
        <v>57190.1553902198</v>
      </c>
    </row>
    <row r="30" customFormat="false" ht="30" hidden="false" customHeight="true" outlineLevel="0" collapsed="false">
      <c r="A30" s="2" t="s">
        <v>183</v>
      </c>
      <c r="B30" s="6" t="n">
        <v>45000</v>
      </c>
    </row>
    <row r="31" customFormat="false" ht="30" hidden="false" customHeight="true" outlineLevel="0" collapsed="false">
      <c r="A31" s="7" t="s">
        <v>184</v>
      </c>
      <c r="B31" s="8" t="n">
        <f aca="false">SUM(B28:B30)</f>
        <v>4302190.15539022</v>
      </c>
    </row>
    <row r="32" customFormat="false" ht="30" hidden="false" customHeight="true" outlineLevel="0" collapsed="false">
      <c r="A32" s="7" t="s">
        <v>185</v>
      </c>
      <c r="B32" s="8" t="n">
        <f aca="false">B25-B31</f>
        <v>1416825.38363175</v>
      </c>
    </row>
    <row r="34" customFormat="false" ht="30" hidden="false" customHeight="true" outlineLevel="0" collapsed="false">
      <c r="A34" s="2" t="s">
        <v>186</v>
      </c>
      <c r="B34" s="2" t="str">
        <f aca="false">IF(B32&lt;0,"Shortfall","No shortfall")</f>
        <v>No shortfall</v>
      </c>
    </row>
    <row r="36" customFormat="false" ht="30" hidden="false" customHeight="true" outlineLevel="0" collapsed="false">
      <c r="A36" s="2" t="s">
        <v>187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188</v>
      </c>
    </row>
    <row r="2" customFormat="false" ht="30" hidden="false" customHeight="true" outlineLevel="0" collapsed="false">
      <c r="A2" s="2" t="s">
        <v>189</v>
      </c>
    </row>
    <row r="4" customFormat="false" ht="30" hidden="false" customHeight="true" outlineLevel="0" collapsed="false">
      <c r="A4" s="3" t="s">
        <v>190</v>
      </c>
      <c r="B4" s="15" t="n">
        <v>0.065</v>
      </c>
      <c r="C4" s="15" t="n">
        <v>0.07</v>
      </c>
      <c r="D4" s="15" t="n">
        <v>0.075</v>
      </c>
      <c r="E4" s="15" t="n">
        <v>0.08</v>
      </c>
    </row>
    <row r="5" customFormat="false" ht="30" hidden="false" customHeight="true" outlineLevel="0" collapsed="false">
      <c r="A5" s="5" t="n">
        <v>0.055</v>
      </c>
      <c r="B5" s="4" t="n">
        <f aca="false">MIN(Debt!$B$4*Underwriting!$B$19/$A5,(Underwriting!$B$22/Debt!$B$5/12)*(1-(1+B$4/12)^(-Debt!$B$7*12))/(B$4/12),Underwriting!$B$22/Debt!$B$6)</f>
        <v>6639176.23424388</v>
      </c>
      <c r="C5" s="4" t="n">
        <f aca="false">MIN(Debt!$B$4*Underwriting!$B$19/$A5,(Underwriting!$B$22/Debt!$B$5/12)*(1-(1+C$4/12)^(-Debt!$B$7*12))/(C$4/12),Underwriting!$B$22/Debt!$B$6)</f>
        <v>6307523.31519485</v>
      </c>
      <c r="D5" s="4" t="n">
        <f aca="false">MIN(Debt!$B$4*Underwriting!$B$19/$A5,(Underwriting!$B$22/Debt!$B$5/12)*(1-(1+D$4/12)^(-Debt!$B$7*12))/(D$4/12),Underwriting!$B$22/Debt!$B$6)</f>
        <v>6001607.4447392</v>
      </c>
      <c r="E5" s="4" t="n">
        <f aca="false">MIN(Debt!$B$4*Underwriting!$B$19/$A5,(Underwriting!$B$22/Debt!$B$5/12)*(1-(1+E$4/12)^(-Debt!$B$7*12))/(E$4/12),Underwriting!$B$22/Debt!$B$6)</f>
        <v>5719015.53902197</v>
      </c>
    </row>
    <row r="6" customFormat="false" ht="30" hidden="false" customHeight="true" outlineLevel="0" collapsed="false">
      <c r="A6" s="5" t="n">
        <v>0.0575</v>
      </c>
      <c r="B6" s="4" t="n">
        <f aca="false">MIN(Debt!$B$4*Underwriting!$B$19/$A6,(Underwriting!$B$22/Debt!$B$5/12)*(1-(1+B$4/12)^(-Debt!$B$7*12))/(B$4/12),Underwriting!$B$22/Debt!$B$6)</f>
        <v>6639176.23424388</v>
      </c>
      <c r="C6" s="4" t="n">
        <f aca="false">MIN(Debt!$B$4*Underwriting!$B$19/$A6,(Underwriting!$B$22/Debt!$B$5/12)*(1-(1+C$4/12)^(-Debt!$B$7*12))/(C$4/12),Underwriting!$B$22/Debt!$B$6)</f>
        <v>6307523.31519485</v>
      </c>
      <c r="D6" s="4" t="n">
        <f aca="false">MIN(Debt!$B$4*Underwriting!$B$19/$A6,(Underwriting!$B$22/Debt!$B$5/12)*(1-(1+D$4/12)^(-Debt!$B$7*12))/(D$4/12),Underwriting!$B$22/Debt!$B$6)</f>
        <v>6001607.4447392</v>
      </c>
      <c r="E6" s="4" t="n">
        <f aca="false">MIN(Debt!$B$4*Underwriting!$B$19/$A6,(Underwriting!$B$22/Debt!$B$5/12)*(1-(1+E$4/12)^(-Debt!$B$7*12))/(E$4/12),Underwriting!$B$22/Debt!$B$6)</f>
        <v>5719015.53902197</v>
      </c>
    </row>
    <row r="7" customFormat="false" ht="30" hidden="false" customHeight="true" outlineLevel="0" collapsed="false">
      <c r="A7" s="5" t="n">
        <v>0.06</v>
      </c>
      <c r="B7" s="4" t="n">
        <f aca="false">MIN(Debt!$B$4*Underwriting!$B$19/$A7,(Underwriting!$B$22/Debt!$B$5/12)*(1-(1+B$4/12)^(-Debt!$B$7*12))/(B$4/12),Underwriting!$B$22/Debt!$B$6)</f>
        <v>6639176.23424388</v>
      </c>
      <c r="C7" s="4" t="n">
        <f aca="false">MIN(Debt!$B$4*Underwriting!$B$19/$A7,(Underwriting!$B$22/Debt!$B$5/12)*(1-(1+C$4/12)^(-Debt!$B$7*12))/(C$4/12),Underwriting!$B$22/Debt!$B$6)</f>
        <v>6307523.31519485</v>
      </c>
      <c r="D7" s="4" t="n">
        <f aca="false">MIN(Debt!$B$4*Underwriting!$B$19/$A7,(Underwriting!$B$22/Debt!$B$5/12)*(1-(1+D$4/12)^(-Debt!$B$7*12))/(D$4/12),Underwriting!$B$22/Debt!$B$6)</f>
        <v>6001607.4447392</v>
      </c>
      <c r="E7" s="4" t="n">
        <f aca="false">MIN(Debt!$B$4*Underwriting!$B$19/$A7,(Underwriting!$B$22/Debt!$B$5/12)*(1-(1+E$4/12)^(-Debt!$B$7*12))/(E$4/12),Underwriting!$B$22/Debt!$B$6)</f>
        <v>5719015.53902197</v>
      </c>
    </row>
    <row r="8" customFormat="false" ht="30" hidden="false" customHeight="true" outlineLevel="0" collapsed="false">
      <c r="A8" s="5" t="n">
        <v>0.0625</v>
      </c>
      <c r="B8" s="4" t="n">
        <f aca="false">MIN(Debt!$B$4*Underwriting!$B$19/$A8,(Underwriting!$B$22/Debt!$B$5/12)*(1-(1+B$4/12)^(-Debt!$B$7*12))/(B$4/12),Underwriting!$B$22/Debt!$B$6)</f>
        <v>6639176.23424388</v>
      </c>
      <c r="C8" s="4" t="n">
        <f aca="false">MIN(Debt!$B$4*Underwriting!$B$19/$A8,(Underwriting!$B$22/Debt!$B$5/12)*(1-(1+C$4/12)^(-Debt!$B$7*12))/(C$4/12),Underwriting!$B$22/Debt!$B$6)</f>
        <v>6307523.31519485</v>
      </c>
      <c r="D8" s="4" t="n">
        <f aca="false">MIN(Debt!$B$4*Underwriting!$B$19/$A8,(Underwriting!$B$22/Debt!$B$5/12)*(1-(1+D$4/12)^(-Debt!$B$7*12))/(D$4/12),Underwriting!$B$22/Debt!$B$6)</f>
        <v>6001607.4447392</v>
      </c>
      <c r="E8" s="4" t="n">
        <f aca="false">MIN(Debt!$B$4*Underwriting!$B$19/$A8,(Underwriting!$B$22/Debt!$B$5/12)*(1-(1+E$4/12)^(-Debt!$B$7*12))/(E$4/12),Underwriting!$B$22/Debt!$B$6)</f>
        <v>5719015.53902197</v>
      </c>
    </row>
    <row r="9" customFormat="false" ht="30" hidden="false" customHeight="true" outlineLevel="0" collapsed="false">
      <c r="A9" s="5" t="n">
        <v>0.065</v>
      </c>
      <c r="B9" s="4" t="n">
        <f aca="false">MIN(Debt!$B$4*Underwriting!$B$19/$A9,(Underwriting!$B$22/Debt!$B$5/12)*(1-(1+B$4/12)^(-Debt!$B$7*12))/(B$4/12),Underwriting!$B$22/Debt!$B$6)</f>
        <v>6438616.5</v>
      </c>
      <c r="C9" s="4" t="n">
        <f aca="false">MIN(Debt!$B$4*Underwriting!$B$19/$A9,(Underwriting!$B$22/Debt!$B$5/12)*(1-(1+C$4/12)^(-Debt!$B$7*12))/(C$4/12),Underwriting!$B$22/Debt!$B$6)</f>
        <v>6307523.31519485</v>
      </c>
      <c r="D9" s="4" t="n">
        <f aca="false">MIN(Debt!$B$4*Underwriting!$B$19/$A9,(Underwriting!$B$22/Debt!$B$5/12)*(1-(1+D$4/12)^(-Debt!$B$7*12))/(D$4/12),Underwriting!$B$22/Debt!$B$6)</f>
        <v>6001607.4447392</v>
      </c>
      <c r="E9" s="4" t="n">
        <f aca="false">MIN(Debt!$B$4*Underwriting!$B$19/$A9,(Underwriting!$B$22/Debt!$B$5/12)*(1-(1+E$4/12)^(-Debt!$B$7*12))/(E$4/12),Underwriting!$B$22/Debt!$B$6)</f>
        <v>5719015.53902197</v>
      </c>
    </row>
    <row r="11" customFormat="false" ht="30" hidden="false" customHeight="true" outlineLevel="0" collapsed="false">
      <c r="A11" s="2" t="s">
        <v>191</v>
      </c>
      <c r="B11" s="4" t="n">
        <f aca="false">Debt!B32</f>
        <v>1416825.38363175</v>
      </c>
    </row>
    <row r="12" customFormat="false" ht="30" hidden="false" customHeight="true" outlineLevel="0" collapsed="false">
      <c r="A12" s="2" t="s">
        <v>192</v>
      </c>
      <c r="B12" s="4" t="n">
        <v>2475660</v>
      </c>
    </row>
    <row r="13" customFormat="false" ht="30" hidden="false" customHeight="true" outlineLevel="0" collapsed="false">
      <c r="A13" s="2" t="s">
        <v>193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8"/>
  </cols>
  <sheetData>
    <row r="1" customFormat="false" ht="30" hidden="false" customHeight="true" outlineLevel="0" collapsed="false">
      <c r="A1" s="1" t="s">
        <v>194</v>
      </c>
    </row>
    <row r="3" customFormat="false" ht="30" hidden="false" customHeight="true" outlineLevel="0" collapsed="false">
      <c r="A3" s="3" t="s">
        <v>195</v>
      </c>
      <c r="B3" s="3" t="s">
        <v>196</v>
      </c>
      <c r="C3" s="3" t="s">
        <v>197</v>
      </c>
    </row>
    <row r="4" customFormat="false" ht="30" hidden="false" customHeight="true" outlineLevel="0" collapsed="false">
      <c r="A4" s="2" t="s">
        <v>198</v>
      </c>
      <c r="B4" s="2" t="s">
        <v>199</v>
      </c>
      <c r="C4" s="2" t="s">
        <v>200</v>
      </c>
    </row>
    <row r="5" customFormat="false" ht="30" hidden="false" customHeight="true" outlineLevel="0" collapsed="false">
      <c r="A5" s="2" t="s">
        <v>201</v>
      </c>
      <c r="B5" s="2" t="s">
        <v>202</v>
      </c>
      <c r="C5" s="2" t="s">
        <v>203</v>
      </c>
    </row>
    <row r="6" customFormat="false" ht="30" hidden="false" customHeight="true" outlineLevel="0" collapsed="false">
      <c r="A6" s="2" t="s">
        <v>204</v>
      </c>
      <c r="B6" s="2" t="s">
        <v>199</v>
      </c>
      <c r="C6" s="2" t="s">
        <v>205</v>
      </c>
    </row>
    <row r="7" customFormat="false" ht="30" hidden="false" customHeight="true" outlineLevel="0" collapsed="false">
      <c r="A7" s="2" t="s">
        <v>206</v>
      </c>
      <c r="B7" s="2" t="s">
        <v>199</v>
      </c>
      <c r="C7" s="2" t="s">
        <v>207</v>
      </c>
    </row>
    <row r="8" customFormat="false" ht="30" hidden="false" customHeight="true" outlineLevel="0" collapsed="false">
      <c r="A8" s="2" t="s">
        <v>208</v>
      </c>
      <c r="B8" s="2" t="s">
        <v>202</v>
      </c>
      <c r="C8" s="2" t="s">
        <v>209</v>
      </c>
    </row>
    <row r="9" customFormat="false" ht="30" hidden="false" customHeight="true" outlineLevel="0" collapsed="false">
      <c r="A9" s="2" t="s">
        <v>210</v>
      </c>
      <c r="B9" s="2" t="s">
        <v>202</v>
      </c>
      <c r="C9" s="2" t="s">
        <v>211</v>
      </c>
    </row>
    <row r="10" customFormat="false" ht="30" hidden="false" customHeight="true" outlineLevel="0" collapsed="false">
      <c r="A10" s="2" t="s">
        <v>212</v>
      </c>
      <c r="B10" s="2" t="s">
        <v>202</v>
      </c>
      <c r="C10" s="2" t="s">
        <v>213</v>
      </c>
    </row>
    <row r="11" customFormat="false" ht="30" hidden="false" customHeight="true" outlineLevel="0" collapsed="false">
      <c r="A11" s="2" t="s">
        <v>214</v>
      </c>
      <c r="B11" s="2" t="s">
        <v>202</v>
      </c>
      <c r="C11" s="2" t="s">
        <v>215</v>
      </c>
    </row>
    <row r="12" customFormat="false" ht="30" hidden="false" customHeight="true" outlineLevel="0" collapsed="false">
      <c r="A12" s="2" t="s">
        <v>216</v>
      </c>
      <c r="B12" s="2" t="s">
        <v>202</v>
      </c>
      <c r="C12" s="2" t="s">
        <v>217</v>
      </c>
    </row>
    <row r="13" customFormat="false" ht="30" hidden="false" customHeight="true" outlineLevel="0" collapsed="false">
      <c r="A13" s="2" t="s">
        <v>218</v>
      </c>
      <c r="B13" s="2" t="s">
        <v>202</v>
      </c>
      <c r="C13" s="2" t="s">
        <v>219</v>
      </c>
    </row>
    <row r="14" customFormat="false" ht="30" hidden="false" customHeight="true" outlineLevel="0" collapsed="false">
      <c r="A14" s="2" t="s">
        <v>220</v>
      </c>
      <c r="B14" s="2" t="s">
        <v>202</v>
      </c>
      <c r="C14" s="2" t="s">
        <v>221</v>
      </c>
    </row>
    <row r="16" customFormat="false" ht="30" hidden="false" customHeight="true" outlineLevel="0" collapsed="false">
      <c r="A16" s="2" t="s">
        <v>222</v>
      </c>
    </row>
    <row r="18" customFormat="false" ht="30" hidden="false" customHeight="true" outlineLevel="0" collapsed="false">
      <c r="A18" s="2" t="s">
        <v>223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2026-09-07T12:54:45Z</dcterms:created>
  <dc:creator>openpyxl</dc:creator>
  <dc:description/>
  <dc:language>en-US</dc:language>
  <cp:lastModifiedBy/>
  <dcterms:modified xsi:type="dcterms:W3CDTF">2026-09-07T13:00:09Z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