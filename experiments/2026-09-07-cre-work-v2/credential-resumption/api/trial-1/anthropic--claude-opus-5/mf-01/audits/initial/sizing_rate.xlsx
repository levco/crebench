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nderwriting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2026-08-31</t>
        </is>
      </c>
      <c r="I2" s="2" t="inlineStr">
        <is>
          <t>Suite 001 signed amendment ($/mo)</t>
        </is>
      </c>
      <c r="J2" s="3" t="n">
        <v>350</v>
      </c>
    </row>
    <row r="4" ht="30" customHeight="1">
      <c r="A4" s="4" t="inlineStr">
        <is>
          <t>Suite</t>
        </is>
      </c>
      <c r="B4" s="4" t="inlineStr">
        <is>
          <t>Unit type</t>
        </is>
      </c>
      <c r="C4" s="4" t="inlineStr">
        <is>
          <t>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Sched. rent/mo</t>
        </is>
      </c>
      <c r="G4" s="4" t="inlineStr">
        <is>
          <t>In-place rent/mo</t>
        </is>
      </c>
      <c r="H4" s="4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pending</t>
        </is>
      </c>
      <c r="F49" s="2" t="n">
        <v>1925</v>
      </c>
      <c r="G49" s="2">
        <f>F49</f>
        <v/>
      </c>
      <c r="H49" s="2" t="inlineStr">
        <is>
          <t>2029-08-31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4" t="inlineStr">
        <is>
          <t>Roll summary</t>
        </is>
      </c>
    </row>
    <row r="55" ht="30" customHeight="1">
      <c r="A55" s="2" t="inlineStr">
        <is>
          <t>Total units</t>
        </is>
      </c>
      <c r="B55" s="5">
        <f>COUNTA(A5:A52)</f>
        <v/>
      </c>
    </row>
    <row r="56" ht="30" customHeight="1">
      <c r="A56" s="2" t="inlineStr">
        <is>
          <t>Occupied units (active possession)</t>
        </is>
      </c>
      <c r="B56" s="5">
        <f>COUNTIF(E5:E52,"active")</f>
        <v/>
      </c>
    </row>
    <row r="57" ht="30" customHeight="1">
      <c r="A57" s="2" t="inlineStr">
        <is>
          <t>Pending units (no possession)</t>
        </is>
      </c>
      <c r="B57" s="5">
        <f>COUNTIF(E5:E52,"pending")</f>
        <v/>
      </c>
    </row>
    <row r="58" ht="30" customHeight="1">
      <c r="A58" s="2" t="inlineStr">
        <is>
          <t>Vacant units</t>
        </is>
      </c>
      <c r="B58" s="5">
        <f>COUNTIF(E5:E52,"vacant")</f>
        <v/>
      </c>
    </row>
    <row r="59" ht="30" customHeight="1">
      <c r="A59" s="2" t="inlineStr">
        <is>
          <t>Total area SF</t>
        </is>
      </c>
      <c r="B59" s="6">
        <f>SUM(D5:D52)</f>
        <v/>
      </c>
    </row>
    <row r="60" ht="30" customHeight="1">
      <c r="A60" s="2" t="inlineStr">
        <is>
          <t>Occupied area SF</t>
        </is>
      </c>
      <c r="B60" s="6">
        <f>SUMIF(E5:E52,"active",D5:D52)</f>
        <v/>
      </c>
    </row>
    <row r="61" ht="30" customHeight="1">
      <c r="A61" s="2" t="inlineStr">
        <is>
          <t>Unit occupancy (decimal)</t>
        </is>
      </c>
      <c r="B61" s="7">
        <f>B56/B55</f>
        <v/>
      </c>
    </row>
    <row r="62" ht="30" customHeight="1">
      <c r="A62" s="2" t="inlineStr">
        <is>
          <t>Area occupancy (decimal)</t>
        </is>
      </c>
      <c r="B62" s="7">
        <f>B60/B59</f>
        <v/>
      </c>
    </row>
    <row r="63" ht="30" customHeight="1">
      <c r="A63" s="2" t="inlineStr">
        <is>
          <t>Scheduled monthly rent, all 48 suites (pre-amendment)</t>
        </is>
      </c>
      <c r="B63" s="6">
        <f>SUM(F5:F52)</f>
        <v/>
      </c>
    </row>
    <row r="64" ht="30" customHeight="1">
      <c r="A64" s="2" t="inlineStr">
        <is>
          <t>Gross potential rent, annual (roll x 12, pre-amendment)</t>
        </is>
      </c>
      <c r="B64" s="6">
        <f>B63*12</f>
        <v/>
      </c>
    </row>
    <row r="65" ht="30" customHeight="1">
      <c r="A65" s="2" t="inlineStr">
        <is>
          <t>In-place monthly rent, occupied suites (executed)</t>
        </is>
      </c>
      <c r="B65" s="6">
        <f>SUMIF(E5:E52,"active",G5:G52)</f>
        <v/>
      </c>
    </row>
    <row r="66" ht="30" customHeight="1">
      <c r="A66" s="2" t="inlineStr">
        <is>
          <t>Annual in-place rent (occupied x 12)</t>
        </is>
      </c>
      <c r="B66" s="6">
        <f>B65*12</f>
        <v/>
      </c>
    </row>
    <row r="67" ht="30" customHeight="1">
      <c r="A67" s="2" t="inlineStr">
        <is>
          <t>Suite 001 monthly rent after signed amendment</t>
        </is>
      </c>
      <c r="B67" s="6">
        <f>G5</f>
        <v/>
      </c>
    </row>
    <row r="69" ht="30" customHeight="1">
      <c r="A69" s="4" t="inlineStr">
        <is>
          <t>Group</t>
        </is>
      </c>
      <c r="B69" s="4" t="inlineStr">
        <is>
          <t>Type</t>
        </is>
      </c>
      <c r="C69" s="4" t="inlineStr">
        <is>
          <t>Units</t>
        </is>
      </c>
      <c r="D69" s="4" t="inlineStr">
        <is>
          <t>Occupied</t>
        </is>
      </c>
      <c r="E69" s="4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8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8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8">
        <f>SUMIF($C$5:$C$52,"C",$D$5:$D$52)</f>
        <v/>
      </c>
    </row>
    <row r="74" ht="30" customHeight="1">
      <c r="A74" s="2" t="inlineStr">
        <is>
          <t>Manager headline: 45 of 48 leased (occupied + pending); pending occupants have not taken possession (manager-cover.pdf p.1). Physical occupancy per certified detail is 44 of 48.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Underwritten cash flow (as of 2026-08-31)</t>
        </is>
      </c>
    </row>
    <row r="3" ht="30" customHeight="1">
      <c r="A3" s="4" t="inlineStr">
        <is>
          <t>Income</t>
        </is>
      </c>
      <c r="B3" s="4" t="inlineStr">
        <is>
          <t>Amount</t>
        </is>
      </c>
      <c r="C3" s="4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3" t="n">
        <v>974400</v>
      </c>
      <c r="C4" s="2" t="inlineStr">
        <is>
          <t>Certified roll scheduled rent 81,200/mo x 12, pre-amendment (rent-roll-certified.xlsx E5:E52)</t>
        </is>
      </c>
    </row>
    <row r="5" ht="30" customHeight="1">
      <c r="A5" s="2" t="inlineStr">
        <is>
          <t>Economic loss (vacancy/credit) [INPUT]</t>
        </is>
      </c>
      <c r="B5" s="9" t="n">
        <v>0.05</v>
      </c>
      <c r="C5" s="2" t="inlineStr">
        <is>
          <t>underwriting-instructions.pdf p.1</t>
        </is>
      </c>
    </row>
    <row r="6" ht="30" customHeight="1">
      <c r="A6" s="2" t="inlineStr">
        <is>
          <t>Effective rental income</t>
        </is>
      </c>
      <c r="B6" s="8">
        <f>B4*(1-B5)</f>
        <v/>
      </c>
    </row>
    <row r="7" ht="30" customHeight="1">
      <c r="A7" s="2" t="inlineStr">
        <is>
          <t>Other income per unit per year [INPUT]</t>
        </is>
      </c>
      <c r="B7" s="3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8">
        <f>B7*B8</f>
        <v/>
      </c>
    </row>
    <row r="10" ht="30" customHeight="1">
      <c r="A10" s="5" t="inlineStr">
        <is>
          <t>Underwritten EGI</t>
        </is>
      </c>
      <c r="B10" s="6">
        <f>B6+B9</f>
        <v/>
      </c>
    </row>
    <row r="12" ht="30" customHeight="1">
      <c r="A12" s="4" t="inlineStr">
        <is>
          <t>Operating expenses</t>
        </is>
      </c>
      <c r="B12" s="4" t="inlineStr">
        <is>
          <t>Amount</t>
        </is>
      </c>
    </row>
    <row r="13" ht="30" customHeight="1">
      <c r="A13" s="2" t="inlineStr">
        <is>
          <t>Real estate taxes [INPUT]</t>
        </is>
      </c>
      <c r="B13" s="3" t="n">
        <v>102312</v>
      </c>
      <c r="C13" s="2" t="inlineStr">
        <is>
          <t>underwriting-instructions.pdf p.1; matches T12</t>
        </is>
      </c>
    </row>
    <row r="14" ht="30" customHeight="1">
      <c r="A14" s="2" t="inlineStr">
        <is>
          <t>Insurance expense [INPUT]</t>
        </is>
      </c>
      <c r="B14" s="3" t="n">
        <v>34104</v>
      </c>
      <c r="C14" s="2" t="inlineStr">
        <is>
          <t>underwriting-instructions.pdf p.1; matches T12</t>
        </is>
      </c>
    </row>
    <row r="15" ht="30" customHeight="1">
      <c r="A15" s="2" t="inlineStr">
        <is>
          <t>Other recurring operating expenses [INPUT]</t>
        </is>
      </c>
      <c r="B15" s="3" t="n">
        <v>136416</v>
      </c>
    </row>
    <row r="16" ht="30" customHeight="1">
      <c r="A16" s="2" t="inlineStr">
        <is>
          <t>Management fee % of EGI [INPUT]</t>
        </is>
      </c>
      <c r="B16" s="9" t="n">
        <v>0.03</v>
      </c>
    </row>
    <row r="17" ht="30" customHeight="1">
      <c r="A17" s="2" t="inlineStr">
        <is>
          <t>Management fee</t>
        </is>
      </c>
      <c r="B17" s="8">
        <f>B16*B10</f>
        <v/>
      </c>
    </row>
    <row r="18" ht="30" customHeight="1">
      <c r="A18" s="5" t="inlineStr">
        <is>
          <t>Total underwritten operating expenses</t>
        </is>
      </c>
      <c r="B18" s="6">
        <f>SUM(B13:B15)+B17</f>
        <v/>
      </c>
    </row>
    <row r="19" ht="30" customHeight="1">
      <c r="A19" s="5" t="inlineStr">
        <is>
          <t>Underwritten NOI before reserves</t>
        </is>
      </c>
      <c r="B19" s="6">
        <f>B10-B18</f>
        <v/>
      </c>
    </row>
    <row r="20" ht="30" customHeight="1">
      <c r="A20" s="2" t="inlineStr">
        <is>
          <t>Replacement reserve per unit [INPUT]</t>
        </is>
      </c>
      <c r="B20" s="3" t="n">
        <v>300</v>
      </c>
    </row>
    <row r="21" ht="30" customHeight="1">
      <c r="A21" s="2" t="inlineStr">
        <is>
          <t>Replacement reserves</t>
        </is>
      </c>
      <c r="B21" s="8">
        <f>B20*B8</f>
        <v/>
      </c>
    </row>
    <row r="22" ht="30" customHeight="1">
      <c r="A22" s="5" t="inlineStr">
        <is>
          <t>Underwritten NCF after reserves</t>
        </is>
      </c>
      <c r="B22" s="6">
        <f>B19-B21</f>
        <v/>
      </c>
    </row>
    <row r="24" ht="30" customHeight="1">
      <c r="A24" s="4" t="inlineStr">
        <is>
          <t>Valuation</t>
        </is>
      </c>
    </row>
    <row r="25" ht="30" customHeight="1">
      <c r="A25" s="2" t="inlineStr">
        <is>
          <t>Capitalization rate [INPUT]</t>
        </is>
      </c>
      <c r="B25" s="10" t="n">
        <v>0.0575</v>
      </c>
    </row>
    <row r="26" ht="30" customHeight="1">
      <c r="A26" s="5" t="inlineStr">
        <is>
          <t>Capitalization value (NOI before reserves / cap rate)</t>
        </is>
      </c>
      <c r="B26" s="6">
        <f>B19/B25</f>
        <v/>
      </c>
    </row>
    <row r="28" ht="30" customHeight="1">
      <c r="A28" s="4" t="inlineStr">
        <is>
          <t>Historical comparison (T12 09/2025-08/2026)</t>
        </is>
      </c>
    </row>
    <row r="29" ht="30" customHeight="1">
      <c r="A29" s="2" t="inlineStr">
        <is>
          <t>Reported collections</t>
        </is>
      </c>
      <c r="B29" s="8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8" t="n">
        <v>604128</v>
      </c>
      <c r="C30" s="2" t="inlineStr">
        <is>
          <t>operating-statement.pdf p.1 (no mgmt fee or reserves)</t>
        </is>
      </c>
    </row>
    <row r="31" ht="30" customHeight="1">
      <c r="A31" s="2" t="inlineStr">
        <is>
          <t>Underwritten NOI vs reported T12 NOI</t>
        </is>
      </c>
      <c r="B31" s="8">
        <f>B19-B30</f>
        <v/>
      </c>
    </row>
    <row r="32" ht="30" customHeight="1">
      <c r="A32" s="2" t="inlineStr">
        <is>
          <t>Annual in-place rent (executed, occupied suites)</t>
        </is>
      </c>
      <c r="B32" s="8">
        <f>'Rent Roll'!B66</f>
        <v/>
      </c>
    </row>
    <row r="34" ht="30" customHeight="1">
      <c r="A34" s="2" t="inlineStr">
        <is>
          <t>Underwriting definitions differ: T12 NOI is cash-basis actual before management fee and reserves; underwritten NOI is a stabilized prescribed gross potential less 5% loss plus other income, less prescribed expenses; NCF deducts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Debt sizing and sources / uses</t>
        </is>
      </c>
    </row>
    <row r="3" ht="30" customHeight="1">
      <c r="A3" s="4" t="inlineStr">
        <is>
          <t>Constraint inputs</t>
        </is>
      </c>
      <c r="B3" s="4" t="inlineStr">
        <is>
          <t>Value</t>
        </is>
      </c>
      <c r="C3" s="4" t="inlineStr">
        <is>
          <t>Note</t>
        </is>
      </c>
    </row>
    <row r="4" ht="30" customHeight="1">
      <c r="A4" s="2" t="inlineStr">
        <is>
          <t>Maximum LTV</t>
        </is>
      </c>
      <c r="B4" s="9" t="n">
        <v>0.65</v>
      </c>
    </row>
    <row r="5" ht="30" customHeight="1">
      <c r="A5" s="2" t="inlineStr">
        <is>
          <t>Minimum DSCR (on NCF)</t>
        </is>
      </c>
      <c r="B5" s="11" t="n">
        <v>1.25</v>
      </c>
    </row>
    <row r="6" ht="30" customHeight="1">
      <c r="A6" s="2" t="inlineStr">
        <is>
          <t>Minimum NCF debt yield</t>
        </is>
      </c>
      <c r="B6" s="9" t="n">
        <v>0.09</v>
      </c>
    </row>
    <row r="7" ht="30" customHeight="1">
      <c r="A7" s="2" t="inlineStr">
        <is>
          <t>Amortization (years)</t>
        </is>
      </c>
      <c r="B7" s="12" t="n">
        <v>30</v>
      </c>
    </row>
    <row r="8" ht="30" customHeight="1">
      <c r="A8" s="2" t="inlineStr">
        <is>
          <t>Note rate</t>
        </is>
      </c>
      <c r="B8" s="13" t="n">
        <v>0.0625</v>
      </c>
      <c r="C8" s="2" t="inlineStr">
        <is>
          <t>underwriting-instructions.pdf p.1</t>
        </is>
      </c>
    </row>
    <row r="9" ht="30" customHeight="1">
      <c r="A9" s="2" t="inlineStr">
        <is>
          <t>Underwriting rate floor</t>
        </is>
      </c>
      <c r="B9" s="13" t="n">
        <v>0.06</v>
      </c>
      <c r="C9" s="2" t="inlineStr">
        <is>
          <t>Floor below note rate; not binding</t>
        </is>
      </c>
    </row>
    <row r="10" ht="30" customHeight="1">
      <c r="A10" s="2" t="inlineStr">
        <is>
          <t>Sizing rate (greater of note rate and floor) [INPUT]</t>
        </is>
      </c>
      <c r="B10" s="10" t="n">
        <v>0.0725</v>
      </c>
      <c r="C10" s="2" t="inlineStr">
        <is>
          <t>= MAX(B8,B9); sized on amortizing basis despite 24-month IO</t>
        </is>
      </c>
    </row>
    <row r="12" ht="30" customHeight="1">
      <c r="A12" s="4" t="inlineStr">
        <is>
          <t>Sizing tests</t>
        </is>
      </c>
      <c r="B12" s="4" t="inlineStr">
        <is>
          <t>Loan amount</t>
        </is>
      </c>
    </row>
    <row r="13" ht="30" customHeight="1">
      <c r="A13" s="2" t="inlineStr">
        <is>
          <t>LTV limit</t>
        </is>
      </c>
      <c r="B13" s="8">
        <f>B4*Underwriting!B26</f>
        <v/>
      </c>
    </row>
    <row r="14" ht="30" customHeight="1">
      <c r="A14" s="2" t="inlineStr">
        <is>
          <t>Maximum annual debt service at min DSCR</t>
        </is>
      </c>
      <c r="B14" s="8">
        <f>Underwriting!B22/B5</f>
        <v/>
      </c>
    </row>
    <row r="15" ht="30" customHeight="1">
      <c r="A15" s="2" t="inlineStr">
        <is>
          <t>DSCR limit (PV of monthly payment, 30-yr amort)</t>
        </is>
      </c>
      <c r="B15" s="8">
        <f>(B14/12)*(1-(1+B10/12)^(-B7*12))/(B10/12)</f>
        <v/>
      </c>
    </row>
    <row r="16" ht="30" customHeight="1">
      <c r="A16" s="2" t="inlineStr">
        <is>
          <t>Debt yield limit</t>
        </is>
      </c>
      <c r="B16" s="8">
        <f>Underwriting!B22/B6</f>
        <v/>
      </c>
    </row>
    <row r="17" ht="30" customHeight="1">
      <c r="A17" s="5" t="inlineStr">
        <is>
          <t>Maximum loan (binding = minimum)</t>
        </is>
      </c>
      <c r="B17" s="6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8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4" t="inlineStr">
        <is>
          <t>Sources</t>
        </is>
      </c>
      <c r="B24" s="4" t="inlineStr">
        <is>
          <t>Amount</t>
        </is>
      </c>
    </row>
    <row r="25" ht="30" customHeight="1">
      <c r="A25" s="2" t="inlineStr">
        <is>
          <t>Sized first mortgage</t>
        </is>
      </c>
      <c r="B25" s="8">
        <f>B17</f>
        <v/>
      </c>
    </row>
    <row r="27" ht="30" customHeight="1">
      <c r="A27" s="4" t="inlineStr">
        <is>
          <t>Uses</t>
        </is>
      </c>
      <c r="B27" s="4" t="inlineStr">
        <is>
          <t>Amount</t>
        </is>
      </c>
    </row>
    <row r="28" ht="30" customHeight="1">
      <c r="A28" s="2" t="inlineStr">
        <is>
          <t>Existing loan payoff</t>
        </is>
      </c>
      <c r="B28" s="3" t="n">
        <v>4200000</v>
      </c>
    </row>
    <row r="29" ht="30" customHeight="1">
      <c r="A29" s="2" t="inlineStr">
        <is>
          <t>Origination fee (1% of sized loan)</t>
        </is>
      </c>
      <c r="B29" s="8">
        <f>0.01*B17</f>
        <v/>
      </c>
    </row>
    <row r="30" ht="30" customHeight="1">
      <c r="A30" s="2" t="inlineStr">
        <is>
          <t>Closing costs</t>
        </is>
      </c>
      <c r="B30" s="3" t="n">
        <v>45000</v>
      </c>
    </row>
    <row r="31" ht="30" customHeight="1">
      <c r="A31" s="5" t="inlineStr">
        <is>
          <t>Total uses before distribution</t>
        </is>
      </c>
      <c r="B31" s="6">
        <f>SUM(B28:B30)</f>
        <v/>
      </c>
    </row>
    <row r="32" ht="30" customHeight="1">
      <c r="A32" s="5" t="inlineStr">
        <is>
          <t>Net cash-out (negative = equity required)</t>
        </is>
      </c>
      <c r="B32" s="6">
        <f>B25-B31</f>
        <v/>
      </c>
    </row>
    <row r="34" ht="30" customHeight="1">
      <c r="A34" s="2" t="inlineStr">
        <is>
          <t>Refinance shortfall test (loan net of costs vs payoff)</t>
        </is>
      </c>
      <c r="B34" s="2">
        <f>IF(B32&lt;0,"Shortfall","No shortfall")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(rows) vs sizing rate (columns)</t>
        </is>
      </c>
    </row>
    <row r="2" ht="30" customHeight="1">
      <c r="A2" s="2" t="inlineStr">
        <is>
          <t>Each cell = MIN(LTV limit, DSCR limit, debt yield limit) holding NOI/NCF constant</t>
        </is>
      </c>
    </row>
    <row r="4" ht="30" customHeight="1">
      <c r="A4" s="4" t="inlineStr">
        <is>
          <t>Cap rate \ Sizing rate</t>
        </is>
      </c>
      <c r="B4" s="15" t="n">
        <v>0.06</v>
      </c>
      <c r="C4" s="15" t="n">
        <v>0.0625</v>
      </c>
      <c r="D4" s="15" t="n">
        <v>0.065</v>
      </c>
      <c r="E4" s="15" t="n">
        <v>0.07000000000000001</v>
      </c>
    </row>
    <row r="5" ht="30" customHeight="1">
      <c r="A5" s="13" t="n">
        <v>0.0525</v>
      </c>
      <c r="B5" s="8">
        <f>MIN(Debt!$B$4*Underwriting!$B$19/$A5,(Underwriting!$B$22/Debt!$B$5/12)*(1-(1+B$4/12)^(-Debt!$B$7*12))/(B$4/12),Underwriting!$B$22/Debt!$B$6)</f>
        <v/>
      </c>
      <c r="C5" s="8">
        <f>MIN(Debt!$B$4*Underwriting!$B$19/$A5,(Underwriting!$B$22/Debt!$B$5/12)*(1-(1+C$4/12)^(-Debt!$B$7*12))/(C$4/12),Underwriting!$B$22/Debt!$B$6)</f>
        <v/>
      </c>
      <c r="D5" s="8">
        <f>MIN(Debt!$B$4*Underwriting!$B$19/$A5,(Underwriting!$B$22/Debt!$B$5/12)*(1-(1+D$4/12)^(-Debt!$B$7*12))/(D$4/12),Underwriting!$B$22/Debt!$B$6)</f>
        <v/>
      </c>
      <c r="E5" s="8">
        <f>MIN(Debt!$B$4*Underwriting!$B$19/$A5,(Underwriting!$B$22/Debt!$B$5/12)*(1-(1+E$4/12)^(-Debt!$B$7*12))/(E$4/12),Underwriting!$B$22/Debt!$B$6)</f>
        <v/>
      </c>
    </row>
    <row r="6" ht="30" customHeight="1">
      <c r="A6" s="13" t="n">
        <v>0.055</v>
      </c>
      <c r="B6" s="8">
        <f>MIN(Debt!$B$4*Underwriting!$B$19/$A6,(Underwriting!$B$22/Debt!$B$5/12)*(1-(1+B$4/12)^(-Debt!$B$7*12))/(B$4/12),Underwriting!$B$22/Debt!$B$6)</f>
        <v/>
      </c>
      <c r="C6" s="8">
        <f>MIN(Debt!$B$4*Underwriting!$B$19/$A6,(Underwriting!$B$22/Debt!$B$5/12)*(1-(1+C$4/12)^(-Debt!$B$7*12))/(C$4/12),Underwriting!$B$22/Debt!$B$6)</f>
        <v/>
      </c>
      <c r="D6" s="8">
        <f>MIN(Debt!$B$4*Underwriting!$B$19/$A6,(Underwriting!$B$22/Debt!$B$5/12)*(1-(1+D$4/12)^(-Debt!$B$7*12))/(D$4/12),Underwriting!$B$22/Debt!$B$6)</f>
        <v/>
      </c>
      <c r="E6" s="8">
        <f>MIN(Debt!$B$4*Underwriting!$B$19/$A6,(Underwriting!$B$22/Debt!$B$5/12)*(1-(1+E$4/12)^(-Debt!$B$7*12))/(E$4/12),Underwriting!$B$22/Debt!$B$6)</f>
        <v/>
      </c>
    </row>
    <row r="7" ht="30" customHeight="1">
      <c r="A7" s="13" t="n">
        <v>0.0575</v>
      </c>
      <c r="B7" s="8">
        <f>MIN(Debt!$B$4*Underwriting!$B$19/$A7,(Underwriting!$B$22/Debt!$B$5/12)*(1-(1+B$4/12)^(-Debt!$B$7*12))/(B$4/12),Underwriting!$B$22/Debt!$B$6)</f>
        <v/>
      </c>
      <c r="C7" s="8">
        <f>MIN(Debt!$B$4*Underwriting!$B$19/$A7,(Underwriting!$B$22/Debt!$B$5/12)*(1-(1+C$4/12)^(-Debt!$B$7*12))/(C$4/12),Underwriting!$B$22/Debt!$B$6)</f>
        <v/>
      </c>
      <c r="D7" s="8">
        <f>MIN(Debt!$B$4*Underwriting!$B$19/$A7,(Underwriting!$B$22/Debt!$B$5/12)*(1-(1+D$4/12)^(-Debt!$B$7*12))/(D$4/12),Underwriting!$B$22/Debt!$B$6)</f>
        <v/>
      </c>
      <c r="E7" s="8">
        <f>MIN(Debt!$B$4*Underwriting!$B$19/$A7,(Underwriting!$B$22/Debt!$B$5/12)*(1-(1+E$4/12)^(-Debt!$B$7*12))/(E$4/12),Underwriting!$B$22/Debt!$B$6)</f>
        <v/>
      </c>
    </row>
    <row r="8" ht="30" customHeight="1">
      <c r="A8" s="13" t="n">
        <v>0.06</v>
      </c>
      <c r="B8" s="8">
        <f>MIN(Debt!$B$4*Underwriting!$B$19/$A8,(Underwriting!$B$22/Debt!$B$5/12)*(1-(1+B$4/12)^(-Debt!$B$7*12))/(B$4/12),Underwriting!$B$22/Debt!$B$6)</f>
        <v/>
      </c>
      <c r="C8" s="8">
        <f>MIN(Debt!$B$4*Underwriting!$B$19/$A8,(Underwriting!$B$22/Debt!$B$5/12)*(1-(1+C$4/12)^(-Debt!$B$7*12))/(C$4/12),Underwriting!$B$22/Debt!$B$6)</f>
        <v/>
      </c>
      <c r="D8" s="8">
        <f>MIN(Debt!$B$4*Underwriting!$B$19/$A8,(Underwriting!$B$22/Debt!$B$5/12)*(1-(1+D$4/12)^(-Debt!$B$7*12))/(D$4/12),Underwriting!$B$22/Debt!$B$6)</f>
        <v/>
      </c>
      <c r="E8" s="8">
        <f>MIN(Debt!$B$4*Underwriting!$B$19/$A8,(Underwriting!$B$22/Debt!$B$5/12)*(1-(1+E$4/12)^(-Debt!$B$7*12))/(E$4/12),Underwriting!$B$22/Debt!$B$6)</f>
        <v/>
      </c>
    </row>
    <row r="9" ht="30" customHeight="1">
      <c r="A9" s="13" t="n">
        <v>0.0625</v>
      </c>
      <c r="B9" s="8">
        <f>MIN(Debt!$B$4*Underwriting!$B$19/$A9,(Underwriting!$B$22/Debt!$B$5/12)*(1-(1+B$4/12)^(-Debt!$B$7*12))/(B$4/12),Underwriting!$B$22/Debt!$B$6)</f>
        <v/>
      </c>
      <c r="C9" s="8">
        <f>MIN(Debt!$B$4*Underwriting!$B$19/$A9,(Underwriting!$B$22/Debt!$B$5/12)*(1-(1+C$4/12)^(-Debt!$B$7*12))/(C$4/12),Underwriting!$B$22/Debt!$B$6)</f>
        <v/>
      </c>
      <c r="D9" s="8">
        <f>MIN(Debt!$B$4*Underwriting!$B$19/$A9,(Underwriting!$B$22/Debt!$B$5/12)*(1-(1+D$4/12)^(-Debt!$B$7*12))/(D$4/12),Underwriting!$B$22/Debt!$B$6)</f>
        <v/>
      </c>
      <c r="E9" s="8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base case</t>
        </is>
      </c>
      <c r="B11" s="8">
        <f>Debt!B32</f>
        <v/>
      </c>
    </row>
    <row r="12" ht="30" customHeight="1">
      <c r="A12" s="2" t="inlineStr">
        <is>
          <t>Debt yield limit is a flat ceiling; DSCR governs at the base case.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4" t="inlineStr">
        <is>
          <t>File</t>
        </is>
      </c>
      <c r="B3" s="4" t="inlineStr">
        <is>
          <t>Location</t>
        </is>
      </c>
      <c r="C3" s="4" t="inlineStr">
        <is>
          <t>Facts used / status</t>
        </is>
      </c>
    </row>
    <row r="4" ht="30" customHeight="1">
      <c r="A4" s="2" t="inlineStr">
        <is>
          <t>rent-roll-certified.xlsx</t>
        </is>
      </c>
      <c r="B4" s="2" t="inlineStr">
        <is>
          <t>Rent Roll A2:G52</t>
        </is>
      </c>
      <c r="C4" s="2" t="inlineStr">
        <is>
          <t>Controlling roll dated 2026-08-31: 48 units, 44 active, 1 pending, 3 vacant, areas, scheduled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A2:G52</t>
        </is>
      </c>
      <c r="C5" s="2" t="inlineStr">
        <is>
          <t>Stale archive dated 2026-06-30 (lower rents); superseded, not used for underwriting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Suite 001 executed lease: $1,500/mo, 700 SF, expiry 2029-08-31, deposit $3,000,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Signed amendment executed 2026-07-20, effective 2026-08-01: +$350/mo; Suite 001 in-place rent $1,850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T12 09/2025-08/2026: collections 876,960; tax 102,312; insurance 34,104; other 136,416; roof capital booked 0; reported NOI 604,128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GL aggregate limit $2,000,000; policy 2026-07-01 to 2027-06-30 (coverage limit, not expense)</t>
        </is>
      </c>
    </row>
    <row r="10" ht="30" customHeight="1">
      <c r="A10" s="2" t="inlineStr">
        <is>
          <t>manager-cover.pdf</t>
        </is>
      </c>
      <c r="B10" s="2" t="inlineStr">
        <is>
          <t>p.1</t>
        </is>
      </c>
      <c r="C10" s="2" t="inlineStr">
        <is>
          <t>Raleigh, NC multifamily; group mapping A/B/C = Studio/1BR/2BR; manager headline 45 of 48 leased includes pending</t>
        </is>
      </c>
    </row>
    <row r="11" ht="30" customHeight="1">
      <c r="A11" s="2" t="inlineStr">
        <is>
          <t>underwriting-instructions.pdf</t>
        </is>
      </c>
      <c r="B11" s="2" t="inlineStr">
        <is>
          <t>p.1</t>
        </is>
      </c>
      <c r="C11" s="2" t="inlineStr">
        <is>
          <t>Prescribed GPR method, 5% loss, $350/unit other income, expense line items, 3% management, $300/unit reserves, 5.75% cap, 65% LTV / 1.25x DSCR / 9% debt yield, 6.25% note vs 6.00% floor, 1% fee, $45,000 closing, $4,200,000 payoff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PCA, title reviews incomplete - routine pending items, no defect findings</t>
        </is>
      </c>
    </row>
    <row r="14" ht="30" customHeight="1">
      <c r="A14" s="2" t="inlineStr">
        <is>
          <t>Not supplied (explicitly unknown, not zero): photographs, asking price, market sale/rent comparables, sponsor history, capital budget, unit-level concessions detail, tax/insurance renewal quotes.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2026-09-07T12:48:09Z</dcterms:created>
  <dcterms:modified xmlns:dcterms="http://purl.org/dc/terms/" xmlns:xsi="http://www.w3.org/2001/XMLSchema-instance" xsi:type="dcterms:W3CDTF">2026-09-07T12:54:05Z</dcterms:modified>
</cp:coreProperties>
</file>