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Log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44" customWidth="1" min="4" max="4"/>
  </cols>
  <sheetData>
    <row r="1" ht="30" customHeight="1">
      <c r="A1" s="1" t="inlineStr">
        <is>
          <t>Magnolia Terrace - Revision R1 (revision-notice.pdf p.1, effective 2026-09-01)</t>
        </is>
      </c>
    </row>
    <row r="2" ht="30" customHeight="1">
      <c r="A2" s="2" t="inlineStr">
        <is>
          <t>Approved copy preserved exactly: "Source-backed analysis. Assumptions remain subject to diligence."</t>
        </is>
      </c>
    </row>
    <row r="4" ht="30" customHeight="1">
      <c r="A4" s="3" t="inlineStr">
        <is>
          <t>Item</t>
        </is>
      </c>
      <c r="B4" s="3" t="inlineStr">
        <is>
          <t>Prior (initial)</t>
        </is>
      </c>
      <c r="C4" s="3" t="inlineStr">
        <is>
          <t>Revised (R1)</t>
        </is>
      </c>
      <c r="D4" s="3" t="inlineStr">
        <is>
          <t>Driver</t>
        </is>
      </c>
    </row>
    <row r="5" ht="30" customHeight="1">
      <c r="A5" s="2" t="inlineStr">
        <is>
          <t>Controlling roll date</t>
        </is>
      </c>
      <c r="B5" s="2" t="inlineStr">
        <is>
          <t>2026-08-31</t>
        </is>
      </c>
      <c r="C5" s="2" t="inlineStr">
        <is>
          <t>2026-09-01</t>
        </is>
      </c>
      <c r="D5" s="2" t="inlineStr">
        <is>
          <t>Revised certified roll supersedes prior roll</t>
        </is>
      </c>
    </row>
    <row r="6" ht="30" customHeight="1">
      <c r="A6" s="2" t="inlineStr">
        <is>
          <t>Suite 045 status</t>
        </is>
      </c>
      <c r="B6" s="2" t="inlineStr">
        <is>
          <t>pending (no possession)</t>
        </is>
      </c>
      <c r="C6" s="2" t="inlineStr">
        <is>
          <t>active</t>
        </is>
      </c>
      <c r="D6" s="2" t="inlineStr">
        <is>
          <t>revision-notice.pdf p.1; rent-roll-revised.xlsx D49</t>
        </is>
      </c>
    </row>
    <row r="7" ht="30" customHeight="1">
      <c r="A7" s="2" t="inlineStr">
        <is>
          <t>Suite 045 scheduled rent / mo</t>
        </is>
      </c>
      <c r="B7" s="4" t="n">
        <v>1925</v>
      </c>
      <c r="C7" s="4" t="n">
        <v>2150</v>
      </c>
      <c r="D7" s="2" t="inlineStr">
        <is>
          <t>+$225 per revision notice</t>
        </is>
      </c>
    </row>
    <row r="8" ht="30" customHeight="1">
      <c r="A8" s="2" t="inlineStr">
        <is>
          <t>Occupied units / pending units</t>
        </is>
      </c>
      <c r="B8" s="2" t="inlineStr">
        <is>
          <t>44 / 1</t>
        </is>
      </c>
      <c r="C8" s="2" t="inlineStr">
        <is>
          <t>45 / 0</t>
        </is>
      </c>
      <c r="D8" s="2" t="inlineStr">
        <is>
          <t>Suite 045 took possession</t>
        </is>
      </c>
    </row>
    <row r="9" ht="30" customHeight="1">
      <c r="A9" s="2" t="inlineStr">
        <is>
          <t>Gross potential rent</t>
        </is>
      </c>
      <c r="B9" s="4" t="n">
        <v>974400</v>
      </c>
      <c r="C9" s="4" t="n">
        <v>977100</v>
      </c>
      <c r="D9" s="2" t="inlineStr">
        <is>
          <t>All-unit scheduled rent on new roll x 12</t>
        </is>
      </c>
    </row>
    <row r="10" ht="30" customHeight="1">
      <c r="A10" s="2" t="inlineStr">
        <is>
          <t>Cap rate</t>
        </is>
      </c>
      <c r="B10" s="5" t="n">
        <v>0.0575</v>
      </c>
      <c r="C10" s="5" t="n">
        <v>0.06</v>
      </c>
      <c r="D10" s="2" t="inlineStr">
        <is>
          <t>+25 bps per revision notice</t>
        </is>
      </c>
    </row>
    <row r="11" ht="30" customHeight="1">
      <c r="A11" s="2" t="inlineStr">
        <is>
          <t>Sizing rate</t>
        </is>
      </c>
      <c r="B11" s="5" t="n">
        <v>0.0625</v>
      </c>
      <c r="C11" s="5" t="n">
        <v>0.07000000000000001</v>
      </c>
      <c r="D11" s="2" t="inlineStr">
        <is>
          <t>Initial sizing rate 6.2500% + 75 bps; floor 6.0000% still not binding</t>
        </is>
      </c>
    </row>
    <row r="12" ht="30" customHeight="1">
      <c r="A12" s="2" t="inlineStr">
        <is>
          <t>Maximum loan</t>
        </is>
      </c>
      <c r="B12" s="4" t="n">
        <v>6788545</v>
      </c>
      <c r="C12" s="4">
        <f>Debt!B17</f>
        <v/>
      </c>
      <c r="D12" s="2" t="inlineStr">
        <is>
          <t>DSCR remains the binding test at the higher sizing rate</t>
        </is>
      </c>
    </row>
    <row r="13" ht="30" customHeight="1">
      <c r="A13" s="2" t="inlineStr">
        <is>
          <t>Net cash-out</t>
        </is>
      </c>
      <c r="B13" s="4" t="n">
        <v>2475660</v>
      </c>
      <c r="C13" s="4">
        <f>Debt!B32</f>
        <v/>
      </c>
      <c r="D13" s="2" t="inlineStr">
        <is>
          <t>Lower proceeds; payoff and cost assumptions unchanged</t>
        </is>
      </c>
    </row>
    <row r="15" ht="30" customHeight="1">
      <c r="A15" s="2" t="inlineStr">
        <is>
          <t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Revised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2026-09-01</t>
        </is>
      </c>
      <c r="I2" s="2" t="inlineStr">
        <is>
          <t>Suite 001 signed amendment ($/mo)</t>
        </is>
      </c>
      <c r="J2" s="6" t="n">
        <v>350</v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Area SF</t>
        </is>
      </c>
      <c r="E4" s="3" t="inlineStr">
        <is>
          <t>Possession</t>
        </is>
      </c>
      <c r="F4" s="3" t="inlineStr">
        <is>
          <t>Sched. rent/mo</t>
        </is>
      </c>
      <c r="G4" s="3" t="inlineStr">
        <is>
          <t>In-place rent/mo</t>
        </is>
      </c>
      <c r="H4" s="3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active</t>
        </is>
      </c>
      <c r="F49" s="2" t="n">
        <v>2150</v>
      </c>
      <c r="G49" s="2">
        <f>F49</f>
        <v/>
      </c>
      <c r="H49" s="2" t="inlineStr">
        <is>
          <t>2029-08-31</t>
        </is>
      </c>
      <c r="I49" s="2" t="inlineStr">
        <is>
          <t>R1: now active; rent +$225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3" t="inlineStr">
        <is>
          <t>Roll summary</t>
        </is>
      </c>
    </row>
    <row r="55" ht="30" customHeight="1">
      <c r="A55" s="2" t="inlineStr">
        <is>
          <t>Total units</t>
        </is>
      </c>
      <c r="B55" s="7">
        <f>COUNTA(A5:A52)</f>
        <v/>
      </c>
    </row>
    <row r="56" ht="30" customHeight="1">
      <c r="A56" s="2" t="inlineStr">
        <is>
          <t>Occupied units (active possession)</t>
        </is>
      </c>
      <c r="B56" s="7">
        <f>COUNTIF(E5:E52,"active")</f>
        <v/>
      </c>
    </row>
    <row r="57" ht="30" customHeight="1">
      <c r="A57" s="2" t="inlineStr">
        <is>
          <t>Pending units (no possession)</t>
        </is>
      </c>
      <c r="B57" s="7">
        <f>COUNTIF(E5:E52,"pending")</f>
        <v/>
      </c>
    </row>
    <row r="58" ht="30" customHeight="1">
      <c r="A58" s="2" t="inlineStr">
        <is>
          <t>Vacant units</t>
        </is>
      </c>
      <c r="B58" s="7">
        <f>COUNTIF(E5:E52,"vacant")</f>
        <v/>
      </c>
    </row>
    <row r="59" ht="30" customHeight="1">
      <c r="A59" s="2" t="inlineStr">
        <is>
          <t>Total area SF</t>
        </is>
      </c>
      <c r="B59" s="8">
        <f>SUM(D5:D52)</f>
        <v/>
      </c>
    </row>
    <row r="60" ht="30" customHeight="1">
      <c r="A60" s="2" t="inlineStr">
        <is>
          <t>Occupied area SF</t>
        </is>
      </c>
      <c r="B60" s="8">
        <f>SUMIF(E5:E52,"active",D5:D52)</f>
        <v/>
      </c>
    </row>
    <row r="61" ht="30" customHeight="1">
      <c r="A61" s="2" t="inlineStr">
        <is>
          <t>Unit occupancy (decimal)</t>
        </is>
      </c>
      <c r="B61" s="9">
        <f>B56/B55</f>
        <v/>
      </c>
    </row>
    <row r="62" ht="30" customHeight="1">
      <c r="A62" s="2" t="inlineStr">
        <is>
          <t>Area occupancy (decimal)</t>
        </is>
      </c>
      <c r="B62" s="9">
        <f>B60/B59</f>
        <v/>
      </c>
    </row>
    <row r="63" ht="30" customHeight="1">
      <c r="A63" s="2" t="inlineStr">
        <is>
          <t>Scheduled monthly rent, all 48 suites (revised roll)</t>
        </is>
      </c>
      <c r="B63" s="8">
        <f>SUM(F5:F52)</f>
        <v/>
      </c>
    </row>
    <row r="64" ht="30" customHeight="1">
      <c r="A64" s="2" t="inlineStr">
        <is>
          <t>Gross potential rent, annual (roll x 12)</t>
        </is>
      </c>
      <c r="B64" s="8">
        <f>B63*12</f>
        <v/>
      </c>
    </row>
    <row r="65" ht="30" customHeight="1">
      <c r="A65" s="2" t="inlineStr">
        <is>
          <t>In-place monthly rent, occupied suites (executed)</t>
        </is>
      </c>
      <c r="B65" s="8">
        <f>SUMIF(E5:E52,"active",G5:G52)</f>
        <v/>
      </c>
    </row>
    <row r="66" ht="30" customHeight="1">
      <c r="A66" s="2" t="inlineStr">
        <is>
          <t>Annual in-place rent (occupied x 12)</t>
        </is>
      </c>
      <c r="B66" s="8">
        <f>B65*12</f>
        <v/>
      </c>
    </row>
    <row r="67" ht="30" customHeight="1">
      <c r="A67" s="2" t="inlineStr">
        <is>
          <t>Suite 001 monthly rent after signed amendment</t>
        </is>
      </c>
      <c r="B67" s="8">
        <f>G5</f>
        <v/>
      </c>
    </row>
    <row r="69" ht="30" customHeight="1">
      <c r="A69" s="3" t="inlineStr">
        <is>
          <t>Group</t>
        </is>
      </c>
      <c r="B69" s="3" t="inlineStr">
        <is>
          <t>Type</t>
        </is>
      </c>
      <c r="C69" s="3" t="inlineStr">
        <is>
          <t>Units</t>
        </is>
      </c>
      <c r="D69" s="3" t="inlineStr">
        <is>
          <t>Occupied</t>
        </is>
      </c>
      <c r="E69" s="3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4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4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4">
        <f>SUMIF($C$5:$C$52,"C",$D$5:$D$52)</f>
        <v/>
      </c>
    </row>
    <row r="74" ht="30" customHeight="1">
      <c r="A74" s="2" t="inlineStr">
        <is>
          <t>On the revised roll there are no pending suites; the manager's 45-of-48 headline now equals certified physical occupancy. Group mapping A/B/C = Studio/1BR/2BR per manager-cover.pdf p.1.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Revised underwritten cash flow (roll as of 2026-09-01)</t>
        </is>
      </c>
    </row>
    <row r="3" ht="30" customHeight="1">
      <c r="A3" s="3" t="inlineStr">
        <is>
          <t>Income</t>
        </is>
      </c>
      <c r="B3" s="3" t="inlineStr">
        <is>
          <t>Amount</t>
        </is>
      </c>
      <c r="C3" s="3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6" t="n">
        <v>928245</v>
      </c>
      <c r="C4" s="2" t="inlineStr">
        <is>
          <t>Revised roll all-unit scheduled rent 81,425/mo x 12 (rent-roll-revised.xlsx E5:E52)</t>
        </is>
      </c>
    </row>
    <row r="5" ht="30" customHeight="1">
      <c r="A5" s="2" t="inlineStr">
        <is>
          <t>Economic loss (vacancy/credit) [INPUT]</t>
        </is>
      </c>
      <c r="B5" s="10" t="n">
        <v>0.05</v>
      </c>
      <c r="C5" s="2" t="inlineStr">
        <is>
          <t>underwriting-instructions.pdf p.1 (unchanged)</t>
        </is>
      </c>
    </row>
    <row r="6" ht="30" customHeight="1">
      <c r="A6" s="2" t="inlineStr">
        <is>
          <t>Effective rental income</t>
        </is>
      </c>
      <c r="B6" s="4">
        <f>B4*(1-B5)</f>
        <v/>
      </c>
    </row>
    <row r="7" ht="30" customHeight="1">
      <c r="A7" s="2" t="inlineStr">
        <is>
          <t>Other income per unit per year [INPUT]</t>
        </is>
      </c>
      <c r="B7" s="6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4">
        <f>B7*B8</f>
        <v/>
      </c>
    </row>
    <row r="10" ht="30" customHeight="1">
      <c r="A10" s="7" t="inlineStr">
        <is>
          <t>Underwritten EGI</t>
        </is>
      </c>
      <c r="B10" s="8">
        <f>B6+B9</f>
        <v/>
      </c>
    </row>
    <row r="12" ht="30" customHeight="1">
      <c r="A12" s="3" t="inlineStr">
        <is>
          <t>Operating expenses</t>
        </is>
      </c>
      <c r="B12" s="3" t="inlineStr">
        <is>
          <t>Amount</t>
        </is>
      </c>
    </row>
    <row r="13" ht="30" customHeight="1">
      <c r="A13" s="2" t="inlineStr">
        <is>
          <t>Real estate taxes [INPUT]</t>
        </is>
      </c>
      <c r="B13" s="6" t="n">
        <v>102312</v>
      </c>
    </row>
    <row r="14" ht="30" customHeight="1">
      <c r="A14" s="2" t="inlineStr">
        <is>
          <t>Insurance expense [INPUT]</t>
        </is>
      </c>
      <c r="B14" s="6" t="n">
        <v>34104</v>
      </c>
    </row>
    <row r="15" ht="30" customHeight="1">
      <c r="A15" s="2" t="inlineStr">
        <is>
          <t>Other recurring operating expenses [INPUT]</t>
        </is>
      </c>
      <c r="B15" s="6" t="n">
        <v>136416</v>
      </c>
    </row>
    <row r="16" ht="30" customHeight="1">
      <c r="A16" s="2" t="inlineStr">
        <is>
          <t>Management fee % of EGI [INPUT]</t>
        </is>
      </c>
      <c r="B16" s="10" t="n">
        <v>0.03</v>
      </c>
    </row>
    <row r="17" ht="30" customHeight="1">
      <c r="A17" s="2" t="inlineStr">
        <is>
          <t>Management fee</t>
        </is>
      </c>
      <c r="B17" s="4">
        <f>B16*B10</f>
        <v/>
      </c>
    </row>
    <row r="18" ht="30" customHeight="1">
      <c r="A18" s="7" t="inlineStr">
        <is>
          <t>Total underwritten operating expenses</t>
        </is>
      </c>
      <c r="B18" s="8">
        <f>SUM(B13:B15)+B17</f>
        <v/>
      </c>
    </row>
    <row r="19" ht="30" customHeight="1">
      <c r="A19" s="7" t="inlineStr">
        <is>
          <t>Underwritten NOI before reserves</t>
        </is>
      </c>
      <c r="B19" s="8">
        <f>B10-B18</f>
        <v/>
      </c>
    </row>
    <row r="20" ht="30" customHeight="1">
      <c r="A20" s="2" t="inlineStr">
        <is>
          <t>Replacement reserve per unit [INPUT]</t>
        </is>
      </c>
      <c r="B20" s="6" t="n">
        <v>300</v>
      </c>
    </row>
    <row r="21" ht="30" customHeight="1">
      <c r="A21" s="2" t="inlineStr">
        <is>
          <t>Replacement reserves</t>
        </is>
      </c>
      <c r="B21" s="4">
        <f>B20*B8</f>
        <v/>
      </c>
    </row>
    <row r="22" ht="30" customHeight="1">
      <c r="A22" s="7" t="inlineStr">
        <is>
          <t>Underwritten NCF after reserves</t>
        </is>
      </c>
      <c r="B22" s="8">
        <f>B19-B21</f>
        <v/>
      </c>
    </row>
    <row r="24" ht="30" customHeight="1">
      <c r="A24" s="3" t="inlineStr">
        <is>
          <t>Valuation</t>
        </is>
      </c>
    </row>
    <row r="25" ht="30" customHeight="1">
      <c r="A25" s="2" t="inlineStr">
        <is>
          <t>Capitalization rate [INPUT]</t>
        </is>
      </c>
      <c r="B25" s="11" t="n">
        <v>0.06</v>
      </c>
      <c r="C25" s="2" t="inlineStr">
        <is>
          <t>Prior 5.7500% + 25 bps (revision-notice.pdf p.1)</t>
        </is>
      </c>
    </row>
    <row r="26" ht="30" customHeight="1">
      <c r="A26" s="7" t="inlineStr">
        <is>
          <t>Capitalization value (NOI before reserves / cap rate)</t>
        </is>
      </c>
      <c r="B26" s="8">
        <f>B19/B25</f>
        <v/>
      </c>
    </row>
    <row r="28" ht="30" customHeight="1">
      <c r="A28" s="3" t="inlineStr">
        <is>
          <t>Historical comparison (T12 09/2025-08/2026, unchanged)</t>
        </is>
      </c>
    </row>
    <row r="29" ht="30" customHeight="1">
      <c r="A29" s="2" t="inlineStr">
        <is>
          <t>Reported collections</t>
        </is>
      </c>
      <c r="B29" s="4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4" t="n">
        <v>604128</v>
      </c>
      <c r="C30" s="2" t="inlineStr">
        <is>
          <t>Cash basis; before management fee and reserves</t>
        </is>
      </c>
    </row>
    <row r="31" ht="30" customHeight="1">
      <c r="A31" s="2" t="inlineStr">
        <is>
          <t>Revised underwritten NOI vs reported T12 NOI</t>
        </is>
      </c>
      <c r="B31" s="4">
        <f>B19-B30</f>
        <v/>
      </c>
    </row>
    <row r="32" ht="30" customHeight="1">
      <c r="A32" s="2" t="inlineStr">
        <is>
          <t>Annual in-place rent (executed, occupied suites)</t>
        </is>
      </c>
      <c r="B32" s="4">
        <f>'Rent Roll'!B66</f>
        <v/>
      </c>
    </row>
    <row r="34" ht="30" customHeight="1">
      <c r="A34" s="2" t="inlineStr">
        <is>
          <t>Definitions unchanged: T12 NOI is cash-basis actual before management fee and reserves; underwritten NOI is stabilized all-unit gross potential less 5% loss plus other income, less prescribed expenses; NCF deducts $300/unit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Revised debt sizing and sources / uses</t>
        </is>
      </c>
    </row>
    <row r="3" ht="30" customHeight="1">
      <c r="A3" s="3" t="inlineStr">
        <is>
          <t>Constraint inputs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Maximum LTV</t>
        </is>
      </c>
      <c r="B4" s="10" t="n">
        <v>0.65</v>
      </c>
    </row>
    <row r="5" ht="30" customHeight="1">
      <c r="A5" s="2" t="inlineStr">
        <is>
          <t>Minimum DSCR (on NCF)</t>
        </is>
      </c>
      <c r="B5" s="12" t="n">
        <v>1.25</v>
      </c>
    </row>
    <row r="6" ht="30" customHeight="1">
      <c r="A6" s="2" t="inlineStr">
        <is>
          <t>Minimum NCF debt yield</t>
        </is>
      </c>
      <c r="B6" s="10" t="n">
        <v>0.09</v>
      </c>
    </row>
    <row r="7" ht="30" customHeight="1">
      <c r="A7" s="2" t="inlineStr">
        <is>
          <t>Amortization (years)</t>
        </is>
      </c>
      <c r="B7" s="13" t="n">
        <v>30</v>
      </c>
    </row>
    <row r="8" ht="30" customHeight="1">
      <c r="A8" s="2" t="inlineStr">
        <is>
          <t>Note rate</t>
        </is>
      </c>
      <c r="B8" s="5" t="n">
        <v>0.0625</v>
      </c>
    </row>
    <row r="9" ht="30" customHeight="1">
      <c r="A9" s="2" t="inlineStr">
        <is>
          <t>Underwriting rate floor</t>
        </is>
      </c>
      <c r="B9" s="5" t="n">
        <v>0.06</v>
      </c>
      <c r="C9" s="2" t="inlineStr">
        <is>
          <t>Floor still below note rate; not binding</t>
        </is>
      </c>
    </row>
    <row r="10" ht="30" customHeight="1">
      <c r="A10" s="2" t="inlineStr">
        <is>
          <t>Sizing rate (initial 6.2500% + 75 bps) [INPUT]</t>
        </is>
      </c>
      <c r="B10" s="11" t="n">
        <v>0.07000000000000001</v>
      </c>
      <c r="C10" s="2" t="inlineStr">
        <is>
          <t>revision-notice.pdf p.1; exceeds both note rate and floor</t>
        </is>
      </c>
    </row>
    <row r="12" ht="30" customHeight="1">
      <c r="A12" s="3" t="inlineStr">
        <is>
          <t>Sizing tests</t>
        </is>
      </c>
      <c r="B12" s="3" t="inlineStr">
        <is>
          <t>Loan amount</t>
        </is>
      </c>
    </row>
    <row r="13" ht="30" customHeight="1">
      <c r="A13" s="2" t="inlineStr">
        <is>
          <t>LTV limit</t>
        </is>
      </c>
      <c r="B13" s="4">
        <f>B4*Underwriting!B26</f>
        <v/>
      </c>
    </row>
    <row r="14" ht="30" customHeight="1">
      <c r="A14" s="2" t="inlineStr">
        <is>
          <t>Maximum annual debt service at min DSCR</t>
        </is>
      </c>
      <c r="B14" s="4">
        <f>Underwriting!B22/B5</f>
        <v/>
      </c>
    </row>
    <row r="15" ht="30" customHeight="1">
      <c r="A15" s="2" t="inlineStr">
        <is>
          <t>DSCR limit (PV of monthly payment, 30-yr amort)</t>
        </is>
      </c>
      <c r="B15" s="4">
        <f>(B14/12)*(1-(1+B10/12)^(-B7*12))/(B10/12)</f>
        <v/>
      </c>
    </row>
    <row r="16" ht="30" customHeight="1">
      <c r="A16" s="2" t="inlineStr">
        <is>
          <t>Debt yield limit</t>
        </is>
      </c>
      <c r="B16" s="4">
        <f>Underwriting!B22/B6</f>
        <v/>
      </c>
    </row>
    <row r="17" ht="30" customHeight="1">
      <c r="A17" s="7" t="inlineStr">
        <is>
          <t>Maximum loan (binding = minimum)</t>
        </is>
      </c>
      <c r="B17" s="8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4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3" t="inlineStr">
        <is>
          <t>Sources</t>
        </is>
      </c>
      <c r="B24" s="3" t="inlineStr">
        <is>
          <t>Amount</t>
        </is>
      </c>
    </row>
    <row r="25" ht="30" customHeight="1">
      <c r="A25" s="2" t="inlineStr">
        <is>
          <t>Sized first mortgage</t>
        </is>
      </c>
      <c r="B25" s="4">
        <f>B17</f>
        <v/>
      </c>
    </row>
    <row r="27" ht="30" customHeight="1">
      <c r="A27" s="3" t="inlineStr">
        <is>
          <t>Uses</t>
        </is>
      </c>
      <c r="B27" s="3" t="inlineStr">
        <is>
          <t>Amount</t>
        </is>
      </c>
    </row>
    <row r="28" ht="30" customHeight="1">
      <c r="A28" s="2" t="inlineStr">
        <is>
          <t>Existing loan payoff</t>
        </is>
      </c>
      <c r="B28" s="6" t="n">
        <v>4200000</v>
      </c>
    </row>
    <row r="29" ht="30" customHeight="1">
      <c r="A29" s="2" t="inlineStr">
        <is>
          <t>Origination fee (1% of sized loan)</t>
        </is>
      </c>
      <c r="B29" s="4">
        <f>0.01*B17</f>
        <v/>
      </c>
    </row>
    <row r="30" ht="30" customHeight="1">
      <c r="A30" s="2" t="inlineStr">
        <is>
          <t>Closing costs</t>
        </is>
      </c>
      <c r="B30" s="6" t="n">
        <v>45000</v>
      </c>
    </row>
    <row r="31" ht="30" customHeight="1">
      <c r="A31" s="7" t="inlineStr">
        <is>
          <t>Total uses before distribution</t>
        </is>
      </c>
      <c r="B31" s="8">
        <f>SUM(B28:B30)</f>
        <v/>
      </c>
    </row>
    <row r="32" ht="30" customHeight="1">
      <c r="A32" s="7" t="inlineStr">
        <is>
          <t>Net cash-out (negative = equity required)</t>
        </is>
      </c>
      <c r="B32" s="8">
        <f>B25-B31</f>
        <v/>
      </c>
    </row>
    <row r="34" ht="30" customHeight="1">
      <c r="A34" s="2" t="inlineStr">
        <is>
          <t>Refinance shortfall test</t>
        </is>
      </c>
      <c r="B34" s="2">
        <f>IF(B32&lt;0,"Shortfall","No shortfall")</f>
        <v/>
      </c>
    </row>
    <row r="36" ht="30" customHeight="1">
      <c r="A36" s="2" t="inlineStr">
        <is>
          <t>Change vs initial: maximum loan falls from $6,788,545 to the amount above because the sizing rate rises 75 bps; the higher cap rate lowers the LTV ceiling, while DSCR remains binding.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Revised maximum loan sensitivity - cap rate (rows) vs sizing rate (columns)</t>
        </is>
      </c>
    </row>
    <row r="2" ht="30" customHeight="1">
      <c r="A2" s="2" t="inlineStr">
        <is>
          <t>Each cell = MIN(LTV limit, DSCR limit, debt yield limit) holding revised NOI/NCF constant. Base case shaded by rate 7.0000% / cap 6.0000%.</t>
        </is>
      </c>
    </row>
    <row r="4" ht="30" customHeight="1">
      <c r="A4" s="3" t="inlineStr">
        <is>
          <t>Cap rate \ Sizing rate</t>
        </is>
      </c>
      <c r="B4" s="15" t="n">
        <v>0.065</v>
      </c>
      <c r="C4" s="15" t="n">
        <v>0.07000000000000001</v>
      </c>
      <c r="D4" s="15" t="n">
        <v>0.075</v>
      </c>
      <c r="E4" s="15" t="n">
        <v>0.08</v>
      </c>
    </row>
    <row r="5" ht="30" customHeight="1">
      <c r="A5" s="5" t="n">
        <v>0.055</v>
      </c>
      <c r="B5" s="4">
        <f>MIN(Debt!$B$4*Underwriting!$B$19/$A5,(Underwriting!$B$22/Debt!$B$5/12)*(1-(1+B$4/12)^(-Debt!$B$7*12))/(B$4/12),Underwriting!$B$22/Debt!$B$6)</f>
        <v/>
      </c>
      <c r="C5" s="4">
        <f>MIN(Debt!$B$4*Underwriting!$B$19/$A5,(Underwriting!$B$22/Debt!$B$5/12)*(1-(1+C$4/12)^(-Debt!$B$7*12))/(C$4/12),Underwriting!$B$22/Debt!$B$6)</f>
        <v/>
      </c>
      <c r="D5" s="4">
        <f>MIN(Debt!$B$4*Underwriting!$B$19/$A5,(Underwriting!$B$22/Debt!$B$5/12)*(1-(1+D$4/12)^(-Debt!$B$7*12))/(D$4/12),Underwriting!$B$22/Debt!$B$6)</f>
        <v/>
      </c>
      <c r="E5" s="4">
        <f>MIN(Debt!$B$4*Underwriting!$B$19/$A5,(Underwriting!$B$22/Debt!$B$5/12)*(1-(1+E$4/12)^(-Debt!$B$7*12))/(E$4/12),Underwriting!$B$22/Debt!$B$6)</f>
        <v/>
      </c>
    </row>
    <row r="6" ht="30" customHeight="1">
      <c r="A6" s="5" t="n">
        <v>0.0575</v>
      </c>
      <c r="B6" s="4">
        <f>MIN(Debt!$B$4*Underwriting!$B$19/$A6,(Underwriting!$B$22/Debt!$B$5/12)*(1-(1+B$4/12)^(-Debt!$B$7*12))/(B$4/12),Underwriting!$B$22/Debt!$B$6)</f>
        <v/>
      </c>
      <c r="C6" s="4">
        <f>MIN(Debt!$B$4*Underwriting!$B$19/$A6,(Underwriting!$B$22/Debt!$B$5/12)*(1-(1+C$4/12)^(-Debt!$B$7*12))/(C$4/12),Underwriting!$B$22/Debt!$B$6)</f>
        <v/>
      </c>
      <c r="D6" s="4">
        <f>MIN(Debt!$B$4*Underwriting!$B$19/$A6,(Underwriting!$B$22/Debt!$B$5/12)*(1-(1+D$4/12)^(-Debt!$B$7*12))/(D$4/12),Underwriting!$B$22/Debt!$B$6)</f>
        <v/>
      </c>
      <c r="E6" s="4">
        <f>MIN(Debt!$B$4*Underwriting!$B$19/$A6,(Underwriting!$B$22/Debt!$B$5/12)*(1-(1+E$4/12)^(-Debt!$B$7*12))/(E$4/12),Underwriting!$B$22/Debt!$B$6)</f>
        <v/>
      </c>
    </row>
    <row r="7" ht="30" customHeight="1">
      <c r="A7" s="5" t="n">
        <v>0.06</v>
      </c>
      <c r="B7" s="4">
        <f>MIN(Debt!$B$4*Underwriting!$B$19/$A7,(Underwriting!$B$22/Debt!$B$5/12)*(1-(1+B$4/12)^(-Debt!$B$7*12))/(B$4/12),Underwriting!$B$22/Debt!$B$6)</f>
        <v/>
      </c>
      <c r="C7" s="4">
        <f>MIN(Debt!$B$4*Underwriting!$B$19/$A7,(Underwriting!$B$22/Debt!$B$5/12)*(1-(1+C$4/12)^(-Debt!$B$7*12))/(C$4/12),Underwriting!$B$22/Debt!$B$6)</f>
        <v/>
      </c>
      <c r="D7" s="4">
        <f>MIN(Debt!$B$4*Underwriting!$B$19/$A7,(Underwriting!$B$22/Debt!$B$5/12)*(1-(1+D$4/12)^(-Debt!$B$7*12))/(D$4/12),Underwriting!$B$22/Debt!$B$6)</f>
        <v/>
      </c>
      <c r="E7" s="4">
        <f>MIN(Debt!$B$4*Underwriting!$B$19/$A7,(Underwriting!$B$22/Debt!$B$5/12)*(1-(1+E$4/12)^(-Debt!$B$7*12))/(E$4/12),Underwriting!$B$22/Debt!$B$6)</f>
        <v/>
      </c>
    </row>
    <row r="8" ht="30" customHeight="1">
      <c r="A8" s="5" t="n">
        <v>0.0625</v>
      </c>
      <c r="B8" s="4">
        <f>MIN(Debt!$B$4*Underwriting!$B$19/$A8,(Underwriting!$B$22/Debt!$B$5/12)*(1-(1+B$4/12)^(-Debt!$B$7*12))/(B$4/12),Underwriting!$B$22/Debt!$B$6)</f>
        <v/>
      </c>
      <c r="C8" s="4">
        <f>MIN(Debt!$B$4*Underwriting!$B$19/$A8,(Underwriting!$B$22/Debt!$B$5/12)*(1-(1+C$4/12)^(-Debt!$B$7*12))/(C$4/12),Underwriting!$B$22/Debt!$B$6)</f>
        <v/>
      </c>
      <c r="D8" s="4">
        <f>MIN(Debt!$B$4*Underwriting!$B$19/$A8,(Underwriting!$B$22/Debt!$B$5/12)*(1-(1+D$4/12)^(-Debt!$B$7*12))/(D$4/12),Underwriting!$B$22/Debt!$B$6)</f>
        <v/>
      </c>
      <c r="E8" s="4">
        <f>MIN(Debt!$B$4*Underwriting!$B$19/$A8,(Underwriting!$B$22/Debt!$B$5/12)*(1-(1+E$4/12)^(-Debt!$B$7*12))/(E$4/12),Underwriting!$B$22/Debt!$B$6)</f>
        <v/>
      </c>
    </row>
    <row r="9" ht="30" customHeight="1">
      <c r="A9" s="5" t="n">
        <v>0.065</v>
      </c>
      <c r="B9" s="4">
        <f>MIN(Debt!$B$4*Underwriting!$B$19/$A9,(Underwriting!$B$22/Debt!$B$5/12)*(1-(1+B$4/12)^(-Debt!$B$7*12))/(B$4/12),Underwriting!$B$22/Debt!$B$6)</f>
        <v/>
      </c>
      <c r="C9" s="4">
        <f>MIN(Debt!$B$4*Underwriting!$B$19/$A9,(Underwriting!$B$22/Debt!$B$5/12)*(1-(1+C$4/12)^(-Debt!$B$7*12))/(C$4/12),Underwriting!$B$22/Debt!$B$6)</f>
        <v/>
      </c>
      <c r="D9" s="4">
        <f>MIN(Debt!$B$4*Underwriting!$B$19/$A9,(Underwriting!$B$22/Debt!$B$5/12)*(1-(1+D$4/12)^(-Debt!$B$7*12))/(D$4/12),Underwriting!$B$22/Debt!$B$6)</f>
        <v/>
      </c>
      <c r="E9" s="4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revised base case</t>
        </is>
      </c>
      <c r="B11" s="4">
        <f>Debt!B32</f>
        <v/>
      </c>
    </row>
    <row r="12" ht="30" customHeight="1">
      <c r="A12" s="2" t="inlineStr">
        <is>
          <t>Net cash-out at prior initial base case (archive)</t>
        </is>
      </c>
      <c r="B12" s="4" t="n">
        <v>2475660</v>
      </c>
    </row>
    <row r="13" ht="30" customHeight="1">
      <c r="A13" s="2" t="inlineStr">
        <is>
          <t>DSCR governs throughout this grid at the revised rates; the debt yield ceiling of NCF/9% and the LTV ceiling sit above it.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 (revision R1)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Facts used / status</t>
        </is>
      </c>
    </row>
    <row r="4" ht="30" customHeight="1">
      <c r="A4" s="2" t="inlineStr">
        <is>
          <t>rent-roll-revised.xlsx</t>
        </is>
      </c>
      <c r="B4" s="2" t="inlineStr">
        <is>
          <t>Rent Roll A2:G52</t>
        </is>
      </c>
      <c r="C4" s="2" t="inlineStr">
        <is>
          <t>CONTROLLING roll dated 2026-09-01: 48 units, 45 active, 0 pending, 3 vacant; suite 045 active at $2,150/mo; all expirations 2029-08-31</t>
        </is>
      </c>
    </row>
    <row r="5" ht="30" customHeight="1">
      <c r="A5" s="2" t="inlineStr">
        <is>
          <t>revision-notice.pdf</t>
        </is>
      </c>
      <c r="B5" s="2" t="inlineStr">
        <is>
          <t>p.1</t>
        </is>
      </c>
      <c r="C5" s="2" t="inlineStr">
        <is>
          <t>Supersession effective 2026-09-01; suite 045 active and +$225 rent; sizing rate +75 bps; cap rate +25 bps; all other rules and payoff unchanged</t>
        </is>
      </c>
    </row>
    <row r="6" ht="30" customHeight="1">
      <c r="A6" s="2" t="inlineStr">
        <is>
          <t>rent-roll-certified.xlsx</t>
        </is>
      </c>
      <c r="B6" s="2" t="inlineStr">
        <is>
          <t>Rent Roll A2:G52</t>
        </is>
      </c>
      <c r="C6" s="2" t="inlineStr">
        <is>
          <t>Prior certified roll dated 2026-08-31; superseded, retained for audit trail</t>
        </is>
      </c>
    </row>
    <row r="7" ht="30" customHeight="1">
      <c r="A7" s="2" t="inlineStr">
        <is>
          <t>rent-roll-archive.xlsx</t>
        </is>
      </c>
      <c r="B7" s="2" t="inlineStr">
        <is>
          <t>Rent Roll A2:G52</t>
        </is>
      </c>
      <c r="C7" s="2" t="inlineStr">
        <is>
          <t>Stale archive dated 2026-06-30; superseded, not used</t>
        </is>
      </c>
    </row>
    <row r="8" ht="30" customHeight="1">
      <c r="A8" s="2" t="inlineStr">
        <is>
          <t>lease-001.pdf</t>
        </is>
      </c>
      <c r="B8" s="2" t="inlineStr">
        <is>
          <t>p.1</t>
        </is>
      </c>
      <c r="C8" s="2" t="inlineStr">
        <is>
          <t>Suite 001 executed lease: $1,500/mo, 700 SF, expiry 2029-08-31, deposit $3,000, no free rent</t>
        </is>
      </c>
    </row>
    <row r="9" ht="30" customHeight="1">
      <c r="A9" s="2" t="inlineStr">
        <is>
          <t>lease-correspondence.pdf</t>
        </is>
      </c>
      <c r="B9" s="2" t="inlineStr">
        <is>
          <t>p.1</t>
        </is>
      </c>
      <c r="C9" s="2" t="inlineStr">
        <is>
          <t>Signed amendment executed 2026-07-20, effective 2026-08-01: +$350/mo; continues to apply (in-place $1,850)</t>
        </is>
      </c>
    </row>
    <row r="10" ht="30" customHeight="1">
      <c r="A10" s="2" t="inlineStr">
        <is>
          <t>operating-statement.pdf</t>
        </is>
      </c>
      <c r="B10" s="2" t="inlineStr">
        <is>
          <t>p.1</t>
        </is>
      </c>
      <c r="C10" s="2" t="inlineStr">
        <is>
          <t>T12 09/2025-08/2026: collections 876,960; tax 102,312; insurance 34,104; other 136,416; roof capital 0; reported NOI 604,128</t>
        </is>
      </c>
    </row>
    <row r="11" ht="30" customHeight="1">
      <c r="A11" s="2" t="inlineStr">
        <is>
          <t>insurance.pdf</t>
        </is>
      </c>
      <c r="B11" s="2" t="inlineStr">
        <is>
          <t>p.1</t>
        </is>
      </c>
      <c r="C11" s="2" t="inlineStr">
        <is>
          <t>GL aggregate limit $2,000,000; policy 2026-07-01 to 2027-06-30</t>
        </is>
      </c>
    </row>
    <row r="12" ht="30" customHeight="1">
      <c r="A12" s="2" t="inlineStr">
        <is>
          <t>manager-cover.pdf</t>
        </is>
      </c>
      <c r="B12" s="2" t="inlineStr">
        <is>
          <t>p.1</t>
        </is>
      </c>
      <c r="C12" s="2" t="inlineStr">
        <is>
          <t>Raleigh, NC multifamily; A/B/C = Studio/1BR/2BR; approved copy sentence</t>
        </is>
      </c>
    </row>
    <row r="13" ht="30" customHeight="1">
      <c r="A13" s="2" t="inlineStr">
        <is>
          <t>underwriting-instructions.pdf</t>
        </is>
      </c>
      <c r="B13" s="2" t="inlineStr">
        <is>
          <t>p.1</t>
        </is>
      </c>
      <c r="C13" s="2" t="inlineStr">
        <is>
          <t>5% loss, $350/unit other income, expense lines, 3% management, $300/unit reserves, 65% LTV / 1.25x DSCR / 9% debt yield, 30-yr amort, note 6.2500% vs floor 6.0000%, 1% fee, $45,000 closing, $4,200,000 payoff</t>
        </is>
      </c>
    </row>
    <row r="14" ht="30" customHeight="1">
      <c r="A14" s="2" t="inlineStr">
        <is>
          <t>diligence-status.pdf</t>
        </is>
      </c>
      <c r="B14" s="2" t="inlineStr">
        <is>
          <t>p.1</t>
        </is>
      </c>
      <c r="C14" s="2" t="inlineStr">
        <is>
          <t>Legal, environmental, PCA and title reviews incomplete - routine pending items, no defect findings</t>
        </is>
      </c>
    </row>
    <row r="16" ht="30" customHeight="1">
      <c r="A16" s="2" t="inlineStr">
        <is>
          <t>Not supplied (explicitly unknown, not zero): photographs, asking price, market sale/rent comparables, sponsor history, capital budget, tax/insurance renewal quotes, suite 045 possession-date documentation beyond the revision notice.</t>
        </is>
      </c>
    </row>
    <row r="18" ht="30" customHeight="1">
      <c r="A18" s="2" t="inlineStr">
        <is>
          <t>Approved copy: "Source-backed analysis. Assumptions remain subject to diligence."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2026-09-07T12:54:45Z</dcterms:created>
  <dcterms:modified xmlns:dcterms="http://purl.org/dc/terms/" xmlns:xsi="http://www.w3.org/2001/XMLSchema-instance" xsi:type="dcterms:W3CDTF">2026-09-07T13:00:08Z</dcterms:modified>
</cp:coreProperties>
</file>