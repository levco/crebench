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UW" sheetId="3" state="visible" r:id="rId3"/>
    <sheet xmlns:r="http://schemas.openxmlformats.org/officeDocument/2006/relationships" name="Debt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000%"/>
    <numFmt numFmtId="166" formatCode="0.0000"/>
    <numFmt numFmtId="167" formatCode="0.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0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7" fontId="3" fillId="0" borderId="0" applyAlignment="1" pivotButton="0" quotePrefix="0" xfId="0">
      <alignment vertical="top" wrapText="1"/>
    </xf>
    <xf numFmtId="2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62" customWidth="1" min="3" max="3"/>
  </cols>
  <sheetData>
    <row r="1" ht="30" customHeight="1">
      <c r="A1" s="1" t="inlineStr">
        <is>
          <t>Willow Gardens - Underwriting Inputs (as of 2026-08-31)</t>
        </is>
      </c>
    </row>
    <row r="3" ht="30" customHeight="1">
      <c r="A3" s="2" t="inlineStr">
        <is>
          <t>Input</t>
        </is>
      </c>
      <c r="B3" s="2" t="inlineStr">
        <is>
          <t>Value</t>
        </is>
      </c>
      <c r="C3" s="2" t="inlineStr">
        <is>
          <t>Source / note</t>
        </is>
      </c>
    </row>
    <row r="4" ht="30" customHeight="1">
      <c r="A4" s="3" t="inlineStr">
        <is>
          <t>Gross potential rent (annual, all 64 suites)</t>
        </is>
      </c>
      <c r="B4" s="4" t="n">
        <v>1354500</v>
      </c>
      <c r="C4" s="3" t="inlineStr">
        <is>
          <t>Certified roll scheduled monthly rent (E5:E68 = $112,875) x 12; rent-roll-certified.xlsx</t>
        </is>
      </c>
    </row>
    <row r="5" ht="30" customHeight="1">
      <c r="A5" s="3" t="inlineStr">
        <is>
          <t>Economic loss (vacancy/credit) %</t>
        </is>
      </c>
      <c r="B5" s="5" t="n">
        <v>0.05</v>
      </c>
      <c r="C5" s="3" t="inlineStr">
        <is>
          <t>underwriting-instructions.pdf p.1</t>
        </is>
      </c>
    </row>
    <row r="6" ht="30" customHeight="1">
      <c r="A6" s="3" t="inlineStr">
        <is>
          <t>Other income per unit (annual)</t>
        </is>
      </c>
      <c r="B6" s="4" t="n">
        <v>350</v>
      </c>
      <c r="C6" s="3" t="inlineStr">
        <is>
          <t>underwriting-instructions.pdf p.1; reimbursements already included</t>
        </is>
      </c>
    </row>
    <row r="7" ht="30" customHeight="1">
      <c r="A7" s="3" t="inlineStr">
        <is>
          <t>Total units / suites</t>
        </is>
      </c>
      <c r="B7" s="6">
        <f>'Rent Roll'!B71</f>
        <v/>
      </c>
      <c r="C7" s="3" t="inlineStr">
        <is>
          <t>Count from certified roll</t>
        </is>
      </c>
    </row>
    <row r="8" ht="30" customHeight="1">
      <c r="A8" s="3" t="inlineStr">
        <is>
          <t>Real estate taxes</t>
        </is>
      </c>
      <c r="B8" s="4" t="n">
        <v>142222</v>
      </c>
      <c r="C8" s="3" t="inlineStr">
        <is>
          <t>underwriting-instructions.pdf p.1 (= operating-statement.pdf T-12)</t>
        </is>
      </c>
    </row>
    <row r="9" ht="30" customHeight="1">
      <c r="A9" s="3" t="inlineStr">
        <is>
          <t>Insurance expense</t>
        </is>
      </c>
      <c r="B9" s="4" t="n">
        <v>47408</v>
      </c>
      <c r="C9" s="3" t="inlineStr">
        <is>
          <t>underwriting-instructions.pdf p.1 (= operating-statement.pdf T-12)</t>
        </is>
      </c>
    </row>
    <row r="10" ht="30" customHeight="1">
      <c r="A10" s="3" t="inlineStr">
        <is>
          <t>Other recurring operating expenses</t>
        </is>
      </c>
      <c r="B10" s="4" t="n">
        <v>189630</v>
      </c>
      <c r="C10" s="3" t="inlineStr">
        <is>
          <t>underwriting-instructions.pdf p.1 (= operating-statement.pdf T-12)</t>
        </is>
      </c>
    </row>
    <row r="11" ht="30" customHeight="1">
      <c r="A11" s="3" t="inlineStr">
        <is>
          <t>Management fee (% of underwritten EGI)</t>
        </is>
      </c>
      <c r="B11" s="5" t="n">
        <v>0.03</v>
      </c>
      <c r="C11" s="3" t="inlineStr">
        <is>
          <t>underwriting-instructions.pdf p.1</t>
        </is>
      </c>
    </row>
    <row r="12" ht="30" customHeight="1">
      <c r="A12" s="3" t="inlineStr">
        <is>
          <t>Replacement reserve per unit (annual)</t>
        </is>
      </c>
      <c r="B12" s="4" t="n">
        <v>300</v>
      </c>
      <c r="C12" s="3" t="inlineStr">
        <is>
          <t>underwriting-instructions.pdf p.1</t>
        </is>
      </c>
    </row>
    <row r="13" ht="30" customHeight="1">
      <c r="A13" s="3" t="inlineStr">
        <is>
          <t>Capitalization rate (on NOI before reserves)</t>
        </is>
      </c>
      <c r="B13" s="7" t="n">
        <v>0.06</v>
      </c>
      <c r="C13" s="3" t="inlineStr">
        <is>
          <t>underwriting-instructions.pdf p.1</t>
        </is>
      </c>
    </row>
    <row r="14" ht="30" customHeight="1">
      <c r="A14" s="3" t="inlineStr">
        <is>
          <t>Note rate</t>
        </is>
      </c>
      <c r="B14" s="7" t="n">
        <v>0.06900000000000001</v>
      </c>
      <c r="C14" s="3" t="inlineStr">
        <is>
          <t>underwriting-instructions.pdf p.1</t>
        </is>
      </c>
    </row>
    <row r="15" ht="30" customHeight="1">
      <c r="A15" s="3" t="inlineStr">
        <is>
          <t>Underwriting rate floor</t>
        </is>
      </c>
      <c r="B15" s="7" t="n">
        <v>0.06</v>
      </c>
      <c r="C15" s="3" t="inlineStr">
        <is>
          <t>underwriting-instructions.pdf p.1</t>
        </is>
      </c>
    </row>
    <row r="16" ht="30" customHeight="1">
      <c r="A16" s="3" t="inlineStr">
        <is>
          <t>Sizing rate (greater of note rate and floor)</t>
        </is>
      </c>
      <c r="B16" s="7" t="n">
        <v>0.06900000000000001</v>
      </c>
      <c r="C16" s="3" t="inlineStr">
        <is>
          <t>Note rate 6.9000% exceeds the 6.00% floor, so the floor is not binding</t>
        </is>
      </c>
    </row>
    <row r="17" ht="30" customHeight="1">
      <c r="A17" s="3" t="inlineStr">
        <is>
          <t>Amortization term (months)</t>
        </is>
      </c>
      <c r="B17" s="8" t="n">
        <v>360</v>
      </c>
      <c r="C17" s="3" t="inlineStr">
        <is>
          <t>30-year amortization, monthly payments</t>
        </is>
      </c>
    </row>
    <row r="18" ht="30" customHeight="1">
      <c r="A18" s="3" t="inlineStr">
        <is>
          <t>Maximum LTV</t>
        </is>
      </c>
      <c r="B18" s="5" t="n">
        <v>0.6</v>
      </c>
      <c r="C18" s="3" t="inlineStr">
        <is>
          <t>underwriting-instructions.pdf p.1</t>
        </is>
      </c>
    </row>
    <row r="19" ht="30" customHeight="1">
      <c r="A19" s="3" t="inlineStr">
        <is>
          <t>Minimum DSCR (on NCF)</t>
        </is>
      </c>
      <c r="B19" s="9" t="n">
        <v>1.25</v>
      </c>
      <c r="C19" s="3" t="inlineStr">
        <is>
          <t>underwriting-instructions.pdf p.1</t>
        </is>
      </c>
    </row>
    <row r="20" ht="30" customHeight="1">
      <c r="A20" s="3" t="inlineStr">
        <is>
          <t>Minimum NCF debt yield</t>
        </is>
      </c>
      <c r="B20" s="5" t="n">
        <v>0.09</v>
      </c>
      <c r="C20" s="3" t="inlineStr">
        <is>
          <t>underwriting-instructions.pdf p.1</t>
        </is>
      </c>
    </row>
    <row r="21" ht="30" customHeight="1">
      <c r="A21" s="3" t="inlineStr">
        <is>
          <t>Origination fee (% of sized loan)</t>
        </is>
      </c>
      <c r="B21" s="5" t="n">
        <v>0.01</v>
      </c>
      <c r="C21" s="3" t="inlineStr">
        <is>
          <t>underwriting-instructions.pdf p.1</t>
        </is>
      </c>
    </row>
    <row r="22" ht="30" customHeight="1">
      <c r="A22" s="3" t="inlineStr">
        <is>
          <t>Closing costs</t>
        </is>
      </c>
      <c r="B22" s="4" t="n">
        <v>45000</v>
      </c>
      <c r="C22" s="3" t="inlineStr">
        <is>
          <t>underwriting-instructions.pdf p.1</t>
        </is>
      </c>
    </row>
    <row r="23" ht="30" customHeight="1">
      <c r="A23" s="3" t="inlineStr">
        <is>
          <t>Existing loan payoff</t>
        </is>
      </c>
      <c r="B23" s="4" t="n">
        <v>7200000</v>
      </c>
      <c r="C23" s="3" t="inlineStr">
        <is>
          <t>underwriting-instructions.pdf p.1</t>
        </is>
      </c>
    </row>
    <row r="25" ht="30" customHeight="1">
      <c r="A25" s="3" t="inlineStr">
        <is>
          <t>Note: first 24 months are interest-only, but sizing uses the 30-year amortizing constant at the sizing rate per instructions.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9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3" customWidth="1" min="7" max="7"/>
    <col width="11" customWidth="1" min="8" max="8"/>
    <col width="11" customWidth="1" min="9" max="9"/>
    <col width="13" customWidth="1" min="10" max="10"/>
  </cols>
  <sheetData>
    <row r="1" ht="30" customHeight="1">
      <c r="A1" s="1" t="inlineStr">
        <is>
          <t>Certified rent roll (controlling) - rent-roll-certified.xlsx</t>
        </is>
      </c>
    </row>
    <row r="2" ht="30" customHeight="1">
      <c r="A2" s="3" t="inlineStr">
        <is>
          <t>As of</t>
        </is>
      </c>
      <c r="B2" s="10" t="inlineStr">
        <is>
          <t>2026-08-31</t>
        </is>
      </c>
    </row>
    <row r="4" ht="30" customHeight="1">
      <c r="A4" s="2" t="inlineStr">
        <is>
          <t>Suite</t>
        </is>
      </c>
      <c r="B4" s="2" t="inlineStr">
        <is>
          <t>Unit type</t>
        </is>
      </c>
      <c r="C4" s="2" t="inlineStr">
        <is>
          <t>Group</t>
        </is>
      </c>
      <c r="D4" s="2" t="inlineStr">
        <is>
          <t>Area SF</t>
        </is>
      </c>
      <c r="E4" s="2" t="inlineStr">
        <is>
          <t>Possession</t>
        </is>
      </c>
      <c r="F4" s="2" t="inlineStr">
        <is>
          <t>Monthly rent</t>
        </is>
      </c>
      <c r="G4" s="2" t="inlineStr">
        <is>
          <t>Expiration</t>
        </is>
      </c>
      <c r="H4" s="2" t="inlineStr">
        <is>
          <t>Occupied</t>
        </is>
      </c>
      <c r="I4" s="2" t="inlineStr">
        <is>
          <t>Occupied SF</t>
        </is>
      </c>
      <c r="J4" s="2" t="inlineStr">
        <is>
          <t>In-place rent</t>
        </is>
      </c>
    </row>
    <row r="5" ht="30" customHeight="1">
      <c r="A5" s="3" t="inlineStr">
        <is>
          <t>001</t>
        </is>
      </c>
      <c r="B5" s="3" t="inlineStr">
        <is>
          <t>Studio</t>
        </is>
      </c>
      <c r="C5" s="3" t="inlineStr">
        <is>
          <t>A</t>
        </is>
      </c>
      <c r="D5" s="3" t="n">
        <v>820</v>
      </c>
      <c r="E5" s="3" t="inlineStr">
        <is>
          <t>active</t>
        </is>
      </c>
      <c r="F5" s="3" t="n">
        <v>1575</v>
      </c>
      <c r="G5" s="3" t="inlineStr">
        <is>
          <t>2029-08-31</t>
        </is>
      </c>
      <c r="H5" s="3">
        <f>IF(E5="active",1,0)</f>
        <v/>
      </c>
      <c r="I5" s="3">
        <f>H5*D5</f>
        <v/>
      </c>
      <c r="J5" s="3">
        <f>H5*F5</f>
        <v/>
      </c>
    </row>
    <row r="6" ht="30" customHeight="1">
      <c r="A6" s="3" t="inlineStr">
        <is>
          <t>002</t>
        </is>
      </c>
      <c r="B6" s="3" t="inlineStr">
        <is>
          <t>1BR</t>
        </is>
      </c>
      <c r="C6" s="3" t="inlineStr">
        <is>
          <t>B</t>
        </is>
      </c>
      <c r="D6" s="3" t="n">
        <v>940</v>
      </c>
      <c r="E6" s="3" t="inlineStr">
        <is>
          <t>active</t>
        </is>
      </c>
      <c r="F6" s="3" t="n">
        <v>1725</v>
      </c>
      <c r="G6" s="3" t="inlineStr">
        <is>
          <t>2029-08-31</t>
        </is>
      </c>
      <c r="H6" s="3">
        <f>IF(E6="active",1,0)</f>
        <v/>
      </c>
      <c r="I6" s="3">
        <f>H6*D6</f>
        <v/>
      </c>
      <c r="J6" s="3">
        <f>H6*F6</f>
        <v/>
      </c>
    </row>
    <row r="7" ht="30" customHeight="1">
      <c r="A7" s="3" t="inlineStr">
        <is>
          <t>003</t>
        </is>
      </c>
      <c r="B7" s="3" t="inlineStr">
        <is>
          <t>2BR</t>
        </is>
      </c>
      <c r="C7" s="3" t="inlineStr">
        <is>
          <t>C</t>
        </is>
      </c>
      <c r="D7" s="3" t="n">
        <v>1150</v>
      </c>
      <c r="E7" s="3" t="inlineStr">
        <is>
          <t>active</t>
        </is>
      </c>
      <c r="F7" s="3" t="n">
        <v>2000</v>
      </c>
      <c r="G7" s="3" t="inlineStr">
        <is>
          <t>2029-08-31</t>
        </is>
      </c>
      <c r="H7" s="3">
        <f>IF(E7="active",1,0)</f>
        <v/>
      </c>
      <c r="I7" s="3">
        <f>H7*D7</f>
        <v/>
      </c>
      <c r="J7" s="3">
        <f>H7*F7</f>
        <v/>
      </c>
    </row>
    <row r="8" ht="30" customHeight="1">
      <c r="A8" s="3" t="inlineStr">
        <is>
          <t>004</t>
        </is>
      </c>
      <c r="B8" s="3" t="inlineStr">
        <is>
          <t>Studio</t>
        </is>
      </c>
      <c r="C8" s="3" t="inlineStr">
        <is>
          <t>A</t>
        </is>
      </c>
      <c r="D8" s="3" t="n">
        <v>820</v>
      </c>
      <c r="E8" s="3" t="inlineStr">
        <is>
          <t>active</t>
        </is>
      </c>
      <c r="F8" s="3" t="n">
        <v>1575</v>
      </c>
      <c r="G8" s="3" t="inlineStr">
        <is>
          <t>2029-08-31</t>
        </is>
      </c>
      <c r="H8" s="3">
        <f>IF(E8="active",1,0)</f>
        <v/>
      </c>
      <c r="I8" s="3">
        <f>H8*D8</f>
        <v/>
      </c>
      <c r="J8" s="3">
        <f>H8*F8</f>
        <v/>
      </c>
    </row>
    <row r="9" ht="30" customHeight="1">
      <c r="A9" s="3" t="inlineStr">
        <is>
          <t>005</t>
        </is>
      </c>
      <c r="B9" s="3" t="inlineStr">
        <is>
          <t>1BR</t>
        </is>
      </c>
      <c r="C9" s="3" t="inlineStr">
        <is>
          <t>B</t>
        </is>
      </c>
      <c r="D9" s="3" t="n">
        <v>940</v>
      </c>
      <c r="E9" s="3" t="inlineStr">
        <is>
          <t>active</t>
        </is>
      </c>
      <c r="F9" s="3" t="n">
        <v>1725</v>
      </c>
      <c r="G9" s="3" t="inlineStr">
        <is>
          <t>2029-08-31</t>
        </is>
      </c>
      <c r="H9" s="3">
        <f>IF(E9="active",1,0)</f>
        <v/>
      </c>
      <c r="I9" s="3">
        <f>H9*D9</f>
        <v/>
      </c>
      <c r="J9" s="3">
        <f>H9*F9</f>
        <v/>
      </c>
    </row>
    <row r="10" ht="30" customHeight="1">
      <c r="A10" s="3" t="inlineStr">
        <is>
          <t>006</t>
        </is>
      </c>
      <c r="B10" s="3" t="inlineStr">
        <is>
          <t>2BR</t>
        </is>
      </c>
      <c r="C10" s="3" t="inlineStr">
        <is>
          <t>C</t>
        </is>
      </c>
      <c r="D10" s="3" t="n">
        <v>1150</v>
      </c>
      <c r="E10" s="3" t="inlineStr">
        <is>
          <t>active</t>
        </is>
      </c>
      <c r="F10" s="3" t="n">
        <v>2000</v>
      </c>
      <c r="G10" s="3" t="inlineStr">
        <is>
          <t>2029-08-31</t>
        </is>
      </c>
      <c r="H10" s="3">
        <f>IF(E10="active",1,0)</f>
        <v/>
      </c>
      <c r="I10" s="3">
        <f>H10*D10</f>
        <v/>
      </c>
      <c r="J10" s="3">
        <f>H10*F10</f>
        <v/>
      </c>
    </row>
    <row r="11" ht="30" customHeight="1">
      <c r="A11" s="3" t="inlineStr">
        <is>
          <t>007</t>
        </is>
      </c>
      <c r="B11" s="3" t="inlineStr">
        <is>
          <t>Studio</t>
        </is>
      </c>
      <c r="C11" s="3" t="inlineStr">
        <is>
          <t>A</t>
        </is>
      </c>
      <c r="D11" s="3" t="n">
        <v>820</v>
      </c>
      <c r="E11" s="3" t="inlineStr">
        <is>
          <t>active</t>
        </is>
      </c>
      <c r="F11" s="3" t="n">
        <v>1575</v>
      </c>
      <c r="G11" s="3" t="inlineStr">
        <is>
          <t>2029-08-31</t>
        </is>
      </c>
      <c r="H11" s="3">
        <f>IF(E11="active",1,0)</f>
        <v/>
      </c>
      <c r="I11" s="3">
        <f>H11*D11</f>
        <v/>
      </c>
      <c r="J11" s="3">
        <f>H11*F11</f>
        <v/>
      </c>
    </row>
    <row r="12" ht="30" customHeight="1">
      <c r="A12" s="3" t="inlineStr">
        <is>
          <t>008</t>
        </is>
      </c>
      <c r="B12" s="3" t="inlineStr">
        <is>
          <t>1BR</t>
        </is>
      </c>
      <c r="C12" s="3" t="inlineStr">
        <is>
          <t>B</t>
        </is>
      </c>
      <c r="D12" s="3" t="n">
        <v>940</v>
      </c>
      <c r="E12" s="3" t="inlineStr">
        <is>
          <t>active</t>
        </is>
      </c>
      <c r="F12" s="3" t="n">
        <v>1725</v>
      </c>
      <c r="G12" s="3" t="inlineStr">
        <is>
          <t>2029-08-31</t>
        </is>
      </c>
      <c r="H12" s="3">
        <f>IF(E12="active",1,0)</f>
        <v/>
      </c>
      <c r="I12" s="3">
        <f>H12*D12</f>
        <v/>
      </c>
      <c r="J12" s="3">
        <f>H12*F12</f>
        <v/>
      </c>
    </row>
    <row r="13" ht="30" customHeight="1">
      <c r="A13" s="3" t="inlineStr">
        <is>
          <t>009</t>
        </is>
      </c>
      <c r="B13" s="3" t="inlineStr">
        <is>
          <t>2BR</t>
        </is>
      </c>
      <c r="C13" s="3" t="inlineStr">
        <is>
          <t>C</t>
        </is>
      </c>
      <c r="D13" s="3" t="n">
        <v>1150</v>
      </c>
      <c r="E13" s="3" t="inlineStr">
        <is>
          <t>active</t>
        </is>
      </c>
      <c r="F13" s="3" t="n">
        <v>2000</v>
      </c>
      <c r="G13" s="3" t="inlineStr">
        <is>
          <t>2029-08-31</t>
        </is>
      </c>
      <c r="H13" s="3">
        <f>IF(E13="active",1,0)</f>
        <v/>
      </c>
      <c r="I13" s="3">
        <f>H13*D13</f>
        <v/>
      </c>
      <c r="J13" s="3">
        <f>H13*F13</f>
        <v/>
      </c>
    </row>
    <row r="14" ht="30" customHeight="1">
      <c r="A14" s="3" t="inlineStr">
        <is>
          <t>010</t>
        </is>
      </c>
      <c r="B14" s="3" t="inlineStr">
        <is>
          <t>Studio</t>
        </is>
      </c>
      <c r="C14" s="3" t="inlineStr">
        <is>
          <t>A</t>
        </is>
      </c>
      <c r="D14" s="3" t="n">
        <v>820</v>
      </c>
      <c r="E14" s="3" t="inlineStr">
        <is>
          <t>active</t>
        </is>
      </c>
      <c r="F14" s="3" t="n">
        <v>1575</v>
      </c>
      <c r="G14" s="3" t="inlineStr">
        <is>
          <t>2029-08-31</t>
        </is>
      </c>
      <c r="H14" s="3">
        <f>IF(E14="active",1,0)</f>
        <v/>
      </c>
      <c r="I14" s="3">
        <f>H14*D14</f>
        <v/>
      </c>
      <c r="J14" s="3">
        <f>H14*F14</f>
        <v/>
      </c>
    </row>
    <row r="15" ht="30" customHeight="1">
      <c r="A15" s="3" t="inlineStr">
        <is>
          <t>011</t>
        </is>
      </c>
      <c r="B15" s="3" t="inlineStr">
        <is>
          <t>1BR</t>
        </is>
      </c>
      <c r="C15" s="3" t="inlineStr">
        <is>
          <t>B</t>
        </is>
      </c>
      <c r="D15" s="3" t="n">
        <v>940</v>
      </c>
      <c r="E15" s="3" t="inlineStr">
        <is>
          <t>active</t>
        </is>
      </c>
      <c r="F15" s="3" t="n">
        <v>1725</v>
      </c>
      <c r="G15" s="3" t="inlineStr">
        <is>
          <t>2029-08-31</t>
        </is>
      </c>
      <c r="H15" s="3">
        <f>IF(E15="active",1,0)</f>
        <v/>
      </c>
      <c r="I15" s="3">
        <f>H15*D15</f>
        <v/>
      </c>
      <c r="J15" s="3">
        <f>H15*F15</f>
        <v/>
      </c>
    </row>
    <row r="16" ht="30" customHeight="1">
      <c r="A16" s="3" t="inlineStr">
        <is>
          <t>012</t>
        </is>
      </c>
      <c r="B16" s="3" t="inlineStr">
        <is>
          <t>2BR</t>
        </is>
      </c>
      <c r="C16" s="3" t="inlineStr">
        <is>
          <t>C</t>
        </is>
      </c>
      <c r="D16" s="3" t="n">
        <v>1150</v>
      </c>
      <c r="E16" s="3" t="inlineStr">
        <is>
          <t>active</t>
        </is>
      </c>
      <c r="F16" s="3" t="n">
        <v>2000</v>
      </c>
      <c r="G16" s="3" t="inlineStr">
        <is>
          <t>2029-08-31</t>
        </is>
      </c>
      <c r="H16" s="3">
        <f>IF(E16="active",1,0)</f>
        <v/>
      </c>
      <c r="I16" s="3">
        <f>H16*D16</f>
        <v/>
      </c>
      <c r="J16" s="3">
        <f>H16*F16</f>
        <v/>
      </c>
    </row>
    <row r="17" ht="30" customHeight="1">
      <c r="A17" s="3" t="inlineStr">
        <is>
          <t>013</t>
        </is>
      </c>
      <c r="B17" s="3" t="inlineStr">
        <is>
          <t>Studio</t>
        </is>
      </c>
      <c r="C17" s="3" t="inlineStr">
        <is>
          <t>A</t>
        </is>
      </c>
      <c r="D17" s="3" t="n">
        <v>820</v>
      </c>
      <c r="E17" s="3" t="inlineStr">
        <is>
          <t>active</t>
        </is>
      </c>
      <c r="F17" s="3" t="n">
        <v>1575</v>
      </c>
      <c r="G17" s="3" t="inlineStr">
        <is>
          <t>2029-08-31</t>
        </is>
      </c>
      <c r="H17" s="3">
        <f>IF(E17="active",1,0)</f>
        <v/>
      </c>
      <c r="I17" s="3">
        <f>H17*D17</f>
        <v/>
      </c>
      <c r="J17" s="3">
        <f>H17*F17</f>
        <v/>
      </c>
    </row>
    <row r="18" ht="30" customHeight="1">
      <c r="A18" s="3" t="inlineStr">
        <is>
          <t>014</t>
        </is>
      </c>
      <c r="B18" s="3" t="inlineStr">
        <is>
          <t>1BR</t>
        </is>
      </c>
      <c r="C18" s="3" t="inlineStr">
        <is>
          <t>B</t>
        </is>
      </c>
      <c r="D18" s="3" t="n">
        <v>940</v>
      </c>
      <c r="E18" s="3" t="inlineStr">
        <is>
          <t>active</t>
        </is>
      </c>
      <c r="F18" s="3" t="n">
        <v>1725</v>
      </c>
      <c r="G18" s="3" t="inlineStr">
        <is>
          <t>2029-08-31</t>
        </is>
      </c>
      <c r="H18" s="3">
        <f>IF(E18="active",1,0)</f>
        <v/>
      </c>
      <c r="I18" s="3">
        <f>H18*D18</f>
        <v/>
      </c>
      <c r="J18" s="3">
        <f>H18*F18</f>
        <v/>
      </c>
    </row>
    <row r="19" ht="30" customHeight="1">
      <c r="A19" s="3" t="inlineStr">
        <is>
          <t>015</t>
        </is>
      </c>
      <c r="B19" s="3" t="inlineStr">
        <is>
          <t>2BR</t>
        </is>
      </c>
      <c r="C19" s="3" t="inlineStr">
        <is>
          <t>C</t>
        </is>
      </c>
      <c r="D19" s="3" t="n">
        <v>1150</v>
      </c>
      <c r="E19" s="3" t="inlineStr">
        <is>
          <t>active</t>
        </is>
      </c>
      <c r="F19" s="3" t="n">
        <v>2000</v>
      </c>
      <c r="G19" s="3" t="inlineStr">
        <is>
          <t>2029-08-31</t>
        </is>
      </c>
      <c r="H19" s="3">
        <f>IF(E19="active",1,0)</f>
        <v/>
      </c>
      <c r="I19" s="3">
        <f>H19*D19</f>
        <v/>
      </c>
      <c r="J19" s="3">
        <f>H19*F19</f>
        <v/>
      </c>
    </row>
    <row r="20" ht="30" customHeight="1">
      <c r="A20" s="3" t="inlineStr">
        <is>
          <t>016</t>
        </is>
      </c>
      <c r="B20" s="3" t="inlineStr">
        <is>
          <t>Studio</t>
        </is>
      </c>
      <c r="C20" s="3" t="inlineStr">
        <is>
          <t>A</t>
        </is>
      </c>
      <c r="D20" s="3" t="n">
        <v>820</v>
      </c>
      <c r="E20" s="3" t="inlineStr">
        <is>
          <t>active</t>
        </is>
      </c>
      <c r="F20" s="3" t="n">
        <v>1575</v>
      </c>
      <c r="G20" s="3" t="inlineStr">
        <is>
          <t>2029-08-31</t>
        </is>
      </c>
      <c r="H20" s="3">
        <f>IF(E20="active",1,0)</f>
        <v/>
      </c>
      <c r="I20" s="3">
        <f>H20*D20</f>
        <v/>
      </c>
      <c r="J20" s="3">
        <f>H20*F20</f>
        <v/>
      </c>
    </row>
    <row r="21" ht="30" customHeight="1">
      <c r="A21" s="3" t="inlineStr">
        <is>
          <t>017</t>
        </is>
      </c>
      <c r="B21" s="3" t="inlineStr">
        <is>
          <t>1BR</t>
        </is>
      </c>
      <c r="C21" s="3" t="inlineStr">
        <is>
          <t>B</t>
        </is>
      </c>
      <c r="D21" s="3" t="n">
        <v>940</v>
      </c>
      <c r="E21" s="3" t="inlineStr">
        <is>
          <t>active</t>
        </is>
      </c>
      <c r="F21" s="3" t="n">
        <v>1725</v>
      </c>
      <c r="G21" s="3" t="inlineStr">
        <is>
          <t>2029-08-31</t>
        </is>
      </c>
      <c r="H21" s="3">
        <f>IF(E21="active",1,0)</f>
        <v/>
      </c>
      <c r="I21" s="3">
        <f>H21*D21</f>
        <v/>
      </c>
      <c r="J21" s="3">
        <f>H21*F21</f>
        <v/>
      </c>
    </row>
    <row r="22" ht="30" customHeight="1">
      <c r="A22" s="3" t="inlineStr">
        <is>
          <t>018</t>
        </is>
      </c>
      <c r="B22" s="3" t="inlineStr">
        <is>
          <t>2BR</t>
        </is>
      </c>
      <c r="C22" s="3" t="inlineStr">
        <is>
          <t>C</t>
        </is>
      </c>
      <c r="D22" s="3" t="n">
        <v>1150</v>
      </c>
      <c r="E22" s="3" t="inlineStr">
        <is>
          <t>active</t>
        </is>
      </c>
      <c r="F22" s="3" t="n">
        <v>2000</v>
      </c>
      <c r="G22" s="3" t="inlineStr">
        <is>
          <t>2029-08-31</t>
        </is>
      </c>
      <c r="H22" s="3">
        <f>IF(E22="active",1,0)</f>
        <v/>
      </c>
      <c r="I22" s="3">
        <f>H22*D22</f>
        <v/>
      </c>
      <c r="J22" s="3">
        <f>H22*F22</f>
        <v/>
      </c>
    </row>
    <row r="23" ht="30" customHeight="1">
      <c r="A23" s="3" t="inlineStr">
        <is>
          <t>019</t>
        </is>
      </c>
      <c r="B23" s="3" t="inlineStr">
        <is>
          <t>Studio</t>
        </is>
      </c>
      <c r="C23" s="3" t="inlineStr">
        <is>
          <t>A</t>
        </is>
      </c>
      <c r="D23" s="3" t="n">
        <v>820</v>
      </c>
      <c r="E23" s="3" t="inlineStr">
        <is>
          <t>active</t>
        </is>
      </c>
      <c r="F23" s="3" t="n">
        <v>1575</v>
      </c>
      <c r="G23" s="3" t="inlineStr">
        <is>
          <t>2029-08-31</t>
        </is>
      </c>
      <c r="H23" s="3">
        <f>IF(E23="active",1,0)</f>
        <v/>
      </c>
      <c r="I23" s="3">
        <f>H23*D23</f>
        <v/>
      </c>
      <c r="J23" s="3">
        <f>H23*F23</f>
        <v/>
      </c>
    </row>
    <row r="24" ht="30" customHeight="1">
      <c r="A24" s="3" t="inlineStr">
        <is>
          <t>020</t>
        </is>
      </c>
      <c r="B24" s="3" t="inlineStr">
        <is>
          <t>1BR</t>
        </is>
      </c>
      <c r="C24" s="3" t="inlineStr">
        <is>
          <t>B</t>
        </is>
      </c>
      <c r="D24" s="3" t="n">
        <v>940</v>
      </c>
      <c r="E24" s="3" t="inlineStr">
        <is>
          <t>active</t>
        </is>
      </c>
      <c r="F24" s="3" t="n">
        <v>1725</v>
      </c>
      <c r="G24" s="3" t="inlineStr">
        <is>
          <t>2029-08-31</t>
        </is>
      </c>
      <c r="H24" s="3">
        <f>IF(E24="active",1,0)</f>
        <v/>
      </c>
      <c r="I24" s="3">
        <f>H24*D24</f>
        <v/>
      </c>
      <c r="J24" s="3">
        <f>H24*F24</f>
        <v/>
      </c>
    </row>
    <row r="25" ht="30" customHeight="1">
      <c r="A25" s="3" t="inlineStr">
        <is>
          <t>021</t>
        </is>
      </c>
      <c r="B25" s="3" t="inlineStr">
        <is>
          <t>2BR</t>
        </is>
      </c>
      <c r="C25" s="3" t="inlineStr">
        <is>
          <t>C</t>
        </is>
      </c>
      <c r="D25" s="3" t="n">
        <v>1150</v>
      </c>
      <c r="E25" s="3" t="inlineStr">
        <is>
          <t>active</t>
        </is>
      </c>
      <c r="F25" s="3" t="n">
        <v>2000</v>
      </c>
      <c r="G25" s="3" t="inlineStr">
        <is>
          <t>2029-08-31</t>
        </is>
      </c>
      <c r="H25" s="3">
        <f>IF(E25="active",1,0)</f>
        <v/>
      </c>
      <c r="I25" s="3">
        <f>H25*D25</f>
        <v/>
      </c>
      <c r="J25" s="3">
        <f>H25*F25</f>
        <v/>
      </c>
    </row>
    <row r="26" ht="30" customHeight="1">
      <c r="A26" s="3" t="inlineStr">
        <is>
          <t>022</t>
        </is>
      </c>
      <c r="B26" s="3" t="inlineStr">
        <is>
          <t>Studio</t>
        </is>
      </c>
      <c r="C26" s="3" t="inlineStr">
        <is>
          <t>A</t>
        </is>
      </c>
      <c r="D26" s="3" t="n">
        <v>820</v>
      </c>
      <c r="E26" s="3" t="inlineStr">
        <is>
          <t>active</t>
        </is>
      </c>
      <c r="F26" s="3" t="n">
        <v>1575</v>
      </c>
      <c r="G26" s="3" t="inlineStr">
        <is>
          <t>2029-08-31</t>
        </is>
      </c>
      <c r="H26" s="3">
        <f>IF(E26="active",1,0)</f>
        <v/>
      </c>
      <c r="I26" s="3">
        <f>H26*D26</f>
        <v/>
      </c>
      <c r="J26" s="3">
        <f>H26*F26</f>
        <v/>
      </c>
    </row>
    <row r="27" ht="30" customHeight="1">
      <c r="A27" s="3" t="inlineStr">
        <is>
          <t>023</t>
        </is>
      </c>
      <c r="B27" s="3" t="inlineStr">
        <is>
          <t>1BR</t>
        </is>
      </c>
      <c r="C27" s="3" t="inlineStr">
        <is>
          <t>B</t>
        </is>
      </c>
      <c r="D27" s="3" t="n">
        <v>940</v>
      </c>
      <c r="E27" s="3" t="inlineStr">
        <is>
          <t>active</t>
        </is>
      </c>
      <c r="F27" s="3" t="n">
        <v>1725</v>
      </c>
      <c r="G27" s="3" t="inlineStr">
        <is>
          <t>2029-08-31</t>
        </is>
      </c>
      <c r="H27" s="3">
        <f>IF(E27="active",1,0)</f>
        <v/>
      </c>
      <c r="I27" s="3">
        <f>H27*D27</f>
        <v/>
      </c>
      <c r="J27" s="3">
        <f>H27*F27</f>
        <v/>
      </c>
    </row>
    <row r="28" ht="30" customHeight="1">
      <c r="A28" s="3" t="inlineStr">
        <is>
          <t>024</t>
        </is>
      </c>
      <c r="B28" s="3" t="inlineStr">
        <is>
          <t>2BR</t>
        </is>
      </c>
      <c r="C28" s="3" t="inlineStr">
        <is>
          <t>C</t>
        </is>
      </c>
      <c r="D28" s="3" t="n">
        <v>1150</v>
      </c>
      <c r="E28" s="3" t="inlineStr">
        <is>
          <t>active</t>
        </is>
      </c>
      <c r="F28" s="3" t="n">
        <v>2000</v>
      </c>
      <c r="G28" s="3" t="inlineStr">
        <is>
          <t>2029-08-31</t>
        </is>
      </c>
      <c r="H28" s="3">
        <f>IF(E28="active",1,0)</f>
        <v/>
      </c>
      <c r="I28" s="3">
        <f>H28*D28</f>
        <v/>
      </c>
      <c r="J28" s="3">
        <f>H28*F28</f>
        <v/>
      </c>
    </row>
    <row r="29" ht="30" customHeight="1">
      <c r="A29" s="3" t="inlineStr">
        <is>
          <t>025</t>
        </is>
      </c>
      <c r="B29" s="3" t="inlineStr">
        <is>
          <t>Studio</t>
        </is>
      </c>
      <c r="C29" s="3" t="inlineStr">
        <is>
          <t>A</t>
        </is>
      </c>
      <c r="D29" s="3" t="n">
        <v>820</v>
      </c>
      <c r="E29" s="3" t="inlineStr">
        <is>
          <t>active</t>
        </is>
      </c>
      <c r="F29" s="3" t="n">
        <v>1575</v>
      </c>
      <c r="G29" s="3" t="inlineStr">
        <is>
          <t>2029-08-31</t>
        </is>
      </c>
      <c r="H29" s="3">
        <f>IF(E29="active",1,0)</f>
        <v/>
      </c>
      <c r="I29" s="3">
        <f>H29*D29</f>
        <v/>
      </c>
      <c r="J29" s="3">
        <f>H29*F29</f>
        <v/>
      </c>
    </row>
    <row r="30" ht="30" customHeight="1">
      <c r="A30" s="3" t="inlineStr">
        <is>
          <t>026</t>
        </is>
      </c>
      <c r="B30" s="3" t="inlineStr">
        <is>
          <t>1BR</t>
        </is>
      </c>
      <c r="C30" s="3" t="inlineStr">
        <is>
          <t>B</t>
        </is>
      </c>
      <c r="D30" s="3" t="n">
        <v>940</v>
      </c>
      <c r="E30" s="3" t="inlineStr">
        <is>
          <t>active</t>
        </is>
      </c>
      <c r="F30" s="3" t="n">
        <v>1725</v>
      </c>
      <c r="G30" s="3" t="inlineStr">
        <is>
          <t>2029-08-31</t>
        </is>
      </c>
      <c r="H30" s="3">
        <f>IF(E30="active",1,0)</f>
        <v/>
      </c>
      <c r="I30" s="3">
        <f>H30*D30</f>
        <v/>
      </c>
      <c r="J30" s="3">
        <f>H30*F30</f>
        <v/>
      </c>
    </row>
    <row r="31" ht="30" customHeight="1">
      <c r="A31" s="3" t="inlineStr">
        <is>
          <t>027</t>
        </is>
      </c>
      <c r="B31" s="3" t="inlineStr">
        <is>
          <t>2BR</t>
        </is>
      </c>
      <c r="C31" s="3" t="inlineStr">
        <is>
          <t>C</t>
        </is>
      </c>
      <c r="D31" s="3" t="n">
        <v>1150</v>
      </c>
      <c r="E31" s="3" t="inlineStr">
        <is>
          <t>active</t>
        </is>
      </c>
      <c r="F31" s="3" t="n">
        <v>2000</v>
      </c>
      <c r="G31" s="3" t="inlineStr">
        <is>
          <t>2029-08-31</t>
        </is>
      </c>
      <c r="H31" s="3">
        <f>IF(E31="active",1,0)</f>
        <v/>
      </c>
      <c r="I31" s="3">
        <f>H31*D31</f>
        <v/>
      </c>
      <c r="J31" s="3">
        <f>H31*F31</f>
        <v/>
      </c>
    </row>
    <row r="32" ht="30" customHeight="1">
      <c r="A32" s="3" t="inlineStr">
        <is>
          <t>028</t>
        </is>
      </c>
      <c r="B32" s="3" t="inlineStr">
        <is>
          <t>Studio</t>
        </is>
      </c>
      <c r="C32" s="3" t="inlineStr">
        <is>
          <t>A</t>
        </is>
      </c>
      <c r="D32" s="3" t="n">
        <v>820</v>
      </c>
      <c r="E32" s="3" t="inlineStr">
        <is>
          <t>active</t>
        </is>
      </c>
      <c r="F32" s="3" t="n">
        <v>1575</v>
      </c>
      <c r="G32" s="3" t="inlineStr">
        <is>
          <t>2029-08-31</t>
        </is>
      </c>
      <c r="H32" s="3">
        <f>IF(E32="active",1,0)</f>
        <v/>
      </c>
      <c r="I32" s="3">
        <f>H32*D32</f>
        <v/>
      </c>
      <c r="J32" s="3">
        <f>H32*F32</f>
        <v/>
      </c>
    </row>
    <row r="33" ht="30" customHeight="1">
      <c r="A33" s="3" t="inlineStr">
        <is>
          <t>029</t>
        </is>
      </c>
      <c r="B33" s="3" t="inlineStr">
        <is>
          <t>1BR</t>
        </is>
      </c>
      <c r="C33" s="3" t="inlineStr">
        <is>
          <t>B</t>
        </is>
      </c>
      <c r="D33" s="3" t="n">
        <v>940</v>
      </c>
      <c r="E33" s="3" t="inlineStr">
        <is>
          <t>active</t>
        </is>
      </c>
      <c r="F33" s="3" t="n">
        <v>1725</v>
      </c>
      <c r="G33" s="3" t="inlineStr">
        <is>
          <t>2029-08-31</t>
        </is>
      </c>
      <c r="H33" s="3">
        <f>IF(E33="active",1,0)</f>
        <v/>
      </c>
      <c r="I33" s="3">
        <f>H33*D33</f>
        <v/>
      </c>
      <c r="J33" s="3">
        <f>H33*F33</f>
        <v/>
      </c>
    </row>
    <row r="34" ht="30" customHeight="1">
      <c r="A34" s="3" t="inlineStr">
        <is>
          <t>030</t>
        </is>
      </c>
      <c r="B34" s="3" t="inlineStr">
        <is>
          <t>2BR</t>
        </is>
      </c>
      <c r="C34" s="3" t="inlineStr">
        <is>
          <t>C</t>
        </is>
      </c>
      <c r="D34" s="3" t="n">
        <v>1150</v>
      </c>
      <c r="E34" s="3" t="inlineStr">
        <is>
          <t>active</t>
        </is>
      </c>
      <c r="F34" s="3" t="n">
        <v>2000</v>
      </c>
      <c r="G34" s="3" t="inlineStr">
        <is>
          <t>2029-08-31</t>
        </is>
      </c>
      <c r="H34" s="3">
        <f>IF(E34="active",1,0)</f>
        <v/>
      </c>
      <c r="I34" s="3">
        <f>H34*D34</f>
        <v/>
      </c>
      <c r="J34" s="3">
        <f>H34*F34</f>
        <v/>
      </c>
    </row>
    <row r="35" ht="30" customHeight="1">
      <c r="A35" s="3" t="inlineStr">
        <is>
          <t>031</t>
        </is>
      </c>
      <c r="B35" s="3" t="inlineStr">
        <is>
          <t>Studio</t>
        </is>
      </c>
      <c r="C35" s="3" t="inlineStr">
        <is>
          <t>A</t>
        </is>
      </c>
      <c r="D35" s="3" t="n">
        <v>820</v>
      </c>
      <c r="E35" s="3" t="inlineStr">
        <is>
          <t>active</t>
        </is>
      </c>
      <c r="F35" s="3" t="n">
        <v>1575</v>
      </c>
      <c r="G35" s="3" t="inlineStr">
        <is>
          <t>2029-08-31</t>
        </is>
      </c>
      <c r="H35" s="3">
        <f>IF(E35="active",1,0)</f>
        <v/>
      </c>
      <c r="I35" s="3">
        <f>H35*D35</f>
        <v/>
      </c>
      <c r="J35" s="3">
        <f>H35*F35</f>
        <v/>
      </c>
    </row>
    <row r="36" ht="30" customHeight="1">
      <c r="A36" s="3" t="inlineStr">
        <is>
          <t>032</t>
        </is>
      </c>
      <c r="B36" s="3" t="inlineStr">
        <is>
          <t>1BR</t>
        </is>
      </c>
      <c r="C36" s="3" t="inlineStr">
        <is>
          <t>B</t>
        </is>
      </c>
      <c r="D36" s="3" t="n">
        <v>940</v>
      </c>
      <c r="E36" s="3" t="inlineStr">
        <is>
          <t>active</t>
        </is>
      </c>
      <c r="F36" s="3" t="n">
        <v>1725</v>
      </c>
      <c r="G36" s="3" t="inlineStr">
        <is>
          <t>2029-08-31</t>
        </is>
      </c>
      <c r="H36" s="3">
        <f>IF(E36="active",1,0)</f>
        <v/>
      </c>
      <c r="I36" s="3">
        <f>H36*D36</f>
        <v/>
      </c>
      <c r="J36" s="3">
        <f>H36*F36</f>
        <v/>
      </c>
    </row>
    <row r="37" ht="30" customHeight="1">
      <c r="A37" s="3" t="inlineStr">
        <is>
          <t>033</t>
        </is>
      </c>
      <c r="B37" s="3" t="inlineStr">
        <is>
          <t>2BR</t>
        </is>
      </c>
      <c r="C37" s="3" t="inlineStr">
        <is>
          <t>C</t>
        </is>
      </c>
      <c r="D37" s="3" t="n">
        <v>1150</v>
      </c>
      <c r="E37" s="3" t="inlineStr">
        <is>
          <t>active</t>
        </is>
      </c>
      <c r="F37" s="3" t="n">
        <v>2000</v>
      </c>
      <c r="G37" s="3" t="inlineStr">
        <is>
          <t>2029-08-31</t>
        </is>
      </c>
      <c r="H37" s="3">
        <f>IF(E37="active",1,0)</f>
        <v/>
      </c>
      <c r="I37" s="3">
        <f>H37*D37</f>
        <v/>
      </c>
      <c r="J37" s="3">
        <f>H37*F37</f>
        <v/>
      </c>
    </row>
    <row r="38" ht="30" customHeight="1">
      <c r="A38" s="3" t="inlineStr">
        <is>
          <t>034</t>
        </is>
      </c>
      <c r="B38" s="3" t="inlineStr">
        <is>
          <t>Studio</t>
        </is>
      </c>
      <c r="C38" s="3" t="inlineStr">
        <is>
          <t>A</t>
        </is>
      </c>
      <c r="D38" s="3" t="n">
        <v>820</v>
      </c>
      <c r="E38" s="3" t="inlineStr">
        <is>
          <t>active</t>
        </is>
      </c>
      <c r="F38" s="3" t="n">
        <v>1575</v>
      </c>
      <c r="G38" s="3" t="inlineStr">
        <is>
          <t>2029-08-31</t>
        </is>
      </c>
      <c r="H38" s="3">
        <f>IF(E38="active",1,0)</f>
        <v/>
      </c>
      <c r="I38" s="3">
        <f>H38*D38</f>
        <v/>
      </c>
      <c r="J38" s="3">
        <f>H38*F38</f>
        <v/>
      </c>
    </row>
    <row r="39" ht="30" customHeight="1">
      <c r="A39" s="3" t="inlineStr">
        <is>
          <t>035</t>
        </is>
      </c>
      <c r="B39" s="3" t="inlineStr">
        <is>
          <t>1BR</t>
        </is>
      </c>
      <c r="C39" s="3" t="inlineStr">
        <is>
          <t>B</t>
        </is>
      </c>
      <c r="D39" s="3" t="n">
        <v>940</v>
      </c>
      <c r="E39" s="3" t="inlineStr">
        <is>
          <t>active</t>
        </is>
      </c>
      <c r="F39" s="3" t="n">
        <v>1725</v>
      </c>
      <c r="G39" s="3" t="inlineStr">
        <is>
          <t>2029-08-31</t>
        </is>
      </c>
      <c r="H39" s="3">
        <f>IF(E39="active",1,0)</f>
        <v/>
      </c>
      <c r="I39" s="3">
        <f>H39*D39</f>
        <v/>
      </c>
      <c r="J39" s="3">
        <f>H39*F39</f>
        <v/>
      </c>
    </row>
    <row r="40" ht="30" customHeight="1">
      <c r="A40" s="3" t="inlineStr">
        <is>
          <t>036</t>
        </is>
      </c>
      <c r="B40" s="3" t="inlineStr">
        <is>
          <t>2BR</t>
        </is>
      </c>
      <c r="C40" s="3" t="inlineStr">
        <is>
          <t>C</t>
        </is>
      </c>
      <c r="D40" s="3" t="n">
        <v>1150</v>
      </c>
      <c r="E40" s="3" t="inlineStr">
        <is>
          <t>active</t>
        </is>
      </c>
      <c r="F40" s="3" t="n">
        <v>2000</v>
      </c>
      <c r="G40" s="3" t="inlineStr">
        <is>
          <t>2029-08-31</t>
        </is>
      </c>
      <c r="H40" s="3">
        <f>IF(E40="active",1,0)</f>
        <v/>
      </c>
      <c r="I40" s="3">
        <f>H40*D40</f>
        <v/>
      </c>
      <c r="J40" s="3">
        <f>H40*F40</f>
        <v/>
      </c>
    </row>
    <row r="41" ht="30" customHeight="1">
      <c r="A41" s="3" t="inlineStr">
        <is>
          <t>037</t>
        </is>
      </c>
      <c r="B41" s="3" t="inlineStr">
        <is>
          <t>Studio</t>
        </is>
      </c>
      <c r="C41" s="3" t="inlineStr">
        <is>
          <t>A</t>
        </is>
      </c>
      <c r="D41" s="3" t="n">
        <v>820</v>
      </c>
      <c r="E41" s="3" t="inlineStr">
        <is>
          <t>active</t>
        </is>
      </c>
      <c r="F41" s="3" t="n">
        <v>1575</v>
      </c>
      <c r="G41" s="3" t="inlineStr">
        <is>
          <t>2029-08-31</t>
        </is>
      </c>
      <c r="H41" s="3">
        <f>IF(E41="active",1,0)</f>
        <v/>
      </c>
      <c r="I41" s="3">
        <f>H41*D41</f>
        <v/>
      </c>
      <c r="J41" s="3">
        <f>H41*F41</f>
        <v/>
      </c>
    </row>
    <row r="42" ht="30" customHeight="1">
      <c r="A42" s="3" t="inlineStr">
        <is>
          <t>038</t>
        </is>
      </c>
      <c r="B42" s="3" t="inlineStr">
        <is>
          <t>1BR</t>
        </is>
      </c>
      <c r="C42" s="3" t="inlineStr">
        <is>
          <t>B</t>
        </is>
      </c>
      <c r="D42" s="3" t="n">
        <v>940</v>
      </c>
      <c r="E42" s="3" t="inlineStr">
        <is>
          <t>active</t>
        </is>
      </c>
      <c r="F42" s="3" t="n">
        <v>1725</v>
      </c>
      <c r="G42" s="3" t="inlineStr">
        <is>
          <t>2029-08-31</t>
        </is>
      </c>
      <c r="H42" s="3">
        <f>IF(E42="active",1,0)</f>
        <v/>
      </c>
      <c r="I42" s="3">
        <f>H42*D42</f>
        <v/>
      </c>
      <c r="J42" s="3">
        <f>H42*F42</f>
        <v/>
      </c>
    </row>
    <row r="43" ht="30" customHeight="1">
      <c r="A43" s="3" t="inlineStr">
        <is>
          <t>039</t>
        </is>
      </c>
      <c r="B43" s="3" t="inlineStr">
        <is>
          <t>2BR</t>
        </is>
      </c>
      <c r="C43" s="3" t="inlineStr">
        <is>
          <t>C</t>
        </is>
      </c>
      <c r="D43" s="3" t="n">
        <v>1150</v>
      </c>
      <c r="E43" s="3" t="inlineStr">
        <is>
          <t>active</t>
        </is>
      </c>
      <c r="F43" s="3" t="n">
        <v>2000</v>
      </c>
      <c r="G43" s="3" t="inlineStr">
        <is>
          <t>2029-08-31</t>
        </is>
      </c>
      <c r="H43" s="3">
        <f>IF(E43="active",1,0)</f>
        <v/>
      </c>
      <c r="I43" s="3">
        <f>H43*D43</f>
        <v/>
      </c>
      <c r="J43" s="3">
        <f>H43*F43</f>
        <v/>
      </c>
    </row>
    <row r="44" ht="30" customHeight="1">
      <c r="A44" s="3" t="inlineStr">
        <is>
          <t>040</t>
        </is>
      </c>
      <c r="B44" s="3" t="inlineStr">
        <is>
          <t>Studio</t>
        </is>
      </c>
      <c r="C44" s="3" t="inlineStr">
        <is>
          <t>A</t>
        </is>
      </c>
      <c r="D44" s="3" t="n">
        <v>820</v>
      </c>
      <c r="E44" s="3" t="inlineStr">
        <is>
          <t>active</t>
        </is>
      </c>
      <c r="F44" s="3" t="n">
        <v>1575</v>
      </c>
      <c r="G44" s="3" t="inlineStr">
        <is>
          <t>2029-08-31</t>
        </is>
      </c>
      <c r="H44" s="3">
        <f>IF(E44="active",1,0)</f>
        <v/>
      </c>
      <c r="I44" s="3">
        <f>H44*D44</f>
        <v/>
      </c>
      <c r="J44" s="3">
        <f>H44*F44</f>
        <v/>
      </c>
    </row>
    <row r="45" ht="30" customHeight="1">
      <c r="A45" s="3" t="inlineStr">
        <is>
          <t>041</t>
        </is>
      </c>
      <c r="B45" s="3" t="inlineStr">
        <is>
          <t>1BR</t>
        </is>
      </c>
      <c r="C45" s="3" t="inlineStr">
        <is>
          <t>B</t>
        </is>
      </c>
      <c r="D45" s="3" t="n">
        <v>940</v>
      </c>
      <c r="E45" s="3" t="inlineStr">
        <is>
          <t>active</t>
        </is>
      </c>
      <c r="F45" s="3" t="n">
        <v>1725</v>
      </c>
      <c r="G45" s="3" t="inlineStr">
        <is>
          <t>2029-08-31</t>
        </is>
      </c>
      <c r="H45" s="3">
        <f>IF(E45="active",1,0)</f>
        <v/>
      </c>
      <c r="I45" s="3">
        <f>H45*D45</f>
        <v/>
      </c>
      <c r="J45" s="3">
        <f>H45*F45</f>
        <v/>
      </c>
    </row>
    <row r="46" ht="30" customHeight="1">
      <c r="A46" s="3" t="inlineStr">
        <is>
          <t>042</t>
        </is>
      </c>
      <c r="B46" s="3" t="inlineStr">
        <is>
          <t>2BR</t>
        </is>
      </c>
      <c r="C46" s="3" t="inlineStr">
        <is>
          <t>C</t>
        </is>
      </c>
      <c r="D46" s="3" t="n">
        <v>1150</v>
      </c>
      <c r="E46" s="3" t="inlineStr">
        <is>
          <t>active</t>
        </is>
      </c>
      <c r="F46" s="3" t="n">
        <v>2000</v>
      </c>
      <c r="G46" s="3" t="inlineStr">
        <is>
          <t>2029-08-31</t>
        </is>
      </c>
      <c r="H46" s="3">
        <f>IF(E46="active",1,0)</f>
        <v/>
      </c>
      <c r="I46" s="3">
        <f>H46*D46</f>
        <v/>
      </c>
      <c r="J46" s="3">
        <f>H46*F46</f>
        <v/>
      </c>
    </row>
    <row r="47" ht="30" customHeight="1">
      <c r="A47" s="3" t="inlineStr">
        <is>
          <t>043</t>
        </is>
      </c>
      <c r="B47" s="3" t="inlineStr">
        <is>
          <t>Studio</t>
        </is>
      </c>
      <c r="C47" s="3" t="inlineStr">
        <is>
          <t>A</t>
        </is>
      </c>
      <c r="D47" s="3" t="n">
        <v>820</v>
      </c>
      <c r="E47" s="3" t="inlineStr">
        <is>
          <t>active</t>
        </is>
      </c>
      <c r="F47" s="3" t="n">
        <v>1575</v>
      </c>
      <c r="G47" s="3" t="inlineStr">
        <is>
          <t>2029-08-31</t>
        </is>
      </c>
      <c r="H47" s="3">
        <f>IF(E47="active",1,0)</f>
        <v/>
      </c>
      <c r="I47" s="3">
        <f>H47*D47</f>
        <v/>
      </c>
      <c r="J47" s="3">
        <f>H47*F47</f>
        <v/>
      </c>
    </row>
    <row r="48" ht="30" customHeight="1">
      <c r="A48" s="3" t="inlineStr">
        <is>
          <t>044</t>
        </is>
      </c>
      <c r="B48" s="3" t="inlineStr">
        <is>
          <t>1BR</t>
        </is>
      </c>
      <c r="C48" s="3" t="inlineStr">
        <is>
          <t>B</t>
        </is>
      </c>
      <c r="D48" s="3" t="n">
        <v>940</v>
      </c>
      <c r="E48" s="3" t="inlineStr">
        <is>
          <t>active</t>
        </is>
      </c>
      <c r="F48" s="3" t="n">
        <v>1725</v>
      </c>
      <c r="G48" s="3" t="inlineStr">
        <is>
          <t>2029-08-31</t>
        </is>
      </c>
      <c r="H48" s="3">
        <f>IF(E48="active",1,0)</f>
        <v/>
      </c>
      <c r="I48" s="3">
        <f>H48*D48</f>
        <v/>
      </c>
      <c r="J48" s="3">
        <f>H48*F48</f>
        <v/>
      </c>
    </row>
    <row r="49" ht="30" customHeight="1">
      <c r="A49" s="3" t="inlineStr">
        <is>
          <t>045</t>
        </is>
      </c>
      <c r="B49" s="3" t="inlineStr">
        <is>
          <t>2BR</t>
        </is>
      </c>
      <c r="C49" s="3" t="inlineStr">
        <is>
          <t>C</t>
        </is>
      </c>
      <c r="D49" s="3" t="n">
        <v>1150</v>
      </c>
      <c r="E49" s="3" t="inlineStr">
        <is>
          <t>active</t>
        </is>
      </c>
      <c r="F49" s="3" t="n">
        <v>2000</v>
      </c>
      <c r="G49" s="3" t="inlineStr">
        <is>
          <t>2029-08-31</t>
        </is>
      </c>
      <c r="H49" s="3">
        <f>IF(E49="active",1,0)</f>
        <v/>
      </c>
      <c r="I49" s="3">
        <f>H49*D49</f>
        <v/>
      </c>
      <c r="J49" s="3">
        <f>H49*F49</f>
        <v/>
      </c>
    </row>
    <row r="50" ht="30" customHeight="1">
      <c r="A50" s="3" t="inlineStr">
        <is>
          <t>046</t>
        </is>
      </c>
      <c r="B50" s="3" t="inlineStr">
        <is>
          <t>Studio</t>
        </is>
      </c>
      <c r="C50" s="3" t="inlineStr">
        <is>
          <t>A</t>
        </is>
      </c>
      <c r="D50" s="3" t="n">
        <v>820</v>
      </c>
      <c r="E50" s="3" t="inlineStr">
        <is>
          <t>active</t>
        </is>
      </c>
      <c r="F50" s="3" t="n">
        <v>1575</v>
      </c>
      <c r="G50" s="3" t="inlineStr">
        <is>
          <t>2029-08-31</t>
        </is>
      </c>
      <c r="H50" s="3">
        <f>IF(E50="active",1,0)</f>
        <v/>
      </c>
      <c r="I50" s="3">
        <f>H50*D50</f>
        <v/>
      </c>
      <c r="J50" s="3">
        <f>H50*F50</f>
        <v/>
      </c>
    </row>
    <row r="51" ht="30" customHeight="1">
      <c r="A51" s="3" t="inlineStr">
        <is>
          <t>047</t>
        </is>
      </c>
      <c r="B51" s="3" t="inlineStr">
        <is>
          <t>1BR</t>
        </is>
      </c>
      <c r="C51" s="3" t="inlineStr">
        <is>
          <t>B</t>
        </is>
      </c>
      <c r="D51" s="3" t="n">
        <v>940</v>
      </c>
      <c r="E51" s="3" t="inlineStr">
        <is>
          <t>active</t>
        </is>
      </c>
      <c r="F51" s="3" t="n">
        <v>1725</v>
      </c>
      <c r="G51" s="3" t="inlineStr">
        <is>
          <t>2029-08-31</t>
        </is>
      </c>
      <c r="H51" s="3">
        <f>IF(E51="active",1,0)</f>
        <v/>
      </c>
      <c r="I51" s="3">
        <f>H51*D51</f>
        <v/>
      </c>
      <c r="J51" s="3">
        <f>H51*F51</f>
        <v/>
      </c>
    </row>
    <row r="52" ht="30" customHeight="1">
      <c r="A52" s="3" t="inlineStr">
        <is>
          <t>048</t>
        </is>
      </c>
      <c r="B52" s="3" t="inlineStr">
        <is>
          <t>2BR</t>
        </is>
      </c>
      <c r="C52" s="3" t="inlineStr">
        <is>
          <t>C</t>
        </is>
      </c>
      <c r="D52" s="3" t="n">
        <v>1150</v>
      </c>
      <c r="E52" s="3" t="inlineStr">
        <is>
          <t>active</t>
        </is>
      </c>
      <c r="F52" s="3" t="n">
        <v>2000</v>
      </c>
      <c r="G52" s="3" t="inlineStr">
        <is>
          <t>2029-08-31</t>
        </is>
      </c>
      <c r="H52" s="3">
        <f>IF(E52="active",1,0)</f>
        <v/>
      </c>
      <c r="I52" s="3">
        <f>H52*D52</f>
        <v/>
      </c>
      <c r="J52" s="3">
        <f>H52*F52</f>
        <v/>
      </c>
    </row>
    <row r="53" ht="30" customHeight="1">
      <c r="A53" s="3" t="inlineStr">
        <is>
          <t>049</t>
        </is>
      </c>
      <c r="B53" s="3" t="inlineStr">
        <is>
          <t>Studio</t>
        </is>
      </c>
      <c r="C53" s="3" t="inlineStr">
        <is>
          <t>A</t>
        </is>
      </c>
      <c r="D53" s="3" t="n">
        <v>820</v>
      </c>
      <c r="E53" s="3" t="inlineStr">
        <is>
          <t>pending</t>
        </is>
      </c>
      <c r="F53" s="3" t="n">
        <v>1575</v>
      </c>
      <c r="G53" s="3" t="inlineStr">
        <is>
          <t>2029-08-31</t>
        </is>
      </c>
      <c r="H53" s="3">
        <f>IF(E53="active",1,0)</f>
        <v/>
      </c>
      <c r="I53" s="3">
        <f>H53*D53</f>
        <v/>
      </c>
      <c r="J53" s="3">
        <f>H53*F53</f>
        <v/>
      </c>
    </row>
    <row r="54" ht="30" customHeight="1">
      <c r="A54" s="3" t="inlineStr">
        <is>
          <t>050</t>
        </is>
      </c>
      <c r="B54" s="3" t="inlineStr">
        <is>
          <t>1BR</t>
        </is>
      </c>
      <c r="C54" s="3" t="inlineStr">
        <is>
          <t>B</t>
        </is>
      </c>
      <c r="D54" s="3" t="n">
        <v>940</v>
      </c>
      <c r="E54" s="3" t="inlineStr">
        <is>
          <t>pending</t>
        </is>
      </c>
      <c r="F54" s="3" t="n">
        <v>1725</v>
      </c>
      <c r="G54" s="3" t="inlineStr">
        <is>
          <t>2029-08-31</t>
        </is>
      </c>
      <c r="H54" s="3">
        <f>IF(E54="active",1,0)</f>
        <v/>
      </c>
      <c r="I54" s="3">
        <f>H54*D54</f>
        <v/>
      </c>
      <c r="J54" s="3">
        <f>H54*F54</f>
        <v/>
      </c>
    </row>
    <row r="55" ht="30" customHeight="1">
      <c r="A55" s="3" t="inlineStr">
        <is>
          <t>051</t>
        </is>
      </c>
      <c r="B55" s="3" t="inlineStr">
        <is>
          <t>2BR</t>
        </is>
      </c>
      <c r="C55" s="3" t="inlineStr">
        <is>
          <t>C</t>
        </is>
      </c>
      <c r="D55" s="3" t="n">
        <v>1150</v>
      </c>
      <c r="E55" s="3" t="inlineStr">
        <is>
          <t>pending</t>
        </is>
      </c>
      <c r="F55" s="3" t="n">
        <v>2000</v>
      </c>
      <c r="G55" s="3" t="inlineStr">
        <is>
          <t>2029-08-31</t>
        </is>
      </c>
      <c r="H55" s="3">
        <f>IF(E55="active",1,0)</f>
        <v/>
      </c>
      <c r="I55" s="3">
        <f>H55*D55</f>
        <v/>
      </c>
      <c r="J55" s="3">
        <f>H55*F55</f>
        <v/>
      </c>
    </row>
    <row r="56" ht="30" customHeight="1">
      <c r="A56" s="3" t="inlineStr">
        <is>
          <t>052</t>
        </is>
      </c>
      <c r="B56" s="3" t="inlineStr">
        <is>
          <t>Studio</t>
        </is>
      </c>
      <c r="C56" s="3" t="inlineStr">
        <is>
          <t>A</t>
        </is>
      </c>
      <c r="D56" s="3" t="n">
        <v>820</v>
      </c>
      <c r="E56" s="3" t="inlineStr">
        <is>
          <t>pending</t>
        </is>
      </c>
      <c r="F56" s="3" t="n">
        <v>1575</v>
      </c>
      <c r="G56" s="3" t="inlineStr">
        <is>
          <t>2029-08-31</t>
        </is>
      </c>
      <c r="H56" s="3">
        <f>IF(E56="active",1,0)</f>
        <v/>
      </c>
      <c r="I56" s="3">
        <f>H56*D56</f>
        <v/>
      </c>
      <c r="J56" s="3">
        <f>H56*F56</f>
        <v/>
      </c>
    </row>
    <row r="57" ht="30" customHeight="1">
      <c r="A57" s="3" t="inlineStr">
        <is>
          <t>053</t>
        </is>
      </c>
      <c r="B57" s="3" t="inlineStr">
        <is>
          <t>1BR</t>
        </is>
      </c>
      <c r="C57" s="3" t="inlineStr">
        <is>
          <t>B</t>
        </is>
      </c>
      <c r="D57" s="3" t="n">
        <v>940</v>
      </c>
      <c r="E57" s="3" t="inlineStr">
        <is>
          <t>pending</t>
        </is>
      </c>
      <c r="F57" s="3" t="n">
        <v>1725</v>
      </c>
      <c r="G57" s="3" t="inlineStr">
        <is>
          <t>2029-08-31</t>
        </is>
      </c>
      <c r="H57" s="3">
        <f>IF(E57="active",1,0)</f>
        <v/>
      </c>
      <c r="I57" s="3">
        <f>H57*D57</f>
        <v/>
      </c>
      <c r="J57" s="3">
        <f>H57*F57</f>
        <v/>
      </c>
    </row>
    <row r="58" ht="30" customHeight="1">
      <c r="A58" s="3" t="inlineStr">
        <is>
          <t>054</t>
        </is>
      </c>
      <c r="B58" s="3" t="inlineStr">
        <is>
          <t>2BR</t>
        </is>
      </c>
      <c r="C58" s="3" t="inlineStr">
        <is>
          <t>C</t>
        </is>
      </c>
      <c r="D58" s="3" t="n">
        <v>1150</v>
      </c>
      <c r="E58" s="3" t="inlineStr">
        <is>
          <t>vacant</t>
        </is>
      </c>
      <c r="F58" s="3" t="n">
        <v>2000</v>
      </c>
      <c r="G58" s="3" t="inlineStr">
        <is>
          <t>2029-08-31</t>
        </is>
      </c>
      <c r="H58" s="3">
        <f>IF(E58="active",1,0)</f>
        <v/>
      </c>
      <c r="I58" s="3">
        <f>H58*D58</f>
        <v/>
      </c>
      <c r="J58" s="3">
        <f>H58*F58</f>
        <v/>
      </c>
    </row>
    <row r="59" ht="30" customHeight="1">
      <c r="A59" s="3" t="inlineStr">
        <is>
          <t>055</t>
        </is>
      </c>
      <c r="B59" s="3" t="inlineStr">
        <is>
          <t>Studio</t>
        </is>
      </c>
      <c r="C59" s="3" t="inlineStr">
        <is>
          <t>A</t>
        </is>
      </c>
      <c r="D59" s="3" t="n">
        <v>820</v>
      </c>
      <c r="E59" s="3" t="inlineStr">
        <is>
          <t>vacant</t>
        </is>
      </c>
      <c r="F59" s="3" t="n">
        <v>1575</v>
      </c>
      <c r="G59" s="3" t="inlineStr">
        <is>
          <t>2029-08-31</t>
        </is>
      </c>
      <c r="H59" s="3">
        <f>IF(E59="active",1,0)</f>
        <v/>
      </c>
      <c r="I59" s="3">
        <f>H59*D59</f>
        <v/>
      </c>
      <c r="J59" s="3">
        <f>H59*F59</f>
        <v/>
      </c>
    </row>
    <row r="60" ht="30" customHeight="1">
      <c r="A60" s="3" t="inlineStr">
        <is>
          <t>056</t>
        </is>
      </c>
      <c r="B60" s="3" t="inlineStr">
        <is>
          <t>1BR</t>
        </is>
      </c>
      <c r="C60" s="3" t="inlineStr">
        <is>
          <t>B</t>
        </is>
      </c>
      <c r="D60" s="3" t="n">
        <v>940</v>
      </c>
      <c r="E60" s="3" t="inlineStr">
        <is>
          <t>vacant</t>
        </is>
      </c>
      <c r="F60" s="3" t="n">
        <v>1725</v>
      </c>
      <c r="G60" s="3" t="inlineStr">
        <is>
          <t>2029-08-31</t>
        </is>
      </c>
      <c r="H60" s="3">
        <f>IF(E60="active",1,0)</f>
        <v/>
      </c>
      <c r="I60" s="3">
        <f>H60*D60</f>
        <v/>
      </c>
      <c r="J60" s="3">
        <f>H60*F60</f>
        <v/>
      </c>
    </row>
    <row r="61" ht="30" customHeight="1">
      <c r="A61" s="3" t="inlineStr">
        <is>
          <t>057</t>
        </is>
      </c>
      <c r="B61" s="3" t="inlineStr">
        <is>
          <t>2BR</t>
        </is>
      </c>
      <c r="C61" s="3" t="inlineStr">
        <is>
          <t>C</t>
        </is>
      </c>
      <c r="D61" s="3" t="n">
        <v>1150</v>
      </c>
      <c r="E61" s="3" t="inlineStr">
        <is>
          <t>vacant</t>
        </is>
      </c>
      <c r="F61" s="3" t="n">
        <v>2000</v>
      </c>
      <c r="G61" s="3" t="inlineStr">
        <is>
          <t>2029-08-31</t>
        </is>
      </c>
      <c r="H61" s="3">
        <f>IF(E61="active",1,0)</f>
        <v/>
      </c>
      <c r="I61" s="3">
        <f>H61*D61</f>
        <v/>
      </c>
      <c r="J61" s="3">
        <f>H61*F61</f>
        <v/>
      </c>
    </row>
    <row r="62" ht="30" customHeight="1">
      <c r="A62" s="3" t="inlineStr">
        <is>
          <t>058</t>
        </is>
      </c>
      <c r="B62" s="3" t="inlineStr">
        <is>
          <t>Studio</t>
        </is>
      </c>
      <c r="C62" s="3" t="inlineStr">
        <is>
          <t>A</t>
        </is>
      </c>
      <c r="D62" s="3" t="n">
        <v>820</v>
      </c>
      <c r="E62" s="3" t="inlineStr">
        <is>
          <t>vacant</t>
        </is>
      </c>
      <c r="F62" s="3" t="n">
        <v>1575</v>
      </c>
      <c r="G62" s="3" t="inlineStr">
        <is>
          <t>2029-08-31</t>
        </is>
      </c>
      <c r="H62" s="3">
        <f>IF(E62="active",1,0)</f>
        <v/>
      </c>
      <c r="I62" s="3">
        <f>H62*D62</f>
        <v/>
      </c>
      <c r="J62" s="3">
        <f>H62*F62</f>
        <v/>
      </c>
    </row>
    <row r="63" ht="30" customHeight="1">
      <c r="A63" s="3" t="inlineStr">
        <is>
          <t>059</t>
        </is>
      </c>
      <c r="B63" s="3" t="inlineStr">
        <is>
          <t>1BR</t>
        </is>
      </c>
      <c r="C63" s="3" t="inlineStr">
        <is>
          <t>B</t>
        </is>
      </c>
      <c r="D63" s="3" t="n">
        <v>940</v>
      </c>
      <c r="E63" s="3" t="inlineStr">
        <is>
          <t>vacant</t>
        </is>
      </c>
      <c r="F63" s="3" t="n">
        <v>1725</v>
      </c>
      <c r="G63" s="3" t="inlineStr">
        <is>
          <t>2029-08-31</t>
        </is>
      </c>
      <c r="H63" s="3">
        <f>IF(E63="active",1,0)</f>
        <v/>
      </c>
      <c r="I63" s="3">
        <f>H63*D63</f>
        <v/>
      </c>
      <c r="J63" s="3">
        <f>H63*F63</f>
        <v/>
      </c>
    </row>
    <row r="64" ht="30" customHeight="1">
      <c r="A64" s="3" t="inlineStr">
        <is>
          <t>060</t>
        </is>
      </c>
      <c r="B64" s="3" t="inlineStr">
        <is>
          <t>2BR</t>
        </is>
      </c>
      <c r="C64" s="3" t="inlineStr">
        <is>
          <t>C</t>
        </is>
      </c>
      <c r="D64" s="3" t="n">
        <v>1150</v>
      </c>
      <c r="E64" s="3" t="inlineStr">
        <is>
          <t>vacant</t>
        </is>
      </c>
      <c r="F64" s="3" t="n">
        <v>2000</v>
      </c>
      <c r="G64" s="3" t="inlineStr">
        <is>
          <t>2029-08-31</t>
        </is>
      </c>
      <c r="H64" s="3">
        <f>IF(E64="active",1,0)</f>
        <v/>
      </c>
      <c r="I64" s="3">
        <f>H64*D64</f>
        <v/>
      </c>
      <c r="J64" s="3">
        <f>H64*F64</f>
        <v/>
      </c>
    </row>
    <row r="65" ht="30" customHeight="1">
      <c r="A65" s="3" t="inlineStr">
        <is>
          <t>061</t>
        </is>
      </c>
      <c r="B65" s="3" t="inlineStr">
        <is>
          <t>Studio</t>
        </is>
      </c>
      <c r="C65" s="3" t="inlineStr">
        <is>
          <t>A</t>
        </is>
      </c>
      <c r="D65" s="3" t="n">
        <v>820</v>
      </c>
      <c r="E65" s="3" t="inlineStr">
        <is>
          <t>vacant</t>
        </is>
      </c>
      <c r="F65" s="3" t="n">
        <v>1575</v>
      </c>
      <c r="G65" s="3" t="inlineStr">
        <is>
          <t>2029-08-31</t>
        </is>
      </c>
      <c r="H65" s="3">
        <f>IF(E65="active",1,0)</f>
        <v/>
      </c>
      <c r="I65" s="3">
        <f>H65*D65</f>
        <v/>
      </c>
      <c r="J65" s="3">
        <f>H65*F65</f>
        <v/>
      </c>
    </row>
    <row r="66" ht="30" customHeight="1">
      <c r="A66" s="3" t="inlineStr">
        <is>
          <t>062</t>
        </is>
      </c>
      <c r="B66" s="3" t="inlineStr">
        <is>
          <t>1BR</t>
        </is>
      </c>
      <c r="C66" s="3" t="inlineStr">
        <is>
          <t>B</t>
        </is>
      </c>
      <c r="D66" s="3" t="n">
        <v>940</v>
      </c>
      <c r="E66" s="3" t="inlineStr">
        <is>
          <t>vacant</t>
        </is>
      </c>
      <c r="F66" s="3" t="n">
        <v>1725</v>
      </c>
      <c r="G66" s="3" t="inlineStr">
        <is>
          <t>2029-08-31</t>
        </is>
      </c>
      <c r="H66" s="3">
        <f>IF(E66="active",1,0)</f>
        <v/>
      </c>
      <c r="I66" s="3">
        <f>H66*D66</f>
        <v/>
      </c>
      <c r="J66" s="3">
        <f>H66*F66</f>
        <v/>
      </c>
    </row>
    <row r="67" ht="30" customHeight="1">
      <c r="A67" s="3" t="inlineStr">
        <is>
          <t>063</t>
        </is>
      </c>
      <c r="B67" s="3" t="inlineStr">
        <is>
          <t>2BR</t>
        </is>
      </c>
      <c r="C67" s="3" t="inlineStr">
        <is>
          <t>C</t>
        </is>
      </c>
      <c r="D67" s="3" t="n">
        <v>1150</v>
      </c>
      <c r="E67" s="3" t="inlineStr">
        <is>
          <t>vacant</t>
        </is>
      </c>
      <c r="F67" s="3" t="n">
        <v>2000</v>
      </c>
      <c r="G67" s="3" t="inlineStr">
        <is>
          <t>2029-08-31</t>
        </is>
      </c>
      <c r="H67" s="3">
        <f>IF(E67="active",1,0)</f>
        <v/>
      </c>
      <c r="I67" s="3">
        <f>H67*D67</f>
        <v/>
      </c>
      <c r="J67" s="3">
        <f>H67*F67</f>
        <v/>
      </c>
    </row>
    <row r="68" ht="30" customHeight="1">
      <c r="A68" s="3" t="inlineStr">
        <is>
          <t>064</t>
        </is>
      </c>
      <c r="B68" s="3" t="inlineStr">
        <is>
          <t>Studio</t>
        </is>
      </c>
      <c r="C68" s="3" t="inlineStr">
        <is>
          <t>A</t>
        </is>
      </c>
      <c r="D68" s="3" t="n">
        <v>820</v>
      </c>
      <c r="E68" s="3" t="inlineStr">
        <is>
          <t>vacant</t>
        </is>
      </c>
      <c r="F68" s="3" t="n">
        <v>1575</v>
      </c>
      <c r="G68" s="3" t="inlineStr">
        <is>
          <t>2029-08-31</t>
        </is>
      </c>
      <c r="H68" s="3">
        <f>IF(E68="active",1,0)</f>
        <v/>
      </c>
      <c r="I68" s="3">
        <f>H68*D68</f>
        <v/>
      </c>
      <c r="J68" s="3">
        <f>H68*F68</f>
        <v/>
      </c>
    </row>
    <row r="70" ht="30" customHeight="1">
      <c r="A70" s="2" t="inlineStr">
        <is>
          <t>Roll summary</t>
        </is>
      </c>
    </row>
    <row r="71" ht="30" customHeight="1">
      <c r="A71" s="3" t="inlineStr">
        <is>
          <t>Total units / suites</t>
        </is>
      </c>
      <c r="B71" s="11">
        <f>COUNTA(A5:A68)</f>
        <v/>
      </c>
    </row>
    <row r="72" ht="30" customHeight="1">
      <c r="A72" s="3" t="inlineStr">
        <is>
          <t>Occupied units (active / in possession)</t>
        </is>
      </c>
      <c r="B72" s="11">
        <f>COUNTIF(E5:E68,"active")</f>
        <v/>
      </c>
    </row>
    <row r="73" ht="30" customHeight="1">
      <c r="A73" s="3" t="inlineStr">
        <is>
          <t>Pending units (not in possession)</t>
        </is>
      </c>
      <c r="B73" s="6">
        <f>COUNTIF(E5:E68,"pending")</f>
        <v/>
      </c>
    </row>
    <row r="74" ht="30" customHeight="1">
      <c r="A74" s="3" t="inlineStr">
        <is>
          <t>Vacant units</t>
        </is>
      </c>
      <c r="B74" s="6">
        <f>COUNTIF(E5:E68,"vacant")</f>
        <v/>
      </c>
    </row>
    <row r="75" ht="30" customHeight="1">
      <c r="A75" s="3" t="inlineStr">
        <is>
          <t>Total area SF</t>
        </is>
      </c>
      <c r="B75" s="11">
        <f>SUM(D5:D68)</f>
        <v/>
      </c>
    </row>
    <row r="76" ht="30" customHeight="1">
      <c r="A76" s="3" t="inlineStr">
        <is>
          <t>Occupied area SF</t>
        </is>
      </c>
      <c r="B76" s="11">
        <f>SUM(I5:I68)</f>
        <v/>
      </c>
    </row>
    <row r="77" ht="30" customHeight="1">
      <c r="A77" s="3" t="inlineStr">
        <is>
          <t>Unit occupancy (physical)</t>
        </is>
      </c>
      <c r="B77" s="12">
        <f>B72/B71</f>
        <v/>
      </c>
    </row>
    <row r="78" ht="30" customHeight="1">
      <c r="A78" s="3" t="inlineStr">
        <is>
          <t>Area occupancy (physical)</t>
        </is>
      </c>
      <c r="B78" s="12">
        <f>B76/B75</f>
        <v/>
      </c>
    </row>
    <row r="79" ht="30" customHeight="1">
      <c r="A79" s="3" t="inlineStr">
        <is>
          <t>Scheduled monthly rent - all suites</t>
        </is>
      </c>
      <c r="B79" s="13">
        <f>SUM(F5:F68)</f>
        <v/>
      </c>
    </row>
    <row r="80" ht="30" customHeight="1">
      <c r="A80" s="3" t="inlineStr">
        <is>
          <t>Gross potential rent (annual) - check vs Inputs!B4</t>
        </is>
      </c>
      <c r="B80" s="14">
        <f>B79*12</f>
        <v/>
      </c>
    </row>
    <row r="81" ht="30" customHeight="1">
      <c r="A81" s="3" t="inlineStr">
        <is>
          <t>In-place monthly rent (occupied only)</t>
        </is>
      </c>
      <c r="B81" s="13">
        <f>SUM(J5:J68)</f>
        <v/>
      </c>
    </row>
    <row r="82" ht="30" customHeight="1">
      <c r="A82" s="3" t="inlineStr">
        <is>
          <t>Annual in-place rent (occupied only)</t>
        </is>
      </c>
      <c r="B82" s="14">
        <f>B81*12</f>
        <v/>
      </c>
    </row>
    <row r="83" ht="30" customHeight="1">
      <c r="A83" s="3" t="inlineStr">
        <is>
          <t>Manager 'leased' count (occupied + pending)</t>
        </is>
      </c>
      <c r="B83" s="6">
        <f>B72+B73</f>
        <v/>
      </c>
    </row>
    <row r="84" ht="30" customHeight="1">
      <c r="A84" s="3" t="inlineStr">
        <is>
          <t>Suite 001 monthly rent (certified / executed lease)</t>
        </is>
      </c>
      <c r="B84" s="13">
        <f>F5</f>
        <v/>
      </c>
    </row>
    <row r="85" ht="30" customHeight="1">
      <c r="A85" s="3" t="inlineStr">
        <is>
          <t>All lease expirations on roll: 2029-08-31 (none within 12 months of 2026-08-31)</t>
        </is>
      </c>
    </row>
    <row r="87" ht="30" customHeight="1">
      <c r="A87" s="2" t="inlineStr">
        <is>
          <t>Group</t>
        </is>
      </c>
      <c r="B87" s="2" t="inlineStr">
        <is>
          <t>Unit type</t>
        </is>
      </c>
      <c r="C87" s="2" t="inlineStr">
        <is>
          <t>Units</t>
        </is>
      </c>
      <c r="D87" s="2" t="inlineStr">
        <is>
          <t>Occupied</t>
        </is>
      </c>
      <c r="E87" s="2" t="inlineStr">
        <is>
          <t>Area SF</t>
        </is>
      </c>
      <c r="F87" s="2" t="inlineStr">
        <is>
          <t>Monthly rent/unit</t>
        </is>
      </c>
    </row>
    <row r="88" ht="30" customHeight="1">
      <c r="A88" s="3" t="inlineStr">
        <is>
          <t>A</t>
        </is>
      </c>
      <c r="B88" s="3" t="inlineStr">
        <is>
          <t>Studio</t>
        </is>
      </c>
      <c r="C88" s="6">
        <f>COUNTIF($C$5:$C$68,"A")</f>
        <v/>
      </c>
      <c r="D88" s="6">
        <f>SUMIF($C$5:$C$68,"A",$H$5:$H$68)</f>
        <v/>
      </c>
      <c r="E88" s="6">
        <f>SUMIF($C$5:$C$68,"A",$D$5:$D$68)</f>
        <v/>
      </c>
      <c r="F88" s="13" t="n">
        <v>1575</v>
      </c>
    </row>
    <row r="89" ht="30" customHeight="1">
      <c r="A89" s="3" t="inlineStr">
        <is>
          <t>B</t>
        </is>
      </c>
      <c r="B89" s="3" t="inlineStr">
        <is>
          <t>1BR</t>
        </is>
      </c>
      <c r="C89" s="6">
        <f>COUNTIF($C$5:$C$68,"B")</f>
        <v/>
      </c>
      <c r="D89" s="6">
        <f>SUMIF($C$5:$C$68,"B",$H$5:$H$68)</f>
        <v/>
      </c>
      <c r="E89" s="6">
        <f>SUMIF($C$5:$C$68,"B",$D$5:$D$68)</f>
        <v/>
      </c>
      <c r="F89" s="13" t="n">
        <v>1725</v>
      </c>
    </row>
    <row r="90" ht="30" customHeight="1">
      <c r="A90" s="3" t="inlineStr">
        <is>
          <t>C</t>
        </is>
      </c>
      <c r="B90" s="3" t="inlineStr">
        <is>
          <t>2BR</t>
        </is>
      </c>
      <c r="C90" s="6">
        <f>COUNTIF($C$5:$C$68,"C")</f>
        <v/>
      </c>
      <c r="D90" s="6">
        <f>SUMIF($C$5:$C$68,"C",$H$5:$H$68)</f>
        <v/>
      </c>
      <c r="E90" s="6">
        <f>SUMIF($C$5:$C$68,"C",$D$5:$D$68)</f>
        <v/>
      </c>
      <c r="F90" s="13" t="n">
        <v>2000</v>
      </c>
    </row>
    <row r="91" ht="30" customHeight="1">
      <c r="A91" s="15" t="inlineStr">
        <is>
          <t>Total</t>
        </is>
      </c>
      <c r="C91" s="11">
        <f>SUM(C88:C90)</f>
        <v/>
      </c>
      <c r="D91" s="11">
        <f>SUM(D88:D90)</f>
        <v/>
      </c>
      <c r="E91" s="11">
        <f>SUM(E88:E90)</f>
        <v/>
      </c>
    </row>
    <row r="93" ht="30" customHeight="1">
      <c r="A93" s="3" t="inlineStr">
        <is>
          <t>Group mapping A/B/C = Studio/1BR/2BR per manager-cover.pdf p.1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40" customWidth="1" min="4" max="4"/>
  </cols>
  <sheetData>
    <row r="1" ht="30" customHeight="1">
      <c r="A1" s="1" t="inlineStr">
        <is>
          <t>Underwritten cash flow (stabilized) vs T-12 actual</t>
        </is>
      </c>
    </row>
    <row r="3" ht="30" customHeight="1">
      <c r="A3" s="3" t="inlineStr">
        <is>
          <t>Gross potential rent (annual)</t>
        </is>
      </c>
      <c r="B3" s="13">
        <f>Inputs!B4</f>
        <v/>
      </c>
      <c r="D3" s="3" t="inlineStr">
        <is>
          <t>Certified roll x 12; Suite 001 at executed $1,575</t>
        </is>
      </c>
    </row>
    <row r="4" ht="30" customHeight="1">
      <c r="A4" s="3" t="inlineStr">
        <is>
          <t>Economic loss (vacancy/credit)</t>
        </is>
      </c>
      <c r="B4" s="13">
        <f>-Inputs!B5*B3</f>
        <v/>
      </c>
      <c r="D4" s="3" t="inlineStr">
        <is>
          <t>5.00% of GPR</t>
        </is>
      </c>
    </row>
    <row r="5" ht="30" customHeight="1">
      <c r="A5" s="3" t="inlineStr">
        <is>
          <t>Other income ($350/unit)</t>
        </is>
      </c>
      <c r="B5" s="13">
        <f>Inputs!B6*Inputs!B7</f>
        <v/>
      </c>
      <c r="D5" s="3" t="inlineStr">
        <is>
          <t>Reimbursements already included; not added twice</t>
        </is>
      </c>
    </row>
    <row r="6" ht="30" customHeight="1">
      <c r="A6" s="15" t="inlineStr">
        <is>
          <t>Underwritten EGI</t>
        </is>
      </c>
      <c r="B6" s="14">
        <f>B3+B4+B5</f>
        <v/>
      </c>
    </row>
    <row r="8" ht="30" customHeight="1">
      <c r="A8" s="3" t="inlineStr">
        <is>
          <t>Real estate taxes</t>
        </is>
      </c>
      <c r="B8" s="13">
        <f>-Inputs!B8</f>
        <v/>
      </c>
    </row>
    <row r="9" ht="30" customHeight="1">
      <c r="A9" s="3" t="inlineStr">
        <is>
          <t>Insurance</t>
        </is>
      </c>
      <c r="B9" s="13">
        <f>-Inputs!B9</f>
        <v/>
      </c>
    </row>
    <row r="10" ht="30" customHeight="1">
      <c r="A10" s="3" t="inlineStr">
        <is>
          <t>Other recurring operating expenses</t>
        </is>
      </c>
      <c r="B10" s="13">
        <f>-Inputs!B10</f>
        <v/>
      </c>
    </row>
    <row r="11" ht="30" customHeight="1">
      <c r="A11" s="3" t="inlineStr">
        <is>
          <t>Management fee (3.00% of EGI)</t>
        </is>
      </c>
      <c r="B11" s="13">
        <f>-Inputs!B11*B6</f>
        <v/>
      </c>
    </row>
    <row r="12" ht="30" customHeight="1">
      <c r="A12" s="15" t="inlineStr">
        <is>
          <t>Total underwritten operating expenses</t>
        </is>
      </c>
      <c r="B12" s="14">
        <f>-SUM(B8:B11)</f>
        <v/>
      </c>
    </row>
    <row r="13" ht="30" customHeight="1">
      <c r="A13" s="15" t="inlineStr">
        <is>
          <t>Underwritten NOI (before reserves)</t>
        </is>
      </c>
      <c r="B13" s="14">
        <f>B6-B12</f>
        <v/>
      </c>
    </row>
    <row r="14" ht="30" customHeight="1">
      <c r="A14" s="3" t="inlineStr">
        <is>
          <t>Replacement reserves ($300/unit)</t>
        </is>
      </c>
      <c r="B14" s="13">
        <f>Inputs!B12*Inputs!B7</f>
        <v/>
      </c>
    </row>
    <row r="15" ht="30" customHeight="1">
      <c r="A15" s="15" t="inlineStr">
        <is>
          <t>Underwritten NCF (after reserves)</t>
        </is>
      </c>
      <c r="B15" s="14">
        <f>B13-B14</f>
        <v/>
      </c>
    </row>
    <row r="17" ht="30" customHeight="1">
      <c r="A17" s="3" t="inlineStr">
        <is>
          <t>Operating expense ratio (% of EGI)</t>
        </is>
      </c>
      <c r="B17" s="16">
        <f>B12/B6</f>
        <v/>
      </c>
    </row>
    <row r="18" ht="30" customHeight="1">
      <c r="A18" s="15" t="inlineStr">
        <is>
          <t>Capitalization value (NOI before reserves / cap rate)</t>
        </is>
      </c>
      <c r="B18" s="14">
        <f>B13/Inputs!B13</f>
        <v/>
      </c>
    </row>
    <row r="19" ht="30" customHeight="1">
      <c r="A19" s="3" t="inlineStr">
        <is>
          <t>Value per unit</t>
        </is>
      </c>
      <c r="B19" s="13">
        <f>B18/Inputs!B7</f>
        <v/>
      </c>
    </row>
    <row r="21" ht="30" customHeight="1">
      <c r="A21" s="2" t="inlineStr">
        <is>
          <t>Historical T-12 (2025-09-01 to 2026-08-31) vs underwritten</t>
        </is>
      </c>
      <c r="B21" s="2" t="inlineStr">
        <is>
          <t>T-12 actual</t>
        </is>
      </c>
      <c r="C21" s="2" t="inlineStr">
        <is>
          <t>Underwritten</t>
        </is>
      </c>
    </row>
    <row r="22" ht="30" customHeight="1">
      <c r="A22" s="3" t="inlineStr">
        <is>
          <t>Revenue (collections / EGI)</t>
        </is>
      </c>
      <c r="B22" s="13" t="n">
        <v>1219050</v>
      </c>
      <c r="C22" s="13">
        <f>B6</f>
        <v/>
      </c>
    </row>
    <row r="23" ht="30" customHeight="1">
      <c r="A23" s="3" t="inlineStr">
        <is>
          <t>Real estate taxes</t>
        </is>
      </c>
      <c r="B23" s="13" t="n">
        <v>142222</v>
      </c>
      <c r="C23" s="13">
        <f>Inputs!B8</f>
        <v/>
      </c>
    </row>
    <row r="24" ht="30" customHeight="1">
      <c r="A24" s="3" t="inlineStr">
        <is>
          <t>Insurance</t>
        </is>
      </c>
      <c r="B24" s="13" t="n">
        <v>47408</v>
      </c>
      <c r="C24" s="13">
        <f>Inputs!B9</f>
        <v/>
      </c>
    </row>
    <row r="25" ht="30" customHeight="1">
      <c r="A25" s="3" t="inlineStr">
        <is>
          <t>Other recurring operating expenses</t>
        </is>
      </c>
      <c r="B25" s="13" t="n">
        <v>189630</v>
      </c>
      <c r="C25" s="13">
        <f>Inputs!B10</f>
        <v/>
      </c>
    </row>
    <row r="26" ht="30" customHeight="1">
      <c r="A26" s="3" t="inlineStr">
        <is>
          <t>Roof replacement booked in repairs (capital)</t>
        </is>
      </c>
      <c r="B26" s="13" t="n">
        <v>0</v>
      </c>
    </row>
    <row r="27" ht="30" customHeight="1">
      <c r="A27" s="3" t="inlineStr">
        <is>
          <t>Management fee</t>
        </is>
      </c>
      <c r="B27" s="13" t="n">
        <v>0</v>
      </c>
      <c r="C27" s="13">
        <f>-B11</f>
        <v/>
      </c>
    </row>
    <row r="28" ht="30" customHeight="1">
      <c r="A28" s="15" t="inlineStr">
        <is>
          <t>NOI before reserves</t>
        </is>
      </c>
      <c r="B28" s="14">
        <f>B22-B23-B24-B25-B26-B27</f>
        <v/>
      </c>
      <c r="C28" s="14">
        <f>B13</f>
        <v/>
      </c>
    </row>
    <row r="29" ht="30" customHeight="1">
      <c r="A29" s="3" t="inlineStr">
        <is>
          <t>Reported T-12 NOI per operating statement</t>
        </is>
      </c>
      <c r="B29" s="13" t="n">
        <v>839790</v>
      </c>
    </row>
    <row r="30" ht="30" customHeight="1">
      <c r="A30" s="3" t="inlineStr">
        <is>
          <t>Historical collections are cash receipts, not an annualized roll; no management fee is separately reported in the T-12 ledger and the roof replacement is booked at $0 in repairs (capital item, per operating-statement.pdf p.1).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44" customWidth="1" min="3" max="3"/>
  </cols>
  <sheetData>
    <row r="1" ht="30" customHeight="1">
      <c r="A1" s="1" t="inlineStr">
        <is>
          <t>Debt sizing and sources / uses</t>
        </is>
      </c>
    </row>
    <row r="3" ht="30" customHeight="1">
      <c r="A3" s="3" t="inlineStr">
        <is>
          <t>Sizing rate (greater of note rate and floor)</t>
        </is>
      </c>
      <c r="B3" s="17">
        <f>Inputs!B16</f>
        <v/>
      </c>
      <c r="C3" s="3" t="inlineStr">
        <is>
          <t>Note 6.9000% vs floor 6.0000%</t>
        </is>
      </c>
    </row>
    <row r="4" ht="30" customHeight="1">
      <c r="A4" s="3" t="inlineStr">
        <is>
          <t>Monthly amortizing constant per $1 of loan</t>
        </is>
      </c>
      <c r="B4" s="18">
        <f>-PMT(B3/12,Inputs!B17,1)</f>
        <v/>
      </c>
    </row>
    <row r="5" ht="30" customHeight="1">
      <c r="A5" s="15" t="inlineStr">
        <is>
          <t>LTV limit (60.00% of capitalization value)</t>
        </is>
      </c>
      <c r="B5" s="14">
        <f>Inputs!B18*UW!B18</f>
        <v/>
      </c>
    </row>
    <row r="6" ht="30" customHeight="1">
      <c r="A6" s="15" t="inlineStr">
        <is>
          <t>DSCR limit (1.25x on NCF, 30-yr amortizing)</t>
        </is>
      </c>
      <c r="B6" s="14">
        <f>(UW!B15/Inputs!B19/12)/B4</f>
        <v/>
      </c>
    </row>
    <row r="7" ht="30" customHeight="1">
      <c r="A7" s="15" t="inlineStr">
        <is>
          <t>Debt yield limit (NCF / 9.00%)</t>
        </is>
      </c>
      <c r="B7" s="14">
        <f>UW!B15/Inputs!B20</f>
        <v/>
      </c>
    </row>
    <row r="8" ht="30" customHeight="1">
      <c r="A8" s="15" t="inlineStr">
        <is>
          <t>Maximum loan (most restrictive)</t>
        </is>
      </c>
      <c r="B8" s="14">
        <f>MIN(B5,B6,B7)</f>
        <v/>
      </c>
    </row>
    <row r="9" ht="30" customHeight="1">
      <c r="A9" s="3" t="inlineStr">
        <is>
          <t>Binding constraint</t>
        </is>
      </c>
      <c r="B9" s="3">
        <f>IF(B8=B5,"LTV",IF(B8=B6,"DSCR","Debt yield"))</f>
        <v/>
      </c>
    </row>
    <row r="10" ht="30" customHeight="1">
      <c r="A10" s="3" t="inlineStr">
        <is>
          <t>Implied LTV at maximum loan</t>
        </is>
      </c>
      <c r="B10" s="16">
        <f>B8/UW!B18</f>
        <v/>
      </c>
    </row>
    <row r="11" ht="30" customHeight="1">
      <c r="A11" s="3" t="inlineStr">
        <is>
          <t>Annual debt service (amortizing, sizing rate)</t>
        </is>
      </c>
      <c r="B11" s="13">
        <f>B8*B4*12</f>
        <v/>
      </c>
    </row>
    <row r="12" ht="30" customHeight="1">
      <c r="A12" s="3" t="inlineStr">
        <is>
          <t>DSCR at maximum loan (NCF)</t>
        </is>
      </c>
      <c r="B12" s="19">
        <f>UW!B15/B11</f>
        <v/>
      </c>
    </row>
    <row r="13" ht="30" customHeight="1">
      <c r="A13" s="3" t="inlineStr">
        <is>
          <t>NCF debt yield at maximum loan</t>
        </is>
      </c>
      <c r="B13" s="16">
        <f>UW!B15/B8</f>
        <v/>
      </c>
    </row>
    <row r="14" ht="30" customHeight="1">
      <c r="A14" s="3" t="inlineStr">
        <is>
          <t>Interest-only annual debt service (first 24 months)</t>
        </is>
      </c>
      <c r="B14" s="13">
        <f>B8*B3</f>
        <v/>
      </c>
    </row>
    <row r="15" ht="30" customHeight="1">
      <c r="A15" s="3" t="inlineStr">
        <is>
          <t>DSCR during interest-only period</t>
        </is>
      </c>
      <c r="B15" s="19">
        <f>UW!B15/B14</f>
        <v/>
      </c>
    </row>
    <row r="17" ht="30" customHeight="1">
      <c r="A17" s="2" t="inlineStr">
        <is>
          <t>Sources and uses</t>
        </is>
      </c>
    </row>
    <row r="18" ht="30" customHeight="1">
      <c r="A18" s="3" t="inlineStr">
        <is>
          <t>Use - existing loan payoff</t>
        </is>
      </c>
      <c r="B18" s="13">
        <f>Inputs!B23</f>
        <v/>
      </c>
    </row>
    <row r="19" ht="30" customHeight="1">
      <c r="A19" s="3" t="inlineStr">
        <is>
          <t>Use - origination fee (1.00% of loan)</t>
        </is>
      </c>
      <c r="B19" s="13">
        <f>B8*Inputs!B21</f>
        <v/>
      </c>
    </row>
    <row r="20" ht="30" customHeight="1">
      <c r="A20" s="3" t="inlineStr">
        <is>
          <t>Use - closing costs</t>
        </is>
      </c>
      <c r="B20" s="13">
        <f>Inputs!B22</f>
        <v/>
      </c>
    </row>
    <row r="21" ht="30" customHeight="1">
      <c r="A21" s="15" t="inlineStr">
        <is>
          <t>Total uses</t>
        </is>
      </c>
      <c r="B21" s="14">
        <f>SUM(B18:B20)</f>
        <v/>
      </c>
    </row>
    <row r="22" ht="30" customHeight="1">
      <c r="A22" s="3" t="inlineStr">
        <is>
          <t>Source - new loan proceeds</t>
        </is>
      </c>
      <c r="B22" s="13">
        <f>B8</f>
        <v/>
      </c>
    </row>
    <row r="23" ht="30" customHeight="1">
      <c r="A23" s="15" t="inlineStr">
        <is>
          <t>Net cash-out to sponsor (negative = equity required)</t>
        </is>
      </c>
      <c r="B23" s="14">
        <f>B22-B21</f>
        <v/>
      </c>
    </row>
    <row r="24" ht="30" customHeight="1">
      <c r="A24" s="3" t="inlineStr">
        <is>
          <t>Additional equity required</t>
        </is>
      </c>
      <c r="B24" s="13">
        <f>MAX(0,-B23)</f>
        <v/>
      </c>
    </row>
    <row r="26" ht="30" customHeight="1">
      <c r="A26" s="3" t="inlineStr">
        <is>
          <t>Refinance test: proceeds exceed payoff plus costs, so no shortfall at the underwritten NCF and 6.0000% cap rate.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Sensitivity - maximum loan ($) by cap rate (rows) and sizing rate (columns)</t>
        </is>
      </c>
    </row>
    <row r="3" ht="30" customHeight="1">
      <c r="A3" s="2" t="inlineStr">
        <is>
          <t>Cap rate \ sizing rate</t>
        </is>
      </c>
    </row>
    <row r="4" ht="30" customHeight="1">
      <c r="B4" s="7" t="n">
        <v>0.06</v>
      </c>
      <c r="C4" s="7" t="n">
        <v>0.065</v>
      </c>
      <c r="D4" s="7" t="n">
        <v>0.06900000000000001</v>
      </c>
      <c r="E4" s="7" t="n">
        <v>0.075</v>
      </c>
    </row>
    <row r="5" ht="30" customHeight="1">
      <c r="A5" s="7" t="n">
        <v>0.055</v>
      </c>
      <c r="B5" s="13">
        <f>MIN(Inputs!$B$18*UW!$B$13/$A5,(UW!$B$15/Inputs!$B$19/12)/(-PMT(B$4/12,Inputs!$B$17,1)),UW!$B$15/Inputs!$B$20)</f>
        <v/>
      </c>
      <c r="C5" s="13">
        <f>MIN(Inputs!$B$18*UW!$B$13/$A5,(UW!$B$15/Inputs!$B$19/12)/(-PMT(C$4/12,Inputs!$B$17,1)),UW!$B$15/Inputs!$B$20)</f>
        <v/>
      </c>
      <c r="D5" s="13">
        <f>MIN(Inputs!$B$18*UW!$B$13/$A5,(UW!$B$15/Inputs!$B$19/12)/(-PMT(D$4/12,Inputs!$B$17,1)),UW!$B$15/Inputs!$B$20)</f>
        <v/>
      </c>
      <c r="E5" s="13">
        <f>MIN(Inputs!$B$18*UW!$B$13/$A5,(UW!$B$15/Inputs!$B$19/12)/(-PMT(E$4/12,Inputs!$B$17,1)),UW!$B$15/Inputs!$B$20)</f>
        <v/>
      </c>
    </row>
    <row r="6" ht="30" customHeight="1">
      <c r="A6" s="7" t="n">
        <v>0.0575</v>
      </c>
      <c r="B6" s="13">
        <f>MIN(Inputs!$B$18*UW!$B$13/$A6,(UW!$B$15/Inputs!$B$19/12)/(-PMT(B$4/12,Inputs!$B$17,1)),UW!$B$15/Inputs!$B$20)</f>
        <v/>
      </c>
      <c r="C6" s="13">
        <f>MIN(Inputs!$B$18*UW!$B$13/$A6,(UW!$B$15/Inputs!$B$19/12)/(-PMT(C$4/12,Inputs!$B$17,1)),UW!$B$15/Inputs!$B$20)</f>
        <v/>
      </c>
      <c r="D6" s="13">
        <f>MIN(Inputs!$B$18*UW!$B$13/$A6,(UW!$B$15/Inputs!$B$19/12)/(-PMT(D$4/12,Inputs!$B$17,1)),UW!$B$15/Inputs!$B$20)</f>
        <v/>
      </c>
      <c r="E6" s="13">
        <f>MIN(Inputs!$B$18*UW!$B$13/$A6,(UW!$B$15/Inputs!$B$19/12)/(-PMT(E$4/12,Inputs!$B$17,1)),UW!$B$15/Inputs!$B$20)</f>
        <v/>
      </c>
    </row>
    <row r="7" ht="30" customHeight="1">
      <c r="A7" s="7" t="n">
        <v>0.06</v>
      </c>
      <c r="B7" s="13">
        <f>MIN(Inputs!$B$18*UW!$B$13/$A7,(UW!$B$15/Inputs!$B$19/12)/(-PMT(B$4/12,Inputs!$B$17,1)),UW!$B$15/Inputs!$B$20)</f>
        <v/>
      </c>
      <c r="C7" s="13">
        <f>MIN(Inputs!$B$18*UW!$B$13/$A7,(UW!$B$15/Inputs!$B$19/12)/(-PMT(C$4/12,Inputs!$B$17,1)),UW!$B$15/Inputs!$B$20)</f>
        <v/>
      </c>
      <c r="D7" s="13">
        <f>MIN(Inputs!$B$18*UW!$B$13/$A7,(UW!$B$15/Inputs!$B$19/12)/(-PMT(D$4/12,Inputs!$B$17,1)),UW!$B$15/Inputs!$B$20)</f>
        <v/>
      </c>
      <c r="E7" s="13">
        <f>MIN(Inputs!$B$18*UW!$B$13/$A7,(UW!$B$15/Inputs!$B$19/12)/(-PMT(E$4/12,Inputs!$B$17,1)),UW!$B$15/Inputs!$B$20)</f>
        <v/>
      </c>
    </row>
    <row r="8" ht="30" customHeight="1">
      <c r="A8" s="7" t="n">
        <v>0.0625</v>
      </c>
      <c r="B8" s="13">
        <f>MIN(Inputs!$B$18*UW!$B$13/$A8,(UW!$B$15/Inputs!$B$19/12)/(-PMT(B$4/12,Inputs!$B$17,1)),UW!$B$15/Inputs!$B$20)</f>
        <v/>
      </c>
      <c r="C8" s="13">
        <f>MIN(Inputs!$B$18*UW!$B$13/$A8,(UW!$B$15/Inputs!$B$19/12)/(-PMT(C$4/12,Inputs!$B$17,1)),UW!$B$15/Inputs!$B$20)</f>
        <v/>
      </c>
      <c r="D8" s="13">
        <f>MIN(Inputs!$B$18*UW!$B$13/$A8,(UW!$B$15/Inputs!$B$19/12)/(-PMT(D$4/12,Inputs!$B$17,1)),UW!$B$15/Inputs!$B$20)</f>
        <v/>
      </c>
      <c r="E8" s="13">
        <f>MIN(Inputs!$B$18*UW!$B$13/$A8,(UW!$B$15/Inputs!$B$19/12)/(-PMT(E$4/12,Inputs!$B$17,1)),UW!$B$15/Inputs!$B$20)</f>
        <v/>
      </c>
    </row>
    <row r="9" ht="30" customHeight="1">
      <c r="A9" s="7" t="n">
        <v>0.065</v>
      </c>
      <c r="B9" s="13">
        <f>MIN(Inputs!$B$18*UW!$B$13/$A9,(UW!$B$15/Inputs!$B$19/12)/(-PMT(B$4/12,Inputs!$B$17,1)),UW!$B$15/Inputs!$B$20)</f>
        <v/>
      </c>
      <c r="C9" s="13">
        <f>MIN(Inputs!$B$18*UW!$B$13/$A9,(UW!$B$15/Inputs!$B$19/12)/(-PMT(C$4/12,Inputs!$B$17,1)),UW!$B$15/Inputs!$B$20)</f>
        <v/>
      </c>
      <c r="D9" s="13">
        <f>MIN(Inputs!$B$18*UW!$B$13/$A9,(UW!$B$15/Inputs!$B$19/12)/(-PMT(D$4/12,Inputs!$B$17,1)),UW!$B$15/Inputs!$B$20)</f>
        <v/>
      </c>
      <c r="E9" s="13">
        <f>MIN(Inputs!$B$18*UW!$B$13/$A9,(UW!$B$15/Inputs!$B$19/12)/(-PMT(E$4/12,Inputs!$B$17,1)),UW!$B$15/Inputs!$B$20)</f>
        <v/>
      </c>
    </row>
    <row r="11" ht="30" customHeight="1">
      <c r="A11" s="2" t="inlineStr">
        <is>
          <t>Value and net cash-out sensitivity to cap rate (sizing rate held at Inputs!B16)</t>
        </is>
      </c>
    </row>
    <row r="12" ht="30" customHeight="1">
      <c r="A12" s="2" t="inlineStr">
        <is>
          <t>Cap rate</t>
        </is>
      </c>
      <c r="B12" s="2" t="inlineStr">
        <is>
          <t>Capitalization value</t>
        </is>
      </c>
      <c r="C12" s="2" t="inlineStr">
        <is>
          <t>Maximum loan</t>
        </is>
      </c>
      <c r="D12" s="2" t="inlineStr">
        <is>
          <t>Net cash-out</t>
        </is>
      </c>
    </row>
    <row r="13" ht="30" customHeight="1">
      <c r="A13" s="17">
        <f>A5</f>
        <v/>
      </c>
      <c r="B13" s="13">
        <f>UW!$B$13/A13</f>
        <v/>
      </c>
      <c r="C13" s="13">
        <f>MIN(Inputs!$B$18*B13,Debt!$B$6,Debt!$B$7)</f>
        <v/>
      </c>
      <c r="D13" s="13">
        <f>C13*(1-Inputs!$B$21)-Inputs!$B$23-Inputs!$B$22</f>
        <v/>
      </c>
    </row>
    <row r="14" ht="30" customHeight="1">
      <c r="A14" s="17">
        <f>A6</f>
        <v/>
      </c>
      <c r="B14" s="13">
        <f>UW!$B$13/A14</f>
        <v/>
      </c>
      <c r="C14" s="13">
        <f>MIN(Inputs!$B$18*B14,Debt!$B$6,Debt!$B$7)</f>
        <v/>
      </c>
      <c r="D14" s="13">
        <f>C14*(1-Inputs!$B$21)-Inputs!$B$23-Inputs!$B$22</f>
        <v/>
      </c>
    </row>
    <row r="15" ht="30" customHeight="1">
      <c r="A15" s="17">
        <f>A7</f>
        <v/>
      </c>
      <c r="B15" s="13">
        <f>UW!$B$13/A15</f>
        <v/>
      </c>
      <c r="C15" s="13">
        <f>MIN(Inputs!$B$18*B15,Debt!$B$6,Debt!$B$7)</f>
        <v/>
      </c>
      <c r="D15" s="13">
        <f>C15*(1-Inputs!$B$21)-Inputs!$B$23-Inputs!$B$22</f>
        <v/>
      </c>
    </row>
    <row r="16" ht="30" customHeight="1">
      <c r="A16" s="17">
        <f>A8</f>
        <v/>
      </c>
      <c r="B16" s="13">
        <f>UW!$B$13/A16</f>
        <v/>
      </c>
      <c r="C16" s="13">
        <f>MIN(Inputs!$B$18*B16,Debt!$B$6,Debt!$B$7)</f>
        <v/>
      </c>
      <c r="D16" s="13">
        <f>C16*(1-Inputs!$B$21)-Inputs!$B$23-Inputs!$B$22</f>
        <v/>
      </c>
    </row>
    <row r="17" ht="30" customHeight="1">
      <c r="A17" s="17">
        <f>A9</f>
        <v/>
      </c>
      <c r="B17" s="13">
        <f>UW!$B$13/A17</f>
        <v/>
      </c>
      <c r="C17" s="13">
        <f>MIN(Inputs!$B$18*B17,Debt!$B$6,Debt!$B$7)</f>
        <v/>
      </c>
      <c r="D17" s="13">
        <f>C17*(1-Inputs!$B$21)-Inputs!$B$23-Inputs!$B$22</f>
        <v/>
      </c>
    </row>
    <row r="19" ht="30" customHeight="1">
      <c r="A19" s="3" t="inlineStr">
        <is>
          <t>Sensitivity is illustrative mechanics only; no market cap-rate or comparable-sale data is supplied in the packet.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30" customWidth="1" min="3" max="3"/>
    <col width="56" customWidth="1" min="4" max="4"/>
  </cols>
  <sheetData>
    <row r="1" ht="30" customHeight="1">
      <c r="A1" s="1" t="inlineStr">
        <is>
          <t>Source register</t>
        </is>
      </c>
    </row>
    <row r="2" ht="30" customHeight="1">
      <c r="A2" s="2" t="inlineStr">
        <is>
          <t>File</t>
        </is>
      </c>
      <c r="B2" s="2" t="inlineStr">
        <is>
          <t>Date / as-of</t>
        </is>
      </c>
      <c r="C2" s="2" t="inlineStr">
        <is>
          <t>Location used</t>
        </is>
      </c>
      <c r="D2" s="2" t="inlineStr">
        <is>
          <t>Use in this analysis</t>
        </is>
      </c>
    </row>
    <row r="3" ht="30" customHeight="1">
      <c r="A3" s="3" t="inlineStr">
        <is>
          <t>rent-roll-certified.xlsx</t>
        </is>
      </c>
      <c r="B3" s="3" t="inlineStr">
        <is>
          <t>2026-08-31</t>
        </is>
      </c>
      <c r="C3" s="3" t="inlineStr">
        <is>
          <t>Rent Roll A5:G68, B2</t>
        </is>
      </c>
      <c r="D3" s="3" t="inlineStr">
        <is>
          <t>Controlling unit count, areas, possession status, scheduled rents, expirations</t>
        </is>
      </c>
    </row>
    <row r="4" ht="30" customHeight="1">
      <c r="A4" s="3" t="inlineStr">
        <is>
          <t>rent-roll-archive.xlsx</t>
        </is>
      </c>
      <c r="B4" s="3" t="inlineStr">
        <is>
          <t>2026-06-30</t>
        </is>
      </c>
      <c r="C4" s="3" t="inlineStr">
        <is>
          <t>Rent Roll E5:E68</t>
        </is>
      </c>
      <c r="D4" s="3" t="inlineStr">
        <is>
          <t>Stale archive (superseded): rents $1,500/$1,650/$1,925; not used for underwriting</t>
        </is>
      </c>
    </row>
    <row r="5" ht="30" customHeight="1">
      <c r="A5" s="3" t="inlineStr">
        <is>
          <t>lease-001.pdf</t>
        </is>
      </c>
      <c r="B5" s="3" t="inlineStr">
        <is>
          <t>n/a</t>
        </is>
      </c>
      <c r="C5" s="3" t="inlineStr">
        <is>
          <t>p.1</t>
        </is>
      </c>
      <c r="D5" s="3" t="inlineStr">
        <is>
          <t>Suite 001 executed rent $1,575, 820 SF, expiry 2029-08-31, no free rent</t>
        </is>
      </c>
    </row>
    <row r="6" ht="30" customHeight="1">
      <c r="A6" s="3" t="inlineStr">
        <is>
          <t>lease-correspondence.pdf</t>
        </is>
      </c>
      <c r="B6" s="3" t="inlineStr">
        <is>
          <t>2026-08-31</t>
        </is>
      </c>
      <c r="C6" s="3" t="inlineStr">
        <is>
          <t>p.1</t>
        </is>
      </c>
      <c r="D6" s="3" t="inlineStr">
        <is>
          <t>Manager confirmation: no amendments or new concessions on Suite 001</t>
        </is>
      </c>
    </row>
    <row r="7" ht="30" customHeight="1">
      <c r="A7" s="3" t="inlineStr">
        <is>
          <t>operating-statement.pdf</t>
        </is>
      </c>
      <c r="B7" s="3" t="inlineStr">
        <is>
          <t>2025-09-01 to 2026-08-31</t>
        </is>
      </c>
      <c r="C7" s="3" t="inlineStr">
        <is>
          <t>p.1</t>
        </is>
      </c>
      <c r="D7" s="3" t="inlineStr">
        <is>
          <t>T-12 collections $1,219,050; tax, insurance, other opex; reported NOI $839,790; roof capital $0</t>
        </is>
      </c>
    </row>
    <row r="8" ht="30" customHeight="1">
      <c r="A8" s="3" t="inlineStr">
        <is>
          <t>insurance.pdf</t>
        </is>
      </c>
      <c r="B8" s="3" t="inlineStr">
        <is>
          <t>2026-07-01 to 2027-06-30</t>
        </is>
      </c>
      <c r="C8" s="3" t="inlineStr">
        <is>
          <t>p.1</t>
        </is>
      </c>
      <c r="D8" s="3" t="inlineStr">
        <is>
          <t>General liability aggregate limit $2,000,000 (coverage limit, not expense)</t>
        </is>
      </c>
    </row>
    <row r="9" ht="30" customHeight="1">
      <c r="A9" s="3" t="inlineStr">
        <is>
          <t>underwriting-instructions.pdf</t>
        </is>
      </c>
      <c r="B9" s="3" t="inlineStr">
        <is>
          <t>n/a</t>
        </is>
      </c>
      <c r="C9" s="3" t="inlineStr">
        <is>
          <t>p.1</t>
        </is>
      </c>
      <c r="D9" s="3" t="inlineStr">
        <is>
          <t>All underwriting and loan-sizing assumptions and constraints</t>
        </is>
      </c>
    </row>
    <row r="10" ht="30" customHeight="1">
      <c r="A10" s="3" t="inlineStr">
        <is>
          <t>manager-cover.pdf</t>
        </is>
      </c>
      <c r="B10" s="3" t="inlineStr">
        <is>
          <t>n/a</t>
        </is>
      </c>
      <c r="C10" s="3" t="inlineStr">
        <is>
          <t>p.1</t>
        </is>
      </c>
      <c r="D10" s="3" t="inlineStr">
        <is>
          <t>Manager 53/64 leased headline; A/B/C group mapping; certified detail controls</t>
        </is>
      </c>
    </row>
    <row r="11" ht="30" customHeight="1">
      <c r="A11" s="3" t="inlineStr">
        <is>
          <t>diligence-status.pdf</t>
        </is>
      </c>
      <c r="B11" s="3" t="inlineStr">
        <is>
          <t>n/a</t>
        </is>
      </c>
      <c r="C11" s="3" t="inlineStr">
        <is>
          <t>p.1</t>
        </is>
      </c>
      <c r="D11" s="3" t="inlineStr">
        <is>
          <t>Legal, environmental, PCA and title reviews outstanding; no defect findings</t>
        </is>
      </c>
    </row>
    <row r="13" ht="30" customHeight="1">
      <c r="A13" s="3" t="inlineStr">
        <is>
          <t>Not supplied by the packet and therefore explicitly unknown: photographs, asking price, market rent and sale comparables, sponsor track record, address, debt quote/term sheet, unit-level tenant credit, capital plan detail, property tax appeal status.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2026-09-07T14:46:18Z</dcterms:created>
  <dcterms:modified xmlns:dcterms="http://purl.org/dc/terms/" xmlns:xsi="http://www.w3.org/2001/XMLSchema-instance" xsi:type="dcterms:W3CDTF">2026-09-07T14:46:18Z</dcterms:modified>
</cp:coreProperties>
</file>