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(as of 2026-08-31)</t>
        </is>
      </c>
    </row>
    <row r="2" ht="30" customHeight="1">
      <c r="A2" s="2" t="inlineStr">
        <is>
          <t>Original fictional evaluation material. No real transaction.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Gross potential rent (annual, all suites)</t>
        </is>
      </c>
      <c r="B4" s="4" t="n">
        <v>818700</v>
      </c>
      <c r="C4" s="2" t="inlineStr">
        <is>
          <t>rent-roll-certified.xlsx E5:E14 x 12 (pre-amendment); underwriting-instructions.pdf p1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rent-roll-certified.xlsx A5:A14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p1; operating-statement.pdf p1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p1; operating-statement.pdf p1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p1; operating-statement.pdf p1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</t>
        </is>
      </c>
    </row>
    <row r="13" ht="30" customHeight="1">
      <c r="A13" s="2" t="inlineStr">
        <is>
          <t>Capitalization rate</t>
        </is>
      </c>
      <c r="B13" s="7" t="n">
        <v>0.07250000000000001</v>
      </c>
      <c r="C13" s="2" t="inlineStr">
        <is>
          <t>underwriting-instructions.pdf p1</t>
        </is>
      </c>
    </row>
    <row r="14" ht="30" customHeight="1">
      <c r="A14" s="2" t="inlineStr">
        <is>
          <t>Note rate</t>
        </is>
      </c>
      <c r="B14" s="7" t="n">
        <v>0.065</v>
      </c>
      <c r="C14" s="2" t="inlineStr">
        <is>
          <t>underwriting-instructions.pdf p1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</t>
        </is>
      </c>
    </row>
    <row r="16" ht="30" customHeight="1">
      <c r="A16" s="8" t="inlineStr">
        <is>
          <t>Sizing rate (greater of note / floor)</t>
        </is>
      </c>
      <c r="B16" s="9">
        <f>MAX(B14,B15)</f>
        <v/>
      </c>
      <c r="C16" s="2" t="inlineStr">
        <is>
          <t>Size on greater rate even though 24 months IO</t>
        </is>
      </c>
    </row>
    <row r="17" ht="30" customHeight="1">
      <c r="A17" s="2" t="inlineStr">
        <is>
          <t>Amortization (years, monthly pay)</t>
        </is>
      </c>
      <c r="B17" s="6" t="n">
        <v>30</v>
      </c>
      <c r="C17" s="2" t="inlineStr">
        <is>
          <t>underwriting-instructions.pdf p1</t>
        </is>
      </c>
    </row>
    <row r="18" ht="30" customHeight="1">
      <c r="A18" s="2" t="inlineStr">
        <is>
          <t>Maximum LTV</t>
        </is>
      </c>
      <c r="B18" s="5" t="n">
        <v>0.65</v>
      </c>
      <c r="C18" s="2" t="inlineStr">
        <is>
          <t>underwriting-instructions.pdf p1</t>
        </is>
      </c>
    </row>
    <row r="19" ht="30" customHeight="1">
      <c r="A19" s="2" t="inlineStr">
        <is>
          <t>Minimum DSCR (on NCF)</t>
        </is>
      </c>
      <c r="B19" s="10" t="n">
        <v>1.25</v>
      </c>
      <c r="C19" s="2" t="inlineStr">
        <is>
          <t>underwriting-instructions.pdf p1</t>
        </is>
      </c>
    </row>
    <row r="20" ht="30" customHeight="1">
      <c r="A20" s="2" t="inlineStr">
        <is>
          <t>Minimum NCF debt yield</t>
        </is>
      </c>
      <c r="B20" s="5" t="n">
        <v>0.09</v>
      </c>
      <c r="C20" s="2" t="inlineStr">
        <is>
          <t>underwriting-instructions.pdf p1</t>
        </is>
      </c>
    </row>
    <row r="21" ht="30" customHeight="1">
      <c r="A21" s="2" t="inlineStr">
        <is>
          <t>Origination fee (% of loan)</t>
        </is>
      </c>
      <c r="B21" s="5" t="n">
        <v>0.01</v>
      </c>
      <c r="C21" s="2" t="inlineStr">
        <is>
          <t>underwriting-instructions.pdf p1</t>
        </is>
      </c>
    </row>
    <row r="22" ht="30" customHeight="1">
      <c r="A22" s="2" t="inlineStr">
        <is>
          <t>Closing costs</t>
        </is>
      </c>
      <c r="B22" s="4" t="n">
        <v>45000</v>
      </c>
      <c r="C22" s="2" t="inlineStr">
        <is>
          <t>underwriting-instructions.pdf p1</t>
        </is>
      </c>
    </row>
    <row r="23" ht="30" customHeight="1">
      <c r="A23" s="2" t="inlineStr">
        <is>
          <t>Existing loan payoff</t>
        </is>
      </c>
      <c r="B23" s="4" t="n">
        <v>4300000</v>
      </c>
      <c r="C23" s="2" t="inlineStr">
        <is>
          <t>underwriting-instructions.pdf p1</t>
        </is>
      </c>
    </row>
    <row r="24" ht="30" customHeight="1">
      <c r="A24" s="2" t="inlineStr">
        <is>
          <t>Suite 001 signed amendment — monthly rent increase</t>
        </is>
      </c>
      <c r="B24" s="4" t="n">
        <v>350</v>
      </c>
      <c r="C24" s="2" t="inlineStr">
        <is>
          <t>lease-correspondence.pdf p1 (executed 2026-07-20, effective 2026-08-01)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30" customHeight="1">
      <c r="A1" s="1" t="inlineStr">
        <is>
          <t>Certified Rent Roll — as of 2026-08-31 (controlling)</t>
        </is>
      </c>
    </row>
    <row r="2" ht="30" customHeight="1">
      <c r="A2" s="2" t="inlineStr">
        <is>
          <t>Source: rent-roll-certified.xlsx, Rent Roll A5:F14. Archive roll dated 2026-06-30 is stale and superseded.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1" t="n">
        <v>3080</v>
      </c>
      <c r="F5" s="11" t="n">
        <v>6650</v>
      </c>
      <c r="G5" s="11">
        <f>F5+Inputs!$B$24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1" t="n">
        <v>3200</v>
      </c>
      <c r="F6" s="11" t="n">
        <v>6800</v>
      </c>
      <c r="G6" s="11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1" t="n">
        <v>3410</v>
      </c>
      <c r="F7" s="11" t="n">
        <v>7075</v>
      </c>
      <c r="G7" s="11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1" t="n">
        <v>3080</v>
      </c>
      <c r="F8" s="11" t="n">
        <v>6650</v>
      </c>
      <c r="G8" s="11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1" t="n">
        <v>3200</v>
      </c>
      <c r="F9" s="11" t="n">
        <v>6800</v>
      </c>
      <c r="G9" s="11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1" t="n">
        <v>3410</v>
      </c>
      <c r="F10" s="11" t="n">
        <v>7075</v>
      </c>
      <c r="G10" s="11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1" t="n">
        <v>3080</v>
      </c>
      <c r="F11" s="11" t="n">
        <v>6650</v>
      </c>
      <c r="G11" s="11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1" t="n">
        <v>3200</v>
      </c>
      <c r="F12" s="11" t="n">
        <v>6800</v>
      </c>
      <c r="G12" s="11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1" t="n">
        <v>3410</v>
      </c>
      <c r="F13" s="11" t="n">
        <v>7075</v>
      </c>
      <c r="G13" s="11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1" t="n">
        <v>3080</v>
      </c>
      <c r="F14" s="11" t="n">
        <v>6650</v>
      </c>
      <c r="G14" s="11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2">
        <f>COUNTA(A5:A14)</f>
        <v/>
      </c>
    </row>
    <row r="18" ht="30" customHeight="1">
      <c r="A18" s="2" t="inlineStr">
        <is>
          <t>Occupied (possession taken) suites</t>
        </is>
      </c>
      <c r="B18" s="12">
        <f>COUNTIF(D5:D14,"active")</f>
        <v/>
      </c>
    </row>
    <row r="19" ht="30" customHeight="1">
      <c r="A19" s="2" t="inlineStr">
        <is>
          <t>Pending (leased, no possession) suites</t>
        </is>
      </c>
      <c r="B19" s="12">
        <f>COUNTIF(D5:D14,"pending")</f>
        <v/>
      </c>
    </row>
    <row r="20" ht="30" customHeight="1">
      <c r="A20" s="2" t="inlineStr">
        <is>
          <t>Vacant suites</t>
        </is>
      </c>
      <c r="B20" s="12">
        <f>COUNTIF(D5:D14,"vacant")</f>
        <v/>
      </c>
    </row>
    <row r="21" ht="30" customHeight="1">
      <c r="A21" s="2" t="inlineStr">
        <is>
          <t>Total area SF</t>
        </is>
      </c>
      <c r="B21" s="13">
        <f>SUM(E5:E14)</f>
        <v/>
      </c>
    </row>
    <row r="22" ht="30" customHeight="1">
      <c r="A22" s="2" t="inlineStr">
        <is>
          <t>Occupied area SF</t>
        </is>
      </c>
      <c r="B22" s="13">
        <f>SUMIF(D5:D14,"active",E5:E14)</f>
        <v/>
      </c>
    </row>
    <row r="23" ht="30" customHeight="1">
      <c r="A23" s="2" t="inlineStr">
        <is>
          <t>Unit occupancy</t>
        </is>
      </c>
      <c r="B23" s="14">
        <f>B18/B17</f>
        <v/>
      </c>
    </row>
    <row r="24" ht="30" customHeight="1">
      <c r="A24" s="2" t="inlineStr">
        <is>
          <t>Area occupancy</t>
        </is>
      </c>
      <c r="B24" s="14">
        <f>B22/B21</f>
        <v/>
      </c>
    </row>
    <row r="25" ht="30" customHeight="1">
      <c r="A25" s="2" t="inlineStr">
        <is>
          <t>Annual in-place rent (occupied, post-amendment)</t>
        </is>
      </c>
      <c r="B25" s="13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3">
        <f>SUM(F5:F14)*12</f>
        <v/>
      </c>
    </row>
    <row r="27" ht="30" customHeight="1">
      <c r="A27" s="2" t="inlineStr">
        <is>
          <t>Tie to Inputs!B4 (0 = tie)</t>
        </is>
      </c>
      <c r="B27" s="13">
        <f>B26-Inputs!B4</f>
        <v/>
      </c>
    </row>
    <row r="29" ht="30" customHeight="1">
      <c r="A29" s="2" t="inlineStr">
        <is>
          <t>Group A (Small) suites / occupied</t>
        </is>
      </c>
      <c r="B29" s="12">
        <f>COUNTIF(C5:C14,"A")</f>
        <v/>
      </c>
      <c r="C29" s="12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2">
        <f>COUNTIF(C5:C14,"B")</f>
        <v/>
      </c>
      <c r="C30" s="12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2">
        <f>COUNTIF(C5:C14,"C")</f>
        <v/>
      </c>
      <c r="C31" s="12">
        <f>COUNTIFS(C5:C14,"C",D5:D14,"active")</f>
        <v/>
      </c>
    </row>
    <row r="33" ht="30" customHeight="1">
      <c r="A33" s="2" t="inlineStr">
        <is>
          <t>Manager headline: 9 of 10 leased (occupied plus pending). Certified roll shows 9 active and 1 vacant; no pending-possession suite is present, so the headline equals physical occupancy.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30" customHeight="1">
      <c r="A1" s="1" t="inlineStr">
        <is>
          <t>Underwritten Cash Flow and Capitalized Value</t>
        </is>
      </c>
    </row>
    <row r="3" ht="30" customHeight="1">
      <c r="A3" s="3" t="inlineStr">
        <is>
          <t>Line</t>
        </is>
      </c>
      <c r="B3" s="3" t="inlineStr">
        <is>
          <t>Amount (USD)</t>
        </is>
      </c>
      <c r="C3" s="3" t="inlineStr">
        <is>
          <t>Basis</t>
        </is>
      </c>
    </row>
    <row r="4" ht="30" customHeight="1">
      <c r="A4" s="2" t="inlineStr">
        <is>
          <t>Gross potential rent</t>
        </is>
      </c>
      <c r="B4" s="11">
        <f>Inputs!B4</f>
        <v/>
      </c>
      <c r="C4" s="2" t="inlineStr">
        <is>
          <t>Certified roll scheduled rent x 12, pre-amendment</t>
        </is>
      </c>
    </row>
    <row r="5" ht="30" customHeight="1">
      <c r="A5" s="2" t="inlineStr">
        <is>
          <t>Economic loss (5%)</t>
        </is>
      </c>
      <c r="B5" s="11">
        <f>-B4*Inputs!B5</f>
        <v/>
      </c>
      <c r="C5" s="2" t="inlineStr">
        <is>
          <t>Prescribed stabilized assumption</t>
        </is>
      </c>
    </row>
    <row r="6" ht="30" customHeight="1">
      <c r="A6" s="2" t="inlineStr">
        <is>
          <t>Other income ($350 per suite)</t>
        </is>
      </c>
      <c r="B6" s="11">
        <f>Inputs!B6*Inputs!B7</f>
        <v/>
      </c>
      <c r="C6" s="2" t="inlineStr">
        <is>
          <t>Reimbursements already included; not double counted</t>
        </is>
      </c>
    </row>
    <row r="7" ht="30" customHeight="1">
      <c r="A7" s="8" t="inlineStr">
        <is>
          <t>Underwritten EGI</t>
        </is>
      </c>
      <c r="B7" s="13">
        <f>B4+B5+B6</f>
        <v/>
      </c>
    </row>
    <row r="9" ht="30" customHeight="1">
      <c r="A9" s="2" t="inlineStr">
        <is>
          <t>Real estate taxes</t>
        </is>
      </c>
      <c r="B9" s="11">
        <f>Inputs!B8</f>
        <v/>
      </c>
    </row>
    <row r="10" ht="30" customHeight="1">
      <c r="A10" s="2" t="inlineStr">
        <is>
          <t>Insurance</t>
        </is>
      </c>
      <c r="B10" s="11">
        <f>Inputs!B9</f>
        <v/>
      </c>
    </row>
    <row r="11" ht="30" customHeight="1">
      <c r="A11" s="2" t="inlineStr">
        <is>
          <t>Other recurring operating expenses</t>
        </is>
      </c>
      <c r="B11" s="11">
        <f>Inputs!B10</f>
        <v/>
      </c>
    </row>
    <row r="12" ht="30" customHeight="1">
      <c r="A12" s="2" t="inlineStr">
        <is>
          <t>Management fee (3% of EGI)</t>
        </is>
      </c>
      <c r="B12" s="11">
        <f>Inputs!B11*B7</f>
        <v/>
      </c>
    </row>
    <row r="13" ht="30" customHeight="1">
      <c r="A13" s="8" t="inlineStr">
        <is>
          <t>Total operating expenses (before reserves)</t>
        </is>
      </c>
      <c r="B13" s="13">
        <f>SUM(B9:B12)</f>
        <v/>
      </c>
    </row>
    <row r="14" ht="30" customHeight="1">
      <c r="A14" s="8" t="inlineStr">
        <is>
          <t>Underwritten NOI (before reserves)</t>
        </is>
      </c>
      <c r="B14" s="13">
        <f>B7-B13</f>
        <v/>
      </c>
    </row>
    <row r="15" ht="30" customHeight="1">
      <c r="A15" s="2" t="inlineStr">
        <is>
          <t>Replacement reserves ($300 per suite)</t>
        </is>
      </c>
      <c r="B15" s="11">
        <f>Inputs!B12*Inputs!B7</f>
        <v/>
      </c>
    </row>
    <row r="16" ht="30" customHeight="1">
      <c r="A16" s="8" t="inlineStr">
        <is>
          <t>Underwritten NCF (after reserves)</t>
        </is>
      </c>
      <c r="B16" s="13">
        <f>B14-B15</f>
        <v/>
      </c>
    </row>
    <row r="18" ht="30" customHeight="1">
      <c r="A18" s="8" t="inlineStr">
        <is>
          <t>Capitalization value (NOI before reserves / cap rate)</t>
        </is>
      </c>
      <c r="B18" s="13">
        <f>B14/Inputs!B13</f>
        <v/>
      </c>
    </row>
    <row r="20" ht="30" customHeight="1">
      <c r="A20" s="2" t="inlineStr">
        <is>
          <t>Operating expense ratio (of EGI)</t>
        </is>
      </c>
      <c r="B20" s="15">
        <f>B13/B7</f>
        <v/>
      </c>
    </row>
    <row r="22" ht="30" customHeight="1">
      <c r="A22" s="3" t="inlineStr">
        <is>
          <t>Historical comparison</t>
        </is>
      </c>
    </row>
    <row r="23" ht="30" customHeight="1">
      <c r="A23" s="2" t="inlineStr">
        <is>
          <t>T12 rental and ancillary collections</t>
        </is>
      </c>
      <c r="B23" s="11" t="n">
        <v>736830</v>
      </c>
      <c r="C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1" t="n">
        <v>507593</v>
      </c>
      <c r="C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1" t="n">
        <v>0</v>
      </c>
      <c r="C25" s="2" t="inlineStr">
        <is>
          <t>operating-statement.pdf p1: capital item, $0 in ledger</t>
        </is>
      </c>
    </row>
    <row r="26" ht="30" customHeight="1">
      <c r="A26" s="8" t="inlineStr">
        <is>
          <t>UW NOI less reported T12 NOI</t>
        </is>
      </c>
      <c r="B26" s="13">
        <f>B14-B24</f>
        <v/>
      </c>
    </row>
    <row r="27" ht="30" customHeight="1">
      <c r="A27" s="2" t="inlineStr">
        <is>
          <t>Reported T12 NOI excludes a management fee and reserves and reflects actual collections; UW NOI applies the prescribed stabilized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34" customWidth="1" min="3" max="3"/>
  </cols>
  <sheetData>
    <row r="1" ht="30" customHeight="1">
      <c r="A1" s="1" t="inlineStr">
        <is>
          <t>Debt Sizing and Sources &amp; Uses</t>
        </is>
      </c>
    </row>
    <row r="3" ht="30" customHeight="1">
      <c r="A3" s="3" t="inlineStr">
        <is>
          <t>Line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Sizing rate (greater of note 6.50% / floor 6.00%)</t>
        </is>
      </c>
      <c r="B4" s="16">
        <f>Inputs!B16</f>
        <v/>
      </c>
    </row>
    <row r="5" ht="30" customHeight="1">
      <c r="A5" s="2" t="inlineStr">
        <is>
          <t>Monthly payment factor per $1 of loan</t>
        </is>
      </c>
      <c r="B5" s="17">
        <f>-PMT(B4/12,Inputs!B17*12,1)</f>
        <v/>
      </c>
      <c r="C5" s="2" t="inlineStr">
        <is>
          <t>30-yr amortization, monthly; sized on amortizing payment despite 24-month IO</t>
        </is>
      </c>
    </row>
    <row r="6" ht="30" customHeight="1">
      <c r="A6" s="2" t="inlineStr">
        <is>
          <t>LTV limit (65% of capitalized value)</t>
        </is>
      </c>
      <c r="B6" s="11">
        <f>Inputs!B18*Underwriting!B18</f>
        <v/>
      </c>
    </row>
    <row r="7" ht="30" customHeight="1">
      <c r="A7" s="2" t="inlineStr">
        <is>
          <t>Maximum annual debt service at 1.25x NCF</t>
        </is>
      </c>
      <c r="B7" s="11">
        <f>Underwriting!B16/Inputs!B19</f>
        <v/>
      </c>
    </row>
    <row r="8" ht="30" customHeight="1">
      <c r="A8" s="2" t="inlineStr">
        <is>
          <t>DSCR limit loan</t>
        </is>
      </c>
      <c r="B8" s="11">
        <f>B7/12/B5</f>
        <v/>
      </c>
    </row>
    <row r="9" ht="30" customHeight="1">
      <c r="A9" s="2" t="inlineStr">
        <is>
          <t>Debt yield limit loan (NCF / 9%)</t>
        </is>
      </c>
      <c r="B9" s="11">
        <f>Underwriting!B16/Inputs!B20</f>
        <v/>
      </c>
    </row>
    <row r="10" ht="30" customHeight="1">
      <c r="A10" s="8" t="inlineStr">
        <is>
          <t>Maximum loan (lesser of tests)</t>
        </is>
      </c>
      <c r="B10" s="13">
        <f>MIN(B6,B8,B9)</f>
        <v/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1">
        <f>B10*B5*12</f>
        <v/>
      </c>
    </row>
    <row r="15" ht="30" customHeight="1">
      <c r="A15" s="2" t="inlineStr">
        <is>
          <t>NCF DSCR</t>
        </is>
      </c>
      <c r="B15" s="15">
        <f>Underwriting!B16/B14</f>
        <v/>
      </c>
    </row>
    <row r="16" ht="30" customHeight="1">
      <c r="A16" s="2" t="inlineStr">
        <is>
          <t>NCF debt yield</t>
        </is>
      </c>
      <c r="B16" s="15">
        <f>Underwriting!B16/B10</f>
        <v/>
      </c>
    </row>
    <row r="17" ht="30" customHeight="1">
      <c r="A17" s="2" t="inlineStr">
        <is>
          <t>LTV on capitalized value</t>
        </is>
      </c>
      <c r="B17" s="15">
        <f>B10/Underwriting!B18</f>
        <v/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1">
        <f>B10</f>
        <v/>
      </c>
    </row>
    <row r="21" ht="30" customHeight="1">
      <c r="A21" s="8" t="inlineStr">
        <is>
          <t>Total sources</t>
        </is>
      </c>
      <c r="B21" s="13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1">
        <f>Inputs!B23</f>
        <v/>
      </c>
    </row>
    <row r="25" ht="30" customHeight="1">
      <c r="A25" s="2" t="inlineStr">
        <is>
          <t>Origination fee (1%)</t>
        </is>
      </c>
      <c r="B25" s="11">
        <f>Inputs!B21*B10</f>
        <v/>
      </c>
    </row>
    <row r="26" ht="30" customHeight="1">
      <c r="A26" s="2" t="inlineStr">
        <is>
          <t>Closing costs</t>
        </is>
      </c>
      <c r="B26" s="11">
        <f>Inputs!B22</f>
        <v/>
      </c>
    </row>
    <row r="27" ht="30" customHeight="1">
      <c r="A27" s="8" t="inlineStr">
        <is>
          <t>Subtotal uses</t>
        </is>
      </c>
      <c r="B27" s="13">
        <f>SUM(B24:B26)</f>
        <v/>
      </c>
    </row>
    <row r="28" ht="30" customHeight="1">
      <c r="A28" s="8" t="inlineStr">
        <is>
          <t>Net cash-out to sponsor (negative = equity required)</t>
        </is>
      </c>
      <c r="B28" s="13">
        <f>B21-B27</f>
        <v/>
      </c>
    </row>
    <row r="29" ht="30" customHeight="1">
      <c r="A29" s="8" t="inlineStr">
        <is>
          <t>Total uses including net cash-out</t>
        </is>
      </c>
      <c r="B29" s="13">
        <f>B27+B28</f>
        <v/>
      </c>
    </row>
    <row r="31" ht="30" customHeight="1">
      <c r="A31" s="2" t="inlineStr">
        <is>
          <t>Refinance test: proceeds cover payoff and costs when net cash-out is positive.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— cap rate (rows) vs sizing rate (columns)</t>
        </is>
      </c>
    </row>
    <row r="2" ht="30" customHeight="1">
      <c r="A2" s="2" t="inlineStr">
        <is>
          <t>Each cell = MIN(LTV limit, DSCR limit, debt yield limit) using UW NOI and NCF held constant.</t>
        </is>
      </c>
    </row>
    <row r="3" ht="30" customHeight="1">
      <c r="A3" s="3" t="inlineStr">
        <is>
          <t>Cap rate \ Sizing rate</t>
        </is>
      </c>
      <c r="B3" s="18" t="n">
        <v>0.06</v>
      </c>
      <c r="C3" s="18" t="n">
        <v>0.065</v>
      </c>
      <c r="D3" s="18" t="n">
        <v>0.07000000000000001</v>
      </c>
      <c r="E3" s="18" t="n">
        <v>0.075</v>
      </c>
    </row>
    <row r="4" ht="30" customHeight="1">
      <c r="A4" s="16" t="n">
        <v>0.0625</v>
      </c>
      <c r="B4" s="11">
        <f>MIN(Inputs!$B$18*Underwriting!$B$14/$A4,Underwriting!$B$16/Inputs!$B$19/12/(-PMT(B$3/12,Inputs!$B$17*12,1)),Underwriting!$B$16/Inputs!$B$20)</f>
        <v/>
      </c>
      <c r="C4" s="11">
        <f>MIN(Inputs!$B$18*Underwriting!$B$14/$A4,Underwriting!$B$16/Inputs!$B$19/12/(-PMT(C$3/12,Inputs!$B$17*12,1)),Underwriting!$B$16/Inputs!$B$20)</f>
        <v/>
      </c>
      <c r="D4" s="11">
        <f>MIN(Inputs!$B$18*Underwriting!$B$14/$A4,Underwriting!$B$16/Inputs!$B$19/12/(-PMT(D$3/12,Inputs!$B$17*12,1)),Underwriting!$B$16/Inputs!$B$20)</f>
        <v/>
      </c>
      <c r="E4" s="11">
        <f>MIN(Inputs!$B$18*Underwriting!$B$14/$A4,Underwriting!$B$16/Inputs!$B$19/12/(-PMT(E$3/12,Inputs!$B$17*12,1)),Underwriting!$B$16/Inputs!$B$20)</f>
        <v/>
      </c>
    </row>
    <row r="5" ht="30" customHeight="1">
      <c r="A5" s="16" t="n">
        <v>0.065</v>
      </c>
      <c r="B5" s="11">
        <f>MIN(Inputs!$B$18*Underwriting!$B$14/$A5,Underwriting!$B$16/Inputs!$B$19/12/(-PMT(B$3/12,Inputs!$B$17*12,1)),Underwriting!$B$16/Inputs!$B$20)</f>
        <v/>
      </c>
      <c r="C5" s="11">
        <f>MIN(Inputs!$B$18*Underwriting!$B$14/$A5,Underwriting!$B$16/Inputs!$B$19/12/(-PMT(C$3/12,Inputs!$B$17*12,1)),Underwriting!$B$16/Inputs!$B$20)</f>
        <v/>
      </c>
      <c r="D5" s="11">
        <f>MIN(Inputs!$B$18*Underwriting!$B$14/$A5,Underwriting!$B$16/Inputs!$B$19/12/(-PMT(D$3/12,Inputs!$B$17*12,1)),Underwriting!$B$16/Inputs!$B$20)</f>
        <v/>
      </c>
      <c r="E5" s="11">
        <f>MIN(Inputs!$B$18*Underwriting!$B$14/$A5,Underwriting!$B$16/Inputs!$B$19/12/(-PMT(E$3/12,Inputs!$B$17*12,1)),Underwriting!$B$16/Inputs!$B$20)</f>
        <v/>
      </c>
    </row>
    <row r="6" ht="30" customHeight="1">
      <c r="A6" s="16" t="n">
        <v>0.0675</v>
      </c>
      <c r="B6" s="11">
        <f>MIN(Inputs!$B$18*Underwriting!$B$14/$A6,Underwriting!$B$16/Inputs!$B$19/12/(-PMT(B$3/12,Inputs!$B$17*12,1)),Underwriting!$B$16/Inputs!$B$20)</f>
        <v/>
      </c>
      <c r="C6" s="13">
        <f>MIN(Inputs!$B$18*Underwriting!$B$14/$A6,Underwriting!$B$16/Inputs!$B$19/12/(-PMT(C$3/12,Inputs!$B$17*12,1)),Underwriting!$B$16/Inputs!$B$20)</f>
        <v/>
      </c>
      <c r="D6" s="11">
        <f>MIN(Inputs!$B$18*Underwriting!$B$14/$A6,Underwriting!$B$16/Inputs!$B$19/12/(-PMT(D$3/12,Inputs!$B$17*12,1)),Underwriting!$B$16/Inputs!$B$20)</f>
        <v/>
      </c>
      <c r="E6" s="11">
        <f>MIN(Inputs!$B$18*Underwriting!$B$14/$A6,Underwriting!$B$16/Inputs!$B$19/12/(-PMT(E$3/12,Inputs!$B$17*12,1)),Underwriting!$B$16/Inputs!$B$20)</f>
        <v/>
      </c>
    </row>
    <row r="7" ht="30" customHeight="1">
      <c r="A7" s="16" t="n">
        <v>0.07000000000000001</v>
      </c>
      <c r="B7" s="11">
        <f>MIN(Inputs!$B$18*Underwriting!$B$14/$A7,Underwriting!$B$16/Inputs!$B$19/12/(-PMT(B$3/12,Inputs!$B$17*12,1)),Underwriting!$B$16/Inputs!$B$20)</f>
        <v/>
      </c>
      <c r="C7" s="11">
        <f>MIN(Inputs!$B$18*Underwriting!$B$14/$A7,Underwriting!$B$16/Inputs!$B$19/12/(-PMT(C$3/12,Inputs!$B$17*12,1)),Underwriting!$B$16/Inputs!$B$20)</f>
        <v/>
      </c>
      <c r="D7" s="11">
        <f>MIN(Inputs!$B$18*Underwriting!$B$14/$A7,Underwriting!$B$16/Inputs!$B$19/12/(-PMT(D$3/12,Inputs!$B$17*12,1)),Underwriting!$B$16/Inputs!$B$20)</f>
        <v/>
      </c>
      <c r="E7" s="11">
        <f>MIN(Inputs!$B$18*Underwriting!$B$14/$A7,Underwriting!$B$16/Inputs!$B$19/12/(-PMT(E$3/12,Inputs!$B$17*12,1)),Underwriting!$B$16/Inputs!$B$20)</f>
        <v/>
      </c>
    </row>
    <row r="8" ht="30" customHeight="1">
      <c r="A8" s="16" t="n">
        <v>0.0725</v>
      </c>
      <c r="B8" s="11">
        <f>MIN(Inputs!$B$18*Underwriting!$B$14/$A8,Underwriting!$B$16/Inputs!$B$19/12/(-PMT(B$3/12,Inputs!$B$17*12,1)),Underwriting!$B$16/Inputs!$B$20)</f>
        <v/>
      </c>
      <c r="C8" s="11">
        <f>MIN(Inputs!$B$18*Underwriting!$B$14/$A8,Underwriting!$B$16/Inputs!$B$19/12/(-PMT(C$3/12,Inputs!$B$17*12,1)),Underwriting!$B$16/Inputs!$B$20)</f>
        <v/>
      </c>
      <c r="D8" s="11">
        <f>MIN(Inputs!$B$18*Underwriting!$B$14/$A8,Underwriting!$B$16/Inputs!$B$19/12/(-PMT(D$3/12,Inputs!$B$17*12,1)),Underwriting!$B$16/Inputs!$B$20)</f>
        <v/>
      </c>
      <c r="E8" s="11">
        <f>MIN(Inputs!$B$18*Underwriting!$B$14/$A8,Underwriting!$B$16/Inputs!$B$19/12/(-PMT(E$3/12,Inputs!$B$17*12,1)),Underwriting!$B$16/Inputs!$B$20)</f>
        <v/>
      </c>
    </row>
    <row r="10" ht="30" customHeight="1">
      <c r="A10" s="3" t="inlineStr">
        <is>
          <t>GPR sensitivity (cap rate 6.7500%, sizing rate 6.5000%)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</row>
    <row r="12" ht="30" customHeight="1">
      <c r="A12" s="19" t="n">
        <v>-0.05</v>
      </c>
      <c r="B12" s="11">
        <f>(Inputs!$B$4*(1+$A12)*(1-Inputs!$B$5)+Inputs!$B$6*Inputs!$B$7)*(1-Inputs!$B$11)-Inputs!$B$8-Inputs!$B$9-Inputs!$B$10</f>
        <v/>
      </c>
      <c r="C12" s="11">
        <f>B12-Inputs!$B$12*Inputs!$B$7</f>
        <v/>
      </c>
      <c r="D12" s="11">
        <f>MIN(Inputs!$B$18*B12/Inputs!$B$13,C12/Inputs!$B$19/12/(-PMT(Inputs!$B$16/12,Inputs!$B$17*12,1)),C12/Inputs!$B$20)</f>
        <v/>
      </c>
    </row>
    <row r="13" ht="30" customHeight="1">
      <c r="A13" s="19" t="n">
        <v>0</v>
      </c>
      <c r="B13" s="13">
        <f>(Inputs!$B$4*(1+$A13)*(1-Inputs!$B$5)+Inputs!$B$6*Inputs!$B$7)*(1-Inputs!$B$11)-Inputs!$B$8-Inputs!$B$9-Inputs!$B$10</f>
        <v/>
      </c>
      <c r="C13" s="13">
        <f>B13-Inputs!$B$12*Inputs!$B$7</f>
        <v/>
      </c>
      <c r="D13" s="13">
        <f>MIN(Inputs!$B$18*B13/Inputs!$B$13,C13/Inputs!$B$19/12/(-PMT(Inputs!$B$16/12,Inputs!$B$17*12,1)),C13/Inputs!$B$20)</f>
        <v/>
      </c>
    </row>
    <row r="14" ht="30" customHeight="1">
      <c r="A14" s="19" t="n">
        <v>0.05</v>
      </c>
      <c r="B14" s="11">
        <f>(Inputs!$B$4*(1+$A14)*(1-Inputs!$B$5)+Inputs!$B$6*Inputs!$B$7)*(1-Inputs!$B$11)-Inputs!$B$8-Inputs!$B$9-Inputs!$B$10</f>
        <v/>
      </c>
      <c r="C14" s="11">
        <f>B14-Inputs!$B$12*Inputs!$B$7</f>
        <v/>
      </c>
      <c r="D14" s="11">
        <f>MIN(Inputs!$B$18*B14/Inputs!$B$13,C14/Inputs!$B$19/12/(-PMT(Inputs!$B$16/12,Inputs!$B$17*12,1)),C14/Inputs!$B$20)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rent-roll-certified.xlsx</t>
        </is>
      </c>
      <c r="B4" s="2" t="inlineStr">
        <is>
          <t>Rent Roll A2, A5:F14</t>
        </is>
      </c>
      <c r="C4" s="2" t="inlineStr">
        <is>
          <t>Controlling roll as of 2026-08-31: 10 suites, 9 active, 1 vacant, 32,150 SF, scheduled rent $68,225/mo</t>
        </is>
      </c>
    </row>
    <row r="5" ht="30" customHeight="1">
      <c r="A5" s="2" t="inlineStr">
        <is>
          <t>rent-roll-archive.xlsx</t>
        </is>
      </c>
      <c r="B5" s="2" t="inlineStr">
        <is>
          <t>Rent Roll A2, E5:E14</t>
        </is>
      </c>
      <c r="C5" s="2" t="inlineStr">
        <is>
          <t>Stale roll dated 2026-06-30 with lower rents; excluded from underwriting (conflict resolved by date)</t>
        </is>
      </c>
    </row>
    <row r="6" ht="30" customHeight="1">
      <c r="A6" s="2" t="inlineStr">
        <is>
          <t>manager-cover.pdf</t>
        </is>
      </c>
      <c r="B6" s="2" t="inlineStr">
        <is>
          <t>p1</t>
        </is>
      </c>
      <c r="C6" s="2" t="inlineStr">
        <is>
          <t>Headline 9 of 10 leased counts occupied plus pending; certified detail controls occupancy; A/B/C = Small/Standard/Large</t>
        </is>
      </c>
    </row>
    <row r="7" ht="30" customHeight="1">
      <c r="A7" s="2" t="inlineStr">
        <is>
          <t>underwriting-instructions.pdf</t>
        </is>
      </c>
      <c r="B7" s="2" t="inlineStr">
        <is>
          <t>p1</t>
        </is>
      </c>
      <c r="C7" s="2" t="inlineStr">
        <is>
          <t>All underwriting conventions: 5% loss, $350/suite other income, expense inputs, 6.75% cap, 65% LTV, 1.25x, 9% DY, 6.50% note vs 6.00% floor, fees, payoff</t>
        </is>
      </c>
    </row>
    <row r="8" ht="30" customHeight="1">
      <c r="A8" s="2" t="inlineStr">
        <is>
          <t>operating-statement.pdf</t>
        </is>
      </c>
      <c r="B8" s="2" t="inlineStr">
        <is>
          <t>p1</t>
        </is>
      </c>
      <c r="C8" s="2" t="inlineStr">
        <is>
          <t>T12 9/1/2025-8/31/2026: collections $736,830; tax $85,964; insurance $28,655; other $114,618; roof in repairs $0; reported NOI $507,593</t>
        </is>
      </c>
    </row>
    <row r="9" ht="30" customHeight="1">
      <c r="A9" s="2" t="inlineStr">
        <is>
          <t>lease-001.pdf</t>
        </is>
      </c>
      <c r="B9" s="2" t="inlineStr">
        <is>
          <t>p1</t>
        </is>
      </c>
      <c r="C9" s="2" t="inlineStr">
        <is>
          <t>Suite 001 executed lease $6,650/mo, 3,080 SF, expiry 2029-08-31, deposit $13,300, no free rent</t>
        </is>
      </c>
    </row>
    <row r="10" ht="30" customHeight="1">
      <c r="A10" s="2" t="inlineStr">
        <is>
          <t>lease-correspondence.pdf</t>
        </is>
      </c>
      <c r="B10" s="2" t="inlineStr">
        <is>
          <t>p1</t>
        </is>
      </c>
      <c r="C10" s="2" t="inlineStr">
        <is>
          <t>Signed amendment executed 2026-07-20, effective 2026-08-01: +$350/mo -&gt; Suite 001 in-place $7,000</t>
        </is>
      </c>
    </row>
    <row r="11" ht="30" customHeight="1">
      <c r="A11" s="2" t="inlineStr">
        <is>
          <t>insurance.pdf</t>
        </is>
      </c>
      <c r="B11" s="2" t="inlineStr">
        <is>
          <t>p1</t>
        </is>
      </c>
      <c r="C11" s="2" t="inlineStr">
        <is>
          <t>GL aggregate limit $2,000,000; term 7/1/2026-6/30/2027; distinct from insurance expense</t>
        </is>
      </c>
    </row>
    <row r="12" ht="30" customHeight="1">
      <c r="A12" s="2" t="inlineStr">
        <is>
          <t>diligence-status.pdf</t>
        </is>
      </c>
      <c r="B12" s="2" t="inlineStr">
        <is>
          <t>p1</t>
        </is>
      </c>
      <c r="C12" s="2" t="inlineStr">
        <is>
          <t>Legal, environmental, PCA and title reviews outstanding; no defect findings asserted</t>
        </is>
      </c>
    </row>
    <row r="14" ht="30" customHeight="1">
      <c r="A14" s="2" t="inlineStr">
        <is>
          <t>Not supplied (explicitly unknown): photos, asking price, market sales/rent comps, sponsor history, tenant credit, appraisal, T12 by month, capital plan.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2026-09-07T13:44:16Z</dcterms:created>
  <dcterms:modified xmlns:dcterms="http://purl.org/dc/terms/" xmlns:xsi="http://www.w3.org/2001/XMLSchema-instance" xsi:type="dcterms:W3CDTF">2026-09-07T14:06:38Z</dcterms:modified>
</cp:coreProperties>
</file>