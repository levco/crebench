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Rent Roll" sheetId="2" state="visible" r:id="rId4"/>
    <sheet name="Underwriting" sheetId="3" state="visible" r:id="rId5"/>
    <sheet name="Debt" sheetId="4" state="visible" r:id="rId6"/>
    <sheet name="Sensitivity" sheetId="5" state="visible" r:id="rId7"/>
    <sheet name="Changes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<sst xmlns="http://schemas.openxmlformats.org/spreadsheetml/2006/main" count="273" uniqueCount="209">
  <si>
    <t xml:space="preserve">Maple Crossing — Underwriting Inputs (REVISED, roll as of 2026-09-01)</t>
  </si>
  <si>
    <t xml:space="preserve">Revision 2 per revision-notice.pdf p1. Original fictional evaluation material. No real transaction. Prior version underwriting-v1.xlsx retained in the audit archive.</t>
  </si>
  <si>
    <t xml:space="preserve">Item</t>
  </si>
  <si>
    <t xml:space="preserve">Value</t>
  </si>
  <si>
    <t xml:space="preserve">Source / change</t>
  </si>
  <si>
    <t xml:space="preserve">Gross potential rent (annual, all suites)</t>
  </si>
  <si>
    <t xml:space="preserve">CHANGED: rent-roll-revised.xlsx E5:E14 sum $68,450/mo x 12 (was $818,700)</t>
  </si>
  <si>
    <t xml:space="preserve">Economic loss (vacancy/credit)</t>
  </si>
  <si>
    <t xml:space="preserve">underwriting-instructions.pdf p1 (unchanged)</t>
  </si>
  <si>
    <t xml:space="preserve">Other income per suite (annual)</t>
  </si>
  <si>
    <t xml:space="preserve">Suite count</t>
  </si>
  <si>
    <t xml:space="preserve">rent-roll-revised.xlsx A5:A14 (unchanged)</t>
  </si>
  <si>
    <t xml:space="preserve">Real estate taxes</t>
  </si>
  <si>
    <t xml:space="preserve">Insurance expense</t>
  </si>
  <si>
    <t xml:space="preserve">Other recurring operating expenses</t>
  </si>
  <si>
    <t xml:space="preserve">Management fee (% of EGI)</t>
  </si>
  <si>
    <t xml:space="preserve">Replacement reserve per suite</t>
  </si>
  <si>
    <t xml:space="preserve">Capitalization rate (revised)</t>
  </si>
  <si>
    <t xml:space="preserve">CHANGED: 6.7500% + 25 bps = 7.0000% (revision-notice.pdf p1)</t>
  </si>
  <si>
    <t xml:space="preserve">Original note rate</t>
  </si>
  <si>
    <t xml:space="preserve">Underwriting rate floor</t>
  </si>
  <si>
    <t xml:space="preserve">Initial sizing rate before revision (greater of note/floor)</t>
  </si>
  <si>
    <t xml:space="preserve">6.5000% note exceeds 6.00% floor; floor not binding</t>
  </si>
  <si>
    <t xml:space="preserve">Sizing rate increment (revision)</t>
  </si>
  <si>
    <t xml:space="preserve">CHANGED: +75 bps to initial sizing rate (revision-notice.pdf p1)</t>
  </si>
  <si>
    <t xml:space="preserve">Sizing rate (revised, used for debt sizing)</t>
  </si>
  <si>
    <t xml:space="preserve">6.5000% + 0.7500% = 7.2500%, still above the 6.00% floor</t>
  </si>
  <si>
    <t xml:space="preserve">Amortization (years, monthly pay)</t>
  </si>
  <si>
    <t xml:space="preserve">underwriting-instructions.pdf p1 (unchanged); first 24 months IO, sized amortizing</t>
  </si>
  <si>
    <t xml:space="preserve">Maximum LTV</t>
  </si>
  <si>
    <t xml:space="preserve">Minimum DSCR (on NCF)</t>
  </si>
  <si>
    <t xml:space="preserve">Minimum NCF debt yield</t>
  </si>
  <si>
    <t xml:space="preserve">Origination fee (% of loan)</t>
  </si>
  <si>
    <t xml:space="preserve">Closing costs</t>
  </si>
  <si>
    <t xml:space="preserve">Existing loan payoff</t>
  </si>
  <si>
    <t xml:space="preserve">Suite 001 signed amendment — monthly rent increase</t>
  </si>
  <si>
    <t xml:space="preserve">lease-correspondence.pdf p1; revision notice confirms prior executed amendments continue to apply</t>
  </si>
  <si>
    <t xml:space="preserve">Revised Certified Rent Roll — as of 2026-09-01 (controlling)</t>
  </si>
  <si>
    <t xml:space="preserve">Source: rent-roll-revised.xlsx, Rent Roll A5:F14. Supersedes the 2026-08-31 certified roll and the 2026-06-30 archive roll. Only change: Suite 002 scheduled rent $6,800 -&gt; $7,025 (+$225).</t>
  </si>
  <si>
    <t xml:space="preserve">Suite</t>
  </si>
  <si>
    <t xml:space="preserve">Unit type</t>
  </si>
  <si>
    <t xml:space="preserve">Group</t>
  </si>
  <si>
    <t xml:space="preserve">Possession</t>
  </si>
  <si>
    <t xml:space="preserve">Area SF</t>
  </si>
  <si>
    <t xml:space="preserve">Roll monthly rent</t>
  </si>
  <si>
    <t xml:space="preserve">In-place monthly rent</t>
  </si>
  <si>
    <t xml:space="preserve">Lease expiry</t>
  </si>
  <si>
    <t xml:space="preserve">001</t>
  </si>
  <si>
    <t xml:space="preserve">Small suite</t>
  </si>
  <si>
    <t xml:space="preserve">A</t>
  </si>
  <si>
    <t xml:space="preserve">active</t>
  </si>
  <si>
    <t xml:space="preserve">2029-08-31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</si>
  <si>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</si>
  <si>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</si>
  <si>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</si>
  <si>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</si>
  <si>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</si>
  <si>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</si>
  <si>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</si>
  <si>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</si>
  <si>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</si>
  <si>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</si>
  <si>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</si>
  <si>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</si>
  <si>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</si>
  <si>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vacant</t>
  </si>
  <si>
    <t xml:space="preserve">Totals / metrics</t>
  </si>
  <si>
    <t xml:space="preserve">Total suites</t>
  </si>
  <si>
    <t xml:space="preserve">Occupied (possession taken) suites</t>
  </si>
  <si>
    <t xml:space="preserve">Pending (leased, no possession) suites</t>
  </si>
  <si>
    <t xml:space="preserve">Vacant suites</t>
  </si>
  <si>
    <t xml:space="preserve">Total area SF</t>
  </si>
  <si>
    <t xml:space="preserve">Occupied area SF</t>
  </si>
  <si>
    <t xml:space="preserve">Unit occupancy</t>
  </si>
  <si>
    <t xml:space="preserve">Area occupancy</t>
  </si>
  <si>
    <t xml:space="preserve">Annual in-place rent (occupied, post-amendment)</t>
  </si>
  <si>
    <t xml:space="preserve">Gross potential rent check (all suites, roll rent x 12)</t>
  </si>
  <si>
    <t xml:space="preserve">Tie to Inputs!B4 (0 = tie)</t>
  </si>
  <si>
    <t xml:space="preserve">Group A (Small) suites / occupied</t>
  </si>
  <si>
    <t xml:space="preserve">Group B (Standard) suites / occupied</t>
  </si>
  <si>
    <t xml:space="preserve">Group C (Large) suites / occupied</t>
  </si>
  <si>
    <t xml:space="preserve">Suite 002 was already active on the 2026-08-31 roll and remains active; the revision notice confirms active status and raises its scheduled rent by $225. Occupancy counts, areas and expiries are unchanged. Manager headline (occupied plus pending) still overstates method but the roll shows zero pending suites.</t>
  </si>
  <si>
    <t xml:space="preserve">Underwritten Cash Flow and Capitalized Value (Revised)</t>
  </si>
  <si>
    <t xml:space="preserve">Line</t>
  </si>
  <si>
    <t xml:space="preserve">Revised (USD)</t>
  </si>
  <si>
    <t xml:space="preserve">Prior version (USD)</t>
  </si>
  <si>
    <t xml:space="preserve">Basis / change</t>
  </si>
  <si>
    <t xml:space="preserve">Gross potential rent</t>
  </si>
  <si>
    <t xml:space="preserve">Revised roll; Suite 002 +$225/mo = +$2,700/yr</t>
  </si>
  <si>
    <t xml:space="preserve">Economic loss (5%)</t>
  </si>
  <si>
    <t xml:space="preserve">Rate unchanged</t>
  </si>
  <si>
    <t xml:space="preserve">Other income ($350 per suite)</t>
  </si>
  <si>
    <t xml:space="preserve">Unchanged; reimbursements not double counted</t>
  </si>
  <si>
    <t xml:space="preserve">Underwritten EGI</t>
  </si>
  <si>
    <t xml:space="preserve">Insurance</t>
  </si>
  <si>
    <t xml:space="preserve">Management fee (3% of EGI)</t>
  </si>
  <si>
    <t xml:space="preserve">Total operating expenses (before reserves)</t>
  </si>
  <si>
    <t xml:space="preserve">Underwritten NOI (before reserves)</t>
  </si>
  <si>
    <t xml:space="preserve">Replacement reserves ($300 per suite)</t>
  </si>
  <si>
    <t xml:space="preserve">Underwritten NCF (after reserves)</t>
  </si>
  <si>
    <t xml:space="preserve">Capitalization value (NOI before reserves / cap rate)</t>
  </si>
  <si>
    <t xml:space="preserve">Cap rate 7.0000% vs 6.7500% prior</t>
  </si>
  <si>
    <t xml:space="preserve">Operating expense ratio (of EGI)</t>
  </si>
  <si>
    <t xml:space="preserve">Historical comparison (unchanged sources)</t>
  </si>
  <si>
    <t xml:space="preserve">T12 rental and ancillary collections</t>
  </si>
  <si>
    <t xml:space="preserve">operating-statement.pdf p1</t>
  </si>
  <si>
    <t xml:space="preserve">Reported T12 NOI (cash, before reserves/management)</t>
  </si>
  <si>
    <t xml:space="preserve">Roof replacement booked in repairs (capital in opex)</t>
  </si>
  <si>
    <t xml:space="preserve">Capital item carried at $0 in the ledger</t>
  </si>
  <si>
    <t xml:space="preserve">Revised UW NOI less reported T12 NOI</t>
  </si>
  <si>
    <t xml:space="preserve">Reported T12 NOI is cash-basis, excludes a management fee and reserves, and is not an annualized roll; revised UW NOI applies the revised roll's scheduled gross potential, 5% loss and $350/suite other income.</t>
  </si>
  <si>
    <t xml:space="preserve">Debt Sizing and Sources &amp; Uses (Revised)</t>
  </si>
  <si>
    <t xml:space="preserve">Revised</t>
  </si>
  <si>
    <t xml:space="preserve">Prior version</t>
  </si>
  <si>
    <t xml:space="preserve">Note</t>
  </si>
  <si>
    <t xml:space="preserve">Sizing rate used</t>
  </si>
  <si>
    <t xml:space="preserve">Initial 6.5000% + 75 bps; floor 6.00% not binding</t>
  </si>
  <si>
    <t xml:space="preserve">Monthly payment factor per $1 of loan</t>
  </si>
  <si>
    <t xml:space="preserve">30-yr monthly amortization; 24-month IO ignored for sizing</t>
  </si>
  <si>
    <t xml:space="preserve">LTV limit (65% of capitalized value)</t>
  </si>
  <si>
    <t xml:space="preserve">Maximum annual debt service at 1.25x NCF</t>
  </si>
  <si>
    <t xml:space="preserve">DSCR limit loan</t>
  </si>
  <si>
    <t xml:space="preserve">Debt yield limit loan (NCF / 9%)</t>
  </si>
  <si>
    <t xml:space="preserve">Maximum loan (lesser of tests)</t>
  </si>
  <si>
    <t xml:space="preserve">Binding constraint</t>
  </si>
  <si>
    <t xml:space="preserve">LTV</t>
  </si>
  <si>
    <t xml:space="preserve">Metrics at maximum loan</t>
  </si>
  <si>
    <t xml:space="preserve">Annual debt service</t>
  </si>
  <si>
    <t xml:space="preserve">NCF DSCR</t>
  </si>
  <si>
    <t xml:space="preserve">NCF debt yield</t>
  </si>
  <si>
    <t xml:space="preserve">LTV on capitalized value</t>
  </si>
  <si>
    <t xml:space="preserve">Sources</t>
  </si>
  <si>
    <t xml:space="preserve">Loan proceeds</t>
  </si>
  <si>
    <t xml:space="preserve">Total sources</t>
  </si>
  <si>
    <t xml:space="preserve">Uses</t>
  </si>
  <si>
    <t xml:space="preserve">Origination fee (1%)</t>
  </si>
  <si>
    <t xml:space="preserve">Subtotal uses</t>
  </si>
  <si>
    <t xml:space="preserve">Net cash-out to sponsor (negative = equity required)</t>
  </si>
  <si>
    <t xml:space="preserve">Total uses including net cash-out</t>
  </si>
  <si>
    <t xml:space="preserve">Proceeds still exceed the $4,300,000 payoff plus costs, so no refinance shortfall; the higher cap rate and sizing rate reduce cash-out.</t>
  </si>
  <si>
    <t xml:space="preserve">Maximum Loan Sensitivity (Revised) — cap rate (rows) vs sizing rate (columns)</t>
  </si>
  <si>
    <t xml:space="preserve">Each cell = MIN(LTV limit, DSCR limit, debt yield limit) with revised UW NOI and NCF held constant. Bold-total cell is the adopted case (7.0000% cap / 7.2500% sizing).</t>
  </si>
  <si>
    <t xml:space="preserve">Cap rate \ Sizing rate</t>
  </si>
  <si>
    <t xml:space="preserve">GPR sensitivity (cap 7.0000%, sizing 7.2500%)</t>
  </si>
  <si>
    <t xml:space="preserve">GPR change</t>
  </si>
  <si>
    <t xml:space="preserve">UW NOI</t>
  </si>
  <si>
    <t xml:space="preserve">UW NCF</t>
  </si>
  <si>
    <t xml:space="preserve">Max loan</t>
  </si>
  <si>
    <t xml:space="preserve">Net cash-out</t>
  </si>
  <si>
    <t xml:space="preserve">Revision Change Log (v1 -&gt; v2)</t>
  </si>
  <si>
    <t xml:space="preserve">Driver: revision-notice.pdf p1 and rent-roll-revised.xlsx (roll as of 2026-09-01). Prior deliverables underwriting-v1.xlsx and memorandum-v1.pdf remain in the audit archive and are not replaced.</t>
  </si>
  <si>
    <t xml:space="preserve">Prior (v1)</t>
  </si>
  <si>
    <t xml:space="preserve">Revised (v2)</t>
  </si>
  <si>
    <t xml:space="preserve">Reason</t>
  </si>
  <si>
    <t xml:space="preserve">Controlling roll date</t>
  </si>
  <si>
    <t xml:space="preserve">2026-08-31</t>
  </si>
  <si>
    <t xml:space="preserve">2026-09-01</t>
  </si>
  <si>
    <t xml:space="preserve">Revised certified roll supersedes prior roll</t>
  </si>
  <si>
    <t xml:space="preserve">Suite 002 scheduled rent (monthly)</t>
  </si>
  <si>
    <t xml:space="preserve">+$225 per revision notice; suite confirmed active</t>
  </si>
  <si>
    <t xml:space="preserve">+$2,700 annually</t>
  </si>
  <si>
    <t xml:space="preserve">Cap rate</t>
  </si>
  <si>
    <t xml:space="preserve">+25 bps per revision notice</t>
  </si>
  <si>
    <t xml:space="preserve">Sizing rate</t>
  </si>
  <si>
    <t xml:space="preserve">+75 bps applied to the initial sizing rate</t>
  </si>
  <si>
    <t xml:space="preserve">UW EGI</t>
  </si>
  <si>
    <t xml:space="preserve">Higher GPR at unchanged 5% loss</t>
  </si>
  <si>
    <t xml:space="preserve">UW NOI before reserves</t>
  </si>
  <si>
    <t xml:space="preserve">+$2,488</t>
  </si>
  <si>
    <t xml:space="preserve">+$2,488; reserves unchanged</t>
  </si>
  <si>
    <t xml:space="preserve">Capitalization value</t>
  </si>
  <si>
    <t xml:space="preserve">Higher cap rate outweighs higher NOI</t>
  </si>
  <si>
    <t xml:space="preserve">Maximum loan</t>
  </si>
  <si>
    <t xml:space="preserve">LTV still binds on a lower value</t>
  </si>
  <si>
    <t xml:space="preserve">Still positive; no shortfall</t>
  </si>
  <si>
    <t xml:space="preserve">Occupancy, areas, expiries, expenses, LTV/DSCR/DY tests, fees, payoff</t>
  </si>
  <si>
    <t xml:space="preserve">unchanged</t>
  </si>
  <si>
    <t xml:space="preserve">Revision notice states all other lease details and underwriting rules remain unchanged</t>
  </si>
  <si>
    <t xml:space="preserve">Approved copy preserved exactly: "Source-backed analysis. Assumptions remain subject to diligence."</t>
  </si>
  <si>
    <t xml:space="preserve">Source Register (Revised)</t>
  </si>
  <si>
    <t xml:space="preserve">Document</t>
  </si>
  <si>
    <t xml:space="preserve">Location</t>
  </si>
  <si>
    <t xml:space="preserve">Fact used / treatment</t>
  </si>
  <si>
    <t xml:space="preserve">rent-roll-revised.xlsx</t>
  </si>
  <si>
    <t xml:space="preserve">Rent Roll A2, A5:F14</t>
  </si>
  <si>
    <t xml:space="preserve">CONTROLLING roll as of 2026-09-01: 10 suites, 9 active, 1 vacant, 32,150 SF, scheduled rent $68,450/mo (Suite 002 $7,025)</t>
  </si>
  <si>
    <t xml:space="preserve">revision-notice.pdf</t>
  </si>
  <si>
    <t xml:space="preserve">p1</t>
  </si>
  <si>
    <t xml:space="preserve">Revised roll supersedes prior; Suite 002 active with +$225 rent; sizing rate +75 bps; cap rate +25 bps; all other rules and payoff unchanged; preserve approved copy</t>
  </si>
  <si>
    <t xml:space="preserve">rent-roll-certified.xlsx</t>
  </si>
  <si>
    <t xml:space="preserve">Rent Roll A2, E5:E14</t>
  </si>
  <si>
    <t xml:space="preserve">Prior controlling roll dated 2026-08-31; now superseded, retained for the v1 to v2 comparison</t>
  </si>
  <si>
    <t xml:space="preserve">rent-roll-archive.xlsx</t>
  </si>
  <si>
    <t xml:space="preserve">Stale roll dated 2026-06-30; excluded (conflict resolved by date)</t>
  </si>
  <si>
    <t xml:space="preserve">manager-cover.pdf</t>
  </si>
  <si>
    <t xml:space="preserve">Headline 9 of 10 leased counts occupied plus pending; certified detail controls occupancy; A/B/C = Small/Standard/Large; approved copy</t>
  </si>
  <si>
    <t xml:space="preserve">underwriting-instructions.pdf</t>
  </si>
  <si>
    <t xml:space="preserve">5% loss, $350/suite other income, tax/insurance/other expenses, 3% management, $300/suite reserves, 65% LTV, 1.25x DSCR, 9% DY, 30-yr monthly amortization, 6.5000% note vs 6.00% floor, 1% fee, $45,000 costs, $4,300,000 payoff</t>
  </si>
  <si>
    <t xml:space="preserve">operating-statement.pdf</t>
  </si>
  <si>
    <t xml:space="preserve">T12 9/1/2025-8/31/2026: collections $736,830; tax $85,964; insurance $28,655; other $114,618; roof in repairs $0; reported NOI $507,593</t>
  </si>
  <si>
    <t xml:space="preserve">lease-001.pdf</t>
  </si>
  <si>
    <t xml:space="preserve">Suite 001 executed lease $6,650/mo, 3,080 SF, expiry 2029-08-31, deposit $13,300, no free rent</t>
  </si>
  <si>
    <t xml:space="preserve">lease-correspondence.pdf</t>
  </si>
  <si>
    <t xml:space="preserve">Signed amendment executed 2026-07-20, effective 2026-08-01: +$350/mo -&gt; Suite 001 in-place $7,000; continues to apply</t>
  </si>
  <si>
    <t xml:space="preserve">insurance.pdf</t>
  </si>
  <si>
    <t xml:space="preserve">GL aggregate limit $2,000,000; term 7/1/2026-6/30/2027; distinct from insurance expense</t>
  </si>
  <si>
    <t xml:space="preserve">diligence-status.pdf</t>
  </si>
  <si>
    <t xml:space="preserve">Legal, environmental, PCA and title reviews outstanding; no defect findings asserted</t>
  </si>
  <si>
    <t xml:space="preserve">Not supplied (explicitly unknown, not zero): photographs, asking price, market sales/rent comps, appraisal, sponsor history, tenant credit, monthly T12 detail, TI/LC and capital budgets.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</si>
</sst>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%"/>
    <numFmt numFmtId="167" formatCode="0"/>
    <numFmt numFmtId="168" formatCode="0.0000%"/>
    <numFmt numFmtId="169" formatCode="0.00"/>
    <numFmt numFmtId="170" formatCode="0.0000"/>
    <numFmt numFmtId="171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</row>
    <row r="4" customFormat="false" ht="30" hidden="false" customHeight="true" outlineLevel="0" collapsed="false">
      <c r="A4" s="2" t="s">
        <v>5</v>
      </c>
      <c r="B4" s="4" t="n">
        <v>821400</v>
      </c>
      <c r="C4" s="2" t="s">
        <v>6</v>
      </c>
    </row>
    <row r="5" customFormat="false" ht="30" hidden="false" customHeight="true" outlineLevel="0" collapsed="false">
      <c r="A5" s="2" t="s">
        <v>7</v>
      </c>
      <c r="B5" s="5" t="n">
        <v>0.05</v>
      </c>
      <c r="C5" s="2" t="s">
        <v>8</v>
      </c>
    </row>
    <row r="6" customFormat="false" ht="30" hidden="false" customHeight="true" outlineLevel="0" collapsed="false">
      <c r="A6" s="2" t="s">
        <v>9</v>
      </c>
      <c r="B6" s="4" t="n">
        <v>350</v>
      </c>
      <c r="C6" s="2" t="s">
        <v>8</v>
      </c>
    </row>
    <row r="7" customFormat="false" ht="30" hidden="false" customHeight="true" outlineLevel="0" collapsed="false">
      <c r="A7" s="2" t="s">
        <v>10</v>
      </c>
      <c r="B7" s="6" t="n">
        <v>10</v>
      </c>
      <c r="C7" s="2" t="s">
        <v>11</v>
      </c>
    </row>
    <row r="8" customFormat="false" ht="30" hidden="false" customHeight="true" outlineLevel="0" collapsed="false">
      <c r="A8" s="2" t="s">
        <v>12</v>
      </c>
      <c r="B8" s="4" t="n">
        <v>85964</v>
      </c>
      <c r="C8" s="2" t="s">
        <v>8</v>
      </c>
    </row>
    <row r="9" customFormat="false" ht="30" hidden="false" customHeight="true" outlineLevel="0" collapsed="false">
      <c r="A9" s="2" t="s">
        <v>13</v>
      </c>
      <c r="B9" s="4" t="n">
        <v>28655</v>
      </c>
      <c r="C9" s="2" t="s">
        <v>8</v>
      </c>
    </row>
    <row r="10" customFormat="false" ht="30" hidden="false" customHeight="true" outlineLevel="0" collapsed="false">
      <c r="A10" s="2" t="s">
        <v>14</v>
      </c>
      <c r="B10" s="4" t="n">
        <v>114618</v>
      </c>
      <c r="C10" s="2" t="s">
        <v>8</v>
      </c>
    </row>
    <row r="11" customFormat="false" ht="30" hidden="false" customHeight="true" outlineLevel="0" collapsed="false">
      <c r="A11" s="2" t="s">
        <v>15</v>
      </c>
      <c r="B11" s="5" t="n">
        <v>0.03</v>
      </c>
      <c r="C11" s="2" t="s">
        <v>8</v>
      </c>
    </row>
    <row r="12" customFormat="false" ht="30" hidden="false" customHeight="true" outlineLevel="0" collapsed="false">
      <c r="A12" s="2" t="s">
        <v>16</v>
      </c>
      <c r="B12" s="4" t="n">
        <v>300</v>
      </c>
      <c r="C12" s="2" t="s">
        <v>8</v>
      </c>
    </row>
    <row r="13" customFormat="false" ht="30" hidden="false" customHeight="true" outlineLevel="0" collapsed="false">
      <c r="A13" s="2" t="s">
        <v>17</v>
      </c>
      <c r="B13" s="7" t="n">
        <v>0.075</v>
      </c>
      <c r="C13" s="2" t="s">
        <v>18</v>
      </c>
    </row>
    <row r="14" customFormat="false" ht="30" hidden="false" customHeight="true" outlineLevel="0" collapsed="false">
      <c r="A14" s="2" t="s">
        <v>19</v>
      </c>
      <c r="B14" s="7" t="n">
        <v>0.065</v>
      </c>
      <c r="C14" s="2" t="s">
        <v>8</v>
      </c>
    </row>
    <row r="15" customFormat="false" ht="30" hidden="false" customHeight="true" outlineLevel="0" collapsed="false">
      <c r="A15" s="2" t="s">
        <v>20</v>
      </c>
      <c r="B15" s="7" t="n">
        <v>0.06</v>
      </c>
      <c r="C15" s="2" t="s">
        <v>8</v>
      </c>
    </row>
    <row r="16" customFormat="false" ht="30" hidden="false" customHeight="true" outlineLevel="0" collapsed="false">
      <c r="A16" s="2" t="s">
        <v>21</v>
      </c>
      <c r="B16" s="8" t="n">
        <f aca="false">MAX(B14,B15)</f>
        <v>0.065</v>
      </c>
      <c r="C16" s="2" t="s">
        <v>22</v>
      </c>
    </row>
    <row r="17" customFormat="false" ht="30" hidden="false" customHeight="true" outlineLevel="0" collapsed="false">
      <c r="A17" s="2" t="s">
        <v>23</v>
      </c>
      <c r="B17" s="7" t="n">
        <v>0.0075</v>
      </c>
      <c r="C17" s="2" t="s">
        <v>24</v>
      </c>
    </row>
    <row r="18" customFormat="false" ht="30" hidden="false" customHeight="true" outlineLevel="0" collapsed="false">
      <c r="A18" s="9" t="s">
        <v>25</v>
      </c>
      <c r="B18" s="10" t="n">
        <f aca="false">MAX(B16+B17,B15)</f>
        <v>0.0725</v>
      </c>
      <c r="C18" s="2" t="s">
        <v>26</v>
      </c>
    </row>
    <row r="19" customFormat="false" ht="30" hidden="false" customHeight="true" outlineLevel="0" collapsed="false">
      <c r="A19" s="2" t="s">
        <v>27</v>
      </c>
      <c r="B19" s="6" t="n">
        <v>30</v>
      </c>
      <c r="C19" s="2" t="s">
        <v>28</v>
      </c>
    </row>
    <row r="20" customFormat="false" ht="30" hidden="false" customHeight="true" outlineLevel="0" collapsed="false">
      <c r="A20" s="2" t="s">
        <v>29</v>
      </c>
      <c r="B20" s="5" t="n">
        <v>0.65</v>
      </c>
      <c r="C20" s="2" t="s">
        <v>8</v>
      </c>
    </row>
    <row r="21" customFormat="false" ht="30" hidden="false" customHeight="true" outlineLevel="0" collapsed="false">
      <c r="A21" s="2" t="s">
        <v>30</v>
      </c>
      <c r="B21" s="11" t="n">
        <v>1.25</v>
      </c>
      <c r="C21" s="2" t="s">
        <v>8</v>
      </c>
    </row>
    <row r="22" customFormat="false" ht="30" hidden="false" customHeight="true" outlineLevel="0" collapsed="false">
      <c r="A22" s="2" t="s">
        <v>31</v>
      </c>
      <c r="B22" s="5" t="n">
        <v>0.09</v>
      </c>
      <c r="C22" s="2" t="s">
        <v>8</v>
      </c>
    </row>
    <row r="23" customFormat="false" ht="30" hidden="false" customHeight="true" outlineLevel="0" collapsed="false">
      <c r="A23" s="2" t="s">
        <v>32</v>
      </c>
      <c r="B23" s="5" t="n">
        <v>0.01</v>
      </c>
      <c r="C23" s="2" t="s">
        <v>8</v>
      </c>
    </row>
    <row r="24" customFormat="false" ht="30" hidden="false" customHeight="true" outlineLevel="0" collapsed="false">
      <c r="A24" s="2" t="s">
        <v>33</v>
      </c>
      <c r="B24" s="4" t="n">
        <v>45000</v>
      </c>
      <c r="C24" s="2" t="s">
        <v>8</v>
      </c>
    </row>
    <row r="25" customFormat="false" ht="30" hidden="false" customHeight="true" outlineLevel="0" collapsed="false">
      <c r="A25" s="2" t="s">
        <v>34</v>
      </c>
      <c r="B25" s="4" t="n">
        <v>4300000</v>
      </c>
      <c r="C25" s="2" t="s">
        <v>8</v>
      </c>
    </row>
    <row r="26" customFormat="false" ht="30" hidden="false" customHeight="true" outlineLevel="0" collapsed="false">
      <c r="A26" s="2" t="s">
        <v>35</v>
      </c>
      <c r="B26" s="4" t="n">
        <v>350</v>
      </c>
      <c r="C26" s="2" t="s">
        <v>36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7"/>
    <col collapsed="false" customWidth="true" hidden="false" outlineLevel="0" max="7" min="7" style="0" width="18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" t="s">
        <v>37</v>
      </c>
    </row>
    <row r="2" customFormat="false" ht="30" hidden="false" customHeight="true" outlineLevel="0" collapsed="false">
      <c r="A2" s="2" t="s">
        <v>38</v>
      </c>
    </row>
    <row r="4" customFormat="false" ht="30" hidden="false" customHeight="true" outlineLevel="0" collapsed="false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46</v>
      </c>
    </row>
    <row r="5" customFormat="false" ht="30" hidden="false" customHeight="true" outlineLevel="0" collapsed="false">
      <c r="A5" s="2" t="s">
        <v>47</v>
      </c>
      <c r="B5" s="2" t="s">
        <v>48</v>
      </c>
      <c r="C5" s="2" t="s">
        <v>49</v>
      </c>
      <c r="D5" s="2" t="s">
        <v>50</v>
      </c>
      <c r="E5" s="12" t="n">
        <v>3080</v>
      </c>
      <c r="F5" s="12" t="n">
        <v>6650</v>
      </c>
      <c r="G5" s="12" t="n">
        <f aca="false">F5+Inputs!$B$26</f>
        <v>7000</v>
      </c>
      <c r="H5" s="2" t="s">
        <v>51</v>
      </c>
    </row>
    <row r="6" customFormat="false" ht="30" hidden="false" customHeight="true" outlineLevel="0" collapsed="false">
      <c r="A6" s="2" t="s">
        <v>52</v>
      </c>
      <c r="B6" s="2" t="s">
        <v>53</v>
      </c>
      <c r="C6" s="2" t="s">
        <v>54</v>
      </c>
      <c r="D6" s="2" t="s">
        <v>50</v>
      </c>
      <c r="E6" s="12" t="n">
        <v>3200</v>
      </c>
      <c r="F6" s="4" t="n">
        <v>7025</v>
      </c>
      <c r="G6" s="12" t="n">
        <f aca="false">F6</f>
        <v>7025</v>
      </c>
      <c r="H6" s="2" t="s">
        <v>51</v>
      </c>
    </row>
    <row r="7" customFormat="false" ht="30" hidden="false" customHeight="true" outlineLevel="0" collapsed="false">
      <c r="A7" s="2" t="s">
        <v>55</v>
      </c>
      <c r="B7" s="2" t="s">
        <v>56</v>
      </c>
      <c r="C7" s="2" t="s">
        <v>57</v>
      </c>
      <c r="D7" s="2" t="s">
        <v>50</v>
      </c>
      <c r="E7" s="12" t="n">
        <v>3410</v>
      </c>
      <c r="F7" s="12" t="n">
        <v>7075</v>
      </c>
      <c r="G7" s="12" t="n">
        <f aca="false">F7</f>
        <v>7075</v>
      </c>
      <c r="H7" s="2" t="s">
        <v>51</v>
      </c>
    </row>
    <row r="8" customFormat="false" ht="30" hidden="false" customHeight="true" outlineLevel="0" collapsed="false">
      <c r="A8" s="2" t="s">
        <v>58</v>
      </c>
      <c r="B8" s="2" t="s">
        <v>48</v>
      </c>
      <c r="C8" s="2" t="s">
        <v>49</v>
      </c>
      <c r="D8" s="2" t="s">
        <v>50</v>
      </c>
      <c r="E8" s="12" t="n">
        <v>3080</v>
      </c>
      <c r="F8" s="12" t="n">
        <v>6650</v>
      </c>
      <c r="G8" s="12" t="n">
        <f aca="false">F8</f>
        <v>6650</v>
      </c>
      <c r="H8" s="2" t="s">
        <v>51</v>
      </c>
    </row>
    <row r="9" customFormat="false" ht="30" hidden="false" customHeight="true" outlineLevel="0" collapsed="false">
      <c r="A9" s="2" t="s">
        <v>59</v>
      </c>
      <c r="B9" s="2" t="s">
        <v>53</v>
      </c>
      <c r="C9" s="2" t="s">
        <v>54</v>
      </c>
      <c r="D9" s="2" t="s">
        <v>50</v>
      </c>
      <c r="E9" s="12" t="n">
        <v>3200</v>
      </c>
      <c r="F9" s="12" t="n">
        <v>6800</v>
      </c>
      <c r="G9" s="12" t="n">
        <f aca="false">F9</f>
        <v>6800</v>
      </c>
      <c r="H9" s="2" t="s">
        <v>51</v>
      </c>
    </row>
    <row r="10" customFormat="false" ht="30" hidden="false" customHeight="true" outlineLevel="0" collapsed="false">
      <c r="A10" s="2" t="s">
        <v>60</v>
      </c>
      <c r="B10" s="2" t="s">
        <v>56</v>
      </c>
      <c r="C10" s="2" t="s">
        <v>57</v>
      </c>
      <c r="D10" s="2" t="s">
        <v>50</v>
      </c>
      <c r="E10" s="12" t="n">
        <v>3410</v>
      </c>
      <c r="F10" s="12" t="n">
        <v>7075</v>
      </c>
      <c r="G10" s="12" t="n">
        <f aca="false">F10</f>
        <v>7075</v>
      </c>
      <c r="H10" s="2" t="s">
        <v>51</v>
      </c>
    </row>
    <row r="11" customFormat="false" ht="30" hidden="false" customHeight="true" outlineLevel="0" collapsed="false">
      <c r="A11" s="2" t="s">
        <v>61</v>
      </c>
      <c r="B11" s="2" t="s">
        <v>48</v>
      </c>
      <c r="C11" s="2" t="s">
        <v>49</v>
      </c>
      <c r="D11" s="2" t="s">
        <v>50</v>
      </c>
      <c r="E11" s="12" t="n">
        <v>3080</v>
      </c>
      <c r="F11" s="12" t="n">
        <v>6650</v>
      </c>
      <c r="G11" s="12" t="n">
        <f aca="false">F11</f>
        <v>6650</v>
      </c>
      <c r="H11" s="2" t="s">
        <v>51</v>
      </c>
    </row>
    <row r="12" customFormat="false" ht="30" hidden="false" customHeight="true" outlineLevel="0" collapsed="false">
      <c r="A12" s="2" t="s">
        <v>62</v>
      </c>
      <c r="B12" s="2" t="s">
        <v>53</v>
      </c>
      <c r="C12" s="2" t="s">
        <v>54</v>
      </c>
      <c r="D12" s="2" t="s">
        <v>50</v>
      </c>
      <c r="E12" s="12" t="n">
        <v>3200</v>
      </c>
      <c r="F12" s="12" t="n">
        <v>6800</v>
      </c>
      <c r="G12" s="12" t="n">
        <f aca="false">F12</f>
        <v>6800</v>
      </c>
      <c r="H12" s="2" t="s">
        <v>51</v>
      </c>
    </row>
    <row r="13" customFormat="false" ht="30" hidden="false" customHeight="true" outlineLevel="0" collapsed="false">
      <c r="A13" s="2" t="s">
        <v>63</v>
      </c>
      <c r="B13" s="2" t="s">
        <v>56</v>
      </c>
      <c r="C13" s="2" t="s">
        <v>57</v>
      </c>
      <c r="D13" s="2" t="s">
        <v>50</v>
      </c>
      <c r="E13" s="12" t="n">
        <v>3410</v>
      </c>
      <c r="F13" s="12" t="n">
        <v>7075</v>
      </c>
      <c r="G13" s="12" t="n">
        <f aca="false">F13</f>
        <v>7075</v>
      </c>
      <c r="H13" s="2" t="s">
        <v>51</v>
      </c>
    </row>
    <row r="14" customFormat="false" ht="30" hidden="false" customHeight="true" outlineLevel="0" collapsed="false">
      <c r="A14" s="2" t="s">
        <v>64</v>
      </c>
      <c r="B14" s="2" t="s">
        <v>48</v>
      </c>
      <c r="C14" s="2" t="s">
        <v>49</v>
      </c>
      <c r="D14" s="2" t="s">
        <v>65</v>
      </c>
      <c r="E14" s="12" t="n">
        <v>3080</v>
      </c>
      <c r="F14" s="12" t="n">
        <v>6650</v>
      </c>
      <c r="G14" s="12" t="n">
        <v>0</v>
      </c>
      <c r="H14" s="2" t="s">
        <v>51</v>
      </c>
    </row>
    <row r="16" customFormat="false" ht="30" hidden="false" customHeight="true" outlineLevel="0" collapsed="false">
      <c r="A16" s="3" t="s">
        <v>66</v>
      </c>
    </row>
    <row r="17" customFormat="false" ht="30" hidden="false" customHeight="true" outlineLevel="0" collapsed="false">
      <c r="A17" s="2" t="s">
        <v>67</v>
      </c>
      <c r="B17" s="13" t="n">
        <f aca="false">COUNTA(A5:A14)</f>
        <v>10</v>
      </c>
    </row>
    <row r="18" customFormat="false" ht="30" hidden="false" customHeight="true" outlineLevel="0" collapsed="false">
      <c r="A18" s="2" t="s">
        <v>68</v>
      </c>
      <c r="B18" s="13" t="n">
        <f aca="false">COUNTIF(D5:D14,"active")</f>
        <v>9</v>
      </c>
    </row>
    <row r="19" customFormat="false" ht="30" hidden="false" customHeight="true" outlineLevel="0" collapsed="false">
      <c r="A19" s="2" t="s">
        <v>69</v>
      </c>
      <c r="B19" s="13" t="n">
        <f aca="false">COUNTIF(D5:D14,"pending")</f>
        <v>0</v>
      </c>
    </row>
    <row r="20" customFormat="false" ht="30" hidden="false" customHeight="true" outlineLevel="0" collapsed="false">
      <c r="A20" s="2" t="s">
        <v>70</v>
      </c>
      <c r="B20" s="13" t="n">
        <f aca="false">COUNTIF(D5:D14,"vacant")</f>
        <v>1</v>
      </c>
    </row>
    <row r="21" customFormat="false" ht="30" hidden="false" customHeight="true" outlineLevel="0" collapsed="false">
      <c r="A21" s="2" t="s">
        <v>71</v>
      </c>
      <c r="B21" s="14" t="n">
        <f aca="false">SUM(E5:E14)</f>
        <v>32150</v>
      </c>
    </row>
    <row r="22" customFormat="false" ht="30" hidden="false" customHeight="true" outlineLevel="0" collapsed="false">
      <c r="A22" s="2" t="s">
        <v>72</v>
      </c>
      <c r="B22" s="14" t="n">
        <f aca="false">SUMIF(D5:D14,"active",E5:E14)</f>
        <v>29070</v>
      </c>
    </row>
    <row r="23" customFormat="false" ht="30" hidden="false" customHeight="true" outlineLevel="0" collapsed="false">
      <c r="A23" s="2" t="s">
        <v>73</v>
      </c>
      <c r="B23" s="15" t="n">
        <f aca="false">B18/B17</f>
        <v>0.9</v>
      </c>
    </row>
    <row r="24" customFormat="false" ht="30" hidden="false" customHeight="true" outlineLevel="0" collapsed="false">
      <c r="A24" s="2" t="s">
        <v>74</v>
      </c>
      <c r="B24" s="15" t="n">
        <f aca="false">B22/B21</f>
        <v>0.904199066874028</v>
      </c>
    </row>
    <row r="25" customFormat="false" ht="30" hidden="false" customHeight="true" outlineLevel="0" collapsed="false">
      <c r="A25" s="2" t="s">
        <v>75</v>
      </c>
      <c r="B25" s="14" t="n">
        <f aca="false">SUM(G5:G14)*12</f>
        <v>745800</v>
      </c>
    </row>
    <row r="26" customFormat="false" ht="30" hidden="false" customHeight="true" outlineLevel="0" collapsed="false">
      <c r="A26" s="2" t="s">
        <v>76</v>
      </c>
      <c r="B26" s="14" t="n">
        <f aca="false">SUM(F5:F14)*12</f>
        <v>821400</v>
      </c>
    </row>
    <row r="27" customFormat="false" ht="30" hidden="false" customHeight="true" outlineLevel="0" collapsed="false">
      <c r="A27" s="2" t="s">
        <v>77</v>
      </c>
      <c r="B27" s="14" t="n">
        <f aca="false">B26-Inputs!B4</f>
        <v>0</v>
      </c>
    </row>
    <row r="29" customFormat="false" ht="30" hidden="false" customHeight="true" outlineLevel="0" collapsed="false">
      <c r="A29" s="2" t="s">
        <v>78</v>
      </c>
      <c r="B29" s="13" t="n">
        <f aca="false">COUNTIF(C5:C14,"A")</f>
        <v>4</v>
      </c>
      <c r="C29" s="13" t="n">
        <f aca="false">COUNTIFS(C5:C14,"A",D5:D14,"active")</f>
        <v>3</v>
      </c>
    </row>
    <row r="30" customFormat="false" ht="30" hidden="false" customHeight="true" outlineLevel="0" collapsed="false">
      <c r="A30" s="2" t="s">
        <v>79</v>
      </c>
      <c r="B30" s="13" t="n">
        <f aca="false">COUNTIF(C5:C14,"B")</f>
        <v>3</v>
      </c>
      <c r="C30" s="13" t="n">
        <f aca="false">COUNTIFS(C5:C14,"B",D5:D14,"active")</f>
        <v>3</v>
      </c>
    </row>
    <row r="31" customFormat="false" ht="30" hidden="false" customHeight="true" outlineLevel="0" collapsed="false">
      <c r="A31" s="2" t="s">
        <v>80</v>
      </c>
      <c r="B31" s="13" t="n">
        <f aca="false">COUNTIF(C5:C14,"C")</f>
        <v>3</v>
      </c>
      <c r="C31" s="13" t="n">
        <f aca="false">COUNTIFS(C5:C14,"C",D5:D14,"active")</f>
        <v>3</v>
      </c>
    </row>
    <row r="33" customFormat="false" ht="30" hidden="false" customHeight="true" outlineLevel="0" collapsed="false">
      <c r="A33" s="2" t="s">
        <v>81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34"/>
  </cols>
  <sheetData>
    <row r="1" customFormat="false" ht="30" hidden="false" customHeight="true" outlineLevel="0" collapsed="false">
      <c r="A1" s="1" t="s">
        <v>82</v>
      </c>
    </row>
    <row r="3" customFormat="false" ht="30" hidden="false" customHeight="true" outlineLevel="0" collapsed="false">
      <c r="A3" s="3" t="s">
        <v>83</v>
      </c>
      <c r="B3" s="3" t="s">
        <v>84</v>
      </c>
      <c r="C3" s="3" t="s">
        <v>85</v>
      </c>
      <c r="D3" s="3" t="s">
        <v>86</v>
      </c>
    </row>
    <row r="4" customFormat="false" ht="30" hidden="false" customHeight="true" outlineLevel="0" collapsed="false">
      <c r="A4" s="2" t="s">
        <v>87</v>
      </c>
      <c r="B4" s="12" t="n">
        <f aca="false">Inputs!B4</f>
        <v>821400</v>
      </c>
      <c r="C4" s="12" t="n">
        <v>818700</v>
      </c>
      <c r="D4" s="2" t="s">
        <v>88</v>
      </c>
    </row>
    <row r="5" customFormat="false" ht="30" hidden="false" customHeight="true" outlineLevel="0" collapsed="false">
      <c r="A5" s="2" t="s">
        <v>89</v>
      </c>
      <c r="B5" s="12" t="n">
        <f aca="false">-B4*Inputs!B5</f>
        <v>-41070</v>
      </c>
      <c r="C5" s="12" t="n">
        <v>-40935</v>
      </c>
      <c r="D5" s="2" t="s">
        <v>90</v>
      </c>
    </row>
    <row r="6" customFormat="false" ht="30" hidden="false" customHeight="true" outlineLevel="0" collapsed="false">
      <c r="A6" s="2" t="s">
        <v>91</v>
      </c>
      <c r="B6" s="12" t="n">
        <f aca="false">Inputs!B6*Inputs!B7</f>
        <v>3500</v>
      </c>
      <c r="C6" s="12" t="n">
        <v>3500</v>
      </c>
      <c r="D6" s="2" t="s">
        <v>92</v>
      </c>
    </row>
    <row r="7" customFormat="false" ht="30" hidden="false" customHeight="true" outlineLevel="0" collapsed="false">
      <c r="A7" s="9" t="s">
        <v>93</v>
      </c>
      <c r="B7" s="14" t="n">
        <f aca="false">B4+B5+B6</f>
        <v>783830</v>
      </c>
      <c r="C7" s="12" t="n">
        <v>781265</v>
      </c>
    </row>
    <row r="9" customFormat="false" ht="30" hidden="false" customHeight="true" outlineLevel="0" collapsed="false">
      <c r="A9" s="2" t="s">
        <v>12</v>
      </c>
      <c r="B9" s="12" t="n">
        <f aca="false">Inputs!B8</f>
        <v>85964</v>
      </c>
      <c r="C9" s="12" t="n">
        <v>85964</v>
      </c>
    </row>
    <row r="10" customFormat="false" ht="30" hidden="false" customHeight="true" outlineLevel="0" collapsed="false">
      <c r="A10" s="2" t="s">
        <v>94</v>
      </c>
      <c r="B10" s="12" t="n">
        <f aca="false">Inputs!B9</f>
        <v>28655</v>
      </c>
      <c r="C10" s="12" t="n">
        <v>28655</v>
      </c>
    </row>
    <row r="11" customFormat="false" ht="30" hidden="false" customHeight="true" outlineLevel="0" collapsed="false">
      <c r="A11" s="2" t="s">
        <v>14</v>
      </c>
      <c r="B11" s="12" t="n">
        <f aca="false">Inputs!B10</f>
        <v>114618</v>
      </c>
      <c r="C11" s="12" t="n">
        <v>114618</v>
      </c>
    </row>
    <row r="12" customFormat="false" ht="30" hidden="false" customHeight="true" outlineLevel="0" collapsed="false">
      <c r="A12" s="2" t="s">
        <v>95</v>
      </c>
      <c r="B12" s="12" t="n">
        <f aca="false">Inputs!B11*B7</f>
        <v>23514.9</v>
      </c>
      <c r="C12" s="12" t="n">
        <v>23438</v>
      </c>
    </row>
    <row r="13" customFormat="false" ht="30" hidden="false" customHeight="true" outlineLevel="0" collapsed="false">
      <c r="A13" s="9" t="s">
        <v>96</v>
      </c>
      <c r="B13" s="14" t="n">
        <f aca="false">SUM(B9:B12)</f>
        <v>252751.9</v>
      </c>
      <c r="C13" s="12" t="n">
        <v>252675</v>
      </c>
    </row>
    <row r="14" customFormat="false" ht="30" hidden="false" customHeight="true" outlineLevel="0" collapsed="false">
      <c r="A14" s="9" t="s">
        <v>97</v>
      </c>
      <c r="B14" s="14" t="n">
        <f aca="false">B7-B13</f>
        <v>531078.1</v>
      </c>
      <c r="C14" s="12" t="n">
        <v>528590</v>
      </c>
    </row>
    <row r="15" customFormat="false" ht="30" hidden="false" customHeight="true" outlineLevel="0" collapsed="false">
      <c r="A15" s="2" t="s">
        <v>98</v>
      </c>
      <c r="B15" s="12" t="n">
        <f aca="false">Inputs!B12*Inputs!B7</f>
        <v>3000</v>
      </c>
      <c r="C15" s="12" t="n">
        <v>3000</v>
      </c>
    </row>
    <row r="16" customFormat="false" ht="30" hidden="false" customHeight="true" outlineLevel="0" collapsed="false">
      <c r="A16" s="9" t="s">
        <v>99</v>
      </c>
      <c r="B16" s="14" t="n">
        <f aca="false">B14-B15</f>
        <v>528078.1</v>
      </c>
      <c r="C16" s="12" t="n">
        <v>525590</v>
      </c>
    </row>
    <row r="18" customFormat="false" ht="30" hidden="false" customHeight="true" outlineLevel="0" collapsed="false">
      <c r="A18" s="9" t="s">
        <v>100</v>
      </c>
      <c r="B18" s="14" t="n">
        <f aca="false">B14/Inputs!B13</f>
        <v>7081041.33333333</v>
      </c>
      <c r="C18" s="12" t="n">
        <v>7830964</v>
      </c>
      <c r="D18" s="2" t="s">
        <v>101</v>
      </c>
    </row>
    <row r="20" customFormat="false" ht="30" hidden="false" customHeight="true" outlineLevel="0" collapsed="false">
      <c r="A20" s="2" t="s">
        <v>102</v>
      </c>
      <c r="B20" s="16" t="n">
        <f aca="false">B13/B7</f>
        <v>0.322457548192848</v>
      </c>
    </row>
    <row r="22" customFormat="false" ht="30" hidden="false" customHeight="true" outlineLevel="0" collapsed="false">
      <c r="A22" s="3" t="s">
        <v>103</v>
      </c>
    </row>
    <row r="23" customFormat="false" ht="30" hidden="false" customHeight="true" outlineLevel="0" collapsed="false">
      <c r="A23" s="2" t="s">
        <v>104</v>
      </c>
      <c r="B23" s="12" t="n">
        <v>736830</v>
      </c>
      <c r="D23" s="2" t="s">
        <v>105</v>
      </c>
    </row>
    <row r="24" customFormat="false" ht="30" hidden="false" customHeight="true" outlineLevel="0" collapsed="false">
      <c r="A24" s="2" t="s">
        <v>106</v>
      </c>
      <c r="B24" s="12" t="n">
        <v>507593</v>
      </c>
      <c r="D24" s="2" t="s">
        <v>105</v>
      </c>
    </row>
    <row r="25" customFormat="false" ht="30" hidden="false" customHeight="true" outlineLevel="0" collapsed="false">
      <c r="A25" s="2" t="s">
        <v>107</v>
      </c>
      <c r="B25" s="12" t="n">
        <v>0</v>
      </c>
      <c r="D25" s="2" t="s">
        <v>108</v>
      </c>
    </row>
    <row r="26" customFormat="false" ht="30" hidden="false" customHeight="true" outlineLevel="0" collapsed="false">
      <c r="A26" s="9" t="s">
        <v>109</v>
      </c>
      <c r="B26" s="14" t="n">
        <f aca="false">B14-B24</f>
        <v>23485.1</v>
      </c>
    </row>
    <row r="27" customFormat="false" ht="30" hidden="false" customHeight="true" outlineLevel="0" collapsed="false">
      <c r="A27" s="2" t="s">
        <v>110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30"/>
  </cols>
  <sheetData>
    <row r="1" customFormat="false" ht="30" hidden="false" customHeight="true" outlineLevel="0" collapsed="false">
      <c r="A1" s="1" t="s">
        <v>111</v>
      </c>
    </row>
    <row r="3" customFormat="false" ht="30" hidden="false" customHeight="true" outlineLevel="0" collapsed="false">
      <c r="A3" s="3" t="s">
        <v>83</v>
      </c>
      <c r="B3" s="3" t="s">
        <v>112</v>
      </c>
      <c r="C3" s="3" t="s">
        <v>113</v>
      </c>
      <c r="D3" s="3" t="s">
        <v>114</v>
      </c>
    </row>
    <row r="4" customFormat="false" ht="30" hidden="false" customHeight="true" outlineLevel="0" collapsed="false">
      <c r="A4" s="2" t="s">
        <v>115</v>
      </c>
      <c r="B4" s="8" t="n">
        <f aca="false">Inputs!B18</f>
        <v>0.0725</v>
      </c>
      <c r="C4" s="8" t="n">
        <v>0.065</v>
      </c>
      <c r="D4" s="2" t="s">
        <v>116</v>
      </c>
    </row>
    <row r="5" customFormat="false" ht="30" hidden="false" customHeight="true" outlineLevel="0" collapsed="false">
      <c r="A5" s="2" t="s">
        <v>117</v>
      </c>
      <c r="B5" s="17" t="n">
        <f aca="false">-PMT(B4/12,Inputs!B19*12,1)</f>
        <v>0.00682176280056192</v>
      </c>
      <c r="C5" s="17" t="n">
        <v>0.00632068</v>
      </c>
      <c r="D5" s="2" t="s">
        <v>118</v>
      </c>
    </row>
    <row r="6" customFormat="false" ht="30" hidden="false" customHeight="true" outlineLevel="0" collapsed="false">
      <c r="A6" s="2" t="s">
        <v>119</v>
      </c>
      <c r="B6" s="12" t="n">
        <f aca="false">Inputs!B20*Underwriting!B18</f>
        <v>4602676.86666667</v>
      </c>
      <c r="C6" s="12" t="n">
        <v>5090126</v>
      </c>
    </row>
    <row r="7" customFormat="false" ht="30" hidden="false" customHeight="true" outlineLevel="0" collapsed="false">
      <c r="A7" s="2" t="s">
        <v>120</v>
      </c>
      <c r="B7" s="12" t="n">
        <f aca="false">Underwriting!B16/Inputs!B21</f>
        <v>422462.48</v>
      </c>
      <c r="C7" s="12" t="n">
        <v>420472</v>
      </c>
    </row>
    <row r="8" customFormat="false" ht="30" hidden="false" customHeight="true" outlineLevel="0" collapsed="false">
      <c r="A8" s="2" t="s">
        <v>121</v>
      </c>
      <c r="B8" s="12" t="n">
        <f aca="false">B7/12/B5</f>
        <v>5160719.84557522</v>
      </c>
      <c r="C8" s="12" t="n">
        <v>5543602</v>
      </c>
    </row>
    <row r="9" customFormat="false" ht="30" hidden="false" customHeight="true" outlineLevel="0" collapsed="false">
      <c r="A9" s="2" t="s">
        <v>122</v>
      </c>
      <c r="B9" s="12" t="n">
        <f aca="false">Underwriting!B16/Inputs!B22</f>
        <v>5867534.44444444</v>
      </c>
      <c r="C9" s="12" t="n">
        <v>5839889</v>
      </c>
    </row>
    <row r="10" customFormat="false" ht="30" hidden="false" customHeight="true" outlineLevel="0" collapsed="false">
      <c r="A10" s="9" t="s">
        <v>123</v>
      </c>
      <c r="B10" s="14" t="n">
        <f aca="false">MIN(B6,B8,B9)</f>
        <v>4602676.86666667</v>
      </c>
      <c r="C10" s="12" t="n">
        <v>5090126</v>
      </c>
    </row>
    <row r="11" customFormat="false" ht="30" hidden="false" customHeight="true" outlineLevel="0" collapsed="false">
      <c r="A11" s="2" t="s">
        <v>124</v>
      </c>
      <c r="B11" s="2" t="str">
        <f aca="false">IF(B10=B6,"LTV",IF(B10=B8,"DSCR","Debt yield"))</f>
        <v>LTV</v>
      </c>
      <c r="C11" s="2" t="s">
        <v>125</v>
      </c>
    </row>
    <row r="13" customFormat="false" ht="30" hidden="false" customHeight="true" outlineLevel="0" collapsed="false">
      <c r="A13" s="3" t="s">
        <v>126</v>
      </c>
    </row>
    <row r="14" customFormat="false" ht="30" hidden="false" customHeight="true" outlineLevel="0" collapsed="false">
      <c r="A14" s="2" t="s">
        <v>127</v>
      </c>
      <c r="B14" s="12" t="n">
        <f aca="false">B10*B5*12</f>
        <v>376780.437984403</v>
      </c>
      <c r="C14" s="12" t="n">
        <v>386077</v>
      </c>
    </row>
    <row r="15" customFormat="false" ht="30" hidden="false" customHeight="true" outlineLevel="0" collapsed="false">
      <c r="A15" s="2" t="s">
        <v>128</v>
      </c>
      <c r="B15" s="16" t="n">
        <f aca="false">Underwriting!B16/B14</f>
        <v>1.40155392043432</v>
      </c>
      <c r="C15" s="16" t="n">
        <v>1.3613</v>
      </c>
    </row>
    <row r="16" customFormat="false" ht="30" hidden="false" customHeight="true" outlineLevel="0" collapsed="false">
      <c r="A16" s="2" t="s">
        <v>129</v>
      </c>
      <c r="B16" s="16" t="n">
        <f aca="false">Underwriting!B16/B10</f>
        <v>0.114732820768807</v>
      </c>
      <c r="C16" s="16" t="n">
        <v>0.1033</v>
      </c>
    </row>
    <row r="17" customFormat="false" ht="30" hidden="false" customHeight="true" outlineLevel="0" collapsed="false">
      <c r="A17" s="2" t="s">
        <v>130</v>
      </c>
      <c r="B17" s="16" t="n">
        <f aca="false">B10/Underwriting!B18</f>
        <v>0.65</v>
      </c>
      <c r="C17" s="16" t="n">
        <v>0.65</v>
      </c>
    </row>
    <row r="19" customFormat="false" ht="30" hidden="false" customHeight="true" outlineLevel="0" collapsed="false">
      <c r="A19" s="3" t="s">
        <v>131</v>
      </c>
    </row>
    <row r="20" customFormat="false" ht="30" hidden="false" customHeight="true" outlineLevel="0" collapsed="false">
      <c r="A20" s="2" t="s">
        <v>132</v>
      </c>
      <c r="B20" s="12" t="n">
        <f aca="false">B10</f>
        <v>4602676.86666667</v>
      </c>
    </row>
    <row r="21" customFormat="false" ht="30" hidden="false" customHeight="true" outlineLevel="0" collapsed="false">
      <c r="A21" s="9" t="s">
        <v>133</v>
      </c>
      <c r="B21" s="14" t="n">
        <f aca="false">B20</f>
        <v>4602676.86666667</v>
      </c>
    </row>
    <row r="23" customFormat="false" ht="30" hidden="false" customHeight="true" outlineLevel="0" collapsed="false">
      <c r="A23" s="3" t="s">
        <v>134</v>
      </c>
    </row>
    <row r="24" customFormat="false" ht="30" hidden="false" customHeight="true" outlineLevel="0" collapsed="false">
      <c r="A24" s="2" t="s">
        <v>34</v>
      </c>
      <c r="B24" s="12" t="n">
        <f aca="false">Inputs!B25</f>
        <v>4300000</v>
      </c>
      <c r="C24" s="12" t="n">
        <v>4300000</v>
      </c>
    </row>
    <row r="25" customFormat="false" ht="30" hidden="false" customHeight="true" outlineLevel="0" collapsed="false">
      <c r="A25" s="2" t="s">
        <v>135</v>
      </c>
      <c r="B25" s="12" t="n">
        <f aca="false">Inputs!B23*B10</f>
        <v>46026.7686666667</v>
      </c>
      <c r="C25" s="12" t="n">
        <v>50901</v>
      </c>
    </row>
    <row r="26" customFormat="false" ht="30" hidden="false" customHeight="true" outlineLevel="0" collapsed="false">
      <c r="A26" s="2" t="s">
        <v>33</v>
      </c>
      <c r="B26" s="12" t="n">
        <f aca="false">Inputs!B24</f>
        <v>45000</v>
      </c>
      <c r="C26" s="12" t="n">
        <v>45000</v>
      </c>
    </row>
    <row r="27" customFormat="false" ht="30" hidden="false" customHeight="true" outlineLevel="0" collapsed="false">
      <c r="A27" s="9" t="s">
        <v>136</v>
      </c>
      <c r="B27" s="14" t="n">
        <f aca="false">SUM(B24:B26)</f>
        <v>4391026.76866667</v>
      </c>
    </row>
    <row r="28" customFormat="false" ht="30" hidden="false" customHeight="true" outlineLevel="0" collapsed="false">
      <c r="A28" s="9" t="s">
        <v>137</v>
      </c>
      <c r="B28" s="14" t="n">
        <f aca="false">B21-B27</f>
        <v>211650.097999999</v>
      </c>
      <c r="C28" s="12" t="n">
        <v>694225</v>
      </c>
    </row>
    <row r="29" customFormat="false" ht="30" hidden="false" customHeight="true" outlineLevel="0" collapsed="false">
      <c r="A29" s="9" t="s">
        <v>138</v>
      </c>
      <c r="B29" s="14" t="n">
        <f aca="false">B27+B28</f>
        <v>4602676.86666667</v>
      </c>
    </row>
    <row r="31" customFormat="false" ht="30" hidden="false" customHeight="true" outlineLevel="0" collapsed="false">
      <c r="A31" s="2" t="s">
        <v>139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6"/>
  </cols>
  <sheetData>
    <row r="1" customFormat="false" ht="30" hidden="false" customHeight="true" outlineLevel="0" collapsed="false">
      <c r="A1" s="1" t="s">
        <v>140</v>
      </c>
    </row>
    <row r="2" customFormat="false" ht="30" hidden="false" customHeight="true" outlineLevel="0" collapsed="false">
      <c r="A2" s="2" t="s">
        <v>141</v>
      </c>
    </row>
    <row r="3" customFormat="false" ht="30" hidden="false" customHeight="true" outlineLevel="0" collapsed="false">
      <c r="A3" s="3" t="s">
        <v>142</v>
      </c>
      <c r="B3" s="18" t="n">
        <v>0.065</v>
      </c>
      <c r="C3" s="18" t="n">
        <v>0.0725</v>
      </c>
      <c r="D3" s="18" t="n">
        <v>0.0775</v>
      </c>
      <c r="E3" s="18" t="n">
        <v>0.0825</v>
      </c>
    </row>
    <row r="4" customFormat="false" ht="30" hidden="false" customHeight="true" outlineLevel="0" collapsed="false">
      <c r="A4" s="8" t="n">
        <v>0.065</v>
      </c>
      <c r="B4" s="12" t="n">
        <f aca="false">MIN(Inputs!$B$20*Underwriting!$B$14/$A4,Underwriting!$B$16/Inputs!$B$21/12/(-PMT(B$3/12,Inputs!$B$19*12,1)),Underwriting!$B$16/Inputs!$B$22)</f>
        <v>5310781</v>
      </c>
      <c r="C4" s="12" t="n">
        <f aca="false">MIN(Inputs!$B$20*Underwriting!$B$14/$A4,Underwriting!$B$16/Inputs!$B$21/12/(-PMT(C$3/12,Inputs!$B$19*12,1)),Underwriting!$B$16/Inputs!$B$22)</f>
        <v>5160719.84557522</v>
      </c>
      <c r="D4" s="12" t="n">
        <f aca="false">MIN(Inputs!$B$20*Underwriting!$B$14/$A4,Underwriting!$B$16/Inputs!$B$21/12/(-PMT(D$3/12,Inputs!$B$19*12,1)),Underwriting!$B$16/Inputs!$B$22)</f>
        <v>4914098.9541845</v>
      </c>
      <c r="E4" s="12" t="n">
        <f aca="false">MIN(Inputs!$B$20*Underwriting!$B$14/$A4,Underwriting!$B$16/Inputs!$B$21/12/(-PMT(E$3/12,Inputs!$B$19*12,1)),Underwriting!$B$16/Inputs!$B$22)</f>
        <v>4686113.62156068</v>
      </c>
    </row>
    <row r="5" customFormat="false" ht="30" hidden="false" customHeight="true" outlineLevel="0" collapsed="false">
      <c r="A5" s="8" t="n">
        <v>0.0675</v>
      </c>
      <c r="B5" s="12" t="n">
        <f aca="false">MIN(Inputs!$B$20*Underwriting!$B$14/$A5,Underwriting!$B$16/Inputs!$B$21/12/(-PMT(B$3/12,Inputs!$B$19*12,1)),Underwriting!$B$16/Inputs!$B$22)</f>
        <v>5114085.40740741</v>
      </c>
      <c r="C5" s="12" t="n">
        <f aca="false">MIN(Inputs!$B$20*Underwriting!$B$14/$A5,Underwriting!$B$16/Inputs!$B$21/12/(-PMT(C$3/12,Inputs!$B$19*12,1)),Underwriting!$B$16/Inputs!$B$22)</f>
        <v>5114085.40740741</v>
      </c>
      <c r="D5" s="12" t="n">
        <f aca="false">MIN(Inputs!$B$20*Underwriting!$B$14/$A5,Underwriting!$B$16/Inputs!$B$21/12/(-PMT(D$3/12,Inputs!$B$19*12,1)),Underwriting!$B$16/Inputs!$B$22)</f>
        <v>4914098.9541845</v>
      </c>
      <c r="E5" s="12" t="n">
        <f aca="false">MIN(Inputs!$B$20*Underwriting!$B$14/$A5,Underwriting!$B$16/Inputs!$B$21/12/(-PMT(E$3/12,Inputs!$B$19*12,1)),Underwriting!$B$16/Inputs!$B$22)</f>
        <v>4686113.62156068</v>
      </c>
    </row>
    <row r="6" customFormat="false" ht="30" hidden="false" customHeight="true" outlineLevel="0" collapsed="false">
      <c r="A6" s="8" t="n">
        <v>0.07</v>
      </c>
      <c r="B6" s="12" t="n">
        <f aca="false">MIN(Inputs!$B$20*Underwriting!$B$14/$A6,Underwriting!$B$16/Inputs!$B$21/12/(-PMT(B$3/12,Inputs!$B$19*12,1)),Underwriting!$B$16/Inputs!$B$22)</f>
        <v>4931439.5</v>
      </c>
      <c r="C6" s="14" t="n">
        <f aca="false">MIN(Inputs!$B$20*Underwriting!$B$14/$A6,Underwriting!$B$16/Inputs!$B$21/12/(-PMT(C$3/12,Inputs!$B$19*12,1)),Underwriting!$B$16/Inputs!$B$22)</f>
        <v>4931439.5</v>
      </c>
      <c r="D6" s="12" t="n">
        <f aca="false">MIN(Inputs!$B$20*Underwriting!$B$14/$A6,Underwriting!$B$16/Inputs!$B$21/12/(-PMT(D$3/12,Inputs!$B$19*12,1)),Underwriting!$B$16/Inputs!$B$22)</f>
        <v>4914098.9541845</v>
      </c>
      <c r="E6" s="12" t="n">
        <f aca="false">MIN(Inputs!$B$20*Underwriting!$B$14/$A6,Underwriting!$B$16/Inputs!$B$21/12/(-PMT(E$3/12,Inputs!$B$19*12,1)),Underwriting!$B$16/Inputs!$B$22)</f>
        <v>4686113.62156068</v>
      </c>
    </row>
    <row r="7" customFormat="false" ht="30" hidden="false" customHeight="true" outlineLevel="0" collapsed="false">
      <c r="A7" s="8" t="n">
        <v>0.0725</v>
      </c>
      <c r="B7" s="12" t="n">
        <f aca="false">MIN(Inputs!$B$20*Underwriting!$B$14/$A7,Underwriting!$B$16/Inputs!$B$21/12/(-PMT(B$3/12,Inputs!$B$19*12,1)),Underwriting!$B$16/Inputs!$B$22)</f>
        <v>4761389.86206897</v>
      </c>
      <c r="C7" s="12" t="n">
        <f aca="false">MIN(Inputs!$B$20*Underwriting!$B$14/$A7,Underwriting!$B$16/Inputs!$B$21/12/(-PMT(C$3/12,Inputs!$B$19*12,1)),Underwriting!$B$16/Inputs!$B$22)</f>
        <v>4761389.86206897</v>
      </c>
      <c r="D7" s="12" t="n">
        <f aca="false">MIN(Inputs!$B$20*Underwriting!$B$14/$A7,Underwriting!$B$16/Inputs!$B$21/12/(-PMT(D$3/12,Inputs!$B$19*12,1)),Underwriting!$B$16/Inputs!$B$22)</f>
        <v>4761389.86206897</v>
      </c>
      <c r="E7" s="12" t="n">
        <f aca="false">MIN(Inputs!$B$20*Underwriting!$B$14/$A7,Underwriting!$B$16/Inputs!$B$21/12/(-PMT(E$3/12,Inputs!$B$19*12,1)),Underwriting!$B$16/Inputs!$B$22)</f>
        <v>4686113.62156068</v>
      </c>
    </row>
    <row r="8" customFormat="false" ht="30" hidden="false" customHeight="true" outlineLevel="0" collapsed="false">
      <c r="A8" s="8" t="n">
        <v>0.075</v>
      </c>
      <c r="B8" s="12" t="n">
        <f aca="false">MIN(Inputs!$B$20*Underwriting!$B$14/$A8,Underwriting!$B$16/Inputs!$B$21/12/(-PMT(B$3/12,Inputs!$B$19*12,1)),Underwriting!$B$16/Inputs!$B$22)</f>
        <v>4602676.86666667</v>
      </c>
      <c r="C8" s="12" t="n">
        <f aca="false">MIN(Inputs!$B$20*Underwriting!$B$14/$A8,Underwriting!$B$16/Inputs!$B$21/12/(-PMT(C$3/12,Inputs!$B$19*12,1)),Underwriting!$B$16/Inputs!$B$22)</f>
        <v>4602676.86666667</v>
      </c>
      <c r="D8" s="12" t="n">
        <f aca="false">MIN(Inputs!$B$20*Underwriting!$B$14/$A8,Underwriting!$B$16/Inputs!$B$21/12/(-PMT(D$3/12,Inputs!$B$19*12,1)),Underwriting!$B$16/Inputs!$B$22)</f>
        <v>4602676.86666667</v>
      </c>
      <c r="E8" s="12" t="n">
        <f aca="false">MIN(Inputs!$B$20*Underwriting!$B$14/$A8,Underwriting!$B$16/Inputs!$B$21/12/(-PMT(E$3/12,Inputs!$B$19*12,1)),Underwriting!$B$16/Inputs!$B$22)</f>
        <v>4602676.86666667</v>
      </c>
    </row>
    <row r="10" customFormat="false" ht="30" hidden="false" customHeight="true" outlineLevel="0" collapsed="false">
      <c r="A10" s="3" t="s">
        <v>143</v>
      </c>
    </row>
    <row r="11" customFormat="false" ht="30" hidden="false" customHeight="true" outlineLevel="0" collapsed="false">
      <c r="A11" s="3" t="s">
        <v>144</v>
      </c>
      <c r="B11" s="3" t="s">
        <v>145</v>
      </c>
      <c r="C11" s="3" t="s">
        <v>146</v>
      </c>
      <c r="D11" s="3" t="s">
        <v>147</v>
      </c>
      <c r="E11" s="3" t="s">
        <v>148</v>
      </c>
    </row>
    <row r="12" customFormat="false" ht="30" hidden="false" customHeight="true" outlineLevel="0" collapsed="false">
      <c r="A12" s="19" t="n">
        <v>-0.05</v>
      </c>
      <c r="B12" s="12" t="n">
        <f aca="false">(Inputs!$B$4*(1+$A12)*(1-Inputs!$B$5)+Inputs!$B$6*Inputs!$B$7)*(1-Inputs!$B$11)-Inputs!$B$8-Inputs!$B$9-Inputs!$B$10</f>
        <v>493232.095</v>
      </c>
      <c r="C12" s="12" t="n">
        <f aca="false">B12-Inputs!$B$12*Inputs!$B$7</f>
        <v>490232.095</v>
      </c>
      <c r="D12" s="12" t="n">
        <f aca="false">MIN(Inputs!$B$20*B12/Inputs!$B$13,C12/Inputs!$B$21/12/(-PMT(Inputs!$B$18/12,Inputs!$B$19*12,1)),C12/Inputs!$B$22)</f>
        <v>4274678.15666667</v>
      </c>
      <c r="E12" s="12" t="n">
        <f aca="false">D12*(1-Inputs!$B$23)-Inputs!$B$24-Inputs!$B$25</f>
        <v>-113068.624900001</v>
      </c>
    </row>
    <row r="13" customFormat="false" ht="30" hidden="false" customHeight="true" outlineLevel="0" collapsed="false">
      <c r="A13" s="19" t="n">
        <v>0</v>
      </c>
      <c r="B13" s="14" t="n">
        <f aca="false">(Inputs!$B$4*(1+$A13)*(1-Inputs!$B$5)+Inputs!$B$6*Inputs!$B$7)*(1-Inputs!$B$11)-Inputs!$B$8-Inputs!$B$9-Inputs!$B$10</f>
        <v>531078.1</v>
      </c>
      <c r="C13" s="14" t="n">
        <f aca="false">B13-Inputs!$B$12*Inputs!$B$7</f>
        <v>528078.1</v>
      </c>
      <c r="D13" s="14" t="n">
        <f aca="false">MIN(Inputs!$B$20*B13/Inputs!$B$13,C13/Inputs!$B$21/12/(-PMT(Inputs!$B$18/12,Inputs!$B$19*12,1)),C13/Inputs!$B$22)</f>
        <v>4602676.86666667</v>
      </c>
      <c r="E13" s="14" t="n">
        <f aca="false">D13*(1-Inputs!$B$23)-Inputs!$B$24-Inputs!$B$25</f>
        <v>211650.097999999</v>
      </c>
    </row>
    <row r="14" customFormat="false" ht="30" hidden="false" customHeight="true" outlineLevel="0" collapsed="false">
      <c r="A14" s="19" t="n">
        <v>0.05</v>
      </c>
      <c r="B14" s="12" t="n">
        <f aca="false">(Inputs!$B$4*(1+$A14)*(1-Inputs!$B$5)+Inputs!$B$6*Inputs!$B$7)*(1-Inputs!$B$11)-Inputs!$B$8-Inputs!$B$9-Inputs!$B$10</f>
        <v>568924.105</v>
      </c>
      <c r="C14" s="12" t="n">
        <f aca="false">B14-Inputs!$B$12*Inputs!$B$7</f>
        <v>565924.105</v>
      </c>
      <c r="D14" s="12" t="n">
        <f aca="false">MIN(Inputs!$B$20*B14/Inputs!$B$13,C14/Inputs!$B$21/12/(-PMT(Inputs!$B$18/12,Inputs!$B$19*12,1)),C14/Inputs!$B$22)</f>
        <v>4930675.57666667</v>
      </c>
      <c r="E14" s="12" t="n">
        <f aca="false">D14*(1-Inputs!$B$23)-Inputs!$B$24-Inputs!$B$25</f>
        <v>536368.8209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0"/>
    <col collapsed="false" customWidth="true" hidden="false" outlineLevel="0" max="4" min="4" style="0" width="40"/>
  </cols>
  <sheetData>
    <row r="1" customFormat="false" ht="30" hidden="false" customHeight="true" outlineLevel="0" collapsed="false">
      <c r="A1" s="1" t="s">
        <v>149</v>
      </c>
    </row>
    <row r="2" customFormat="false" ht="30" hidden="false" customHeight="true" outlineLevel="0" collapsed="false">
      <c r="A2" s="2" t="s">
        <v>150</v>
      </c>
    </row>
    <row r="3" customFormat="false" ht="30" hidden="false" customHeight="true" outlineLevel="0" collapsed="false">
      <c r="A3" s="3" t="s">
        <v>2</v>
      </c>
      <c r="B3" s="3" t="s">
        <v>151</v>
      </c>
      <c r="C3" s="3" t="s">
        <v>152</v>
      </c>
      <c r="D3" s="3" t="s">
        <v>153</v>
      </c>
    </row>
    <row r="4" customFormat="false" ht="30" hidden="false" customHeight="true" outlineLevel="0" collapsed="false">
      <c r="A4" s="2" t="s">
        <v>154</v>
      </c>
      <c r="B4" s="2" t="s">
        <v>155</v>
      </c>
      <c r="C4" s="2" t="s">
        <v>156</v>
      </c>
      <c r="D4" s="2" t="s">
        <v>157</v>
      </c>
    </row>
    <row r="5" customFormat="false" ht="30" hidden="false" customHeight="true" outlineLevel="0" collapsed="false">
      <c r="A5" s="2" t="s">
        <v>158</v>
      </c>
      <c r="B5" s="12" t="n">
        <v>6800</v>
      </c>
      <c r="C5" s="12" t="n">
        <v>7025</v>
      </c>
      <c r="D5" s="2" t="s">
        <v>159</v>
      </c>
    </row>
    <row r="6" customFormat="false" ht="30" hidden="false" customHeight="true" outlineLevel="0" collapsed="false">
      <c r="A6" s="2" t="s">
        <v>87</v>
      </c>
      <c r="B6" s="12" t="n">
        <v>818700</v>
      </c>
      <c r="C6" s="12" t="n">
        <f aca="false">Inputs!B4</f>
        <v>821400</v>
      </c>
      <c r="D6" s="2" t="s">
        <v>160</v>
      </c>
    </row>
    <row r="7" customFormat="false" ht="30" hidden="false" customHeight="true" outlineLevel="0" collapsed="false">
      <c r="A7" s="2" t="s">
        <v>161</v>
      </c>
      <c r="B7" s="8" t="n">
        <v>0.0675</v>
      </c>
      <c r="C7" s="8" t="n">
        <f aca="false">Inputs!B13</f>
        <v>0.075</v>
      </c>
      <c r="D7" s="2" t="s">
        <v>162</v>
      </c>
    </row>
    <row r="8" customFormat="false" ht="30" hidden="false" customHeight="true" outlineLevel="0" collapsed="false">
      <c r="A8" s="2" t="s">
        <v>163</v>
      </c>
      <c r="B8" s="8" t="n">
        <v>0.065</v>
      </c>
      <c r="C8" s="8" t="n">
        <f aca="false">Inputs!B18</f>
        <v>0.0725</v>
      </c>
      <c r="D8" s="2" t="s">
        <v>164</v>
      </c>
    </row>
    <row r="9" customFormat="false" ht="30" hidden="false" customHeight="true" outlineLevel="0" collapsed="false">
      <c r="A9" s="2" t="s">
        <v>165</v>
      </c>
      <c r="B9" s="12" t="n">
        <v>781265</v>
      </c>
      <c r="C9" s="12" t="n">
        <f aca="false">Underwriting!B7</f>
        <v>783830</v>
      </c>
      <c r="D9" s="2" t="s">
        <v>166</v>
      </c>
    </row>
    <row r="10" customFormat="false" ht="30" hidden="false" customHeight="true" outlineLevel="0" collapsed="false">
      <c r="A10" s="2" t="s">
        <v>167</v>
      </c>
      <c r="B10" s="12" t="n">
        <v>528590</v>
      </c>
      <c r="C10" s="12" t="n">
        <f aca="false">Underwriting!B14</f>
        <v>531078.1</v>
      </c>
      <c r="D10" s="2" t="s">
        <v>168</v>
      </c>
    </row>
    <row r="11" customFormat="false" ht="30" hidden="false" customHeight="true" outlineLevel="0" collapsed="false">
      <c r="A11" s="2" t="s">
        <v>146</v>
      </c>
      <c r="B11" s="12" t="n">
        <v>525590</v>
      </c>
      <c r="C11" s="12" t="n">
        <f aca="false">Underwriting!B16</f>
        <v>528078.1</v>
      </c>
      <c r="D11" s="2" t="s">
        <v>169</v>
      </c>
    </row>
    <row r="12" customFormat="false" ht="30" hidden="false" customHeight="true" outlineLevel="0" collapsed="false">
      <c r="A12" s="2" t="s">
        <v>170</v>
      </c>
      <c r="B12" s="12" t="n">
        <v>7830964</v>
      </c>
      <c r="C12" s="12" t="n">
        <f aca="false">Underwriting!B18</f>
        <v>7081041.33333333</v>
      </c>
      <c r="D12" s="2" t="s">
        <v>171</v>
      </c>
    </row>
    <row r="13" customFormat="false" ht="30" hidden="false" customHeight="true" outlineLevel="0" collapsed="false">
      <c r="A13" s="2" t="s">
        <v>172</v>
      </c>
      <c r="B13" s="12" t="n">
        <v>5090126</v>
      </c>
      <c r="C13" s="12" t="n">
        <f aca="false">Debt!B10</f>
        <v>4602676.86666667</v>
      </c>
      <c r="D13" s="2" t="s">
        <v>173</v>
      </c>
    </row>
    <row r="14" customFormat="false" ht="30" hidden="false" customHeight="true" outlineLevel="0" collapsed="false">
      <c r="A14" s="2" t="s">
        <v>148</v>
      </c>
      <c r="B14" s="12" t="n">
        <v>694225</v>
      </c>
      <c r="C14" s="12" t="n">
        <f aca="false">Debt!B28</f>
        <v>211650.097999999</v>
      </c>
      <c r="D14" s="2" t="s">
        <v>174</v>
      </c>
    </row>
    <row r="15" customFormat="false" ht="30" hidden="false" customHeight="true" outlineLevel="0" collapsed="false">
      <c r="A15" s="2" t="s">
        <v>175</v>
      </c>
      <c r="B15" s="2" t="s">
        <v>176</v>
      </c>
      <c r="C15" s="2" t="s">
        <v>176</v>
      </c>
      <c r="D15" s="2" t="s">
        <v>177</v>
      </c>
    </row>
    <row r="17" customFormat="false" ht="30" hidden="false" customHeight="true" outlineLevel="0" collapsed="false">
      <c r="A17" s="2" t="s">
        <v>178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56"/>
  </cols>
  <sheetData>
    <row r="1" customFormat="false" ht="30" hidden="false" customHeight="true" outlineLevel="0" collapsed="false">
      <c r="A1" s="1" t="s">
        <v>179</v>
      </c>
    </row>
    <row r="3" customFormat="false" ht="30" hidden="false" customHeight="true" outlineLevel="0" collapsed="false">
      <c r="A3" s="3" t="s">
        <v>180</v>
      </c>
      <c r="B3" s="3" t="s">
        <v>181</v>
      </c>
      <c r="C3" s="3" t="s">
        <v>182</v>
      </c>
    </row>
    <row r="4" customFormat="false" ht="30" hidden="false" customHeight="true" outlineLevel="0" collapsed="false">
      <c r="A4" s="2" t="s">
        <v>183</v>
      </c>
      <c r="B4" s="2" t="s">
        <v>184</v>
      </c>
      <c r="C4" s="2" t="s">
        <v>185</v>
      </c>
    </row>
    <row r="5" customFormat="false" ht="30" hidden="false" customHeight="true" outlineLevel="0" collapsed="false">
      <c r="A5" s="2" t="s">
        <v>186</v>
      </c>
      <c r="B5" s="2" t="s">
        <v>187</v>
      </c>
      <c r="C5" s="2" t="s">
        <v>188</v>
      </c>
    </row>
    <row r="6" customFormat="false" ht="30" hidden="false" customHeight="true" outlineLevel="0" collapsed="false">
      <c r="A6" s="2" t="s">
        <v>189</v>
      </c>
      <c r="B6" s="2" t="s">
        <v>190</v>
      </c>
      <c r="C6" s="2" t="s">
        <v>191</v>
      </c>
    </row>
    <row r="7" customFormat="false" ht="30" hidden="false" customHeight="true" outlineLevel="0" collapsed="false">
      <c r="A7" s="2" t="s">
        <v>192</v>
      </c>
      <c r="B7" s="2" t="s">
        <v>190</v>
      </c>
      <c r="C7" s="2" t="s">
        <v>193</v>
      </c>
    </row>
    <row r="8" customFormat="false" ht="30" hidden="false" customHeight="true" outlineLevel="0" collapsed="false">
      <c r="A8" s="2" t="s">
        <v>194</v>
      </c>
      <c r="B8" s="2" t="s">
        <v>187</v>
      </c>
      <c r="C8" s="2" t="s">
        <v>195</v>
      </c>
    </row>
    <row r="9" customFormat="false" ht="30" hidden="false" customHeight="true" outlineLevel="0" collapsed="false">
      <c r="A9" s="2" t="s">
        <v>196</v>
      </c>
      <c r="B9" s="2" t="s">
        <v>187</v>
      </c>
      <c r="C9" s="2" t="s">
        <v>197</v>
      </c>
    </row>
    <row r="10" customFormat="false" ht="30" hidden="false" customHeight="true" outlineLevel="0" collapsed="false">
      <c r="A10" s="2" t="s">
        <v>198</v>
      </c>
      <c r="B10" s="2" t="s">
        <v>187</v>
      </c>
      <c r="C10" s="2" t="s">
        <v>199</v>
      </c>
    </row>
    <row r="11" customFormat="false" ht="30" hidden="false" customHeight="true" outlineLevel="0" collapsed="false">
      <c r="A11" s="2" t="s">
        <v>200</v>
      </c>
      <c r="B11" s="2" t="s">
        <v>187</v>
      </c>
      <c r="C11" s="2" t="s">
        <v>201</v>
      </c>
    </row>
    <row r="12" customFormat="false" ht="30" hidden="false" customHeight="true" outlineLevel="0" collapsed="false">
      <c r="A12" s="2" t="s">
        <v>202</v>
      </c>
      <c r="B12" s="2" t="s">
        <v>187</v>
      </c>
      <c r="C12" s="2" t="s">
        <v>203</v>
      </c>
    </row>
    <row r="13" customFormat="false" ht="30" hidden="false" customHeight="true" outlineLevel="0" collapsed="false">
      <c r="A13" s="2" t="s">
        <v>204</v>
      </c>
      <c r="B13" s="2" t="s">
        <v>187</v>
      </c>
      <c r="C13" s="2" t="s">
        <v>205</v>
      </c>
    </row>
    <row r="14" customFormat="false" ht="30" hidden="false" customHeight="true" outlineLevel="0" collapsed="false">
      <c r="A14" s="2" t="s">
        <v>206</v>
      </c>
      <c r="B14" s="2" t="s">
        <v>187</v>
      </c>
      <c r="C14" s="2" t="s">
        <v>207</v>
      </c>
    </row>
    <row r="16" customFormat="false" ht="30" hidden="false" customHeight="true" outlineLevel="0" collapsed="false">
      <c r="A16" s="2" t="s">
        <v>208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2026-09-07T13:49:45Z</dcterms:created>
  <dc:creator>openpyxl</dc:creator>
  <dc:description/>
  <dc:language>en-US</dc:language>
  <cp:lastModifiedBy/>
  <dcterms:modified xsi:type="dcterms:W3CDTF">2026-09-07T14:06:42Z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