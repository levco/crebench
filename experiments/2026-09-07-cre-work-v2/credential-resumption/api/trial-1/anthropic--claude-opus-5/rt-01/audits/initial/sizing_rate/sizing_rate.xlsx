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<sst xmlns="http://schemas.openxmlformats.org/spreadsheetml/2006/main" count="222" uniqueCount="163">
  <si>
    <t xml:space="preserve">Maple Crossing — Underwriting Inputs (as of 2026-08-31)</t>
  </si>
  <si>
    <t xml:space="preserve">Original fictional evaluation material. No real transaction.</t>
  </si>
  <si>
    <t xml:space="preserve">Item</t>
  </si>
  <si>
    <t xml:space="preserve">Value</t>
  </si>
  <si>
    <t xml:space="preserve">Source</t>
  </si>
  <si>
    <t xml:space="preserve">Gross potential rent (annual, all suites)</t>
  </si>
  <si>
    <t xml:space="preserve">rent-roll-certified.xlsx E5:E14 x 12 (pre-amendment); underwriting-instructions.pdf p1</t>
  </si>
  <si>
    <t xml:space="preserve">Economic loss (vacancy/credit)</t>
  </si>
  <si>
    <t xml:space="preserve">underwriting-instructions.pdf p1</t>
  </si>
  <si>
    <t xml:space="preserve">Other income per suite (annual)</t>
  </si>
  <si>
    <t xml:space="preserve">Suite count</t>
  </si>
  <si>
    <t xml:space="preserve">rent-roll-certified.xlsx A5:A14</t>
  </si>
  <si>
    <t xml:space="preserve">Real estate taxes</t>
  </si>
  <si>
    <t xml:space="preserve">underwriting-instructions.pdf p1; operating-statement.pdf p1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</si>
  <si>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</si>
  <si>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</si>
  <si>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</si>
  <si>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</si>
  <si>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Capitalization rate</t>
  </si>
  <si>
    <t xml:space="preserve">Note rate</t>
  </si>
  <si>
    <t xml:space="preserve">Underwriting rate floor</t>
  </si>
  <si>
    <t xml:space="preserve">Sizing rate (greater of note / floor)</t>
  </si>
  <si>
    <t xml:space="preserve">Size on greater rate even though 24 months IO</t>
  </si>
  <si>
    <t xml:space="preserve">Amortization (years, monthly pay)</t>
  </si>
  <si>
    <t xml:space="preserve">Maximum LTV</t>
  </si>
  <si>
    <t xml:space="preserve">Minimum DSCR (on NCF)</t>
  </si>
  <si>
    <t xml:space="preserve">Minimum NCF debt yield</t>
  </si>
  <si>
    <t xml:space="preserve">Origination fee (% of loan)</t>
  </si>
  <si>
    <t xml:space="preserve">Closing costs</t>
  </si>
  <si>
    <t xml:space="preserve">Existing loan payoff</t>
  </si>
  <si>
    <t xml:space="preserve">Suite 001 signed amendment — monthly rent increase</t>
  </si>
  <si>
    <t xml:space="preserve">lease-correspondence.pdf p1 (executed 2026-07-20, effective 2026-08-01)</t>
  </si>
  <si>
    <t xml:space="preserve">Certified Rent Roll — as of 2026-08-31 (controlling)</t>
  </si>
  <si>
    <t xml:space="preserve">Source: rent-roll-certified.xlsx, Rent Roll A5:F14. Archive roll dated 2026-06-30 is stale and superseded.</t>
  </si>
  <si>
    <t xml:space="preserve">Suite</t>
  </si>
  <si>
    <t xml:space="preserve">Unit type</t>
  </si>
  <si>
    <t xml:space="preserve">Group</t>
  </si>
  <si>
    <t xml:space="preserve">Possession</t>
  </si>
  <si>
    <t xml:space="preserve">Area SF</t>
  </si>
  <si>
    <t xml:space="preserve">Roll monthly rent</t>
  </si>
  <si>
    <t xml:space="preserve">In-place 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</si>
  <si>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</si>
  <si>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</si>
  <si>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</si>
  <si>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</si>
  <si>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</si>
  <si>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</si>
  <si>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</si>
  <si>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</si>
  <si>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</si>
  <si>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</si>
  <si>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</si>
  <si>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</si>
  <si>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</si>
  <si>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</si>
  <si>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</si>
  <si>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</si>
  <si>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</si>
  <si>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</si>
  <si>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</si>
  <si>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</si>
  <si>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metrics</t>
  </si>
  <si>
    <t xml:space="preserve">Total suites</t>
  </si>
  <si>
    <t xml:space="preserve">Occupied (possession taken) suites</t>
  </si>
  <si>
    <t xml:space="preserve">Pending (leased, no possession) suites</t>
  </si>
  <si>
    <t xml:space="preserve">Vacant suites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</si>
  <si>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</si>
  <si>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</si>
  <si>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</si>
  <si>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</si>
  <si>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(occupied, post-amendment)</t>
  </si>
  <si>
    <t xml:space="preserve">Gross potential rent check (all suites, roll rent x 12)</t>
  </si>
  <si>
    <t xml:space="preserve">Tie to Inputs!B4 (0 = tie)</t>
  </si>
  <si>
    <t xml:space="preserve">Group A (Small) suites / occupied</t>
  </si>
  <si>
    <t xml:space="preserve">Group B (Standard) suites / occupied</t>
  </si>
  <si>
    <t xml:space="preserve">Group C (Large) suites / occupied</t>
  </si>
  <si>
    <t xml:space="preserve">Manager headline: 9 of 10 leased (occupied plus pending). Certified roll shows 9 active and 1 vacant; no pending-possession suite is present, so the headline equals physical occupancy.</t>
  </si>
  <si>
    <t xml:space="preserve">Underwritten Cash Flow and Capitalized Value</t>
  </si>
  <si>
    <t xml:space="preserve">Line</t>
  </si>
  <si>
    <t xml:space="preserve">Amount (USD)</t>
  </si>
  <si>
    <t xml:space="preserve">Basis</t>
  </si>
  <si>
    <t xml:space="preserve">Gross potential rent</t>
  </si>
  <si>
    <t xml:space="preserve">Certified roll scheduled rent x 12, pre-amendment</t>
  </si>
  <si>
    <t xml:space="preserve">Economic loss (5%)</t>
  </si>
  <si>
    <t xml:space="preserve">Prescribed stabilized assumption</t>
  </si>
  <si>
    <t xml:space="preserve">Other income ($350 per suite)</t>
  </si>
  <si>
    <t xml:space="preserve">Reimbursements already included; not double counted</t>
  </si>
  <si>
    <t xml:space="preserve">Underwritten EGI</t>
  </si>
  <si>
    <t xml:space="preserve">Insurance</t>
  </si>
  <si>
    <t xml:space="preserve">Management fee (3% of EGI)</t>
  </si>
  <si>
    <t xml:space="preserve">Total operating expenses (before reserves)</t>
  </si>
  <si>
    <t xml:space="preserve">Underwritten NOI (before reserves)</t>
  </si>
  <si>
    <t xml:space="preserve">Replacement reserves ($300 per suite)</t>
  </si>
  <si>
    <t xml:space="preserve">Underwritten NCF (after reserves)</t>
  </si>
  <si>
    <t xml:space="preserve">Capitalization value (NOI before reserves / cap rate)</t>
  </si>
  <si>
    <t xml:space="preserve">Operating expense ratio (of EGI)</t>
  </si>
  <si>
    <t xml:space="preserve">Historical comparison</t>
  </si>
  <si>
    <t xml:space="preserve">T12 rental and ancillary collections</t>
  </si>
  <si>
    <t xml:space="preserve">operating-statement.pdf p1</t>
  </si>
  <si>
    <t xml:space="preserve">Reported T12 NOI (cash, before reserves/management)</t>
  </si>
  <si>
    <t xml:space="preserve">Roof replacement booked in repairs (capital in opex)</t>
  </si>
  <si>
    <t xml:space="preserve">operating-statement.pdf p1: capital item, $0 in ledger</t>
  </si>
  <si>
    <t xml:space="preserve">UW NOI less reported T12 NOI</t>
  </si>
  <si>
    <t xml:space="preserve">Reported T12 NOI excludes a management fee and reserves and reflects actual collections; UW NOI applies the prescribed stabilized gross potential, 5% loss and $350/suite other income.</t>
  </si>
  <si>
    <t xml:space="preserve">Debt Sizing and Sources &amp; Uses</t>
  </si>
  <si>
    <t xml:space="preserve">Note</t>
  </si>
  <si>
    <t xml:space="preserve">Sizing rate (greater of note 6.50% / floor 6.00%)</t>
  </si>
  <si>
    <t xml:space="preserve">Monthly payment factor per $1 of loan</t>
  </si>
  <si>
    <t xml:space="preserve">30-yr amortization, monthly; sized on amortizing payment despite 24-month IO</t>
  </si>
  <si>
    <t xml:space="preserve">LTV limit (65% of capitalized value)</t>
  </si>
  <si>
    <t xml:space="preserve">Maximum annual debt service at 1.25x NCF</t>
  </si>
  <si>
    <t xml:space="preserve">DSCR limit loan</t>
  </si>
  <si>
    <t xml:space="preserve">Debt yield limit loan (NCF / 9%)</t>
  </si>
  <si>
    <t xml:space="preserve">Maximum loan (lesser of tests)</t>
  </si>
  <si>
    <t xml:space="preserve">Binding constraint</t>
  </si>
  <si>
    <t xml:space="preserve">Metrics at maximum loan</t>
  </si>
  <si>
    <t xml:space="preserve">Annual debt service</t>
  </si>
  <si>
    <t xml:space="preserve">NCF DSCR</t>
  </si>
  <si>
    <t xml:space="preserve">NCF debt yield</t>
  </si>
  <si>
    <t xml:space="preserve">LTV on capitalized value</t>
  </si>
  <si>
    <t xml:space="preserve">Sources</t>
  </si>
  <si>
    <t xml:space="preserve">Loan proceeds</t>
  </si>
  <si>
    <t xml:space="preserve">Total sources</t>
  </si>
  <si>
    <t xml:space="preserve">Uses</t>
  </si>
  <si>
    <t xml:space="preserve">Origination fee (1%)</t>
  </si>
  <si>
    <t xml:space="preserve">Subtotal uses</t>
  </si>
  <si>
    <t xml:space="preserve">Net cash-out to sponsor (negative = equity required)</t>
  </si>
  <si>
    <t xml:space="preserve">Total uses including net cash-out</t>
  </si>
  <si>
    <t xml:space="preserve">Refinance test: proceeds cover payoff and costs when net cash-out is positive.</t>
  </si>
  <si>
    <t xml:space="preserve">Maximum Loan Sensitivity — cap rate (rows) vs sizing rate (columns)</t>
  </si>
  <si>
    <t xml:space="preserve">Each cell = MIN(LTV limit, DSCR limit, debt yield limit) using UW NOI and NCF held constant.</t>
  </si>
  <si>
    <t xml:space="preserve">Cap rate \ Sizing rate</t>
  </si>
  <si>
    <t xml:space="preserve">GPR sensitivity (cap rate 6.7500%, sizing rate 6.5000%)</t>
  </si>
  <si>
    <t xml:space="preserve">GPR change</t>
  </si>
  <si>
    <t xml:space="preserve">UW NOI</t>
  </si>
  <si>
    <t xml:space="preserve">UW NCF</t>
  </si>
  <si>
    <t xml:space="preserve">Max loan</t>
  </si>
  <si>
    <t xml:space="preserve">Source Register</t>
  </si>
  <si>
    <t xml:space="preserve">Document</t>
  </si>
  <si>
    <t xml:space="preserve">Location</t>
  </si>
  <si>
    <t xml:space="preserve">Fact used / treatment</t>
  </si>
  <si>
    <t xml:space="preserve">rent-roll-certified.xlsx</t>
  </si>
  <si>
    <t xml:space="preserve">Rent Roll A2, A5:F14</t>
  </si>
  <si>
    <t xml:space="preserve">Controlling roll as of 2026-08-31: 10 suites, 9 active, 1 vacant, 32,150 SF, scheduled rent $68,225/mo</t>
  </si>
  <si>
    <t xml:space="preserve">rent-roll-archive.xlsx</t>
  </si>
  <si>
    <t xml:space="preserve">Rent Roll A2, E5:E14</t>
  </si>
  <si>
    <t xml:space="preserve">Stale roll dated 2026-06-30 with lower rents; excluded from underwriting (conflict resolved by date)</t>
  </si>
  <si>
    <t xml:space="preserve">manager-cover.pdf</t>
  </si>
  <si>
    <t xml:space="preserve">p1</t>
  </si>
  <si>
    <t xml:space="preserve">Headline 9 of 10 leased counts occupied plus pending; certified detail controls occupancy; A/B/C = Small/Standard/Large</t>
  </si>
  <si>
    <t xml:space="preserve">underwriting-instructions.pdf</t>
  </si>
  <si>
    <t xml:space="preserve">All underwriting conventions: 5% loss, $350/suite other income, expense inputs, 6.75% cap, 65% LTV, 1.25x, 9% DY, 6.50% note vs 6.00% floor, fees, payoff</t>
  </si>
  <si>
    <t xml:space="preserve">operating-statement.pdf</t>
  </si>
  <si>
    <t xml:space="preserve">T12 9/1/2025-8/31/2026: collections $736,830; tax $85,964; insurance $28,655; other $114,618; roof in repairs $0; reported NOI $507,593</t>
  </si>
  <si>
    <t xml:space="preserve">lease-001.pdf</t>
  </si>
  <si>
    <t xml:space="preserve">Suite 001 executed lease $6,650/mo, 3,080 SF, expiry 2029-08-31, deposit $13,300, no free rent</t>
  </si>
  <si>
    <t xml:space="preserve">lease-correspondence.pdf</t>
  </si>
  <si>
    <t xml:space="preserve">Signed amendment executed 2026-07-20, effective 2026-08-01: +$350/mo -&gt; Suite 001 in-place $7,000</t>
  </si>
  <si>
    <t xml:space="preserve">insurance.pdf</t>
  </si>
  <si>
    <t xml:space="preserve">GL aggregate limit $2,000,000; term 7/1/2026-6/30/2027; distinct from insurance expense</t>
  </si>
  <si>
    <t xml:space="preserve">diligence-status.pdf</t>
  </si>
  <si>
    <t xml:space="preserve">Legal, environmental, PCA and title reviews outstanding; no defect findings asserted</t>
  </si>
  <si>
    <t xml:space="preserve">Not supplied (explicitly unknown): photos, asking price, market sales/rent comps, sponsor history, tenant credit, appraisal, T12 by month, capital plan.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</si>
</sst>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30" hidden="false" customHeight="true" outlineLevel="0" collapsed="false">
      <c r="A4" s="2" t="s">
        <v>5</v>
      </c>
      <c r="B4" s="4" t="n">
        <v>818700</v>
      </c>
      <c r="C4" s="2" t="s">
        <v>6</v>
      </c>
    </row>
    <row r="5" customFormat="false" ht="30" hidden="false" customHeight="true" outlineLevel="0" collapsed="false">
      <c r="A5" s="2" t="s">
        <v>7</v>
      </c>
      <c r="B5" s="5" t="n">
        <v>0.05</v>
      </c>
      <c r="C5" s="2" t="s">
        <v>8</v>
      </c>
    </row>
    <row r="6" customFormat="false" ht="30" hidden="false" customHeight="true" outlineLevel="0" collapsed="false">
      <c r="A6" s="2" t="s">
        <v>9</v>
      </c>
      <c r="B6" s="4" t="n">
        <v>350</v>
      </c>
      <c r="C6" s="2" t="s">
        <v>8</v>
      </c>
    </row>
    <row r="7" customFormat="false" ht="30" hidden="false" customHeight="true" outlineLevel="0" collapsed="false">
      <c r="A7" s="2" t="s">
        <v>10</v>
      </c>
      <c r="B7" s="6" t="n">
        <v>10</v>
      </c>
      <c r="C7" s="2" t="s">
        <v>11</v>
      </c>
    </row>
    <row r="8" customFormat="false" ht="30" hidden="false" customHeight="true" outlineLevel="0" collapsed="false">
      <c r="A8" s="2" t="s">
        <v>12</v>
      </c>
      <c r="B8" s="4" t="n">
        <v>85964</v>
      </c>
      <c r="C8" s="2" t="s">
        <v>13</v>
      </c>
    </row>
    <row r="9" customFormat="false" ht="30" hidden="false" customHeight="true" outlineLevel="0" collapsed="false">
      <c r="A9" s="2" t="s">
        <v>14</v>
      </c>
      <c r="B9" s="4" t="n">
        <v>28655</v>
      </c>
      <c r="C9" s="2" t="s">
        <v>13</v>
      </c>
    </row>
    <row r="10" customFormat="false" ht="30" hidden="false" customHeight="true" outlineLevel="0" collapsed="false">
      <c r="A10" s="2" t="s">
        <v>15</v>
      </c>
      <c r="B10" s="4" t="n">
        <v>114618</v>
      </c>
      <c r="C10" s="2" t="s">
        <v>13</v>
      </c>
    </row>
    <row r="11" customFormat="false" ht="30" hidden="false" customHeight="true" outlineLevel="0" collapsed="false">
      <c r="A11" s="2" t="s">
        <v>16</v>
      </c>
      <c r="B11" s="5" t="n">
        <v>0.03</v>
      </c>
      <c r="C11" s="2" t="s">
        <v>8</v>
      </c>
    </row>
    <row r="12" customFormat="false" ht="30" hidden="false" customHeight="true" outlineLevel="0" collapsed="false">
      <c r="A12" s="2" t="s">
        <v>17</v>
      </c>
      <c r="B12" s="4" t="n">
        <v>300</v>
      </c>
      <c r="C12" s="2" t="s">
        <v>8</v>
      </c>
    </row>
    <row r="13" customFormat="false" ht="30" hidden="false" customHeight="true" outlineLevel="0" collapsed="false">
      <c r="A13" s="2" t="s">
        <v>18</v>
      </c>
      <c r="B13" s="7" t="n">
        <v>0.0675</v>
      </c>
      <c r="C13" s="2" t="s">
        <v>8</v>
      </c>
    </row>
    <row r="14" customFormat="false" ht="30" hidden="false" customHeight="true" outlineLevel="0" collapsed="false">
      <c r="A14" s="2" t="s">
        <v>19</v>
      </c>
      <c r="B14" s="7" t="n">
        <v>0.065</v>
      </c>
      <c r="C14" s="2" t="s">
        <v>8</v>
      </c>
    </row>
    <row r="15" customFormat="false" ht="30" hidden="false" customHeight="true" outlineLevel="0" collapsed="false">
      <c r="A15" s="2" t="s">
        <v>20</v>
      </c>
      <c r="B15" s="7" t="n">
        <v>0.06</v>
      </c>
      <c r="C15" s="2" t="s">
        <v>8</v>
      </c>
    </row>
    <row r="16" customFormat="false" ht="30" hidden="false" customHeight="true" outlineLevel="0" collapsed="false">
      <c r="A16" s="8" t="s">
        <v>21</v>
      </c>
      <c r="B16" s="9" t="n">
        <v>0.075</v>
      </c>
      <c r="C16" s="2" t="s">
        <v>22</v>
      </c>
    </row>
    <row r="17" customFormat="false" ht="30" hidden="false" customHeight="true" outlineLevel="0" collapsed="false">
      <c r="A17" s="2" t="s">
        <v>23</v>
      </c>
      <c r="B17" s="6" t="n">
        <v>30</v>
      </c>
      <c r="C17" s="2" t="s">
        <v>8</v>
      </c>
    </row>
    <row r="18" customFormat="false" ht="30" hidden="false" customHeight="true" outlineLevel="0" collapsed="false">
      <c r="A18" s="2" t="s">
        <v>24</v>
      </c>
      <c r="B18" s="5" t="n">
        <v>0.65</v>
      </c>
      <c r="C18" s="2" t="s">
        <v>8</v>
      </c>
    </row>
    <row r="19" customFormat="false" ht="30" hidden="false" customHeight="true" outlineLevel="0" collapsed="false">
      <c r="A19" s="2" t="s">
        <v>25</v>
      </c>
      <c r="B19" s="10" t="n">
        <v>1.25</v>
      </c>
      <c r="C19" s="2" t="s">
        <v>8</v>
      </c>
    </row>
    <row r="20" customFormat="false" ht="30" hidden="false" customHeight="true" outlineLevel="0" collapsed="false">
      <c r="A20" s="2" t="s">
        <v>26</v>
      </c>
      <c r="B20" s="5" t="n">
        <v>0.09</v>
      </c>
      <c r="C20" s="2" t="s">
        <v>8</v>
      </c>
    </row>
    <row r="21" customFormat="false" ht="30" hidden="false" customHeight="true" outlineLevel="0" collapsed="false">
      <c r="A21" s="2" t="s">
        <v>27</v>
      </c>
      <c r="B21" s="5" t="n">
        <v>0.01</v>
      </c>
      <c r="C21" s="2" t="s">
        <v>8</v>
      </c>
    </row>
    <row r="22" customFormat="false" ht="30" hidden="false" customHeight="true" outlineLevel="0" collapsed="false">
      <c r="A22" s="2" t="s">
        <v>28</v>
      </c>
      <c r="B22" s="4" t="n">
        <v>45000</v>
      </c>
      <c r="C22" s="2" t="s">
        <v>8</v>
      </c>
    </row>
    <row r="23" customFormat="false" ht="30" hidden="false" customHeight="true" outlineLevel="0" collapsed="false">
      <c r="A23" s="2" t="s">
        <v>29</v>
      </c>
      <c r="B23" s="4" t="n">
        <v>4300000</v>
      </c>
      <c r="C23" s="2" t="s">
        <v>8</v>
      </c>
    </row>
    <row r="24" customFormat="false" ht="30" hidden="false" customHeight="true" outlineLevel="0" collapsed="false">
      <c r="A24" s="2" t="s">
        <v>30</v>
      </c>
      <c r="B24" s="4" t="n">
        <v>350</v>
      </c>
      <c r="C24" s="2" t="s">
        <v>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7" min="5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32</v>
      </c>
    </row>
    <row r="2" customFormat="false" ht="30" hidden="false" customHeight="true" outlineLevel="0" collapsed="false">
      <c r="A2" s="2" t="s">
        <v>33</v>
      </c>
    </row>
    <row r="4" customFormat="false" ht="30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</row>
    <row r="5" customFormat="false" ht="30" hidden="false" customHeight="true" outlineLevel="0" collapsed="false">
      <c r="A5" s="2" t="s">
        <v>42</v>
      </c>
      <c r="B5" s="2" t="s">
        <v>43</v>
      </c>
      <c r="C5" s="2" t="s">
        <v>44</v>
      </c>
      <c r="D5" s="2" t="s">
        <v>45</v>
      </c>
      <c r="E5" s="11" t="n">
        <v>3080</v>
      </c>
      <c r="F5" s="11" t="n">
        <v>6650</v>
      </c>
      <c r="G5" s="11" t="n">
        <f aca="false">F5+Inputs!$B$24</f>
        <v>7000</v>
      </c>
      <c r="H5" s="2" t="s">
        <v>46</v>
      </c>
    </row>
    <row r="6" customFormat="false" ht="30" hidden="false" customHeight="true" outlineLevel="0" collapsed="false">
      <c r="A6" s="2" t="s">
        <v>47</v>
      </c>
      <c r="B6" s="2" t="s">
        <v>48</v>
      </c>
      <c r="C6" s="2" t="s">
        <v>49</v>
      </c>
      <c r="D6" s="2" t="s">
        <v>45</v>
      </c>
      <c r="E6" s="11" t="n">
        <v>3200</v>
      </c>
      <c r="F6" s="11" t="n">
        <v>6800</v>
      </c>
      <c r="G6" s="11" t="n">
        <f aca="false">F6</f>
        <v>6800</v>
      </c>
      <c r="H6" s="2" t="s">
        <v>46</v>
      </c>
    </row>
    <row r="7" customFormat="false" ht="30" hidden="false" customHeight="true" outlineLevel="0" collapsed="false">
      <c r="A7" s="2" t="s">
        <v>50</v>
      </c>
      <c r="B7" s="2" t="s">
        <v>51</v>
      </c>
      <c r="C7" s="2" t="s">
        <v>52</v>
      </c>
      <c r="D7" s="2" t="s">
        <v>45</v>
      </c>
      <c r="E7" s="11" t="n">
        <v>3410</v>
      </c>
      <c r="F7" s="11" t="n">
        <v>7075</v>
      </c>
      <c r="G7" s="11" t="n">
        <f aca="false">F7</f>
        <v>7075</v>
      </c>
      <c r="H7" s="2" t="s">
        <v>46</v>
      </c>
    </row>
    <row r="8" customFormat="false" ht="30" hidden="false" customHeight="true" outlineLevel="0" collapsed="false">
      <c r="A8" s="2" t="s">
        <v>53</v>
      </c>
      <c r="B8" s="2" t="s">
        <v>43</v>
      </c>
      <c r="C8" s="2" t="s">
        <v>44</v>
      </c>
      <c r="D8" s="2" t="s">
        <v>45</v>
      </c>
      <c r="E8" s="11" t="n">
        <v>3080</v>
      </c>
      <c r="F8" s="11" t="n">
        <v>6650</v>
      </c>
      <c r="G8" s="11" t="n">
        <f aca="false">F8</f>
        <v>6650</v>
      </c>
      <c r="H8" s="2" t="s">
        <v>46</v>
      </c>
    </row>
    <row r="9" customFormat="false" ht="30" hidden="false" customHeight="true" outlineLevel="0" collapsed="false">
      <c r="A9" s="2" t="s">
        <v>54</v>
      </c>
      <c r="B9" s="2" t="s">
        <v>48</v>
      </c>
      <c r="C9" s="2" t="s">
        <v>49</v>
      </c>
      <c r="D9" s="2" t="s">
        <v>45</v>
      </c>
      <c r="E9" s="11" t="n">
        <v>3200</v>
      </c>
      <c r="F9" s="11" t="n">
        <v>6800</v>
      </c>
      <c r="G9" s="11" t="n">
        <f aca="false">F9</f>
        <v>6800</v>
      </c>
      <c r="H9" s="2" t="s">
        <v>46</v>
      </c>
    </row>
    <row r="10" customFormat="false" ht="30" hidden="false" customHeight="true" outlineLevel="0" collapsed="false">
      <c r="A10" s="2" t="s">
        <v>55</v>
      </c>
      <c r="B10" s="2" t="s">
        <v>51</v>
      </c>
      <c r="C10" s="2" t="s">
        <v>52</v>
      </c>
      <c r="D10" s="2" t="s">
        <v>45</v>
      </c>
      <c r="E10" s="11" t="n">
        <v>3410</v>
      </c>
      <c r="F10" s="11" t="n">
        <v>7075</v>
      </c>
      <c r="G10" s="11" t="n">
        <f aca="false">F10</f>
        <v>7075</v>
      </c>
      <c r="H10" s="2" t="s">
        <v>46</v>
      </c>
    </row>
    <row r="11" customFormat="false" ht="30" hidden="false" customHeight="true" outlineLevel="0" collapsed="false">
      <c r="A11" s="2" t="s">
        <v>56</v>
      </c>
      <c r="B11" s="2" t="s">
        <v>43</v>
      </c>
      <c r="C11" s="2" t="s">
        <v>44</v>
      </c>
      <c r="D11" s="2" t="s">
        <v>45</v>
      </c>
      <c r="E11" s="11" t="n">
        <v>3080</v>
      </c>
      <c r="F11" s="11" t="n">
        <v>6650</v>
      </c>
      <c r="G11" s="11" t="n">
        <f aca="false">F11</f>
        <v>6650</v>
      </c>
      <c r="H11" s="2" t="s">
        <v>46</v>
      </c>
    </row>
    <row r="12" customFormat="false" ht="30" hidden="false" customHeight="true" outlineLevel="0" collapsed="false">
      <c r="A12" s="2" t="s">
        <v>57</v>
      </c>
      <c r="B12" s="2" t="s">
        <v>48</v>
      </c>
      <c r="C12" s="2" t="s">
        <v>49</v>
      </c>
      <c r="D12" s="2" t="s">
        <v>45</v>
      </c>
      <c r="E12" s="11" t="n">
        <v>3200</v>
      </c>
      <c r="F12" s="11" t="n">
        <v>6800</v>
      </c>
      <c r="G12" s="11" t="n">
        <f aca="false">F12</f>
        <v>6800</v>
      </c>
      <c r="H12" s="2" t="s">
        <v>46</v>
      </c>
    </row>
    <row r="13" customFormat="false" ht="30" hidden="false" customHeight="true" outlineLevel="0" collapsed="false">
      <c r="A13" s="2" t="s">
        <v>58</v>
      </c>
      <c r="B13" s="2" t="s">
        <v>51</v>
      </c>
      <c r="C13" s="2" t="s">
        <v>52</v>
      </c>
      <c r="D13" s="2" t="s">
        <v>45</v>
      </c>
      <c r="E13" s="11" t="n">
        <v>3410</v>
      </c>
      <c r="F13" s="11" t="n">
        <v>7075</v>
      </c>
      <c r="G13" s="11" t="n">
        <f aca="false">F13</f>
        <v>7075</v>
      </c>
      <c r="H13" s="2" t="s">
        <v>46</v>
      </c>
    </row>
    <row r="14" customFormat="false" ht="30" hidden="false" customHeight="true" outlineLevel="0" collapsed="false">
      <c r="A14" s="2" t="s">
        <v>59</v>
      </c>
      <c r="B14" s="2" t="s">
        <v>43</v>
      </c>
      <c r="C14" s="2" t="s">
        <v>44</v>
      </c>
      <c r="D14" s="2" t="s">
        <v>60</v>
      </c>
      <c r="E14" s="11" t="n">
        <v>3080</v>
      </c>
      <c r="F14" s="11" t="n">
        <v>6650</v>
      </c>
      <c r="G14" s="11" t="n">
        <v>0</v>
      </c>
      <c r="H14" s="2" t="s">
        <v>46</v>
      </c>
    </row>
    <row r="16" customFormat="false" ht="30" hidden="false" customHeight="true" outlineLevel="0" collapsed="false">
      <c r="A16" s="3" t="s">
        <v>61</v>
      </c>
    </row>
    <row r="17" customFormat="false" ht="30" hidden="false" customHeight="true" outlineLevel="0" collapsed="false">
      <c r="A17" s="2" t="s">
        <v>62</v>
      </c>
      <c r="B17" s="12" t="n">
        <f aca="false">COUNTA(A5:A14)</f>
        <v>10</v>
      </c>
    </row>
    <row r="18" customFormat="false" ht="30" hidden="false" customHeight="true" outlineLevel="0" collapsed="false">
      <c r="A18" s="2" t="s">
        <v>63</v>
      </c>
      <c r="B18" s="12" t="n">
        <f aca="false">COUNTIF(D5:D14,"active")</f>
        <v>9</v>
      </c>
    </row>
    <row r="19" customFormat="false" ht="30" hidden="false" customHeight="true" outlineLevel="0" collapsed="false">
      <c r="A19" s="2" t="s">
        <v>64</v>
      </c>
      <c r="B19" s="12" t="n">
        <f aca="false">COUNTIF(D5:D14,"pending")</f>
        <v>0</v>
      </c>
    </row>
    <row r="20" customFormat="false" ht="30" hidden="false" customHeight="true" outlineLevel="0" collapsed="false">
      <c r="A20" s="2" t="s">
        <v>65</v>
      </c>
      <c r="B20" s="12" t="n">
        <f aca="false">COUNTIF(D5:D14,"vacant")</f>
        <v>1</v>
      </c>
    </row>
    <row r="21" customFormat="false" ht="30" hidden="false" customHeight="true" outlineLevel="0" collapsed="false">
      <c r="A21" s="2" t="s">
        <v>66</v>
      </c>
      <c r="B21" s="13" t="n">
        <f aca="false">SUM(E5:E14)</f>
        <v>32150</v>
      </c>
    </row>
    <row r="22" customFormat="false" ht="30" hidden="false" customHeight="true" outlineLevel="0" collapsed="false">
      <c r="A22" s="2" t="s">
        <v>67</v>
      </c>
      <c r="B22" s="13" t="n">
        <f aca="false">SUMIF(D5:D14,"active",E5:E14)</f>
        <v>29070</v>
      </c>
    </row>
    <row r="23" customFormat="false" ht="30" hidden="false" customHeight="true" outlineLevel="0" collapsed="false">
      <c r="A23" s="2" t="s">
        <v>68</v>
      </c>
      <c r="B23" s="14" t="n">
        <f aca="false">B18/B17</f>
        <v>0.9</v>
      </c>
    </row>
    <row r="24" customFormat="false" ht="30" hidden="false" customHeight="true" outlineLevel="0" collapsed="false">
      <c r="A24" s="2" t="s">
        <v>69</v>
      </c>
      <c r="B24" s="14" t="n">
        <f aca="false">B22/B21</f>
        <v>0.904199066874028</v>
      </c>
    </row>
    <row r="25" customFormat="false" ht="30" hidden="false" customHeight="true" outlineLevel="0" collapsed="false">
      <c r="A25" s="2" t="s">
        <v>70</v>
      </c>
      <c r="B25" s="13" t="n">
        <f aca="false">SUM(G5:G14)*12</f>
        <v>743100</v>
      </c>
    </row>
    <row r="26" customFormat="false" ht="30" hidden="false" customHeight="true" outlineLevel="0" collapsed="false">
      <c r="A26" s="2" t="s">
        <v>71</v>
      </c>
      <c r="B26" s="13" t="n">
        <f aca="false">SUM(F5:F14)*12</f>
        <v>818700</v>
      </c>
    </row>
    <row r="27" customFormat="false" ht="30" hidden="false" customHeight="true" outlineLevel="0" collapsed="false">
      <c r="A27" s="2" t="s">
        <v>72</v>
      </c>
      <c r="B27" s="13" t="n">
        <f aca="false">B26-Inputs!B4</f>
        <v>0</v>
      </c>
    </row>
    <row r="29" customFormat="false" ht="30" hidden="false" customHeight="true" outlineLevel="0" collapsed="false">
      <c r="A29" s="2" t="s">
        <v>73</v>
      </c>
      <c r="B29" s="12" t="n">
        <f aca="false">COUNTIF(C5:C14,"A")</f>
        <v>4</v>
      </c>
      <c r="C29" s="12" t="n">
        <f aca="false">COUNTIFS(C5:C14,"A",D5:D14,"active")</f>
        <v>3</v>
      </c>
    </row>
    <row r="30" customFormat="false" ht="30" hidden="false" customHeight="true" outlineLevel="0" collapsed="false">
      <c r="A30" s="2" t="s">
        <v>74</v>
      </c>
      <c r="B30" s="12" t="n">
        <f aca="false">COUNTIF(C5:C14,"B")</f>
        <v>3</v>
      </c>
      <c r="C30" s="12" t="n">
        <f aca="false">COUNTIFS(C5:C14,"B",D5:D14,"active")</f>
        <v>3</v>
      </c>
    </row>
    <row r="31" customFormat="false" ht="30" hidden="false" customHeight="true" outlineLevel="0" collapsed="false">
      <c r="A31" s="2" t="s">
        <v>75</v>
      </c>
      <c r="B31" s="12" t="n">
        <f aca="false">COUNTIF(C5:C14,"C")</f>
        <v>3</v>
      </c>
      <c r="C31" s="12" t="n">
        <f aca="false">COUNTIFS(C5:C14,"C",D5:D14,"active")</f>
        <v>3</v>
      </c>
    </row>
    <row r="33" customFormat="false" ht="30" hidden="false" customHeight="true" outlineLevel="0" collapsed="false">
      <c r="A33" s="2" t="s">
        <v>76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77</v>
      </c>
    </row>
    <row r="3" customFormat="false" ht="30" hidden="false" customHeight="true" outlineLevel="0" collapsed="false">
      <c r="A3" s="3" t="s">
        <v>78</v>
      </c>
      <c r="B3" s="3" t="s">
        <v>79</v>
      </c>
      <c r="C3" s="3" t="s">
        <v>80</v>
      </c>
    </row>
    <row r="4" customFormat="false" ht="30" hidden="false" customHeight="true" outlineLevel="0" collapsed="false">
      <c r="A4" s="2" t="s">
        <v>81</v>
      </c>
      <c r="B4" s="11" t="n">
        <f aca="false">Inputs!B4</f>
        <v>818700</v>
      </c>
      <c r="C4" s="2" t="s">
        <v>82</v>
      </c>
    </row>
    <row r="5" customFormat="false" ht="30" hidden="false" customHeight="true" outlineLevel="0" collapsed="false">
      <c r="A5" s="2" t="s">
        <v>83</v>
      </c>
      <c r="B5" s="11" t="n">
        <f aca="false">-B4*Inputs!B5</f>
        <v>-40935</v>
      </c>
      <c r="C5" s="2" t="s">
        <v>84</v>
      </c>
    </row>
    <row r="6" customFormat="false" ht="30" hidden="false" customHeight="true" outlineLevel="0" collapsed="false">
      <c r="A6" s="2" t="s">
        <v>85</v>
      </c>
      <c r="B6" s="11" t="n">
        <f aca="false">Inputs!B6*Inputs!B7</f>
        <v>3500</v>
      </c>
      <c r="C6" s="2" t="s">
        <v>86</v>
      </c>
    </row>
    <row r="7" customFormat="false" ht="30" hidden="false" customHeight="true" outlineLevel="0" collapsed="false">
      <c r="A7" s="8" t="s">
        <v>87</v>
      </c>
      <c r="B7" s="13" t="n">
        <f aca="false">B4+B5+B6</f>
        <v>781265</v>
      </c>
    </row>
    <row r="9" customFormat="false" ht="30" hidden="false" customHeight="true" outlineLevel="0" collapsed="false">
      <c r="A9" s="2" t="s">
        <v>12</v>
      </c>
      <c r="B9" s="11" t="n">
        <f aca="false">Inputs!B8</f>
        <v>85964</v>
      </c>
    </row>
    <row r="10" customFormat="false" ht="30" hidden="false" customHeight="true" outlineLevel="0" collapsed="false">
      <c r="A10" s="2" t="s">
        <v>88</v>
      </c>
      <c r="B10" s="11" t="n">
        <f aca="false">Inputs!B9</f>
        <v>28655</v>
      </c>
    </row>
    <row r="11" customFormat="false" ht="30" hidden="false" customHeight="true" outlineLevel="0" collapsed="false">
      <c r="A11" s="2" t="s">
        <v>15</v>
      </c>
      <c r="B11" s="11" t="n">
        <f aca="false">Inputs!B10</f>
        <v>114618</v>
      </c>
    </row>
    <row r="12" customFormat="false" ht="30" hidden="false" customHeight="true" outlineLevel="0" collapsed="false">
      <c r="A12" s="2" t="s">
        <v>89</v>
      </c>
      <c r="B12" s="11" t="n">
        <f aca="false">Inputs!B11*B7</f>
        <v>23437.95</v>
      </c>
    </row>
    <row r="13" customFormat="false" ht="30" hidden="false" customHeight="true" outlineLevel="0" collapsed="false">
      <c r="A13" s="8" t="s">
        <v>90</v>
      </c>
      <c r="B13" s="13" t="n">
        <f aca="false">SUM(B9:B12)</f>
        <v>252674.95</v>
      </c>
    </row>
    <row r="14" customFormat="false" ht="30" hidden="false" customHeight="true" outlineLevel="0" collapsed="false">
      <c r="A14" s="8" t="s">
        <v>91</v>
      </c>
      <c r="B14" s="13" t="n">
        <f aca="false">B7-B13</f>
        <v>528590.05</v>
      </c>
    </row>
    <row r="15" customFormat="false" ht="30" hidden="false" customHeight="true" outlineLevel="0" collapsed="false">
      <c r="A15" s="2" t="s">
        <v>92</v>
      </c>
      <c r="B15" s="11" t="n">
        <f aca="false">Inputs!B12*Inputs!B7</f>
        <v>3000</v>
      </c>
    </row>
    <row r="16" customFormat="false" ht="30" hidden="false" customHeight="true" outlineLevel="0" collapsed="false">
      <c r="A16" s="8" t="s">
        <v>93</v>
      </c>
      <c r="B16" s="13" t="n">
        <f aca="false">B14-B15</f>
        <v>525590.05</v>
      </c>
    </row>
    <row r="18" customFormat="false" ht="30" hidden="false" customHeight="true" outlineLevel="0" collapsed="false">
      <c r="A18" s="8" t="s">
        <v>94</v>
      </c>
      <c r="B18" s="13" t="n">
        <f aca="false">B14/Inputs!B13</f>
        <v>7830963.7037037</v>
      </c>
    </row>
    <row r="20" customFormat="false" ht="30" hidden="false" customHeight="true" outlineLevel="0" collapsed="false">
      <c r="A20" s="2" t="s">
        <v>95</v>
      </c>
      <c r="B20" s="15" t="n">
        <f aca="false">B13/B7</f>
        <v>0.323417726379654</v>
      </c>
    </row>
    <row r="22" customFormat="false" ht="30" hidden="false" customHeight="true" outlineLevel="0" collapsed="false">
      <c r="A22" s="3" t="s">
        <v>96</v>
      </c>
    </row>
    <row r="23" customFormat="false" ht="30" hidden="false" customHeight="true" outlineLevel="0" collapsed="false">
      <c r="A23" s="2" t="s">
        <v>97</v>
      </c>
      <c r="B23" s="11" t="n">
        <v>736830</v>
      </c>
      <c r="C23" s="2" t="s">
        <v>98</v>
      </c>
    </row>
    <row r="24" customFormat="false" ht="30" hidden="false" customHeight="true" outlineLevel="0" collapsed="false">
      <c r="A24" s="2" t="s">
        <v>99</v>
      </c>
      <c r="B24" s="11" t="n">
        <v>507593</v>
      </c>
      <c r="C24" s="2" t="s">
        <v>98</v>
      </c>
    </row>
    <row r="25" customFormat="false" ht="30" hidden="false" customHeight="true" outlineLevel="0" collapsed="false">
      <c r="A25" s="2" t="s">
        <v>100</v>
      </c>
      <c r="B25" s="11" t="n">
        <v>0</v>
      </c>
      <c r="C25" s="2" t="s">
        <v>101</v>
      </c>
    </row>
    <row r="26" customFormat="false" ht="30" hidden="false" customHeight="true" outlineLevel="0" collapsed="false">
      <c r="A26" s="8" t="s">
        <v>102</v>
      </c>
      <c r="B26" s="13" t="n">
        <f aca="false">B14-B24</f>
        <v>20997.05</v>
      </c>
    </row>
    <row r="27" customFormat="false" ht="30" hidden="false" customHeight="true" outlineLevel="0" collapsed="false">
      <c r="A27" s="2" t="s">
        <v>103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34"/>
  </cols>
  <sheetData>
    <row r="1" customFormat="false" ht="30" hidden="false" customHeight="true" outlineLevel="0" collapsed="false">
      <c r="A1" s="1" t="s">
        <v>104</v>
      </c>
    </row>
    <row r="3" customFormat="false" ht="30" hidden="false" customHeight="true" outlineLevel="0" collapsed="false">
      <c r="A3" s="3" t="s">
        <v>78</v>
      </c>
      <c r="B3" s="3" t="s">
        <v>3</v>
      </c>
      <c r="C3" s="3" t="s">
        <v>105</v>
      </c>
    </row>
    <row r="4" customFormat="false" ht="30" hidden="false" customHeight="true" outlineLevel="0" collapsed="false">
      <c r="A4" s="2" t="s">
        <v>106</v>
      </c>
      <c r="B4" s="16" t="n">
        <f aca="false">Inputs!B16</f>
        <v>0.075</v>
      </c>
    </row>
    <row r="5" customFormat="false" ht="30" hidden="false" customHeight="true" outlineLevel="0" collapsed="false">
      <c r="A5" s="2" t="s">
        <v>107</v>
      </c>
      <c r="B5" s="17" t="n">
        <f aca="false">-PMT(B4/12,Inputs!B17*12,1)</f>
        <v>0.00699214508552779</v>
      </c>
      <c r="C5" s="2" t="s">
        <v>108</v>
      </c>
    </row>
    <row r="6" customFormat="false" ht="30" hidden="false" customHeight="true" outlineLevel="0" collapsed="false">
      <c r="A6" s="2" t="s">
        <v>109</v>
      </c>
      <c r="B6" s="11" t="n">
        <f aca="false">Inputs!B18*Underwriting!B18</f>
        <v>5090126.40740741</v>
      </c>
    </row>
    <row r="7" customFormat="false" ht="30" hidden="false" customHeight="true" outlineLevel="0" collapsed="false">
      <c r="A7" s="2" t="s">
        <v>110</v>
      </c>
      <c r="B7" s="11" t="n">
        <f aca="false">Underwriting!B16/Inputs!B19</f>
        <v>420472.04</v>
      </c>
    </row>
    <row r="8" customFormat="false" ht="30" hidden="false" customHeight="true" outlineLevel="0" collapsed="false">
      <c r="A8" s="2" t="s">
        <v>111</v>
      </c>
      <c r="B8" s="11" t="n">
        <f aca="false">B7/12/B5</f>
        <v>5011242.79288632</v>
      </c>
    </row>
    <row r="9" customFormat="false" ht="30" hidden="false" customHeight="true" outlineLevel="0" collapsed="false">
      <c r="A9" s="2" t="s">
        <v>112</v>
      </c>
      <c r="B9" s="11" t="n">
        <f aca="false">Underwriting!B16/Inputs!B20</f>
        <v>5839889.44444445</v>
      </c>
    </row>
    <row r="10" customFormat="false" ht="30" hidden="false" customHeight="true" outlineLevel="0" collapsed="false">
      <c r="A10" s="8" t="s">
        <v>113</v>
      </c>
      <c r="B10" s="13" t="n">
        <f aca="false">MIN(B6,B8,B9)</f>
        <v>5011242.79288632</v>
      </c>
    </row>
    <row r="11" customFormat="false" ht="30" hidden="false" customHeight="true" outlineLevel="0" collapsed="false">
      <c r="A11" s="2" t="s">
        <v>114</v>
      </c>
      <c r="B11" s="2" t="str">
        <f aca="false">IF(B10=B6,"LTV",IF(B10=B8,"DSCR","Debt yield"))</f>
        <v>DSCR</v>
      </c>
    </row>
    <row r="13" customFormat="false" ht="30" hidden="false" customHeight="true" outlineLevel="0" collapsed="false">
      <c r="A13" s="3" t="s">
        <v>115</v>
      </c>
    </row>
    <row r="14" customFormat="false" ht="30" hidden="false" customHeight="true" outlineLevel="0" collapsed="false">
      <c r="A14" s="2" t="s">
        <v>116</v>
      </c>
      <c r="B14" s="11" t="n">
        <f aca="false">B10*B5*12</f>
        <v>420472.04</v>
      </c>
    </row>
    <row r="15" customFormat="false" ht="30" hidden="false" customHeight="true" outlineLevel="0" collapsed="false">
      <c r="A15" s="2" t="s">
        <v>117</v>
      </c>
      <c r="B15" s="15" t="n">
        <f aca="false">Underwriting!B16/B14</f>
        <v>1.25</v>
      </c>
    </row>
    <row r="16" customFormat="false" ht="30" hidden="false" customHeight="true" outlineLevel="0" collapsed="false">
      <c r="A16" s="2" t="s">
        <v>118</v>
      </c>
      <c r="B16" s="15" t="n">
        <f aca="false">Underwriting!B16/B10</f>
        <v>0.104882176282917</v>
      </c>
    </row>
    <row r="17" customFormat="false" ht="30" hidden="false" customHeight="true" outlineLevel="0" collapsed="false">
      <c r="A17" s="2" t="s">
        <v>119</v>
      </c>
      <c r="B17" s="15" t="n">
        <f aca="false">B10/Underwriting!B18</f>
        <v>0.639926704106191</v>
      </c>
    </row>
    <row r="19" customFormat="false" ht="30" hidden="false" customHeight="true" outlineLevel="0" collapsed="false">
      <c r="A19" s="3" t="s">
        <v>120</v>
      </c>
    </row>
    <row r="20" customFormat="false" ht="30" hidden="false" customHeight="true" outlineLevel="0" collapsed="false">
      <c r="A20" s="2" t="s">
        <v>121</v>
      </c>
      <c r="B20" s="11" t="n">
        <f aca="false">B10</f>
        <v>5011242.79288632</v>
      </c>
    </row>
    <row r="21" customFormat="false" ht="30" hidden="false" customHeight="true" outlineLevel="0" collapsed="false">
      <c r="A21" s="8" t="s">
        <v>122</v>
      </c>
      <c r="B21" s="13" t="n">
        <f aca="false">B20</f>
        <v>5011242.79288632</v>
      </c>
    </row>
    <row r="23" customFormat="false" ht="30" hidden="false" customHeight="true" outlineLevel="0" collapsed="false">
      <c r="A23" s="3" t="s">
        <v>123</v>
      </c>
    </row>
    <row r="24" customFormat="false" ht="30" hidden="false" customHeight="true" outlineLevel="0" collapsed="false">
      <c r="A24" s="2" t="s">
        <v>29</v>
      </c>
      <c r="B24" s="11" t="n">
        <f aca="false">Inputs!B23</f>
        <v>4300000</v>
      </c>
    </row>
    <row r="25" customFormat="false" ht="30" hidden="false" customHeight="true" outlineLevel="0" collapsed="false">
      <c r="A25" s="2" t="s">
        <v>124</v>
      </c>
      <c r="B25" s="11" t="n">
        <f aca="false">Inputs!B21*B10</f>
        <v>50112.4279288632</v>
      </c>
    </row>
    <row r="26" customFormat="false" ht="30" hidden="false" customHeight="true" outlineLevel="0" collapsed="false">
      <c r="A26" s="2" t="s">
        <v>28</v>
      </c>
      <c r="B26" s="11" t="n">
        <f aca="false">Inputs!B22</f>
        <v>45000</v>
      </c>
    </row>
    <row r="27" customFormat="false" ht="30" hidden="false" customHeight="true" outlineLevel="0" collapsed="false">
      <c r="A27" s="8" t="s">
        <v>125</v>
      </c>
      <c r="B27" s="13" t="n">
        <f aca="false">SUM(B24:B26)</f>
        <v>4395112.42792886</v>
      </c>
    </row>
    <row r="28" customFormat="false" ht="30" hidden="false" customHeight="true" outlineLevel="0" collapsed="false">
      <c r="A28" s="8" t="s">
        <v>126</v>
      </c>
      <c r="B28" s="13" t="n">
        <f aca="false">B21-B27</f>
        <v>616130.364957459</v>
      </c>
    </row>
    <row r="29" customFormat="false" ht="30" hidden="false" customHeight="true" outlineLevel="0" collapsed="false">
      <c r="A29" s="8" t="s">
        <v>127</v>
      </c>
      <c r="B29" s="13" t="n">
        <f aca="false">B27+B28</f>
        <v>5011242.79288632</v>
      </c>
    </row>
    <row r="31" customFormat="false" ht="30" hidden="false" customHeight="true" outlineLevel="0" collapsed="false">
      <c r="A31" s="2" t="s">
        <v>128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129</v>
      </c>
    </row>
    <row r="2" customFormat="false" ht="30" hidden="false" customHeight="true" outlineLevel="0" collapsed="false">
      <c r="A2" s="2" t="s">
        <v>130</v>
      </c>
    </row>
    <row r="3" customFormat="false" ht="30" hidden="false" customHeight="true" outlineLevel="0" collapsed="false">
      <c r="A3" s="3" t="s">
        <v>131</v>
      </c>
      <c r="B3" s="18" t="n">
        <v>0.06</v>
      </c>
      <c r="C3" s="18" t="n">
        <v>0.065</v>
      </c>
      <c r="D3" s="18" t="n">
        <v>0.07</v>
      </c>
      <c r="E3" s="18" t="n">
        <v>0.075</v>
      </c>
    </row>
    <row r="4" customFormat="false" ht="30" hidden="false" customHeight="true" outlineLevel="0" collapsed="false">
      <c r="A4" s="16" t="n">
        <v>0.0625</v>
      </c>
      <c r="B4" s="11" t="n">
        <f aca="false">MIN(Inputs!$B$18*Underwriting!$B$14/$A4,Underwriting!$B$16/Inputs!$B$19/12/(-PMT(B$3/12,Inputs!$B$17*12,1)),Underwriting!$B$16/Inputs!$B$20)</f>
        <v>5497336.52</v>
      </c>
      <c r="C4" s="11" t="n">
        <f aca="false">MIN(Inputs!$B$18*Underwriting!$B$14/$A4,Underwriting!$B$16/Inputs!$B$19/12/(-PMT(C$3/12,Inputs!$B$17*12,1)),Underwriting!$B$16/Inputs!$B$20)</f>
        <v>5497336.52</v>
      </c>
      <c r="D4" s="11" t="n">
        <f aca="false">MIN(Inputs!$B$18*Underwriting!$B$14/$A4,Underwriting!$B$16/Inputs!$B$19/12/(-PMT(D$3/12,Inputs!$B$17*12,1)),Underwriting!$B$16/Inputs!$B$20)</f>
        <v>5266677.47687158</v>
      </c>
      <c r="E4" s="11" t="n">
        <f aca="false">MIN(Inputs!$B$18*Underwriting!$B$14/$A4,Underwriting!$B$16/Inputs!$B$19/12/(-PMT(E$3/12,Inputs!$B$17*12,1)),Underwriting!$B$16/Inputs!$B$20)</f>
        <v>5011242.79288632</v>
      </c>
    </row>
    <row r="5" customFormat="false" ht="30" hidden="false" customHeight="true" outlineLevel="0" collapsed="false">
      <c r="A5" s="16" t="n">
        <v>0.065</v>
      </c>
      <c r="B5" s="11" t="n">
        <f aca="false">MIN(Inputs!$B$18*Underwriting!$B$14/$A5,Underwriting!$B$16/Inputs!$B$19/12/(-PMT(B$3/12,Inputs!$B$17*12,1)),Underwriting!$B$16/Inputs!$B$20)</f>
        <v>5285900.5</v>
      </c>
      <c r="C5" s="11" t="n">
        <f aca="false">MIN(Inputs!$B$18*Underwriting!$B$14/$A5,Underwriting!$B$16/Inputs!$B$19/12/(-PMT(C$3/12,Inputs!$B$17*12,1)),Underwriting!$B$16/Inputs!$B$20)</f>
        <v>5285900.5</v>
      </c>
      <c r="D5" s="11" t="n">
        <f aca="false">MIN(Inputs!$B$18*Underwriting!$B$14/$A5,Underwriting!$B$16/Inputs!$B$19/12/(-PMT(D$3/12,Inputs!$B$17*12,1)),Underwriting!$B$16/Inputs!$B$20)</f>
        <v>5266677.47687158</v>
      </c>
      <c r="E5" s="11" t="n">
        <f aca="false">MIN(Inputs!$B$18*Underwriting!$B$14/$A5,Underwriting!$B$16/Inputs!$B$19/12/(-PMT(E$3/12,Inputs!$B$17*12,1)),Underwriting!$B$16/Inputs!$B$20)</f>
        <v>5011242.79288632</v>
      </c>
    </row>
    <row r="6" customFormat="false" ht="30" hidden="false" customHeight="true" outlineLevel="0" collapsed="false">
      <c r="A6" s="16" t="n">
        <v>0.0675</v>
      </c>
      <c r="B6" s="11" t="n">
        <f aca="false">MIN(Inputs!$B$18*Underwriting!$B$14/$A6,Underwriting!$B$16/Inputs!$B$19/12/(-PMT(B$3/12,Inputs!$B$17*12,1)),Underwriting!$B$16/Inputs!$B$20)</f>
        <v>5090126.40740741</v>
      </c>
      <c r="C6" s="13" t="n">
        <f aca="false">MIN(Inputs!$B$18*Underwriting!$B$14/$A6,Underwriting!$B$16/Inputs!$B$19/12/(-PMT(C$3/12,Inputs!$B$17*12,1)),Underwriting!$B$16/Inputs!$B$20)</f>
        <v>5090126.40740741</v>
      </c>
      <c r="D6" s="11" t="n">
        <f aca="false">MIN(Inputs!$B$18*Underwriting!$B$14/$A6,Underwriting!$B$16/Inputs!$B$19/12/(-PMT(D$3/12,Inputs!$B$17*12,1)),Underwriting!$B$16/Inputs!$B$20)</f>
        <v>5090126.40740741</v>
      </c>
      <c r="E6" s="11" t="n">
        <f aca="false">MIN(Inputs!$B$18*Underwriting!$B$14/$A6,Underwriting!$B$16/Inputs!$B$19/12/(-PMT(E$3/12,Inputs!$B$17*12,1)),Underwriting!$B$16/Inputs!$B$20)</f>
        <v>5011242.79288632</v>
      </c>
    </row>
    <row r="7" customFormat="false" ht="30" hidden="false" customHeight="true" outlineLevel="0" collapsed="false">
      <c r="A7" s="16" t="n">
        <v>0.07</v>
      </c>
      <c r="B7" s="11" t="n">
        <f aca="false">MIN(Inputs!$B$18*Underwriting!$B$14/$A7,Underwriting!$B$16/Inputs!$B$19/12/(-PMT(B$3/12,Inputs!$B$17*12,1)),Underwriting!$B$16/Inputs!$B$20)</f>
        <v>4908336.17857143</v>
      </c>
      <c r="C7" s="11" t="n">
        <f aca="false">MIN(Inputs!$B$18*Underwriting!$B$14/$A7,Underwriting!$B$16/Inputs!$B$19/12/(-PMT(C$3/12,Inputs!$B$17*12,1)),Underwriting!$B$16/Inputs!$B$20)</f>
        <v>4908336.17857143</v>
      </c>
      <c r="D7" s="11" t="n">
        <f aca="false">MIN(Inputs!$B$18*Underwriting!$B$14/$A7,Underwriting!$B$16/Inputs!$B$19/12/(-PMT(D$3/12,Inputs!$B$17*12,1)),Underwriting!$B$16/Inputs!$B$20)</f>
        <v>4908336.17857143</v>
      </c>
      <c r="E7" s="11" t="n">
        <f aca="false">MIN(Inputs!$B$18*Underwriting!$B$14/$A7,Underwriting!$B$16/Inputs!$B$19/12/(-PMT(E$3/12,Inputs!$B$17*12,1)),Underwriting!$B$16/Inputs!$B$20)</f>
        <v>4908336.17857143</v>
      </c>
    </row>
    <row r="8" customFormat="false" ht="30" hidden="false" customHeight="true" outlineLevel="0" collapsed="false">
      <c r="A8" s="16" t="n">
        <v>0.0725</v>
      </c>
      <c r="B8" s="11" t="n">
        <f aca="false">MIN(Inputs!$B$18*Underwriting!$B$14/$A8,Underwriting!$B$16/Inputs!$B$19/12/(-PMT(B$3/12,Inputs!$B$17*12,1)),Underwriting!$B$16/Inputs!$B$20)</f>
        <v>4739083.20689655</v>
      </c>
      <c r="C8" s="11" t="n">
        <f aca="false">MIN(Inputs!$B$18*Underwriting!$B$14/$A8,Underwriting!$B$16/Inputs!$B$19/12/(-PMT(C$3/12,Inputs!$B$17*12,1)),Underwriting!$B$16/Inputs!$B$20)</f>
        <v>4739083.20689655</v>
      </c>
      <c r="D8" s="11" t="n">
        <f aca="false">MIN(Inputs!$B$18*Underwriting!$B$14/$A8,Underwriting!$B$16/Inputs!$B$19/12/(-PMT(D$3/12,Inputs!$B$17*12,1)),Underwriting!$B$16/Inputs!$B$20)</f>
        <v>4739083.20689655</v>
      </c>
      <c r="E8" s="11" t="n">
        <f aca="false">MIN(Inputs!$B$18*Underwriting!$B$14/$A8,Underwriting!$B$16/Inputs!$B$19/12/(-PMT(E$3/12,Inputs!$B$17*12,1)),Underwriting!$B$16/Inputs!$B$20)</f>
        <v>4739083.20689655</v>
      </c>
    </row>
    <row r="10" customFormat="false" ht="30" hidden="false" customHeight="true" outlineLevel="0" collapsed="false">
      <c r="A10" s="3" t="s">
        <v>132</v>
      </c>
    </row>
    <row r="11" customFormat="false" ht="30" hidden="false" customHeight="true" outlineLevel="0" collapsed="false">
      <c r="A11" s="3" t="s">
        <v>133</v>
      </c>
      <c r="B11" s="3" t="s">
        <v>134</v>
      </c>
      <c r="C11" s="3" t="s">
        <v>135</v>
      </c>
      <c r="D11" s="3" t="s">
        <v>136</v>
      </c>
    </row>
    <row r="12" customFormat="false" ht="30" hidden="false" customHeight="true" outlineLevel="0" collapsed="false">
      <c r="A12" s="19" t="n">
        <v>-0.05</v>
      </c>
      <c r="B12" s="11" t="n">
        <f aca="false">(Inputs!$B$4*(1+$A12)*(1-Inputs!$B$5)+Inputs!$B$6*Inputs!$B$7)*(1-Inputs!$B$11)-Inputs!$B$8-Inputs!$B$9-Inputs!$B$10</f>
        <v>490868.4475</v>
      </c>
      <c r="C12" s="11" t="n">
        <f aca="false">B12-Inputs!$B$12*Inputs!$B$7</f>
        <v>487868.4475</v>
      </c>
      <c r="D12" s="11" t="n">
        <f aca="false">MIN(Inputs!$B$18*B12/Inputs!$B$13,C12/Inputs!$B$19/12/(-PMT(Inputs!$B$16/12,Inputs!$B$17*12,1)),C12/Inputs!$B$20)</f>
        <v>4651585.85367249</v>
      </c>
    </row>
    <row r="13" customFormat="false" ht="30" hidden="false" customHeight="true" outlineLevel="0" collapsed="false">
      <c r="A13" s="19" t="n">
        <v>0</v>
      </c>
      <c r="B13" s="13" t="n">
        <f aca="false">(Inputs!$B$4*(1+$A13)*(1-Inputs!$B$5)+Inputs!$B$6*Inputs!$B$7)*(1-Inputs!$B$11)-Inputs!$B$8-Inputs!$B$9-Inputs!$B$10</f>
        <v>528590.05</v>
      </c>
      <c r="C13" s="13" t="n">
        <f aca="false">B13-Inputs!$B$12*Inputs!$B$7</f>
        <v>525590.05</v>
      </c>
      <c r="D13" s="13" t="n">
        <f aca="false">MIN(Inputs!$B$18*B13/Inputs!$B$13,C13/Inputs!$B$19/12/(-PMT(Inputs!$B$16/12,Inputs!$B$17*12,1)),C13/Inputs!$B$20)</f>
        <v>5011242.79288632</v>
      </c>
    </row>
    <row r="14" customFormat="false" ht="30" hidden="false" customHeight="true" outlineLevel="0" collapsed="false">
      <c r="A14" s="19" t="n">
        <v>0.05</v>
      </c>
      <c r="B14" s="11" t="n">
        <f aca="false">(Inputs!$B$4*(1+$A14)*(1-Inputs!$B$5)+Inputs!$B$6*Inputs!$B$7)*(1-Inputs!$B$11)-Inputs!$B$8-Inputs!$B$9-Inputs!$B$10</f>
        <v>566311.6525</v>
      </c>
      <c r="C14" s="11" t="n">
        <f aca="false">B14-Inputs!$B$12*Inputs!$B$7</f>
        <v>563311.6525</v>
      </c>
      <c r="D14" s="11" t="n">
        <f aca="false">MIN(Inputs!$B$18*B14/Inputs!$B$13,C14/Inputs!$B$19/12/(-PMT(Inputs!$B$16/12,Inputs!$B$17*12,1)),C14/Inputs!$B$20)</f>
        <v>5370899.73210016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6"/>
  </cols>
  <sheetData>
    <row r="1" customFormat="false" ht="30" hidden="false" customHeight="true" outlineLevel="0" collapsed="false">
      <c r="A1" s="1" t="s">
        <v>137</v>
      </c>
    </row>
    <row r="3" customFormat="false" ht="30" hidden="false" customHeight="true" outlineLevel="0" collapsed="false">
      <c r="A3" s="3" t="s">
        <v>138</v>
      </c>
      <c r="B3" s="3" t="s">
        <v>139</v>
      </c>
      <c r="C3" s="3" t="s">
        <v>140</v>
      </c>
    </row>
    <row r="4" customFormat="false" ht="30" hidden="false" customHeight="true" outlineLevel="0" collapsed="false">
      <c r="A4" s="2" t="s">
        <v>141</v>
      </c>
      <c r="B4" s="2" t="s">
        <v>142</v>
      </c>
      <c r="C4" s="2" t="s">
        <v>143</v>
      </c>
    </row>
    <row r="5" customFormat="false" ht="30" hidden="false" customHeight="true" outlineLevel="0" collapsed="false">
      <c r="A5" s="2" t="s">
        <v>144</v>
      </c>
      <c r="B5" s="2" t="s">
        <v>145</v>
      </c>
      <c r="C5" s="2" t="s">
        <v>146</v>
      </c>
    </row>
    <row r="6" customFormat="false" ht="30" hidden="false" customHeight="true" outlineLevel="0" collapsed="false">
      <c r="A6" s="2" t="s">
        <v>147</v>
      </c>
      <c r="B6" s="2" t="s">
        <v>148</v>
      </c>
      <c r="C6" s="2" t="s">
        <v>149</v>
      </c>
    </row>
    <row r="7" customFormat="false" ht="30" hidden="false" customHeight="true" outlineLevel="0" collapsed="false">
      <c r="A7" s="2" t="s">
        <v>150</v>
      </c>
      <c r="B7" s="2" t="s">
        <v>148</v>
      </c>
      <c r="C7" s="2" t="s">
        <v>151</v>
      </c>
    </row>
    <row r="8" customFormat="false" ht="30" hidden="false" customHeight="true" outlineLevel="0" collapsed="false">
      <c r="A8" s="2" t="s">
        <v>152</v>
      </c>
      <c r="B8" s="2" t="s">
        <v>148</v>
      </c>
      <c r="C8" s="2" t="s">
        <v>153</v>
      </c>
    </row>
    <row r="9" customFormat="false" ht="30" hidden="false" customHeight="true" outlineLevel="0" collapsed="false">
      <c r="A9" s="2" t="s">
        <v>154</v>
      </c>
      <c r="B9" s="2" t="s">
        <v>148</v>
      </c>
      <c r="C9" s="2" t="s">
        <v>155</v>
      </c>
    </row>
    <row r="10" customFormat="false" ht="30" hidden="false" customHeight="true" outlineLevel="0" collapsed="false">
      <c r="A10" s="2" t="s">
        <v>156</v>
      </c>
      <c r="B10" s="2" t="s">
        <v>148</v>
      </c>
      <c r="C10" s="2" t="s">
        <v>157</v>
      </c>
    </row>
    <row r="11" customFormat="false" ht="30" hidden="false" customHeight="true" outlineLevel="0" collapsed="false">
      <c r="A11" s="2" t="s">
        <v>158</v>
      </c>
      <c r="B11" s="2" t="s">
        <v>148</v>
      </c>
      <c r="C11" s="2" t="s">
        <v>159</v>
      </c>
    </row>
    <row r="12" customFormat="false" ht="30" hidden="false" customHeight="true" outlineLevel="0" collapsed="false">
      <c r="A12" s="2" t="s">
        <v>160</v>
      </c>
      <c r="B12" s="2" t="s">
        <v>148</v>
      </c>
      <c r="C12" s="2" t="s">
        <v>161</v>
      </c>
    </row>
    <row r="14" customFormat="false" ht="30" hidden="false" customHeight="true" outlineLevel="0" collapsed="false">
      <c r="A14" s="2" t="s">
        <v>162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2026-09-07T13:44:16Z</dcterms:created>
  <dc:creator>openpyxl</dc:creator>
  <dc:description/>
  <dc:language>en-US</dc:language>
  <cp:lastModifiedBy/>
  <dcterms:modified xsi:type="dcterms:W3CDTF">2026-09-07T14:06:40Z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