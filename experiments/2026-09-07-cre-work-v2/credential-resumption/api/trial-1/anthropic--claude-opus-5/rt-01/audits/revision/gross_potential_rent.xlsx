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(REVISED, roll as of 2026-09-01)</t>
        </is>
      </c>
    </row>
    <row r="2" ht="30" customHeight="1">
      <c r="A2" s="2" t="inlineStr">
        <is>
          <t>Revision 2 per revision-notice.pdf p1. Original fictional evaluation material. No real transaction. Prior version underwriting-v1.xlsx retained in the audit archive.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 / change</t>
        </is>
      </c>
    </row>
    <row r="4" ht="30" customHeight="1">
      <c r="A4" s="2" t="inlineStr">
        <is>
          <t>Gross potential rent (annual, all suites)</t>
        </is>
      </c>
      <c r="B4" s="4" t="n">
        <v>780330</v>
      </c>
      <c r="C4" s="2" t="inlineStr">
        <is>
          <t>CHANGED: rent-roll-revised.xlsx E5:E14 sum $68,450/mo x 12 (was $818,700)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 (unchanged)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 (unchanged)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rent-roll-revised.xlsx A5:A14 (unchanged)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 (unchanged)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 (unchanged)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 (unchanged)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 (unchanged)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 (unchanged)</t>
        </is>
      </c>
    </row>
    <row r="13" ht="30" customHeight="1">
      <c r="A13" s="2" t="inlineStr">
        <is>
          <t>Capitalization rate (revised)</t>
        </is>
      </c>
      <c r="B13" s="7" t="n">
        <v>0.07000000000000001</v>
      </c>
      <c r="C13" s="2" t="inlineStr">
        <is>
          <t>CHANGED: 6.7500% + 25 bps = 7.0000% (revision-notice.pdf p1)</t>
        </is>
      </c>
    </row>
    <row r="14" ht="30" customHeight="1">
      <c r="A14" s="2" t="inlineStr">
        <is>
          <t>Original note rate</t>
        </is>
      </c>
      <c r="B14" s="7" t="n">
        <v>0.065</v>
      </c>
      <c r="C14" s="2" t="inlineStr">
        <is>
          <t>underwriting-instructions.pdf p1 (unchanged)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 (unchanged)</t>
        </is>
      </c>
    </row>
    <row r="16" ht="30" customHeight="1">
      <c r="A16" s="2" t="inlineStr">
        <is>
          <t>Initial sizing rate before revision (greater of note/floor)</t>
        </is>
      </c>
      <c r="B16" s="8">
        <f>MAX(B14,B15)</f>
        <v/>
      </c>
      <c r="C16" s="2" t="inlineStr">
        <is>
          <t>6.5000% note exceeds 6.00% floor; floor not binding</t>
        </is>
      </c>
    </row>
    <row r="17" ht="30" customHeight="1">
      <c r="A17" s="2" t="inlineStr">
        <is>
          <t>Sizing rate increment (revision)</t>
        </is>
      </c>
      <c r="B17" s="7" t="n">
        <v>0.0075</v>
      </c>
      <c r="C17" s="2" t="inlineStr">
        <is>
          <t>CHANGED: +75 bps to initial sizing rate (revision-notice.pdf p1)</t>
        </is>
      </c>
    </row>
    <row r="18" ht="30" customHeight="1">
      <c r="A18" s="9" t="inlineStr">
        <is>
          <t>Sizing rate (revised, used for debt sizing)</t>
        </is>
      </c>
      <c r="B18" s="10">
        <f>MAX(B16+B17,B15)</f>
        <v/>
      </c>
      <c r="C18" s="2" t="inlineStr">
        <is>
          <t>6.5000% + 0.7500% = 7.2500%, still above the 6.00% floor</t>
        </is>
      </c>
    </row>
    <row r="19" ht="30" customHeight="1">
      <c r="A19" s="2" t="inlineStr">
        <is>
          <t>Amortization (years, monthly pay)</t>
        </is>
      </c>
      <c r="B19" s="6" t="n">
        <v>30</v>
      </c>
      <c r="C19" s="2" t="inlineStr">
        <is>
          <t>underwriting-instructions.pdf p1 (unchanged); first 24 months IO, sized amortizing</t>
        </is>
      </c>
    </row>
    <row r="20" ht="30" customHeight="1">
      <c r="A20" s="2" t="inlineStr">
        <is>
          <t>Maximum LTV</t>
        </is>
      </c>
      <c r="B20" s="5" t="n">
        <v>0.65</v>
      </c>
      <c r="C20" s="2" t="inlineStr">
        <is>
          <t>underwriting-instructions.pdf p1 (unchanged)</t>
        </is>
      </c>
    </row>
    <row r="21" ht="30" customHeight="1">
      <c r="A21" s="2" t="inlineStr">
        <is>
          <t>Minimum DSCR (on NCF)</t>
        </is>
      </c>
      <c r="B21" s="11" t="n">
        <v>1.25</v>
      </c>
      <c r="C21" s="2" t="inlineStr">
        <is>
          <t>underwriting-instructions.pdf p1 (unchanged)</t>
        </is>
      </c>
    </row>
    <row r="22" ht="30" customHeight="1">
      <c r="A22" s="2" t="inlineStr">
        <is>
          <t>Minimum NCF debt yield</t>
        </is>
      </c>
      <c r="B22" s="5" t="n">
        <v>0.09</v>
      </c>
      <c r="C22" s="2" t="inlineStr">
        <is>
          <t>underwriting-instructions.pdf p1 (unchanged)</t>
        </is>
      </c>
    </row>
    <row r="23" ht="30" customHeight="1">
      <c r="A23" s="2" t="inlineStr">
        <is>
          <t>Origination fee (% of loan)</t>
        </is>
      </c>
      <c r="B23" s="5" t="n">
        <v>0.01</v>
      </c>
      <c r="C23" s="2" t="inlineStr">
        <is>
          <t>underwriting-instructions.pdf p1 (unchanged)</t>
        </is>
      </c>
    </row>
    <row r="24" ht="30" customHeight="1">
      <c r="A24" s="2" t="inlineStr">
        <is>
          <t>Closing costs</t>
        </is>
      </c>
      <c r="B24" s="4" t="n">
        <v>45000</v>
      </c>
      <c r="C24" s="2" t="inlineStr">
        <is>
          <t>underwriting-instructions.pdf p1 (unchanged)</t>
        </is>
      </c>
    </row>
    <row r="25" ht="30" customHeight="1">
      <c r="A25" s="2" t="inlineStr">
        <is>
          <t>Existing loan payoff</t>
        </is>
      </c>
      <c r="B25" s="4" t="n">
        <v>4300000</v>
      </c>
      <c r="C25" s="2" t="inlineStr">
        <is>
          <t>underwriting-instructions.pdf p1 (unchanged)</t>
        </is>
      </c>
    </row>
    <row r="26" ht="30" customHeight="1">
      <c r="A26" s="2" t="inlineStr">
        <is>
          <t>Suite 001 signed amendment — monthly rent increase</t>
        </is>
      </c>
      <c r="B26" s="4" t="n">
        <v>350</v>
      </c>
      <c r="C26" s="2" t="inlineStr">
        <is>
          <t>lease-correspondence.pdf p1; revision notice confirms prior executed amendments continue to apply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7" customWidth="1" min="6" max="6"/>
    <col width="18" customWidth="1" min="7" max="7"/>
    <col width="14" customWidth="1" min="8" max="8"/>
  </cols>
  <sheetData>
    <row r="1" ht="30" customHeight="1">
      <c r="A1" s="1" t="inlineStr">
        <is>
          <t>Revised Certified Rent Roll — as of 2026-09-01 (controlling)</t>
        </is>
      </c>
    </row>
    <row r="2" ht="30" customHeight="1">
      <c r="A2" s="2" t="inlineStr">
        <is>
          <t>Source: rent-roll-revised.xlsx, Rent Roll A5:F14. Supersedes the 2026-08-31 certified roll and the 2026-06-30 archive roll. Only change: Suite 002 scheduled rent $6,800 -&gt; $7,025 (+$225).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2" t="n">
        <v>3080</v>
      </c>
      <c r="F5" s="12" t="n">
        <v>6650</v>
      </c>
      <c r="G5" s="12">
        <f>F5+Inputs!$B$26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2" t="n">
        <v>3200</v>
      </c>
      <c r="F6" s="4" t="n">
        <v>7025</v>
      </c>
      <c r="G6" s="1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2" t="n">
        <v>3410</v>
      </c>
      <c r="F7" s="12" t="n">
        <v>7075</v>
      </c>
      <c r="G7" s="1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2" t="n">
        <v>3080</v>
      </c>
      <c r="F8" s="12" t="n">
        <v>6650</v>
      </c>
      <c r="G8" s="1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2" t="n">
        <v>3200</v>
      </c>
      <c r="F9" s="12" t="n">
        <v>6800</v>
      </c>
      <c r="G9" s="1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2" t="n">
        <v>3410</v>
      </c>
      <c r="F10" s="12" t="n">
        <v>7075</v>
      </c>
      <c r="G10" s="1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2" t="n">
        <v>3080</v>
      </c>
      <c r="F11" s="12" t="n">
        <v>6650</v>
      </c>
      <c r="G11" s="1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2" t="n">
        <v>3200</v>
      </c>
      <c r="F12" s="12" t="n">
        <v>6800</v>
      </c>
      <c r="G12" s="1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2" t="n">
        <v>3410</v>
      </c>
      <c r="F13" s="12" t="n">
        <v>7075</v>
      </c>
      <c r="G13" s="1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2" t="n">
        <v>3080</v>
      </c>
      <c r="F14" s="12" t="n">
        <v>6650</v>
      </c>
      <c r="G14" s="12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3">
        <f>COUNTA(A5:A14)</f>
        <v/>
      </c>
    </row>
    <row r="18" ht="30" customHeight="1">
      <c r="A18" s="2" t="inlineStr">
        <is>
          <t>Occupied (possession taken) suites</t>
        </is>
      </c>
      <c r="B18" s="13">
        <f>COUNTIF(D5:D14,"active")</f>
        <v/>
      </c>
    </row>
    <row r="19" ht="30" customHeight="1">
      <c r="A19" s="2" t="inlineStr">
        <is>
          <t>Pending (leased, no possession) suites</t>
        </is>
      </c>
      <c r="B19" s="13">
        <f>COUNTIF(D5:D14,"pending")</f>
        <v/>
      </c>
    </row>
    <row r="20" ht="30" customHeight="1">
      <c r="A20" s="2" t="inlineStr">
        <is>
          <t>Vacant suites</t>
        </is>
      </c>
      <c r="B20" s="13">
        <f>COUNTIF(D5:D14,"vacant")</f>
        <v/>
      </c>
    </row>
    <row r="21" ht="30" customHeight="1">
      <c r="A21" s="2" t="inlineStr">
        <is>
          <t>Total area SF</t>
        </is>
      </c>
      <c r="B21" s="14">
        <f>SUM(E5:E14)</f>
        <v/>
      </c>
    </row>
    <row r="22" ht="30" customHeight="1">
      <c r="A22" s="2" t="inlineStr">
        <is>
          <t>Occupied area SF</t>
        </is>
      </c>
      <c r="B22" s="14">
        <f>SUMIF(D5:D14,"active",E5:E14)</f>
        <v/>
      </c>
    </row>
    <row r="23" ht="30" customHeight="1">
      <c r="A23" s="2" t="inlineStr">
        <is>
          <t>Unit occupancy</t>
        </is>
      </c>
      <c r="B23" s="15">
        <f>B18/B17</f>
        <v/>
      </c>
    </row>
    <row r="24" ht="30" customHeight="1">
      <c r="A24" s="2" t="inlineStr">
        <is>
          <t>Area occupancy</t>
        </is>
      </c>
      <c r="B24" s="15">
        <f>B22/B21</f>
        <v/>
      </c>
    </row>
    <row r="25" ht="30" customHeight="1">
      <c r="A25" s="2" t="inlineStr">
        <is>
          <t>Annual in-place rent (occupied, post-amendment)</t>
        </is>
      </c>
      <c r="B25" s="14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4">
        <f>SUM(F5:F14)*12</f>
        <v/>
      </c>
    </row>
    <row r="27" ht="30" customHeight="1">
      <c r="A27" s="2" t="inlineStr">
        <is>
          <t>Tie to Inputs!B4 (0 = tie)</t>
        </is>
      </c>
      <c r="B27" s="14">
        <f>B26-Inputs!B4</f>
        <v/>
      </c>
    </row>
    <row r="29" ht="30" customHeight="1">
      <c r="A29" s="2" t="inlineStr">
        <is>
          <t>Group A (Small) suites / occupied</t>
        </is>
      </c>
      <c r="B29" s="13">
        <f>COUNTIF(C5:C14,"A")</f>
        <v/>
      </c>
      <c r="C29" s="13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3">
        <f>COUNTIF(C5:C14,"B")</f>
        <v/>
      </c>
      <c r="C30" s="13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3">
        <f>COUNTIF(C5:C14,"C")</f>
        <v/>
      </c>
      <c r="C31" s="13">
        <f>COUNTIFS(C5:C14,"C",D5:D14,"active")</f>
        <v/>
      </c>
    </row>
    <row r="33" ht="30" customHeight="1">
      <c r="A33" s="2" t="inlineStr">
        <is>
          <t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4" customWidth="1" min="4" max="4"/>
  </cols>
  <sheetData>
    <row r="1" ht="30" customHeight="1">
      <c r="A1" s="1" t="inlineStr">
        <is>
          <t>Underwritten Cash Flow and Capitalized Value (Revised)</t>
        </is>
      </c>
    </row>
    <row r="3" ht="30" customHeight="1">
      <c r="A3" s="3" t="inlineStr">
        <is>
          <t>Line</t>
        </is>
      </c>
      <c r="B3" s="3" t="inlineStr">
        <is>
          <t>Revised (USD)</t>
        </is>
      </c>
      <c r="C3" s="3" t="inlineStr">
        <is>
          <t>Prior version (USD)</t>
        </is>
      </c>
      <c r="D3" s="3" t="inlineStr">
        <is>
          <t>Basis / change</t>
        </is>
      </c>
    </row>
    <row r="4" ht="30" customHeight="1">
      <c r="A4" s="2" t="inlineStr">
        <is>
          <t>Gross potential rent</t>
        </is>
      </c>
      <c r="B4" s="12">
        <f>Inputs!B4</f>
        <v/>
      </c>
      <c r="C4" s="12" t="n">
        <v>818700</v>
      </c>
      <c r="D4" s="2" t="inlineStr">
        <is>
          <t>Revised roll; Suite 002 +$225/mo = +$2,700/yr</t>
        </is>
      </c>
    </row>
    <row r="5" ht="30" customHeight="1">
      <c r="A5" s="2" t="inlineStr">
        <is>
          <t>Economic loss (5%)</t>
        </is>
      </c>
      <c r="B5" s="12">
        <f>-B4*Inputs!B5</f>
        <v/>
      </c>
      <c r="C5" s="12" t="n">
        <v>-40935</v>
      </c>
      <c r="D5" s="2" t="inlineStr">
        <is>
          <t>Rate unchanged</t>
        </is>
      </c>
    </row>
    <row r="6" ht="30" customHeight="1">
      <c r="A6" s="2" t="inlineStr">
        <is>
          <t>Other income ($350 per suite)</t>
        </is>
      </c>
      <c r="B6" s="12">
        <f>Inputs!B6*Inputs!B7</f>
        <v/>
      </c>
      <c r="C6" s="12" t="n">
        <v>3500</v>
      </c>
      <c r="D6" s="2" t="inlineStr">
        <is>
          <t>Unchanged; reimbursements not double counted</t>
        </is>
      </c>
    </row>
    <row r="7" ht="30" customHeight="1">
      <c r="A7" s="9" t="inlineStr">
        <is>
          <t>Underwritten EGI</t>
        </is>
      </c>
      <c r="B7" s="14">
        <f>B4+B5+B6</f>
        <v/>
      </c>
      <c r="C7" s="12" t="n">
        <v>781265</v>
      </c>
    </row>
    <row r="9" ht="30" customHeight="1">
      <c r="A9" s="2" t="inlineStr">
        <is>
          <t>Real estate taxes</t>
        </is>
      </c>
      <c r="B9" s="12">
        <f>Inputs!B8</f>
        <v/>
      </c>
      <c r="C9" s="12" t="n">
        <v>85964</v>
      </c>
    </row>
    <row r="10" ht="30" customHeight="1">
      <c r="A10" s="2" t="inlineStr">
        <is>
          <t>Insurance</t>
        </is>
      </c>
      <c r="B10" s="12">
        <f>Inputs!B9</f>
        <v/>
      </c>
      <c r="C10" s="12" t="n">
        <v>28655</v>
      </c>
    </row>
    <row r="11" ht="30" customHeight="1">
      <c r="A11" s="2" t="inlineStr">
        <is>
          <t>Other recurring operating expenses</t>
        </is>
      </c>
      <c r="B11" s="12">
        <f>Inputs!B10</f>
        <v/>
      </c>
      <c r="C11" s="12" t="n">
        <v>114618</v>
      </c>
    </row>
    <row r="12" ht="30" customHeight="1">
      <c r="A12" s="2" t="inlineStr">
        <is>
          <t>Management fee (3% of EGI)</t>
        </is>
      </c>
      <c r="B12" s="12">
        <f>Inputs!B11*B7</f>
        <v/>
      </c>
      <c r="C12" s="12" t="n">
        <v>23438</v>
      </c>
    </row>
    <row r="13" ht="30" customHeight="1">
      <c r="A13" s="9" t="inlineStr">
        <is>
          <t>Total operating expenses (before reserves)</t>
        </is>
      </c>
      <c r="B13" s="14">
        <f>SUM(B9:B12)</f>
        <v/>
      </c>
      <c r="C13" s="12" t="n">
        <v>252675</v>
      </c>
    </row>
    <row r="14" ht="30" customHeight="1">
      <c r="A14" s="9" t="inlineStr">
        <is>
          <t>Underwritten NOI (before reserves)</t>
        </is>
      </c>
      <c r="B14" s="14">
        <f>B7-B13</f>
        <v/>
      </c>
      <c r="C14" s="12" t="n">
        <v>528590</v>
      </c>
    </row>
    <row r="15" ht="30" customHeight="1">
      <c r="A15" s="2" t="inlineStr">
        <is>
          <t>Replacement reserves ($300 per suite)</t>
        </is>
      </c>
      <c r="B15" s="12">
        <f>Inputs!B12*Inputs!B7</f>
        <v/>
      </c>
      <c r="C15" s="12" t="n">
        <v>3000</v>
      </c>
    </row>
    <row r="16" ht="30" customHeight="1">
      <c r="A16" s="9" t="inlineStr">
        <is>
          <t>Underwritten NCF (after reserves)</t>
        </is>
      </c>
      <c r="B16" s="14">
        <f>B14-B15</f>
        <v/>
      </c>
      <c r="C16" s="12" t="n">
        <v>525590</v>
      </c>
    </row>
    <row r="18" ht="30" customHeight="1">
      <c r="A18" s="9" t="inlineStr">
        <is>
          <t>Capitalization value (NOI before reserves / cap rate)</t>
        </is>
      </c>
      <c r="B18" s="14">
        <f>B14/Inputs!B13</f>
        <v/>
      </c>
      <c r="C18" s="12" t="n">
        <v>7830964</v>
      </c>
      <c r="D18" s="2" t="inlineStr">
        <is>
          <t>Cap rate 7.0000% vs 6.7500% prior</t>
        </is>
      </c>
    </row>
    <row r="20" ht="30" customHeight="1">
      <c r="A20" s="2" t="inlineStr">
        <is>
          <t>Operating expense ratio (of EGI)</t>
        </is>
      </c>
      <c r="B20" s="16">
        <f>B13/B7</f>
        <v/>
      </c>
    </row>
    <row r="22" ht="30" customHeight="1">
      <c r="A22" s="3" t="inlineStr">
        <is>
          <t>Historical comparison (unchanged sources)</t>
        </is>
      </c>
    </row>
    <row r="23" ht="30" customHeight="1">
      <c r="A23" s="2" t="inlineStr">
        <is>
          <t>T12 rental and ancillary collections</t>
        </is>
      </c>
      <c r="B23" s="12" t="n">
        <v>736830</v>
      </c>
      <c r="D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2" t="n">
        <v>507593</v>
      </c>
      <c r="D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2" t="n">
        <v>0</v>
      </c>
      <c r="D25" s="2" t="inlineStr">
        <is>
          <t>Capital item carried at $0 in the ledger</t>
        </is>
      </c>
    </row>
    <row r="26" ht="30" customHeight="1">
      <c r="A26" s="9" t="inlineStr">
        <is>
          <t>Revised UW NOI less reported T12 NOI</t>
        </is>
      </c>
      <c r="B26" s="14">
        <f>B14-B24</f>
        <v/>
      </c>
    </row>
    <row r="27" ht="30" customHeight="1">
      <c r="A27" s="2" t="inlineStr">
        <is>
          <t>Reported T12 NOI is cash-basis, excludes a management fee and reserves, and is not an annualized roll; revised UW NOI applies the revised roll's scheduled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30" customWidth="1" min="4" max="4"/>
  </cols>
  <sheetData>
    <row r="1" ht="30" customHeight="1">
      <c r="A1" s="1" t="inlineStr">
        <is>
          <t>Debt Sizing and Sources &amp; Uses (Revised)</t>
        </is>
      </c>
    </row>
    <row r="3" ht="30" customHeight="1">
      <c r="A3" s="3" t="inlineStr">
        <is>
          <t>Line</t>
        </is>
      </c>
      <c r="B3" s="3" t="inlineStr">
        <is>
          <t>Revised</t>
        </is>
      </c>
      <c r="C3" s="3" t="inlineStr">
        <is>
          <t>Prior version</t>
        </is>
      </c>
      <c r="D3" s="3" t="inlineStr">
        <is>
          <t>Note</t>
        </is>
      </c>
    </row>
    <row r="4" ht="30" customHeight="1">
      <c r="A4" s="2" t="inlineStr">
        <is>
          <t>Sizing rate used</t>
        </is>
      </c>
      <c r="B4" s="8">
        <f>Inputs!B18</f>
        <v/>
      </c>
      <c r="C4" s="8" t="n">
        <v>0.065</v>
      </c>
      <c r="D4" s="2" t="inlineStr">
        <is>
          <t>Initial 6.5000% + 75 bps; floor 6.00% not binding</t>
        </is>
      </c>
    </row>
    <row r="5" ht="30" customHeight="1">
      <c r="A5" s="2" t="inlineStr">
        <is>
          <t>Monthly payment factor per $1 of loan</t>
        </is>
      </c>
      <c r="B5" s="17">
        <f>-PMT(B4/12,Inputs!B19*12,1)</f>
        <v/>
      </c>
      <c r="C5" s="17" t="n">
        <v>0.00632068</v>
      </c>
      <c r="D5" s="2" t="inlineStr">
        <is>
          <t>30-yr monthly amortization; 24-month IO ignored for sizing</t>
        </is>
      </c>
    </row>
    <row r="6" ht="30" customHeight="1">
      <c r="A6" s="2" t="inlineStr">
        <is>
          <t>LTV limit (65% of capitalized value)</t>
        </is>
      </c>
      <c r="B6" s="12">
        <f>Inputs!B20*Underwriting!B18</f>
        <v/>
      </c>
      <c r="C6" s="12" t="n">
        <v>5090126</v>
      </c>
    </row>
    <row r="7" ht="30" customHeight="1">
      <c r="A7" s="2" t="inlineStr">
        <is>
          <t>Maximum annual debt service at 1.25x NCF</t>
        </is>
      </c>
      <c r="B7" s="12">
        <f>Underwriting!B16/Inputs!B21</f>
        <v/>
      </c>
      <c r="C7" s="12" t="n">
        <v>420472</v>
      </c>
    </row>
    <row r="8" ht="30" customHeight="1">
      <c r="A8" s="2" t="inlineStr">
        <is>
          <t>DSCR limit loan</t>
        </is>
      </c>
      <c r="B8" s="12">
        <f>B7/12/B5</f>
        <v/>
      </c>
      <c r="C8" s="12" t="n">
        <v>5543602</v>
      </c>
    </row>
    <row r="9" ht="30" customHeight="1">
      <c r="A9" s="2" t="inlineStr">
        <is>
          <t>Debt yield limit loan (NCF / 9%)</t>
        </is>
      </c>
      <c r="B9" s="12">
        <f>Underwriting!B16/Inputs!B22</f>
        <v/>
      </c>
      <c r="C9" s="12" t="n">
        <v>5839889</v>
      </c>
    </row>
    <row r="10" ht="30" customHeight="1">
      <c r="A10" s="9" t="inlineStr">
        <is>
          <t>Maximum loan (lesser of tests)</t>
        </is>
      </c>
      <c r="B10" s="14">
        <f>MIN(B6,B8,B9)</f>
        <v/>
      </c>
      <c r="C10" s="12" t="n">
        <v>5090126</v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  <c r="C11" s="2" t="inlineStr">
        <is>
          <t>LTV</t>
        </is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2">
        <f>B10*B5*12</f>
        <v/>
      </c>
      <c r="C14" s="12" t="n">
        <v>386077</v>
      </c>
    </row>
    <row r="15" ht="30" customHeight="1">
      <c r="A15" s="2" t="inlineStr">
        <is>
          <t>NCF DSCR</t>
        </is>
      </c>
      <c r="B15" s="16">
        <f>Underwriting!B16/B14</f>
        <v/>
      </c>
      <c r="C15" s="16" t="n">
        <v>1.3613</v>
      </c>
    </row>
    <row r="16" ht="30" customHeight="1">
      <c r="A16" s="2" t="inlineStr">
        <is>
          <t>NCF debt yield</t>
        </is>
      </c>
      <c r="B16" s="16">
        <f>Underwriting!B16/B10</f>
        <v/>
      </c>
      <c r="C16" s="16" t="n">
        <v>0.1033</v>
      </c>
    </row>
    <row r="17" ht="30" customHeight="1">
      <c r="A17" s="2" t="inlineStr">
        <is>
          <t>LTV on capitalized value</t>
        </is>
      </c>
      <c r="B17" s="16">
        <f>B10/Underwriting!B18</f>
        <v/>
      </c>
      <c r="C17" s="16" t="n">
        <v>0.65</v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2">
        <f>B10</f>
        <v/>
      </c>
    </row>
    <row r="21" ht="30" customHeight="1">
      <c r="A21" s="9" t="inlineStr">
        <is>
          <t>Total sources</t>
        </is>
      </c>
      <c r="B21" s="14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2">
        <f>Inputs!B25</f>
        <v/>
      </c>
      <c r="C24" s="12" t="n">
        <v>4300000</v>
      </c>
    </row>
    <row r="25" ht="30" customHeight="1">
      <c r="A25" s="2" t="inlineStr">
        <is>
          <t>Origination fee (1%)</t>
        </is>
      </c>
      <c r="B25" s="12">
        <f>Inputs!B23*B10</f>
        <v/>
      </c>
      <c r="C25" s="12" t="n">
        <v>50901</v>
      </c>
    </row>
    <row r="26" ht="30" customHeight="1">
      <c r="A26" s="2" t="inlineStr">
        <is>
          <t>Closing costs</t>
        </is>
      </c>
      <c r="B26" s="12">
        <f>Inputs!B24</f>
        <v/>
      </c>
      <c r="C26" s="12" t="n">
        <v>45000</v>
      </c>
    </row>
    <row r="27" ht="30" customHeight="1">
      <c r="A27" s="9" t="inlineStr">
        <is>
          <t>Subtotal uses</t>
        </is>
      </c>
      <c r="B27" s="14">
        <f>SUM(B24:B26)</f>
        <v/>
      </c>
    </row>
    <row r="28" ht="30" customHeight="1">
      <c r="A28" s="9" t="inlineStr">
        <is>
          <t>Net cash-out to sponsor (negative = equity required)</t>
        </is>
      </c>
      <c r="B28" s="14">
        <f>B21-B27</f>
        <v/>
      </c>
      <c r="C28" s="12" t="n">
        <v>694225</v>
      </c>
    </row>
    <row r="29" ht="30" customHeight="1">
      <c r="A29" s="9" t="inlineStr">
        <is>
          <t>Total uses including net cash-out</t>
        </is>
      </c>
      <c r="B29" s="14">
        <f>B27+B28</f>
        <v/>
      </c>
    </row>
    <row r="31" ht="30" customHeight="1">
      <c r="A31" s="2" t="inlineStr">
        <is>
          <t>Proceeds still exceed the $4,300,000 payoff plus costs, so no refinance shortfall; the higher cap rate and sizing rate reduce cash-out.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(Revised) — cap rate (rows) vs sizing rate (columns)</t>
        </is>
      </c>
    </row>
    <row r="2" ht="30" customHeight="1">
      <c r="A2" s="2" t="inlineStr">
        <is>
          <t>Each cell = MIN(LTV limit, DSCR limit, debt yield limit) with revised UW NOI and NCF held constant. Bold-total cell is the adopted case (7.0000% cap / 7.2500% sizing).</t>
        </is>
      </c>
    </row>
    <row r="3" ht="30" customHeight="1">
      <c r="A3" s="3" t="inlineStr">
        <is>
          <t>Cap rate \ Sizing rate</t>
        </is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ht="30" customHeight="1">
      <c r="A4" s="8" t="n">
        <v>0.065</v>
      </c>
      <c r="B4" s="12">
        <f>MIN(Inputs!$B$20*Underwriting!$B$14/$A4,Underwriting!$B$16/Inputs!$B$21/12/(-PMT(B$3/12,Inputs!$B$19*12,1)),Underwriting!$B$16/Inputs!$B$22)</f>
        <v/>
      </c>
      <c r="C4" s="12">
        <f>MIN(Inputs!$B$20*Underwriting!$B$14/$A4,Underwriting!$B$16/Inputs!$B$21/12/(-PMT(C$3/12,Inputs!$B$19*12,1)),Underwriting!$B$16/Inputs!$B$22)</f>
        <v/>
      </c>
      <c r="D4" s="12">
        <f>MIN(Inputs!$B$20*Underwriting!$B$14/$A4,Underwriting!$B$16/Inputs!$B$21/12/(-PMT(D$3/12,Inputs!$B$19*12,1)),Underwriting!$B$16/Inputs!$B$22)</f>
        <v/>
      </c>
      <c r="E4" s="12">
        <f>MIN(Inputs!$B$20*Underwriting!$B$14/$A4,Underwriting!$B$16/Inputs!$B$21/12/(-PMT(E$3/12,Inputs!$B$19*12,1)),Underwriting!$B$16/Inputs!$B$22)</f>
        <v/>
      </c>
    </row>
    <row r="5" ht="30" customHeight="1">
      <c r="A5" s="8" t="n">
        <v>0.0675</v>
      </c>
      <c r="B5" s="12">
        <f>MIN(Inputs!$B$20*Underwriting!$B$14/$A5,Underwriting!$B$16/Inputs!$B$21/12/(-PMT(B$3/12,Inputs!$B$19*12,1)),Underwriting!$B$16/Inputs!$B$22)</f>
        <v/>
      </c>
      <c r="C5" s="12">
        <f>MIN(Inputs!$B$20*Underwriting!$B$14/$A5,Underwriting!$B$16/Inputs!$B$21/12/(-PMT(C$3/12,Inputs!$B$19*12,1)),Underwriting!$B$16/Inputs!$B$22)</f>
        <v/>
      </c>
      <c r="D5" s="12">
        <f>MIN(Inputs!$B$20*Underwriting!$B$14/$A5,Underwriting!$B$16/Inputs!$B$21/12/(-PMT(D$3/12,Inputs!$B$19*12,1)),Underwriting!$B$16/Inputs!$B$22)</f>
        <v/>
      </c>
      <c r="E5" s="12">
        <f>MIN(Inputs!$B$20*Underwriting!$B$14/$A5,Underwriting!$B$16/Inputs!$B$21/12/(-PMT(E$3/12,Inputs!$B$19*12,1)),Underwriting!$B$16/Inputs!$B$22)</f>
        <v/>
      </c>
    </row>
    <row r="6" ht="30" customHeight="1">
      <c r="A6" s="8" t="n">
        <v>0.07000000000000001</v>
      </c>
      <c r="B6" s="12">
        <f>MIN(Inputs!$B$20*Underwriting!$B$14/$A6,Underwriting!$B$16/Inputs!$B$21/12/(-PMT(B$3/12,Inputs!$B$19*12,1)),Underwriting!$B$16/Inputs!$B$22)</f>
        <v/>
      </c>
      <c r="C6" s="14">
        <f>MIN(Inputs!$B$20*Underwriting!$B$14/$A6,Underwriting!$B$16/Inputs!$B$21/12/(-PMT(C$3/12,Inputs!$B$19*12,1)),Underwriting!$B$16/Inputs!$B$22)</f>
        <v/>
      </c>
      <c r="D6" s="12">
        <f>MIN(Inputs!$B$20*Underwriting!$B$14/$A6,Underwriting!$B$16/Inputs!$B$21/12/(-PMT(D$3/12,Inputs!$B$19*12,1)),Underwriting!$B$16/Inputs!$B$22)</f>
        <v/>
      </c>
      <c r="E6" s="12">
        <f>MIN(Inputs!$B$20*Underwriting!$B$14/$A6,Underwriting!$B$16/Inputs!$B$21/12/(-PMT(E$3/12,Inputs!$B$19*12,1)),Underwriting!$B$16/Inputs!$B$22)</f>
        <v/>
      </c>
    </row>
    <row r="7" ht="30" customHeight="1">
      <c r="A7" s="8" t="n">
        <v>0.0725</v>
      </c>
      <c r="B7" s="12">
        <f>MIN(Inputs!$B$20*Underwriting!$B$14/$A7,Underwriting!$B$16/Inputs!$B$21/12/(-PMT(B$3/12,Inputs!$B$19*12,1)),Underwriting!$B$16/Inputs!$B$22)</f>
        <v/>
      </c>
      <c r="C7" s="12">
        <f>MIN(Inputs!$B$20*Underwriting!$B$14/$A7,Underwriting!$B$16/Inputs!$B$21/12/(-PMT(C$3/12,Inputs!$B$19*12,1)),Underwriting!$B$16/Inputs!$B$22)</f>
        <v/>
      </c>
      <c r="D7" s="12">
        <f>MIN(Inputs!$B$20*Underwriting!$B$14/$A7,Underwriting!$B$16/Inputs!$B$21/12/(-PMT(D$3/12,Inputs!$B$19*12,1)),Underwriting!$B$16/Inputs!$B$22)</f>
        <v/>
      </c>
      <c r="E7" s="12">
        <f>MIN(Inputs!$B$20*Underwriting!$B$14/$A7,Underwriting!$B$16/Inputs!$B$21/12/(-PMT(E$3/12,Inputs!$B$19*12,1)),Underwriting!$B$16/Inputs!$B$22)</f>
        <v/>
      </c>
    </row>
    <row r="8" ht="30" customHeight="1">
      <c r="A8" s="8" t="n">
        <v>0.075</v>
      </c>
      <c r="B8" s="12">
        <f>MIN(Inputs!$B$20*Underwriting!$B$14/$A8,Underwriting!$B$16/Inputs!$B$21/12/(-PMT(B$3/12,Inputs!$B$19*12,1)),Underwriting!$B$16/Inputs!$B$22)</f>
        <v/>
      </c>
      <c r="C8" s="12">
        <f>MIN(Inputs!$B$20*Underwriting!$B$14/$A8,Underwriting!$B$16/Inputs!$B$21/12/(-PMT(C$3/12,Inputs!$B$19*12,1)),Underwriting!$B$16/Inputs!$B$22)</f>
        <v/>
      </c>
      <c r="D8" s="12">
        <f>MIN(Inputs!$B$20*Underwriting!$B$14/$A8,Underwriting!$B$16/Inputs!$B$21/12/(-PMT(D$3/12,Inputs!$B$19*12,1)),Underwriting!$B$16/Inputs!$B$22)</f>
        <v/>
      </c>
      <c r="E8" s="12">
        <f>MIN(Inputs!$B$20*Underwriting!$B$14/$A8,Underwriting!$B$16/Inputs!$B$21/12/(-PMT(E$3/12,Inputs!$B$19*12,1)),Underwriting!$B$16/Inputs!$B$22)</f>
        <v/>
      </c>
    </row>
    <row r="10" ht="30" customHeight="1">
      <c r="A10" s="3" t="inlineStr">
        <is>
          <t>GPR sensitivity (cap 7.0000%, sizing 7.2500%)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  <c r="E11" s="3" t="inlineStr">
        <is>
          <t>Net cash-out</t>
        </is>
      </c>
    </row>
    <row r="12" ht="30" customHeight="1">
      <c r="A12" s="19" t="n">
        <v>-0.05</v>
      </c>
      <c r="B12" s="12">
        <f>(Inputs!$B$4*(1+$A12)*(1-Inputs!$B$5)+Inputs!$B$6*Inputs!$B$7)*(1-Inputs!$B$11)-Inputs!$B$8-Inputs!$B$9-Inputs!$B$10</f>
        <v/>
      </c>
      <c r="C12" s="12">
        <f>B12-Inputs!$B$12*Inputs!$B$7</f>
        <v/>
      </c>
      <c r="D12" s="12">
        <f>MIN(Inputs!$B$20*B12/Inputs!$B$13,C12/Inputs!$B$21/12/(-PMT(Inputs!$B$18/12,Inputs!$B$19*12,1)),C12/Inputs!$B$22)</f>
        <v/>
      </c>
      <c r="E12" s="12">
        <f>D12*(1-Inputs!$B$23)-Inputs!$B$24-Inputs!$B$25</f>
        <v/>
      </c>
    </row>
    <row r="13" ht="30" customHeight="1">
      <c r="A13" s="19" t="n">
        <v>0</v>
      </c>
      <c r="B13" s="14">
        <f>(Inputs!$B$4*(1+$A13)*(1-Inputs!$B$5)+Inputs!$B$6*Inputs!$B$7)*(1-Inputs!$B$11)-Inputs!$B$8-Inputs!$B$9-Inputs!$B$10</f>
        <v/>
      </c>
      <c r="C13" s="14">
        <f>B13-Inputs!$B$12*Inputs!$B$7</f>
        <v/>
      </c>
      <c r="D13" s="14">
        <f>MIN(Inputs!$B$20*B13/Inputs!$B$13,C13/Inputs!$B$21/12/(-PMT(Inputs!$B$18/12,Inputs!$B$19*12,1)),C13/Inputs!$B$22)</f>
        <v/>
      </c>
      <c r="E13" s="14">
        <f>D13*(1-Inputs!$B$23)-Inputs!$B$24-Inputs!$B$25</f>
        <v/>
      </c>
    </row>
    <row r="14" ht="30" customHeight="1">
      <c r="A14" s="19" t="n">
        <v>0.05</v>
      </c>
      <c r="B14" s="12">
        <f>(Inputs!$B$4*(1+$A14)*(1-Inputs!$B$5)+Inputs!$B$6*Inputs!$B$7)*(1-Inputs!$B$11)-Inputs!$B$8-Inputs!$B$9-Inputs!$B$10</f>
        <v/>
      </c>
      <c r="C14" s="12">
        <f>B14-Inputs!$B$12*Inputs!$B$7</f>
        <v/>
      </c>
      <c r="D14" s="12">
        <f>MIN(Inputs!$B$20*B14/Inputs!$B$13,C14/Inputs!$B$21/12/(-PMT(Inputs!$B$18/12,Inputs!$B$19*12,1)),C14/Inputs!$B$22)</f>
        <v/>
      </c>
      <c r="E14" s="12">
        <f>D14*(1-Inputs!$B$23)-Inputs!$B$24-Inputs!$B$25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0" customWidth="1" min="4" max="4"/>
  </cols>
  <sheetData>
    <row r="1" ht="30" customHeight="1">
      <c r="A1" s="1" t="inlineStr">
        <is>
          <t>Revision Change Log (v1 -&gt; v2)</t>
        </is>
      </c>
    </row>
    <row r="2" ht="30" customHeight="1">
      <c r="A2" s="2" t="inlineStr">
        <is>
          <t>Driver: revision-notice.pdf p1 and rent-roll-revised.xlsx (roll as of 2026-09-01). Prior deliverables underwriting-v1.xlsx and memorandum-v1.pdf remain in the audit archive and are not replaced.</t>
        </is>
      </c>
    </row>
    <row r="3" ht="30" customHeight="1">
      <c r="A3" s="3" t="inlineStr">
        <is>
          <t>Item</t>
        </is>
      </c>
      <c r="B3" s="3" t="inlineStr">
        <is>
          <t>Prior (v1)</t>
        </is>
      </c>
      <c r="C3" s="3" t="inlineStr">
        <is>
          <t>Revised (v2)</t>
        </is>
      </c>
      <c r="D3" s="3" t="inlineStr">
        <is>
          <t>Reason</t>
        </is>
      </c>
    </row>
    <row r="4" ht="30" customHeight="1">
      <c r="A4" s="2" t="inlineStr">
        <is>
          <t>Controlling roll date</t>
        </is>
      </c>
      <c r="B4" s="2" t="inlineStr">
        <is>
          <t>2026-08-31</t>
        </is>
      </c>
      <c r="C4" s="2" t="inlineStr">
        <is>
          <t>2026-09-01</t>
        </is>
      </c>
      <c r="D4" s="2" t="inlineStr">
        <is>
          <t>Revised certified roll supersedes prior roll</t>
        </is>
      </c>
    </row>
    <row r="5" ht="30" customHeight="1">
      <c r="A5" s="2" t="inlineStr">
        <is>
          <t>Suite 002 scheduled rent (monthly)</t>
        </is>
      </c>
      <c r="B5" s="12" t="n">
        <v>6800</v>
      </c>
      <c r="C5" s="12" t="n">
        <v>7025</v>
      </c>
      <c r="D5" s="2" t="inlineStr">
        <is>
          <t>+$225 per revision notice; suite confirmed active</t>
        </is>
      </c>
    </row>
    <row r="6" ht="30" customHeight="1">
      <c r="A6" s="2" t="inlineStr">
        <is>
          <t>Gross potential rent</t>
        </is>
      </c>
      <c r="B6" s="12" t="n">
        <v>818700</v>
      </c>
      <c r="C6" s="12">
        <f>Inputs!B4</f>
        <v/>
      </c>
      <c r="D6" s="2" t="inlineStr">
        <is>
          <t>+$2,700 annually</t>
        </is>
      </c>
    </row>
    <row r="7" ht="30" customHeight="1">
      <c r="A7" s="2" t="inlineStr">
        <is>
          <t>Cap rate</t>
        </is>
      </c>
      <c r="B7" s="8" t="n">
        <v>0.0675</v>
      </c>
      <c r="C7" s="8">
        <f>Inputs!B13</f>
        <v/>
      </c>
      <c r="D7" s="2" t="inlineStr">
        <is>
          <t>+25 bps per revision notice</t>
        </is>
      </c>
    </row>
    <row r="8" ht="30" customHeight="1">
      <c r="A8" s="2" t="inlineStr">
        <is>
          <t>Sizing rate</t>
        </is>
      </c>
      <c r="B8" s="8" t="n">
        <v>0.065</v>
      </c>
      <c r="C8" s="8">
        <f>Inputs!B18</f>
        <v/>
      </c>
      <c r="D8" s="2" t="inlineStr">
        <is>
          <t>+75 bps applied to the initial sizing rate</t>
        </is>
      </c>
    </row>
    <row r="9" ht="30" customHeight="1">
      <c r="A9" s="2" t="inlineStr">
        <is>
          <t>UW EGI</t>
        </is>
      </c>
      <c r="B9" s="12" t="n">
        <v>781265</v>
      </c>
      <c r="C9" s="12">
        <f>Underwriting!B7</f>
        <v/>
      </c>
      <c r="D9" s="2" t="inlineStr">
        <is>
          <t>Higher GPR at unchanged 5% loss</t>
        </is>
      </c>
    </row>
    <row r="10" ht="30" customHeight="1">
      <c r="A10" s="2" t="inlineStr">
        <is>
          <t>UW NOI before reserves</t>
        </is>
      </c>
      <c r="B10" s="12" t="n">
        <v>528590</v>
      </c>
      <c r="C10" s="12">
        <f>Underwriting!B14</f>
        <v/>
      </c>
      <c r="D10" s="2" t="inlineStr">
        <is>
          <t>+$2,488</t>
        </is>
      </c>
    </row>
    <row r="11" ht="30" customHeight="1">
      <c r="A11" s="2" t="inlineStr">
        <is>
          <t>UW NCF</t>
        </is>
      </c>
      <c r="B11" s="12" t="n">
        <v>525590</v>
      </c>
      <c r="C11" s="12">
        <f>Underwriting!B16</f>
        <v/>
      </c>
      <c r="D11" s="2" t="inlineStr">
        <is>
          <t>+$2,488; reserves unchanged</t>
        </is>
      </c>
    </row>
    <row r="12" ht="30" customHeight="1">
      <c r="A12" s="2" t="inlineStr">
        <is>
          <t>Capitalization value</t>
        </is>
      </c>
      <c r="B12" s="12" t="n">
        <v>7830964</v>
      </c>
      <c r="C12" s="12">
        <f>Underwriting!B18</f>
        <v/>
      </c>
      <c r="D12" s="2" t="inlineStr">
        <is>
          <t>Higher cap rate outweighs higher NOI</t>
        </is>
      </c>
    </row>
    <row r="13" ht="30" customHeight="1">
      <c r="A13" s="2" t="inlineStr">
        <is>
          <t>Maximum loan</t>
        </is>
      </c>
      <c r="B13" s="12" t="n">
        <v>5090126</v>
      </c>
      <c r="C13" s="12">
        <f>Debt!B10</f>
        <v/>
      </c>
      <c r="D13" s="2" t="inlineStr">
        <is>
          <t>LTV still binds on a lower value</t>
        </is>
      </c>
    </row>
    <row r="14" ht="30" customHeight="1">
      <c r="A14" s="2" t="inlineStr">
        <is>
          <t>Net cash-out</t>
        </is>
      </c>
      <c r="B14" s="12" t="n">
        <v>694225</v>
      </c>
      <c r="C14" s="12">
        <f>Debt!B28</f>
        <v/>
      </c>
      <c r="D14" s="2" t="inlineStr">
        <is>
          <t>Still positive; no shortfall</t>
        </is>
      </c>
    </row>
    <row r="15" ht="30" customHeight="1">
      <c r="A15" s="2" t="inlineStr">
        <is>
          <t>Occupancy, areas, expiries, expenses, LTV/DSCR/DY tests, fees, payoff</t>
        </is>
      </c>
      <c r="B15" s="2" t="inlineStr">
        <is>
          <t>unchanged</t>
        </is>
      </c>
      <c r="C15" s="2" t="inlineStr">
        <is>
          <t>unchanged</t>
        </is>
      </c>
      <c r="D15" s="2" t="inlineStr">
        <is>
          <t>Revision notice states all other lease details and underwriting rules remain unchanged</t>
        </is>
      </c>
    </row>
    <row r="17" ht="30" customHeight="1">
      <c r="A17" s="2" t="inlineStr">
        <is>
          <t>Approved copy preserved exactly: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rent-roll-revised.xlsx</t>
        </is>
      </c>
      <c r="B4" s="2" t="inlineStr">
        <is>
          <t>Rent Roll A2, A5:F14</t>
        </is>
      </c>
      <c r="C4" s="2" t="inlineStr">
        <is>
          <t>CONTROLLING roll as of 2026-09-01: 10 suites, 9 active, 1 vacant, 32,150 SF, scheduled rent $68,450/mo (Suite 002 $7,025)</t>
        </is>
      </c>
    </row>
    <row r="5" ht="30" customHeight="1">
      <c r="A5" s="2" t="inlineStr">
        <is>
          <t>revision-notice.pdf</t>
        </is>
      </c>
      <c r="B5" s="2" t="inlineStr">
        <is>
          <t>p1</t>
        </is>
      </c>
      <c r="C5" s="2" t="inlineStr">
        <is>
          <t>Revised roll supersedes prior; Suite 002 active with +$225 rent; sizing rate +75 bps; cap rate +25 bps; all other rules and payoff unchanged; preserve approved copy</t>
        </is>
      </c>
    </row>
    <row r="6" ht="30" customHeight="1">
      <c r="A6" s="2" t="inlineStr">
        <is>
          <t>rent-roll-certified.xlsx</t>
        </is>
      </c>
      <c r="B6" s="2" t="inlineStr">
        <is>
          <t>Rent Roll A2, E5:E14</t>
        </is>
      </c>
      <c r="C6" s="2" t="inlineStr">
        <is>
          <t>Prior controlling roll dated 2026-08-31; now superseded, retained for the v1 to v2 comparison</t>
        </is>
      </c>
    </row>
    <row r="7" ht="30" customHeight="1">
      <c r="A7" s="2" t="inlineStr">
        <is>
          <t>rent-roll-archive.xlsx</t>
        </is>
      </c>
      <c r="B7" s="2" t="inlineStr">
        <is>
          <t>Rent Roll A2, E5:E14</t>
        </is>
      </c>
      <c r="C7" s="2" t="inlineStr">
        <is>
          <t>Stale roll dated 2026-06-30; excluded (conflict resolved by date)</t>
        </is>
      </c>
    </row>
    <row r="8" ht="30" customHeight="1">
      <c r="A8" s="2" t="inlineStr">
        <is>
          <t>manager-cover.pdf</t>
        </is>
      </c>
      <c r="B8" s="2" t="inlineStr">
        <is>
          <t>p1</t>
        </is>
      </c>
      <c r="C8" s="2" t="inlineStr">
        <is>
          <t>Headline 9 of 10 leased counts occupied plus pending; certified detail controls occupancy; A/B/C = Small/Standard/Large; approved copy</t>
        </is>
      </c>
    </row>
    <row r="9" ht="30" customHeight="1">
      <c r="A9" s="2" t="inlineStr">
        <is>
          <t>underwriting-instructions.pdf</t>
        </is>
      </c>
      <c r="B9" s="2" t="inlineStr">
        <is>
          <t>p1</t>
        </is>
      </c>
      <c r="C9" s="2" t="inlineStr">
        <is>
          <t>5% loss, $350/suite other income, tax/insurance/other expenses, 3% management, $300/suite reserves, 65% LTV, 1.25x DSCR, 9% DY, 30-yr monthly amortization, 6.5000% note vs 6.00% floor, 1% fee, $45,000 costs, $4,300,000 payoff</t>
        </is>
      </c>
    </row>
    <row r="10" ht="30" customHeight="1">
      <c r="A10" s="2" t="inlineStr">
        <is>
          <t>operating-statement.pdf</t>
        </is>
      </c>
      <c r="B10" s="2" t="inlineStr">
        <is>
          <t>p1</t>
        </is>
      </c>
      <c r="C10" s="2" t="inlineStr">
        <is>
          <t>T12 9/1/2025-8/31/2026: collections $736,830; tax $85,964; insurance $28,655; other $114,618; roof in repairs $0; reported NOI $507,593</t>
        </is>
      </c>
    </row>
    <row r="11" ht="30" customHeight="1">
      <c r="A11" s="2" t="inlineStr">
        <is>
          <t>lease-001.pdf</t>
        </is>
      </c>
      <c r="B11" s="2" t="inlineStr">
        <is>
          <t>p1</t>
        </is>
      </c>
      <c r="C11" s="2" t="inlineStr">
        <is>
          <t>Suite 001 executed lease $6,650/mo, 3,080 SF, expiry 2029-08-31, deposit $13,300, no free rent</t>
        </is>
      </c>
    </row>
    <row r="12" ht="30" customHeight="1">
      <c r="A12" s="2" t="inlineStr">
        <is>
          <t>lease-correspondence.pdf</t>
        </is>
      </c>
      <c r="B12" s="2" t="inlineStr">
        <is>
          <t>p1</t>
        </is>
      </c>
      <c r="C12" s="2" t="inlineStr">
        <is>
          <t>Signed amendment executed 2026-07-20, effective 2026-08-01: +$350/mo -&gt; Suite 001 in-place $7,000; continues to apply</t>
        </is>
      </c>
    </row>
    <row r="13" ht="30" customHeight="1">
      <c r="A13" s="2" t="inlineStr">
        <is>
          <t>insurance.pdf</t>
        </is>
      </c>
      <c r="B13" s="2" t="inlineStr">
        <is>
          <t>p1</t>
        </is>
      </c>
      <c r="C13" s="2" t="inlineStr">
        <is>
          <t>GL aggregate limit $2,000,000; term 7/1/2026-6/30/2027; distinct from insurance expense</t>
        </is>
      </c>
    </row>
    <row r="14" ht="30" customHeight="1">
      <c r="A14" s="2" t="inlineStr">
        <is>
          <t>diligence-status.pdf</t>
        </is>
      </c>
      <c r="B14" s="2" t="inlineStr">
        <is>
          <t>p1</t>
        </is>
      </c>
      <c r="C14" s="2" t="inlineStr">
        <is>
          <t>Legal, environmental, PCA and title reviews outstanding; no defect findings asserted</t>
        </is>
      </c>
    </row>
    <row r="16" ht="30" customHeight="1">
      <c r="A16" s="2" t="inlineStr">
        <is>
          <t>Not supplied (explicitly unknown, not zero): photographs, asking price, market sales/rent comps, appraisal, sponsor history, tenant credit, monthly T12 detail, TI/LC and capital budgets.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2026-09-07T13:49:45Z</dcterms:created>
  <dcterms:modified xmlns:dcterms="http://purl.org/dc/terms/" xmlns:xsi="http://www.w3.org/2001/XMLSchema-instance" xsi:type="dcterms:W3CDTF">2026-09-07T14:06:43Z</dcterms:modified>
</cp:coreProperties>
</file>