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Historical vs UW" sheetId="4" state="visible" r:id="rId4"/>
    <sheet xmlns:r="http://schemas.openxmlformats.org/officeDocument/2006/relationships" name="Occupancy &amp; Mix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I-O Map" sheetId="7" state="visible" r:id="rId7"/>
    <sheet xmlns:r="http://schemas.openxmlformats.org/officeDocument/2006/relationships" name="Source Register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0\x"/>
    <numFmt numFmtId="165" formatCode="\$#,##0;&quot;($&quot;#,##0\);\-"/>
    <numFmt numFmtId="166" formatCode="0.00000000"/>
  </numFmts>
  <fonts count="12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0000FF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FFFFFF"/>
      <sz val="13"/>
    </font>
    <font>
      <name val="Arial"/>
      <charset val="1"/>
      <family val="0"/>
      <color rgb="FF008000"/>
      <sz val="11"/>
    </font>
    <font>
      <name val="Arial"/>
      <charset val="1"/>
      <family val="0"/>
      <i val="1"/>
      <sz val="11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1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0" fontId="8" fillId="3" borderId="0" applyAlignment="1" pivotButton="0" quotePrefix="0" xfId="0">
      <alignment horizontal="general" vertical="bottom"/>
    </xf>
    <xf numFmtId="10" fontId="5" fillId="3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6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6" fillId="4" borderId="1" applyAlignment="1" pivotButton="0" quotePrefix="0" xfId="0">
      <alignment horizontal="general" vertical="bottom"/>
    </xf>
    <xf numFmtId="165" fontId="6" fillId="4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5" fontId="10" fillId="3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5" fontId="8" fillId="3" borderId="0" applyAlignment="1" pivotButton="0" quotePrefix="0" xfId="0">
      <alignment horizontal="general" vertical="bottom"/>
    </xf>
    <xf numFmtId="10" fontId="10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1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0" fontId="6" fillId="4" borderId="0" applyAlignment="1" pivotButton="0" quotePrefix="0" xfId="0">
      <alignment horizontal="general" vertical="bottom"/>
    </xf>
    <xf numFmtId="165" fontId="6" fillId="3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1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0" fontId="8" fillId="3" borderId="0" applyAlignment="1" pivotButton="0" quotePrefix="0" xfId="0">
      <alignment horizontal="general" vertical="bottom"/>
    </xf>
    <xf numFmtId="10" fontId="5" fillId="3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general" vertical="bottom"/>
    </xf>
    <xf numFmtId="3" fontId="0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165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bottom"/>
    </xf>
    <xf numFmtId="0" fontId="6" fillId="4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3" fontId="6" fillId="4" borderId="1" applyAlignment="1" pivotButton="0" quotePrefix="0" xfId="0">
      <alignment horizontal="general" vertical="bottom"/>
    </xf>
    <xf numFmtId="165" fontId="6" fillId="4" borderId="1" applyAlignment="1" pivotButton="0" quotePrefix="0" xfId="0">
      <alignment horizontal="general" vertical="bottom"/>
    </xf>
    <xf numFmtId="165" fontId="10" fillId="3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5" fontId="8" fillId="3" borderId="0" applyAlignment="1" pivotButton="0" quotePrefix="0" xfId="0">
      <alignment horizontal="general" vertical="bottom"/>
    </xf>
    <xf numFmtId="10" fontId="10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3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10" fontId="8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0" fontId="6" fillId="4" borderId="0" applyAlignment="1" pivotButton="0" quotePrefix="0" xfId="0">
      <alignment horizontal="general" vertical="bottom"/>
    </xf>
    <xf numFmtId="165" fontId="6" fillId="3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4" customWidth="1" style="44" min="1" max="1"/>
    <col width="18" customWidth="1" style="44" min="2" max="2"/>
    <col width="14" customWidth="1" style="44" min="3" max="3"/>
    <col width="60" customWidth="1" style="44" min="4" max="4"/>
  </cols>
  <sheetData>
    <row r="1" ht="21.75" customHeight="1" s="45">
      <c r="A1" s="46" t="inlineStr">
        <is>
          <t>BEACON PLAZA — UNDERWRITING INPUTS</t>
        </is>
      </c>
    </row>
    <row r="2" ht="15" customHeight="1" s="45">
      <c r="A2" s="44" t="inlineStr">
        <is>
          <t>Evaluation date</t>
        </is>
      </c>
      <c r="B2" s="47" t="inlineStr">
        <is>
          <t>2026-08-31</t>
        </is>
      </c>
      <c r="D2" s="44" t="inlineStr">
        <is>
          <t>Source: manager cover / certified rent roll</t>
        </is>
      </c>
    </row>
    <row r="3" ht="15" customHeight="1" s="45">
      <c r="A3" s="48" t="inlineStr">
        <is>
          <t>Legend</t>
        </is>
      </c>
      <c r="B3" s="47" t="inlineStr">
        <is>
          <t>Blue = input</t>
        </is>
      </c>
      <c r="C3" s="49" t="inlineStr">
        <is>
          <t>Yellow fill = key input</t>
        </is>
      </c>
      <c r="D3" s="44" t="inlineStr">
        <is>
          <t>Black = formula   |   Green = cross-sheet link</t>
        </is>
      </c>
    </row>
    <row r="5" ht="15" customHeight="1" s="45">
      <c r="A5" s="50" t="inlineStr">
        <is>
          <t>LOAN CONSTRAINTS &amp; RATES</t>
        </is>
      </c>
    </row>
    <row r="6" ht="15" customHeight="1" s="45">
      <c r="A6" s="48" t="inlineStr">
        <is>
          <t>ltv_limit</t>
        </is>
      </c>
      <c r="B6" s="51" t="n">
        <v>0.6</v>
      </c>
      <c r="D6" s="44" t="inlineStr">
        <is>
          <t>Underwriting instructions</t>
        </is>
      </c>
    </row>
    <row r="7" ht="15" customHeight="1" s="45">
      <c r="A7" s="48" t="inlineStr">
        <is>
          <t>dscr_limit</t>
        </is>
      </c>
      <c r="B7" s="52" t="n">
        <v>1.25</v>
      </c>
      <c r="D7" s="44" t="inlineStr">
        <is>
          <t>Minimum DSCR — instructions</t>
        </is>
      </c>
    </row>
    <row r="8" ht="15" customHeight="1" s="45">
      <c r="A8" s="48" t="inlineStr">
        <is>
          <t>debt_yield_limit</t>
        </is>
      </c>
      <c r="B8" s="51" t="n">
        <v>0.09</v>
      </c>
      <c r="D8" s="44" t="inlineStr">
        <is>
          <t>Minimum NCF debt yield — instructions</t>
        </is>
      </c>
    </row>
    <row r="9" ht="15" customHeight="1" s="45">
      <c r="A9" s="48" t="inlineStr">
        <is>
          <t>note_rate</t>
        </is>
      </c>
      <c r="B9" s="51" t="n">
        <v>0.0675</v>
      </c>
      <c r="D9" s="44" t="inlineStr">
        <is>
          <t>Note rate — instructions</t>
        </is>
      </c>
    </row>
    <row r="10" ht="15" customHeight="1" s="45">
      <c r="A10" s="48" t="inlineStr">
        <is>
          <t>rate_floor</t>
        </is>
      </c>
      <c r="B10" s="51" t="n">
        <v>0.06</v>
      </c>
      <c r="D10" s="44" t="inlineStr">
        <is>
          <t>UW rate floor — instructions</t>
        </is>
      </c>
    </row>
    <row r="11" ht="15" customHeight="1" s="45">
      <c r="A11" s="48" t="inlineStr">
        <is>
          <t>amort_years</t>
        </is>
      </c>
      <c r="B11" s="53" t="n">
        <v>30</v>
      </c>
      <c r="D11" s="44" t="inlineStr">
        <is>
          <t>Amortization years — instructions</t>
        </is>
      </c>
    </row>
    <row r="12" ht="15" customHeight="1" s="45">
      <c r="A12" s="48" t="inlineStr">
        <is>
          <t>origination_fee_pct</t>
        </is>
      </c>
      <c r="B12" s="51" t="n">
        <v>0.01</v>
      </c>
      <c r="D12" s="44" t="inlineStr">
        <is>
          <t>1% of sized loan — instructions</t>
        </is>
      </c>
    </row>
    <row r="13" ht="15" customHeight="1" s="45">
      <c r="A13" s="48" t="inlineStr">
        <is>
          <t>closing_costs</t>
        </is>
      </c>
      <c r="B13" s="54" t="n">
        <v>45000</v>
      </c>
      <c r="D13" s="44" t="inlineStr">
        <is>
          <t>Closing costs — instructions</t>
        </is>
      </c>
    </row>
    <row r="14" ht="15" customHeight="1" s="45">
      <c r="A14" s="48" t="inlineStr">
        <is>
          <t>existing_payoff</t>
        </is>
      </c>
      <c r="B14" s="54" t="n">
        <v>6500000</v>
      </c>
      <c r="D14" s="44" t="inlineStr">
        <is>
          <t>Existing payoff — instructions</t>
        </is>
      </c>
    </row>
    <row r="15" ht="15" customHeight="1" s="45">
      <c r="A15" s="50" t="inlineStr">
        <is>
          <t>SIZING RATE (computed — surfaced as required output)</t>
        </is>
      </c>
    </row>
    <row r="16" ht="15" customHeight="1" s="45">
      <c r="A16" s="48" t="inlineStr">
        <is>
          <t>sizing_rate</t>
        </is>
      </c>
      <c r="B16" s="55">
        <f>MAX(B9,B10)</f>
        <v/>
      </c>
      <c r="D16" s="44" t="inlineStr">
        <is>
          <t>MAX(note_rate, rate_floor) — instructions: size on the greater rate</t>
        </is>
      </c>
    </row>
    <row r="18" ht="15" customHeight="1" s="45">
      <c r="A18" s="50" t="inlineStr">
        <is>
          <t>UNDERWRITING ASSUMPTIONS</t>
        </is>
      </c>
    </row>
    <row r="19" ht="15" customHeight="1" s="45">
      <c r="A19" s="48" t="inlineStr">
        <is>
          <t>economic_loss_pct</t>
        </is>
      </c>
      <c r="B19" s="51" t="n">
        <v>0.05</v>
      </c>
      <c r="D19" s="44" t="inlineStr">
        <is>
          <t>Economic loss — instructions</t>
        </is>
      </c>
    </row>
    <row r="20" ht="15" customHeight="1" s="45">
      <c r="A20" s="48" t="inlineStr">
        <is>
          <t>other_income_per_unit</t>
        </is>
      </c>
      <c r="B20" s="54" t="n">
        <v>350</v>
      </c>
      <c r="D20" s="44" t="inlineStr">
        <is>
          <t>$350 / unit / year — instructions</t>
        </is>
      </c>
    </row>
    <row r="21" ht="15" customHeight="1" s="45">
      <c r="A21" s="48" t="inlineStr">
        <is>
          <t>management_fee_pct</t>
        </is>
      </c>
      <c r="B21" s="51" t="n">
        <v>0.03</v>
      </c>
      <c r="D21" s="44" t="inlineStr">
        <is>
          <t>3% of EGI — instructions</t>
        </is>
      </c>
    </row>
    <row r="22" ht="15" customHeight="1" s="45">
      <c r="A22" s="48" t="inlineStr">
        <is>
          <t>replacement_reserve_per_unit</t>
        </is>
      </c>
      <c r="B22" s="54" t="n">
        <v>300</v>
      </c>
      <c r="D22" s="44" t="inlineStr">
        <is>
          <t>$300 / unit / year — instructions</t>
        </is>
      </c>
    </row>
    <row r="23" ht="15" customHeight="1" s="45">
      <c r="A23" s="48" t="inlineStr">
        <is>
          <t>cap_rate</t>
        </is>
      </c>
      <c r="B23" s="56" t="n">
        <v>0.08</v>
      </c>
      <c r="D23" s="44" t="inlineStr">
        <is>
          <t>Capitalize NOI before reserves — instructions</t>
        </is>
      </c>
    </row>
    <row r="24" ht="15" customHeight="1" s="45">
      <c r="A24" s="48" t="inlineStr">
        <is>
          <t>uw_tax</t>
        </is>
      </c>
      <c r="B24" s="54" t="n">
        <v>169974</v>
      </c>
      <c r="D24" s="44" t="inlineStr">
        <is>
          <t>Real estate tax — instructions &amp; operating stmt</t>
        </is>
      </c>
    </row>
    <row r="25" ht="15" customHeight="1" s="45">
      <c r="A25" s="48" t="inlineStr">
        <is>
          <t>uw_insurance</t>
        </is>
      </c>
      <c r="B25" s="54" t="n">
        <v>56658</v>
      </c>
      <c r="D25" s="44" t="inlineStr">
        <is>
          <t>Insurance expense — instructions &amp; operating stmt</t>
        </is>
      </c>
    </row>
    <row r="26" ht="15" customHeight="1" s="45">
      <c r="A26" s="48" t="inlineStr">
        <is>
          <t>uw_other_recurring_opex</t>
        </is>
      </c>
      <c r="B26" s="54" t="n">
        <v>226632</v>
      </c>
      <c r="D26" s="44" t="inlineStr">
        <is>
          <t>Other recurring opex — instructions &amp; operating stmt</t>
        </is>
      </c>
    </row>
    <row r="27" ht="15" customHeight="1" s="45">
      <c r="A27" s="48" t="inlineStr">
        <is>
          <t>total_units</t>
        </is>
      </c>
      <c r="B27" s="53" t="n">
        <v>12</v>
      </c>
      <c r="D27" s="44" t="inlineStr">
        <is>
          <t>Certified rent roll</t>
        </is>
      </c>
    </row>
  </sheetData>
  <mergeCells count="4">
    <mergeCell ref="A1:D1"/>
    <mergeCell ref="A18:D18"/>
    <mergeCell ref="A5:D5"/>
    <mergeCell ref="A15:D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10" customWidth="1" style="44" min="1" max="1"/>
    <col width="16" customWidth="1" style="44" min="2" max="2"/>
    <col width="10" customWidth="1" style="44" min="3" max="3"/>
    <col width="14" customWidth="1" style="44" min="4" max="4"/>
    <col width="20" customWidth="1" style="44" min="5" max="5"/>
    <col width="16" customWidth="1" style="44" min="6" max="6"/>
    <col width="14" customWidth="1" style="44" min="7" max="7"/>
    <col width="20" customWidth="1" style="44" min="8" max="8"/>
    <col width="18" customWidth="1" style="44" min="9" max="9"/>
    <col width="14" customWidth="1" style="44" min="10" max="10"/>
  </cols>
  <sheetData>
    <row r="1" ht="15" customHeight="1" s="45">
      <c r="A1" s="57" t="inlineStr">
        <is>
          <t>BEACON PLAZA — CERTIFIED RENT ROLL (AS OF 2026-08-31)</t>
        </is>
      </c>
    </row>
    <row r="3" ht="31.5" customHeight="1" s="45">
      <c r="A3" s="58" t="inlineStr">
        <is>
          <t>Suite</t>
        </is>
      </c>
      <c r="B3" s="58" t="inlineStr">
        <is>
          <t>Unit type</t>
        </is>
      </c>
      <c r="C3" s="58" t="inlineStr">
        <is>
          <t>Group</t>
        </is>
      </c>
      <c r="D3" s="58" t="inlineStr">
        <is>
          <t>Area SF</t>
        </is>
      </c>
      <c r="E3" s="58" t="inlineStr">
        <is>
          <t>Possession</t>
        </is>
      </c>
      <c r="F3" s="58" t="inlineStr">
        <is>
          <t>Monthly rent (certified)</t>
        </is>
      </c>
      <c r="G3" s="58" t="inlineStr">
        <is>
          <t>Lease expiration</t>
        </is>
      </c>
      <c r="H3" s="58" t="inlineStr">
        <is>
          <t>Monthly rent for GPR (pre-001 amend.)</t>
        </is>
      </c>
      <c r="I3" s="58" t="inlineStr">
        <is>
          <t>Annual in-place rent</t>
        </is>
      </c>
      <c r="J3" s="58" t="inlineStr">
        <is>
          <t>Near-term rollover?</t>
        </is>
      </c>
    </row>
    <row r="4" ht="15" customHeight="1" s="45">
      <c r="A4" s="59" t="inlineStr">
        <is>
          <t>001</t>
        </is>
      </c>
      <c r="B4" s="60" t="inlineStr">
        <is>
          <t>Small suite</t>
        </is>
      </c>
      <c r="C4" s="59" t="inlineStr">
        <is>
          <t>A</t>
        </is>
      </c>
      <c r="D4" s="61" t="n">
        <v>5380</v>
      </c>
      <c r="E4" s="60" t="inlineStr">
        <is>
          <t>active</t>
        </is>
      </c>
      <c r="F4" s="62" t="n">
        <v>11050</v>
      </c>
      <c r="G4" s="59" t="inlineStr">
        <is>
          <t>2027-02-28</t>
        </is>
      </c>
      <c r="H4" s="62" t="n">
        <v>10975</v>
      </c>
      <c r="I4" s="63">
        <f>IF(E4="active",F4*12,0)</f>
        <v/>
      </c>
      <c r="J4" s="64">
        <f>IF(AND(E4="active",DATEVALUE(G4)&lt;DATEVALUE("2027-08-31")),"YES","")</f>
        <v/>
      </c>
    </row>
    <row r="5" ht="15" customHeight="1" s="45">
      <c r="A5" s="59" t="inlineStr">
        <is>
          <t>002</t>
        </is>
      </c>
      <c r="B5" s="60" t="inlineStr">
        <is>
          <t>Standard suite</t>
        </is>
      </c>
      <c r="C5" s="59" t="inlineStr">
        <is>
          <t>B</t>
        </is>
      </c>
      <c r="D5" s="61" t="n">
        <v>5500</v>
      </c>
      <c r="E5" s="60" t="inlineStr">
        <is>
          <t>active</t>
        </is>
      </c>
      <c r="F5" s="62" t="n">
        <v>11200</v>
      </c>
      <c r="G5" s="59" t="inlineStr">
        <is>
          <t>2029-08-31</t>
        </is>
      </c>
      <c r="H5" s="62" t="n">
        <v>11200</v>
      </c>
      <c r="I5" s="63">
        <f>IF(E5="active",F5*12,0)</f>
        <v/>
      </c>
      <c r="J5" s="64">
        <f>IF(AND(E5="active",DATEVALUE(G5)&lt;DATEVALUE("2027-08-31")),"YES","")</f>
        <v/>
      </c>
    </row>
    <row r="6" ht="15" customHeight="1" s="45">
      <c r="A6" s="59" t="inlineStr">
        <is>
          <t>003</t>
        </is>
      </c>
      <c r="B6" s="60" t="inlineStr">
        <is>
          <t>Large suite</t>
        </is>
      </c>
      <c r="C6" s="59" t="inlineStr">
        <is>
          <t>C</t>
        </is>
      </c>
      <c r="D6" s="61" t="n">
        <v>5710</v>
      </c>
      <c r="E6" s="60" t="inlineStr">
        <is>
          <t>active</t>
        </is>
      </c>
      <c r="F6" s="62" t="n">
        <v>11475</v>
      </c>
      <c r="G6" s="59" t="inlineStr">
        <is>
          <t>2029-08-31</t>
        </is>
      </c>
      <c r="H6" s="62" t="n">
        <v>11475</v>
      </c>
      <c r="I6" s="63">
        <f>IF(E6="active",F6*12,0)</f>
        <v/>
      </c>
      <c r="J6" s="64">
        <f>IF(AND(E6="active",DATEVALUE(G6)&lt;DATEVALUE("2027-08-31")),"YES","")</f>
        <v/>
      </c>
    </row>
    <row r="7" ht="15" customHeight="1" s="45">
      <c r="A7" s="59" t="inlineStr">
        <is>
          <t>004</t>
        </is>
      </c>
      <c r="B7" s="60" t="inlineStr">
        <is>
          <t>Small suite</t>
        </is>
      </c>
      <c r="C7" s="59" t="inlineStr">
        <is>
          <t>A</t>
        </is>
      </c>
      <c r="D7" s="61" t="n">
        <v>5380</v>
      </c>
      <c r="E7" s="60" t="inlineStr">
        <is>
          <t>active</t>
        </is>
      </c>
      <c r="F7" s="62" t="n">
        <v>11050</v>
      </c>
      <c r="G7" s="59" t="inlineStr">
        <is>
          <t>2029-08-31</t>
        </is>
      </c>
      <c r="H7" s="62" t="n">
        <v>10975</v>
      </c>
      <c r="I7" s="63">
        <f>IF(E7="active",F7*12,0)</f>
        <v/>
      </c>
      <c r="J7" s="64">
        <f>IF(AND(E7="active",DATEVALUE(G7)&lt;DATEVALUE("2027-08-31")),"YES","")</f>
        <v/>
      </c>
    </row>
    <row r="8" ht="15" customHeight="1" s="45">
      <c r="A8" s="59" t="inlineStr">
        <is>
          <t>005</t>
        </is>
      </c>
      <c r="B8" s="60" t="inlineStr">
        <is>
          <t>Standard suite</t>
        </is>
      </c>
      <c r="C8" s="59" t="inlineStr">
        <is>
          <t>B</t>
        </is>
      </c>
      <c r="D8" s="61" t="n">
        <v>5500</v>
      </c>
      <c r="E8" s="60" t="inlineStr">
        <is>
          <t>active</t>
        </is>
      </c>
      <c r="F8" s="62" t="n">
        <v>11200</v>
      </c>
      <c r="G8" s="59" t="inlineStr">
        <is>
          <t>2029-08-31</t>
        </is>
      </c>
      <c r="H8" s="62" t="n">
        <v>11200</v>
      </c>
      <c r="I8" s="63">
        <f>IF(E8="active",F8*12,0)</f>
        <v/>
      </c>
      <c r="J8" s="64">
        <f>IF(AND(E8="active",DATEVALUE(G8)&lt;DATEVALUE("2027-08-31")),"YES","")</f>
        <v/>
      </c>
    </row>
    <row r="9" ht="15" customHeight="1" s="45">
      <c r="A9" s="59" t="inlineStr">
        <is>
          <t>006</t>
        </is>
      </c>
      <c r="B9" s="60" t="inlineStr">
        <is>
          <t>Large suite</t>
        </is>
      </c>
      <c r="C9" s="59" t="inlineStr">
        <is>
          <t>C</t>
        </is>
      </c>
      <c r="D9" s="61" t="n">
        <v>5710</v>
      </c>
      <c r="E9" s="60" t="inlineStr">
        <is>
          <t>active</t>
        </is>
      </c>
      <c r="F9" s="62" t="n">
        <v>11475</v>
      </c>
      <c r="G9" s="59" t="inlineStr">
        <is>
          <t>2029-08-31</t>
        </is>
      </c>
      <c r="H9" s="62" t="n">
        <v>11475</v>
      </c>
      <c r="I9" s="63">
        <f>IF(E9="active",F9*12,0)</f>
        <v/>
      </c>
      <c r="J9" s="64">
        <f>IF(AND(E9="active",DATEVALUE(G9)&lt;DATEVALUE("2027-08-31")),"YES","")</f>
        <v/>
      </c>
    </row>
    <row r="10" ht="15" customHeight="1" s="45">
      <c r="A10" s="59" t="inlineStr">
        <is>
          <t>007</t>
        </is>
      </c>
      <c r="B10" s="60" t="inlineStr">
        <is>
          <t>Small suite</t>
        </is>
      </c>
      <c r="C10" s="59" t="inlineStr">
        <is>
          <t>A</t>
        </is>
      </c>
      <c r="D10" s="61" t="n">
        <v>5380</v>
      </c>
      <c r="E10" s="60" t="inlineStr">
        <is>
          <t>active</t>
        </is>
      </c>
      <c r="F10" s="62" t="n">
        <v>11050</v>
      </c>
      <c r="G10" s="59" t="inlineStr">
        <is>
          <t>2029-08-31</t>
        </is>
      </c>
      <c r="H10" s="62" t="n">
        <v>10975</v>
      </c>
      <c r="I10" s="63">
        <f>IF(E10="active",F10*12,0)</f>
        <v/>
      </c>
      <c r="J10" s="64">
        <f>IF(AND(E10="active",DATEVALUE(G10)&lt;DATEVALUE("2027-08-31")),"YES","")</f>
        <v/>
      </c>
    </row>
    <row r="11" ht="15" customHeight="1" s="45">
      <c r="A11" s="59" t="inlineStr">
        <is>
          <t>008</t>
        </is>
      </c>
      <c r="B11" s="60" t="inlineStr">
        <is>
          <t>Standard suite</t>
        </is>
      </c>
      <c r="C11" s="59" t="inlineStr">
        <is>
          <t>B</t>
        </is>
      </c>
      <c r="D11" s="61" t="n">
        <v>5500</v>
      </c>
      <c r="E11" s="60" t="inlineStr">
        <is>
          <t>active</t>
        </is>
      </c>
      <c r="F11" s="62" t="n">
        <v>11200</v>
      </c>
      <c r="G11" s="59" t="inlineStr">
        <is>
          <t>2029-08-31</t>
        </is>
      </c>
      <c r="H11" s="62" t="n">
        <v>11200</v>
      </c>
      <c r="I11" s="63">
        <f>IF(E11="active",F11*12,0)</f>
        <v/>
      </c>
      <c r="J11" s="64">
        <f>IF(AND(E11="active",DATEVALUE(G11)&lt;DATEVALUE("2027-08-31")),"YES","")</f>
        <v/>
      </c>
    </row>
    <row r="12" ht="15" customHeight="1" s="45">
      <c r="A12" s="59" t="inlineStr">
        <is>
          <t>009</t>
        </is>
      </c>
      <c r="B12" s="60" t="inlineStr">
        <is>
          <t>Large suite</t>
        </is>
      </c>
      <c r="C12" s="59" t="inlineStr">
        <is>
          <t>C</t>
        </is>
      </c>
      <c r="D12" s="61" t="n">
        <v>5710</v>
      </c>
      <c r="E12" s="60" t="inlineStr">
        <is>
          <t>active</t>
        </is>
      </c>
      <c r="F12" s="62" t="n">
        <v>11475</v>
      </c>
      <c r="G12" s="59" t="inlineStr">
        <is>
          <t>2029-08-31</t>
        </is>
      </c>
      <c r="H12" s="62" t="n">
        <v>11475</v>
      </c>
      <c r="I12" s="63">
        <f>IF(E12="active",F12*12,0)</f>
        <v/>
      </c>
      <c r="J12" s="64">
        <f>IF(AND(E12="active",DATEVALUE(G12)&lt;DATEVALUE("2027-08-31")),"YES","")</f>
        <v/>
      </c>
    </row>
    <row r="13" ht="15" customHeight="1" s="45">
      <c r="A13" s="59" t="inlineStr">
        <is>
          <t>010</t>
        </is>
      </c>
      <c r="B13" s="60" t="inlineStr">
        <is>
          <t>Small suite</t>
        </is>
      </c>
      <c r="C13" s="59" t="inlineStr">
        <is>
          <t>A</t>
        </is>
      </c>
      <c r="D13" s="61" t="n">
        <v>5380</v>
      </c>
      <c r="E13" s="60" t="inlineStr">
        <is>
          <t>pending</t>
        </is>
      </c>
      <c r="F13" s="62" t="n">
        <v>11050</v>
      </c>
      <c r="G13" s="59" t="inlineStr">
        <is>
          <t>2029-08-31</t>
        </is>
      </c>
      <c r="H13" s="62" t="n">
        <v>10975</v>
      </c>
      <c r="I13" s="63">
        <f>IF(E13="active",F13*12,0)</f>
        <v/>
      </c>
      <c r="J13" s="64">
        <f>IF(AND(E13="active",DATEVALUE(G13)&lt;DATEVALUE("2027-08-31")),"YES","")</f>
        <v/>
      </c>
    </row>
    <row r="14" ht="15" customHeight="1" s="45">
      <c r="A14" s="59" t="inlineStr">
        <is>
          <t>011</t>
        </is>
      </c>
      <c r="B14" s="60" t="inlineStr">
        <is>
          <t>Standard suite</t>
        </is>
      </c>
      <c r="C14" s="59" t="inlineStr">
        <is>
          <t>B</t>
        </is>
      </c>
      <c r="D14" s="61" t="n">
        <v>5500</v>
      </c>
      <c r="E14" s="60" t="inlineStr">
        <is>
          <t>vacant</t>
        </is>
      </c>
      <c r="F14" s="62" t="n">
        <v>11200</v>
      </c>
      <c r="G14" s="59" t="inlineStr">
        <is>
          <t>2029-08-31</t>
        </is>
      </c>
      <c r="H14" s="62" t="n">
        <v>11200</v>
      </c>
      <c r="I14" s="63">
        <f>IF(E14="active",F14*12,0)</f>
        <v/>
      </c>
      <c r="J14" s="64">
        <f>IF(AND(E14="active",DATEVALUE(G14)&lt;DATEVALUE("2027-08-31")),"YES","")</f>
        <v/>
      </c>
    </row>
    <row r="15" ht="15" customHeight="1" s="45">
      <c r="A15" s="59" t="inlineStr">
        <is>
          <t>012</t>
        </is>
      </c>
      <c r="B15" s="60" t="inlineStr">
        <is>
          <t>Large suite</t>
        </is>
      </c>
      <c r="C15" s="59" t="inlineStr">
        <is>
          <t>C</t>
        </is>
      </c>
      <c r="D15" s="61" t="n">
        <v>5710</v>
      </c>
      <c r="E15" s="60" t="inlineStr">
        <is>
          <t>vacant</t>
        </is>
      </c>
      <c r="F15" s="62" t="n">
        <v>11475</v>
      </c>
      <c r="G15" s="59" t="inlineStr">
        <is>
          <t>2029-08-31</t>
        </is>
      </c>
      <c r="H15" s="62" t="n">
        <v>11475</v>
      </c>
      <c r="I15" s="63">
        <f>IF(E15="active",F15*12,0)</f>
        <v/>
      </c>
      <c r="J15" s="64">
        <f>IF(AND(E15="active",DATEVALUE(G15)&lt;DATEVALUE("2027-08-31")),"YES","")</f>
        <v/>
      </c>
    </row>
    <row r="16" ht="15" customHeight="1" s="45">
      <c r="A16" s="65" t="inlineStr">
        <is>
          <t>TOTAL</t>
        </is>
      </c>
      <c r="B16" s="66" t="n"/>
      <c r="C16" s="66" t="n"/>
      <c r="D16" s="67">
        <f>SUM(D4:D15)</f>
        <v/>
      </c>
      <c r="E16" s="66" t="n"/>
      <c r="F16" s="68">
        <f>SUM(F4:F15)</f>
        <v/>
      </c>
      <c r="G16" s="66" t="n"/>
      <c r="H16" s="68">
        <f>SUM(H4:H15)</f>
        <v/>
      </c>
      <c r="I16" s="68">
        <f>SUM(I4:I15)</f>
        <v/>
      </c>
      <c r="J16" s="66" t="n"/>
    </row>
    <row r="18" ht="15" customHeight="1" s="45">
      <c r="A18" s="48" t="inlineStr">
        <is>
          <t>Notes:</t>
        </is>
      </c>
    </row>
    <row r="19" ht="15" customHeight="1" s="45">
      <c r="A19" s="44" t="inlineStr">
        <is>
          <t>Group mapping (manager cover): A = Small suite, B = Standard suite, C = Large suite.</t>
        </is>
      </c>
    </row>
    <row r="20" ht="15" customHeight="1" s="45">
      <c r="A20" s="44" t="inlineStr">
        <is>
          <t>Physical occupancy = "active" only. "Pending" is not in possession (manager cover; certified rent roll note).</t>
        </is>
      </c>
    </row>
    <row r="21" ht="15" customHeight="1" s="45">
      <c r="A21" s="44" t="inlineStr">
        <is>
          <t>"Monthly rent for GPR" strips the Suite 001 amendment ($10,975 pre-amendment on archive roll); UW instructions require the pre-amendment monthly for GPR.</t>
        </is>
      </c>
    </row>
    <row r="22" ht="15" customHeight="1" s="45">
      <c r="A22" s="44" t="inlineStr">
        <is>
          <t>Near-term rollover horizon = active leases expiring on or before 2027-08-31 (12 months from evaluation date).</t>
        </is>
      </c>
    </row>
  </sheetData>
  <mergeCells count="6">
    <mergeCell ref="A1:J1"/>
    <mergeCell ref="A22:J22"/>
    <mergeCell ref="A18:J18"/>
    <mergeCell ref="A21:J21"/>
    <mergeCell ref="A20:J20"/>
    <mergeCell ref="A19:J1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2" customWidth="1" style="44" min="1" max="1"/>
    <col width="18" customWidth="1" style="44" min="2" max="2"/>
    <col width="14" customWidth="1" style="44" min="3" max="3"/>
    <col width="60" customWidth="1" style="44" min="4" max="4"/>
  </cols>
  <sheetData>
    <row r="1" ht="15" customHeight="1" s="45">
      <c r="A1" s="46" t="inlineStr">
        <is>
          <t>BEACON PLAZA — RECONCILED UNDERWRITING</t>
        </is>
      </c>
    </row>
    <row r="3" ht="15" customHeight="1" s="45">
      <c r="A3" s="50" t="inlineStr">
        <is>
          <t>INCOME</t>
        </is>
      </c>
    </row>
    <row r="4" ht="15" customHeight="1" s="45">
      <c r="A4" s="48" t="inlineStr">
        <is>
          <t>gross_potential_rent</t>
        </is>
      </c>
      <c r="B4" s="69">
        <f>SUM('Rent Roll'!H4:H15)*12</f>
        <v/>
      </c>
      <c r="D4" s="44" t="inlineStr">
        <is>
          <t>All-suite monthly rent (pre-001 amendment) × 12 — instructions</t>
        </is>
      </c>
    </row>
    <row r="5" ht="15" customHeight="1" s="45">
      <c r="A5" s="48" t="inlineStr">
        <is>
          <t>Economic loss (vacancy/credit)</t>
        </is>
      </c>
      <c r="B5" s="70">
        <f>-Underwriting!$B$4*Inputs!$B$19</f>
        <v/>
      </c>
      <c r="D5" s="44" t="inlineStr">
        <is>
          <t>5% of GPR — instructions</t>
        </is>
      </c>
    </row>
    <row r="6" ht="15" customHeight="1" s="45">
      <c r="A6" s="48" t="inlineStr">
        <is>
          <t>Effective rental income</t>
        </is>
      </c>
      <c r="B6" s="70">
        <f>Underwriting!$B$4+Underwriting!$B$5</f>
        <v/>
      </c>
    </row>
    <row r="7" ht="15" customHeight="1" s="45">
      <c r="A7" s="48" t="inlineStr">
        <is>
          <t>Other income ($350 × total units)</t>
        </is>
      </c>
      <c r="B7" s="71">
        <f>Inputs!$B$20*Inputs!$B$27</f>
        <v/>
      </c>
      <c r="D7" s="44" t="inlineStr">
        <is>
          <t>$350 per unit/suite — instructions (reimbursement already included, not doubled)</t>
        </is>
      </c>
    </row>
    <row r="8" ht="15" customHeight="1" s="45">
      <c r="A8" s="48" t="inlineStr">
        <is>
          <t>uw_egi</t>
        </is>
      </c>
      <c r="B8" s="72">
        <f>Underwriting!$B$6+Underwriting!$B$7</f>
        <v/>
      </c>
    </row>
    <row r="10" ht="15" customHeight="1" s="45">
      <c r="A10" s="50" t="inlineStr">
        <is>
          <t>OPERATING EXPENSES</t>
        </is>
      </c>
    </row>
    <row r="11" ht="15" customHeight="1" s="45">
      <c r="A11" s="48" t="inlineStr">
        <is>
          <t>uw_tax</t>
        </is>
      </c>
      <c r="B11" s="71">
        <f>Inputs!$B$24</f>
        <v/>
      </c>
    </row>
    <row r="12" ht="15" customHeight="1" s="45">
      <c r="A12" s="48" t="inlineStr">
        <is>
          <t>uw_insurance</t>
        </is>
      </c>
      <c r="B12" s="71">
        <f>Inputs!$B$25</f>
        <v/>
      </c>
    </row>
    <row r="13" ht="15" customHeight="1" s="45">
      <c r="A13" s="48" t="inlineStr">
        <is>
          <t>Other recurring opex</t>
        </is>
      </c>
      <c r="B13" s="71">
        <f>Inputs!$B$26</f>
        <v/>
      </c>
    </row>
    <row r="14" ht="15" customHeight="1" s="45">
      <c r="A14" s="48" t="inlineStr">
        <is>
          <t>Management fee (3% of EGI)</t>
        </is>
      </c>
      <c r="B14" s="70">
        <f>Underwriting!$B$8*Inputs!$B$21</f>
        <v/>
      </c>
    </row>
    <row r="15" ht="15" customHeight="1" s="45">
      <c r="A15" s="48" t="inlineStr">
        <is>
          <t>uw_operating_expenses</t>
        </is>
      </c>
      <c r="B15" s="72">
        <f>Underwriting!$B$11+Underwriting!$B$12+Underwriting!$B$13+Underwriting!$B$14</f>
        <v/>
      </c>
    </row>
    <row r="17" ht="15" customHeight="1" s="45">
      <c r="A17" s="50" t="inlineStr">
        <is>
          <t>NOI / NCF</t>
        </is>
      </c>
    </row>
    <row r="18" ht="15" customHeight="1" s="45">
      <c r="A18" s="48" t="inlineStr">
        <is>
          <t>uw_noi (before reserves)</t>
        </is>
      </c>
      <c r="B18" s="72">
        <f>Underwriting!$B$8-Underwriting!$B$15</f>
        <v/>
      </c>
    </row>
    <row r="19" ht="15" customHeight="1" s="45">
      <c r="A19" s="48" t="inlineStr">
        <is>
          <t>Replacement reserves ($300 × units)</t>
        </is>
      </c>
      <c r="B19" s="70">
        <f>Inputs!$B$22*Inputs!$B$27</f>
        <v/>
      </c>
    </row>
    <row r="20" ht="15" customHeight="1" s="45">
      <c r="A20" s="48" t="inlineStr">
        <is>
          <t>uw_ncf (after reserves)</t>
        </is>
      </c>
      <c r="B20" s="72">
        <f>Underwriting!$B$18-Underwriting!$B$19</f>
        <v/>
      </c>
    </row>
    <row r="22" ht="15" customHeight="1" s="45">
      <c r="A22" s="50" t="inlineStr">
        <is>
          <t>VALUATION</t>
        </is>
      </c>
    </row>
    <row r="23" ht="15" customHeight="1" s="45">
      <c r="A23" s="48" t="inlineStr">
        <is>
          <t>capitalization_value (NOI ÷ cap_rate)</t>
        </is>
      </c>
      <c r="B23" s="72">
        <f>Underwriting!$B$18/Inputs!$B$23</f>
        <v/>
      </c>
    </row>
    <row r="25" ht="15" customHeight="1" s="45">
      <c r="A25" s="50" t="inlineStr">
        <is>
          <t>DEBT SIZING</t>
        </is>
      </c>
    </row>
    <row r="26" ht="15" customHeight="1" s="45">
      <c r="A26" s="48" t="inlineStr">
        <is>
          <t>Sizing rate (MAX of note vs floor)</t>
        </is>
      </c>
      <c r="B26" s="73">
        <f>Inputs!$B$16</f>
        <v/>
      </c>
    </row>
    <row r="27" ht="15" customHeight="1" s="45">
      <c r="A27" s="48" t="inlineStr">
        <is>
          <t>Monthly rate</t>
        </is>
      </c>
      <c r="B27" s="74">
        <f>Underwriting!$B$26/12</f>
        <v/>
      </c>
    </row>
    <row r="28" ht="15" customHeight="1" s="45">
      <c r="A28" s="48" t="inlineStr">
        <is>
          <t>Amort periods (months)</t>
        </is>
      </c>
      <c r="B28" s="75">
        <f>Inputs!$B$11*12</f>
        <v/>
      </c>
    </row>
    <row r="29" ht="15" customHeight="1" s="45">
      <c r="A29" s="48" t="inlineStr">
        <is>
          <t>Annual debt service constant per $1</t>
        </is>
      </c>
      <c r="B29" s="74">
        <f>12*(Underwriting!$B$27*(1+Underwriting!$B$27)^Underwriting!$B$28)/((1+Underwriting!$B$27)^Underwriting!$B$28-1)</f>
        <v/>
      </c>
    </row>
    <row r="30" ht="15" customHeight="1" s="45">
      <c r="A30" s="48" t="inlineStr">
        <is>
          <t>LTV-constrained loan</t>
        </is>
      </c>
      <c r="B30" s="70">
        <f>Underwriting!$B$23*Inputs!$B$6</f>
        <v/>
      </c>
    </row>
    <row r="31" ht="15" customHeight="1" s="45">
      <c r="A31" s="48" t="inlineStr">
        <is>
          <t>DSCR-constrained loan (NCF basis)</t>
        </is>
      </c>
      <c r="B31" s="70">
        <f>Underwriting!$B$20/(Inputs!$B$7*Underwriting!$B$29)</f>
        <v/>
      </c>
    </row>
    <row r="32" ht="15" customHeight="1" s="45">
      <c r="A32" s="48" t="inlineStr">
        <is>
          <t>Debt yield-constrained loan (NCF basis)</t>
        </is>
      </c>
      <c r="B32" s="70">
        <f>Underwriting!$B$20/Inputs!$B$8</f>
        <v/>
      </c>
    </row>
    <row r="33" ht="15" customHeight="1" s="45">
      <c r="A33" s="48" t="inlineStr">
        <is>
          <t>maximum_loan (binding constraint)</t>
        </is>
      </c>
      <c r="B33" s="72">
        <f>MIN(Underwriting!$B$30,Underwriting!$B$31,Underwriting!$B$32)</f>
        <v/>
      </c>
    </row>
    <row r="34" ht="15" customHeight="1" s="45">
      <c r="A34" s="48" t="inlineStr">
        <is>
          <t>Binding constraint</t>
        </is>
      </c>
      <c r="B34" s="76">
        <f>IF(Underwriting!$B$33=Underwriting!$B$30,"LTV",IF(Underwriting!$B$33=Underwriting!$B$31,"DSCR","Debt Yield"))</f>
        <v/>
      </c>
    </row>
    <row r="36" ht="15" customHeight="1" s="45">
      <c r="A36" s="50" t="inlineStr">
        <is>
          <t>SOURCES &amp; USES</t>
        </is>
      </c>
    </row>
    <row r="37" ht="15" customHeight="1" s="45">
      <c r="A37" s="48" t="inlineStr">
        <is>
          <t>Origination fee (1% of sized loan)</t>
        </is>
      </c>
      <c r="B37" s="70">
        <f>Underwriting!$B$33*Inputs!$B$12</f>
        <v/>
      </c>
    </row>
    <row r="38" ht="15" customHeight="1" s="45">
      <c r="A38" s="48" t="inlineStr">
        <is>
          <t>Closing costs</t>
        </is>
      </c>
      <c r="B38" s="71">
        <f>Inputs!$B$13</f>
        <v/>
      </c>
    </row>
    <row r="39" ht="15" customHeight="1" s="45">
      <c r="A39" s="48" t="inlineStr">
        <is>
          <t>Existing loan payoff</t>
        </is>
      </c>
      <c r="B39" s="71">
        <f>Inputs!$B$14</f>
        <v/>
      </c>
    </row>
    <row r="40" ht="15" customHeight="1" s="45">
      <c r="A40" s="48" t="inlineStr">
        <is>
          <t>net_cash_out (negative = equity required)</t>
        </is>
      </c>
      <c r="B40" s="72">
        <f>Underwriting!$B$33-Underwriting!$B$37-Underwriting!$B$38-Underwriting!$B$39</f>
        <v/>
      </c>
    </row>
    <row r="42" ht="15" customHeight="1" s="45">
      <c r="A42" s="50" t="inlineStr">
        <is>
          <t>CREDIT METRICS AT SIZED LOAN</t>
        </is>
      </c>
    </row>
    <row r="43" ht="15" customHeight="1" s="45">
      <c r="A43" s="48" t="inlineStr">
        <is>
          <t>LTV at sized loan</t>
        </is>
      </c>
      <c r="B43" s="77">
        <f>Underwriting!$B$33/Underwriting!$B$23</f>
        <v/>
      </c>
    </row>
    <row r="44" ht="15" customHeight="1" s="45">
      <c r="A44" s="48" t="inlineStr">
        <is>
          <t>DSCR at sized loan (NCF)</t>
        </is>
      </c>
      <c r="B44" s="78">
        <f>Underwriting!$B$20/(Underwriting!$B$33*Underwriting!$B$29)</f>
        <v/>
      </c>
    </row>
    <row r="45" ht="15" customHeight="1" s="45">
      <c r="A45" s="48" t="inlineStr">
        <is>
          <t>Debt yield at sized loan (NCF)</t>
        </is>
      </c>
      <c r="B45" s="77">
        <f>Underwriting!$B$20/Underwriting!$B$33</f>
        <v/>
      </c>
    </row>
  </sheetData>
  <mergeCells count="8">
    <mergeCell ref="A1:D1"/>
    <mergeCell ref="A17:D17"/>
    <mergeCell ref="A22:D22"/>
    <mergeCell ref="A3:D3"/>
    <mergeCell ref="A25:D25"/>
    <mergeCell ref="A10:D10"/>
    <mergeCell ref="A42:D42"/>
    <mergeCell ref="A36:D3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2" customWidth="1" style="44" min="1" max="1"/>
    <col width="18" customWidth="1" style="44" min="2" max="4"/>
    <col width="60" customWidth="1" style="44" min="5" max="5"/>
  </cols>
  <sheetData>
    <row r="1" ht="15" customHeight="1" s="45">
      <c r="A1" s="57" t="inlineStr">
        <is>
          <t>HISTORICAL T-12 (2025-09-01 → 2026-08-31) vs UNDERWRITTEN</t>
        </is>
      </c>
    </row>
    <row r="3" ht="15" customHeight="1" s="45">
      <c r="A3" s="79" t="inlineStr">
        <is>
          <t>Line item</t>
        </is>
      </c>
      <c r="B3" s="79" t="inlineStr">
        <is>
          <t>Historical T-12</t>
        </is>
      </c>
      <c r="C3" s="79" t="inlineStr">
        <is>
          <t>Underwritten</t>
        </is>
      </c>
      <c r="D3" s="79" t="inlineStr">
        <is>
          <t>Δ</t>
        </is>
      </c>
      <c r="E3" s="79" t="inlineStr">
        <is>
          <t>Notes</t>
        </is>
      </c>
    </row>
    <row r="4" ht="15" customHeight="1" s="45">
      <c r="A4" s="48" t="inlineStr">
        <is>
          <t>Rental / ancillary collections (hist.) vs UW EGI</t>
        </is>
      </c>
      <c r="B4" s="80" t="n">
        <v>1456920</v>
      </c>
      <c r="C4" s="70">
        <f>Underwriting!$B$8</f>
        <v/>
      </c>
      <c r="D4" s="80">
        <f>C4-B4</f>
        <v/>
      </c>
      <c r="E4" s="44" t="inlineStr">
        <is>
          <t>Historical = cash collections; UW EGI = GPR pre-amendment × (1 - loss) + other income.</t>
        </is>
      </c>
    </row>
    <row r="5" ht="15" customHeight="1" s="45">
      <c r="A5" s="48" t="inlineStr">
        <is>
          <t>Real estate tax</t>
        </is>
      </c>
      <c r="B5" s="80" t="n">
        <v>-169974</v>
      </c>
      <c r="C5" s="70">
        <f>-Underwriting!$B$11</f>
        <v/>
      </c>
      <c r="D5" s="80">
        <f>C5-B5</f>
        <v/>
      </c>
      <c r="E5" s="44" t="inlineStr">
        <is>
          <t>Same figure — instructions</t>
        </is>
      </c>
    </row>
    <row r="6" ht="15" customHeight="1" s="45">
      <c r="A6" s="48" t="inlineStr">
        <is>
          <t>Insurance expense</t>
        </is>
      </c>
      <c r="B6" s="80" t="n">
        <v>-56658</v>
      </c>
      <c r="C6" s="70">
        <f>-Underwriting!$B$12</f>
        <v/>
      </c>
      <c r="D6" s="80">
        <f>C6-B6</f>
        <v/>
      </c>
      <c r="E6" s="44" t="inlineStr">
        <is>
          <t>Same figure — instructions</t>
        </is>
      </c>
    </row>
    <row r="7" ht="15" customHeight="1" s="45">
      <c r="A7" s="48" t="inlineStr">
        <is>
          <t>Other recurring opex</t>
        </is>
      </c>
      <c r="B7" s="80" t="n">
        <v>-226632</v>
      </c>
      <c r="C7" s="70">
        <f>-Underwriting!$B$13</f>
        <v/>
      </c>
      <c r="D7" s="80">
        <f>C7-B7</f>
        <v/>
      </c>
      <c r="E7" s="44" t="inlineStr">
        <is>
          <t>Same figure — instructions</t>
        </is>
      </c>
    </row>
    <row r="8" ht="15" customHeight="1" s="45">
      <c r="A8" s="48" t="inlineStr">
        <is>
          <t>Roof replacement (in ledger)</t>
        </is>
      </c>
      <c r="B8" s="80" t="n">
        <v>0</v>
      </c>
      <c r="C8" s="70" t="n">
        <v>0</v>
      </c>
      <c r="D8" s="80">
        <f>C8-B8</f>
        <v/>
      </c>
      <c r="E8" s="44" t="inlineStr">
        <is>
          <t>Capital improvement; not in recurring opex — operating statement</t>
        </is>
      </c>
    </row>
    <row r="9" ht="15" customHeight="1" s="45">
      <c r="A9" s="48" t="inlineStr">
        <is>
          <t>Management fee (UW only)</t>
        </is>
      </c>
      <c r="B9" s="80" t="n">
        <v>0</v>
      </c>
      <c r="C9" s="70">
        <f>-Underwriting!$B$14</f>
        <v/>
      </c>
      <c r="D9" s="80">
        <f>C9-B9</f>
        <v/>
      </c>
      <c r="E9" s="44" t="inlineStr">
        <is>
          <t>Historical stmt has no mgmt fee; UW adds 3% of EGI</t>
        </is>
      </c>
    </row>
    <row r="10" ht="15" customHeight="1" s="45">
      <c r="A10" s="48" t="inlineStr">
        <is>
          <t>Replacement reserves (UW only)</t>
        </is>
      </c>
      <c r="B10" s="80" t="n">
        <v>0</v>
      </c>
      <c r="C10" s="70">
        <f>-Underwriting!$B$19</f>
        <v/>
      </c>
      <c r="D10" s="80">
        <f>C10-B10</f>
        <v/>
      </c>
      <c r="E10" s="44" t="inlineStr">
        <is>
          <t>Historical is cash; UW adds $300/unit</t>
        </is>
      </c>
    </row>
    <row r="11" ht="15" customHeight="1" s="45">
      <c r="A11" s="48" t="inlineStr">
        <is>
          <t>Reported historical NOI (as stated)</t>
        </is>
      </c>
      <c r="B11" s="54" t="n">
        <v>1003656</v>
      </c>
      <c r="E11" s="44" t="inlineStr">
        <is>
          <t>Operating statement, 'Reported NOI' line. Cash basis, no mgmt or reserves.</t>
        </is>
      </c>
    </row>
    <row r="12" ht="15" customHeight="1" s="45">
      <c r="A12" s="48" t="inlineStr">
        <is>
          <t>uw_noi (before reserves)</t>
        </is>
      </c>
      <c r="C12" s="71">
        <f>Underwriting!$B$18</f>
        <v/>
      </c>
    </row>
    <row r="13" ht="15" customHeight="1" s="45">
      <c r="A13" s="48" t="inlineStr">
        <is>
          <t>uw_ncf (after reserves)</t>
        </is>
      </c>
      <c r="C13" s="71">
        <f>Underwriting!$B$20</f>
        <v/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2" customWidth="1" style="44" min="1" max="1"/>
    <col width="14" customWidth="1" style="44" min="2" max="5"/>
    <col width="50" customWidth="1" style="44" min="6" max="6"/>
  </cols>
  <sheetData>
    <row r="1" ht="15" customHeight="1" s="45">
      <c r="A1" s="57" t="inlineStr">
        <is>
          <t>OCCUPANCY &amp; UNIT MIX (as of 2026-08-31, certified roll)</t>
        </is>
      </c>
    </row>
    <row r="3" ht="15" customHeight="1" s="45">
      <c r="A3" s="79" t="inlineStr">
        <is>
          <t>Metric</t>
        </is>
      </c>
      <c r="B3" s="79" t="inlineStr">
        <is>
          <t>Type A (Small)</t>
        </is>
      </c>
      <c r="C3" s="79" t="inlineStr">
        <is>
          <t>Type B (Standard)</t>
        </is>
      </c>
      <c r="D3" s="79" t="inlineStr">
        <is>
          <t>Type C (Large)</t>
        </is>
      </c>
      <c r="E3" s="79" t="inlineStr">
        <is>
          <t>Total</t>
        </is>
      </c>
      <c r="F3" s="79" t="inlineStr">
        <is>
          <t>Notes</t>
        </is>
      </c>
    </row>
    <row r="4" ht="15" customHeight="1" s="45">
      <c r="A4" s="48" t="inlineStr">
        <is>
          <t>Units in group</t>
        </is>
      </c>
      <c r="B4" s="81">
        <f>COUNTIF('Rent Roll'!C4:C15,"A")</f>
        <v/>
      </c>
      <c r="C4" s="81">
        <f>COUNTIF('Rent Roll'!C4:C15,"B")</f>
        <v/>
      </c>
      <c r="D4" s="81">
        <f>COUNTIF('Rent Roll'!C4:C15,"C")</f>
        <v/>
      </c>
      <c r="E4" s="81">
        <f>SUM(B4:D4)</f>
        <v/>
      </c>
    </row>
    <row r="5" ht="15" customHeight="1" s="45">
      <c r="A5" s="48" t="inlineStr">
        <is>
          <t>Occupied (active) in group</t>
        </is>
      </c>
      <c r="B5" s="81">
        <f>COUNTIFS('Rent Roll'!C4:C15,"A",'Rent Roll'!E4:E15,"active")</f>
        <v/>
      </c>
      <c r="C5" s="81">
        <f>COUNTIFS('Rent Roll'!C4:C15,"B",'Rent Roll'!E4:E15,"active")</f>
        <v/>
      </c>
      <c r="D5" s="81">
        <f>COUNTIFS('Rent Roll'!C4:C15,"C",'Rent Roll'!E4:E15,"active")</f>
        <v/>
      </c>
      <c r="E5" s="81">
        <f>SUM(B5:D5)</f>
        <v/>
      </c>
      <c r="F5" s="44" t="inlineStr">
        <is>
          <t>"Active" only. Pending is not in possession (manager cover).</t>
        </is>
      </c>
    </row>
    <row r="6" ht="15" customHeight="1" s="45">
      <c r="A6" s="48" t="inlineStr">
        <is>
          <t>Pending in group</t>
        </is>
      </c>
      <c r="B6" s="81">
        <f>COUNTIFS('Rent Roll'!C4:C15,"A",'Rent Roll'!E4:E15,"pending")</f>
        <v/>
      </c>
      <c r="C6" s="81">
        <f>COUNTIFS('Rent Roll'!C4:C15,"B",'Rent Roll'!E4:E15,"pending")</f>
        <v/>
      </c>
      <c r="D6" s="81">
        <f>COUNTIFS('Rent Roll'!C4:C15,"C",'Rent Roll'!E4:E15,"pending")</f>
        <v/>
      </c>
      <c r="E6" s="81">
        <f>SUM(B6:D6)</f>
        <v/>
      </c>
    </row>
    <row r="7" ht="15" customHeight="1" s="45">
      <c r="A7" s="48" t="inlineStr">
        <is>
          <t>Vacant in group</t>
        </is>
      </c>
      <c r="B7" s="81">
        <f>COUNTIFS('Rent Roll'!C4:C15,"A",'Rent Roll'!E4:E15,"vacant")</f>
        <v/>
      </c>
      <c r="C7" s="81">
        <f>COUNTIFS('Rent Roll'!C4:C15,"B",'Rent Roll'!E4:E15,"vacant")</f>
        <v/>
      </c>
      <c r="D7" s="81">
        <f>COUNTIFS('Rent Roll'!C4:C15,"C",'Rent Roll'!E4:E15,"vacant")</f>
        <v/>
      </c>
      <c r="E7" s="81">
        <f>SUM(B7:D7)</f>
        <v/>
      </c>
    </row>
    <row r="8" ht="15" customHeight="1" s="45">
      <c r="A8" s="48" t="inlineStr">
        <is>
          <t>Total area SF (group)</t>
        </is>
      </c>
      <c r="B8" s="81">
        <f>SUMIF('Rent Roll'!C4:C15,"A",'Rent Roll'!D4:D15)</f>
        <v/>
      </c>
      <c r="C8" s="81">
        <f>SUMIF('Rent Roll'!C4:C15,"B",'Rent Roll'!D4:D15)</f>
        <v/>
      </c>
      <c r="D8" s="81">
        <f>SUMIF('Rent Roll'!C4:C15,"C",'Rent Roll'!D4:D15)</f>
        <v/>
      </c>
      <c r="E8" s="81">
        <f>SUM(B8:D8)</f>
        <v/>
      </c>
    </row>
    <row r="9" ht="15" customHeight="1" s="45">
      <c r="A9" s="48" t="inlineStr">
        <is>
          <t>Occupied area SF (active)</t>
        </is>
      </c>
      <c r="B9" s="81">
        <f>SUMIFS('Rent Roll'!D4:D15,'Rent Roll'!C4:C15,"A",'Rent Roll'!E4:E15,"active")</f>
        <v/>
      </c>
      <c r="C9" s="81">
        <f>SUMIFS('Rent Roll'!D4:D15,'Rent Roll'!C4:C15,"B",'Rent Roll'!E4:E15,"active")</f>
        <v/>
      </c>
      <c r="D9" s="81">
        <f>SUMIFS('Rent Roll'!D4:D15,'Rent Roll'!C4:C15,"C",'Rent Roll'!E4:E15,"active")</f>
        <v/>
      </c>
      <c r="E9" s="81">
        <f>SUM(B9:D9)</f>
        <v/>
      </c>
    </row>
    <row r="11" ht="15" customHeight="1" s="45">
      <c r="A11" s="48" t="inlineStr">
        <is>
          <t>Unit occupancy</t>
        </is>
      </c>
      <c r="E11" s="77">
        <f>'Occupancy &amp; Mix'!$E$5/'Occupancy &amp; Mix'!$E$4</f>
        <v/>
      </c>
    </row>
    <row r="12" ht="15" customHeight="1" s="45">
      <c r="A12" s="48" t="inlineStr">
        <is>
          <t>Area occupancy</t>
        </is>
      </c>
      <c r="E12" s="77">
        <f>'Occupancy &amp; Mix'!$E$9/'Occupancy &amp; Mix'!$E$8</f>
        <v/>
      </c>
    </row>
    <row r="13" ht="15" customHeight="1" s="45">
      <c r="A13" s="48" t="inlineStr">
        <is>
          <t>Annual in-place rent (active suites only)</t>
        </is>
      </c>
      <c r="E13" s="71">
        <f>'Rent Roll'!I16</f>
        <v/>
      </c>
    </row>
    <row r="14" ht="15" customHeight="1" s="45">
      <c r="A14" s="48" t="inlineStr">
        <is>
          <t>Manager's 'leased' count (active + pending) [for comparison]</t>
        </is>
      </c>
      <c r="E14" s="81">
        <f>'Occupancy &amp; Mix'!$E$5+'Occupancy &amp; Mix'!$E$6</f>
        <v/>
      </c>
      <c r="F14" s="44" t="inlineStr">
        <is>
          <t>Manager cover headline counts 10 of 12; treats pending as leased.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22" customWidth="1" style="44" min="1" max="1"/>
    <col width="16" customWidth="1" style="44" min="2" max="8"/>
  </cols>
  <sheetData>
    <row r="1" ht="15" customHeight="1" s="45">
      <c r="A1" s="57" t="inlineStr">
        <is>
          <t>SENSITIVITY: Maximum loan by cap rate &amp; sizing rate</t>
        </is>
      </c>
    </row>
    <row r="3" ht="15" customHeight="1" s="45">
      <c r="A3" s="79" t="inlineStr">
        <is>
          <t>Cap rate ↓ / Sizing rate →</t>
        </is>
      </c>
      <c r="B3" s="82" t="n">
        <v>0.06</v>
      </c>
      <c r="C3" s="82" t="n">
        <v>0.0625</v>
      </c>
      <c r="D3" s="82" t="n">
        <v>0.065</v>
      </c>
      <c r="E3" s="82" t="n">
        <v>0.0675</v>
      </c>
      <c r="F3" s="82" t="n">
        <v>0.07000000000000001</v>
      </c>
      <c r="G3" s="82" t="n">
        <v>0.0725</v>
      </c>
      <c r="H3" s="82" t="n">
        <v>0.075</v>
      </c>
    </row>
    <row r="4" ht="15" customHeight="1" s="45">
      <c r="A4" s="82" t="n">
        <v>0.065</v>
      </c>
      <c r="B4" s="80">
        <f>MIN((Inputs!$B$6*(Underwriting!$B$18/0.065)),(Underwriting!$B$20/(Inputs!$B$7*(12*((0.06/12)*(1+(0.06/12))^360)/((1+(0.06/12))^360-1)))),(Underwriting!$B$20/Inputs!$B$8))</f>
        <v/>
      </c>
      <c r="C4" s="80">
        <f>MIN((Inputs!$B$6*(Underwriting!$B$18/0.065)),(Underwriting!$B$20/(Inputs!$B$7*(12*((0.0625/12)*(1+(0.0625/12))^360)/((1+(0.0625/12))^360-1)))),(Underwriting!$B$20/Inputs!$B$8))</f>
        <v/>
      </c>
      <c r="D4" s="80">
        <f>MIN((Inputs!$B$6*(Underwriting!$B$18/0.065)),(Underwriting!$B$20/(Inputs!$B$7*(12*((0.065/12)*(1+(0.065/12))^360)/((1+(0.065/12))^360-1)))),(Underwriting!$B$20/Inputs!$B$8))</f>
        <v/>
      </c>
      <c r="E4" s="80">
        <f>MIN((Inputs!$B$6*(Underwriting!$B$18/0.065)),(Underwriting!$B$20/(Inputs!$B$7*(12*((0.0675/12)*(1+(0.0675/12))^360)/((1+(0.0675/12))^360-1)))),(Underwriting!$B$20/Inputs!$B$8))</f>
        <v/>
      </c>
      <c r="F4" s="80">
        <f>MIN((Inputs!$B$6*(Underwriting!$B$18/0.065)),(Underwriting!$B$20/(Inputs!$B$7*(12*((0.07/12)*(1+(0.07/12))^360)/((1+(0.07/12))^360-1)))),(Underwriting!$B$20/Inputs!$B$8))</f>
        <v/>
      </c>
      <c r="G4" s="80">
        <f>MIN((Inputs!$B$6*(Underwriting!$B$18/0.065)),(Underwriting!$B$20/(Inputs!$B$7*(12*((0.0725/12)*(1+(0.0725/12))^360)/((1+(0.0725/12))^360-1)))),(Underwriting!$B$20/Inputs!$B$8))</f>
        <v/>
      </c>
      <c r="H4" s="80">
        <f>MIN((Inputs!$B$6*(Underwriting!$B$18/0.065)),(Underwriting!$B$20/(Inputs!$B$7*(12*((0.075/12)*(1+(0.075/12))^360)/((1+(0.075/12))^360-1)))),(Underwriting!$B$20/Inputs!$B$8))</f>
        <v/>
      </c>
    </row>
    <row r="5" ht="15" customHeight="1" s="45">
      <c r="A5" s="82" t="n">
        <v>0.07000000000000001</v>
      </c>
      <c r="B5" s="80">
        <f>MIN((Inputs!$B$6*(Underwriting!$B$18/0.07)),(Underwriting!$B$20/(Inputs!$B$7*(12*((0.06/12)*(1+(0.06/12))^360)/((1+(0.06/12))^360-1)))),(Underwriting!$B$20/Inputs!$B$8))</f>
        <v/>
      </c>
      <c r="C5" s="80">
        <f>MIN((Inputs!$B$6*(Underwriting!$B$18/0.07)),(Underwriting!$B$20/(Inputs!$B$7*(12*((0.0625/12)*(1+(0.0625/12))^360)/((1+(0.0625/12))^360-1)))),(Underwriting!$B$20/Inputs!$B$8))</f>
        <v/>
      </c>
      <c r="D5" s="80">
        <f>MIN((Inputs!$B$6*(Underwriting!$B$18/0.07)),(Underwriting!$B$20/(Inputs!$B$7*(12*((0.065/12)*(1+(0.065/12))^360)/((1+(0.065/12))^360-1)))),(Underwriting!$B$20/Inputs!$B$8))</f>
        <v/>
      </c>
      <c r="E5" s="80">
        <f>MIN((Inputs!$B$6*(Underwriting!$B$18/0.07)),(Underwriting!$B$20/(Inputs!$B$7*(12*((0.0675/12)*(1+(0.0675/12))^360)/((1+(0.0675/12))^360-1)))),(Underwriting!$B$20/Inputs!$B$8))</f>
        <v/>
      </c>
      <c r="F5" s="80">
        <f>MIN((Inputs!$B$6*(Underwriting!$B$18/0.07)),(Underwriting!$B$20/(Inputs!$B$7*(12*((0.07/12)*(1+(0.07/12))^360)/((1+(0.07/12))^360-1)))),(Underwriting!$B$20/Inputs!$B$8))</f>
        <v/>
      </c>
      <c r="G5" s="80">
        <f>MIN((Inputs!$B$6*(Underwriting!$B$18/0.07)),(Underwriting!$B$20/(Inputs!$B$7*(12*((0.0725/12)*(1+(0.0725/12))^360)/((1+(0.0725/12))^360-1)))),(Underwriting!$B$20/Inputs!$B$8))</f>
        <v/>
      </c>
      <c r="H5" s="80">
        <f>MIN((Inputs!$B$6*(Underwriting!$B$18/0.07)),(Underwriting!$B$20/(Inputs!$B$7*(12*((0.075/12)*(1+(0.075/12))^360)/((1+(0.075/12))^360-1)))),(Underwriting!$B$20/Inputs!$B$8))</f>
        <v/>
      </c>
    </row>
    <row r="6" ht="15" customHeight="1" s="45">
      <c r="A6" s="82" t="n">
        <v>0.075</v>
      </c>
      <c r="B6" s="80">
        <f>MIN((Inputs!$B$6*(Underwriting!$B$18/0.075)),(Underwriting!$B$20/(Inputs!$B$7*(12*((0.06/12)*(1+(0.06/12))^360)/((1+(0.06/12))^360-1)))),(Underwriting!$B$20/Inputs!$B$8))</f>
        <v/>
      </c>
      <c r="C6" s="80">
        <f>MIN((Inputs!$B$6*(Underwriting!$B$18/0.075)),(Underwriting!$B$20/(Inputs!$B$7*(12*((0.0625/12)*(1+(0.0625/12))^360)/((1+(0.0625/12))^360-1)))),(Underwriting!$B$20/Inputs!$B$8))</f>
        <v/>
      </c>
      <c r="D6" s="80">
        <f>MIN((Inputs!$B$6*(Underwriting!$B$18/0.075)),(Underwriting!$B$20/(Inputs!$B$7*(12*((0.065/12)*(1+(0.065/12))^360)/((1+(0.065/12))^360-1)))),(Underwriting!$B$20/Inputs!$B$8))</f>
        <v/>
      </c>
      <c r="E6" s="83">
        <f>MIN((Inputs!$B$6*(Underwriting!$B$18/0.075)),(Underwriting!$B$20/(Inputs!$B$7*(12*((0.0675/12)*(1+(0.0675/12))^360)/((1+(0.0675/12))^360-1)))),(Underwriting!$B$20/Inputs!$B$8))</f>
        <v/>
      </c>
      <c r="F6" s="80">
        <f>MIN((Inputs!$B$6*(Underwriting!$B$18/0.075)),(Underwriting!$B$20/(Inputs!$B$7*(12*((0.07/12)*(1+(0.07/12))^360)/((1+(0.07/12))^360-1)))),(Underwriting!$B$20/Inputs!$B$8))</f>
        <v/>
      </c>
      <c r="G6" s="80">
        <f>MIN((Inputs!$B$6*(Underwriting!$B$18/0.075)),(Underwriting!$B$20/(Inputs!$B$7*(12*((0.0725/12)*(1+(0.0725/12))^360)/((1+(0.0725/12))^360-1)))),(Underwriting!$B$20/Inputs!$B$8))</f>
        <v/>
      </c>
      <c r="H6" s="80">
        <f>MIN((Inputs!$B$6*(Underwriting!$B$18/0.075)),(Underwriting!$B$20/(Inputs!$B$7*(12*((0.075/12)*(1+(0.075/12))^360)/((1+(0.075/12))^360-1)))),(Underwriting!$B$20/Inputs!$B$8))</f>
        <v/>
      </c>
    </row>
    <row r="7" ht="15" customHeight="1" s="45">
      <c r="A7" s="82" t="n">
        <v>0.08</v>
      </c>
      <c r="B7" s="80">
        <f>MIN((Inputs!$B$6*(Underwriting!$B$18/0.08)),(Underwriting!$B$20/(Inputs!$B$7*(12*((0.06/12)*(1+(0.06/12))^360)/((1+(0.06/12))^360-1)))),(Underwriting!$B$20/Inputs!$B$8))</f>
        <v/>
      </c>
      <c r="C7" s="80">
        <f>MIN((Inputs!$B$6*(Underwriting!$B$18/0.08)),(Underwriting!$B$20/(Inputs!$B$7*(12*((0.0625/12)*(1+(0.0625/12))^360)/((1+(0.0625/12))^360-1)))),(Underwriting!$B$20/Inputs!$B$8))</f>
        <v/>
      </c>
      <c r="D7" s="80">
        <f>MIN((Inputs!$B$6*(Underwriting!$B$18/0.08)),(Underwriting!$B$20/(Inputs!$B$7*(12*((0.065/12)*(1+(0.065/12))^360)/((1+(0.065/12))^360-1)))),(Underwriting!$B$20/Inputs!$B$8))</f>
        <v/>
      </c>
      <c r="E7" s="80">
        <f>MIN((Inputs!$B$6*(Underwriting!$B$18/0.08)),(Underwriting!$B$20/(Inputs!$B$7*(12*((0.0675/12)*(1+(0.0675/12))^360)/((1+(0.0675/12))^360-1)))),(Underwriting!$B$20/Inputs!$B$8))</f>
        <v/>
      </c>
      <c r="F7" s="80">
        <f>MIN((Inputs!$B$6*(Underwriting!$B$18/0.08)),(Underwriting!$B$20/(Inputs!$B$7*(12*((0.07/12)*(1+(0.07/12))^360)/((1+(0.07/12))^360-1)))),(Underwriting!$B$20/Inputs!$B$8))</f>
        <v/>
      </c>
      <c r="G7" s="80">
        <f>MIN((Inputs!$B$6*(Underwriting!$B$18/0.08)),(Underwriting!$B$20/(Inputs!$B$7*(12*((0.0725/12)*(1+(0.0725/12))^360)/((1+(0.0725/12))^360-1)))),(Underwriting!$B$20/Inputs!$B$8))</f>
        <v/>
      </c>
      <c r="H7" s="80">
        <f>MIN((Inputs!$B$6*(Underwriting!$B$18/0.08)),(Underwriting!$B$20/(Inputs!$B$7*(12*((0.075/12)*(1+(0.075/12))^360)/((1+(0.075/12))^360-1)))),(Underwriting!$B$20/Inputs!$B$8))</f>
        <v/>
      </c>
    </row>
    <row r="8" ht="15" customHeight="1" s="45">
      <c r="A8" s="82" t="n">
        <v>0.08500000000000001</v>
      </c>
      <c r="B8" s="80">
        <f>MIN((Inputs!$B$6*(Underwriting!$B$18/0.085)),(Underwriting!$B$20/(Inputs!$B$7*(12*((0.06/12)*(1+(0.06/12))^360)/((1+(0.06/12))^360-1)))),(Underwriting!$B$20/Inputs!$B$8))</f>
        <v/>
      </c>
      <c r="C8" s="80">
        <f>MIN((Inputs!$B$6*(Underwriting!$B$18/0.085)),(Underwriting!$B$20/(Inputs!$B$7*(12*((0.0625/12)*(1+(0.0625/12))^360)/((1+(0.0625/12))^360-1)))),(Underwriting!$B$20/Inputs!$B$8))</f>
        <v/>
      </c>
      <c r="D8" s="80">
        <f>MIN((Inputs!$B$6*(Underwriting!$B$18/0.085)),(Underwriting!$B$20/(Inputs!$B$7*(12*((0.065/12)*(1+(0.065/12))^360)/((1+(0.065/12))^360-1)))),(Underwriting!$B$20/Inputs!$B$8))</f>
        <v/>
      </c>
      <c r="E8" s="80">
        <f>MIN((Inputs!$B$6*(Underwriting!$B$18/0.085)),(Underwriting!$B$20/(Inputs!$B$7*(12*((0.0675/12)*(1+(0.0675/12))^360)/((1+(0.0675/12))^360-1)))),(Underwriting!$B$20/Inputs!$B$8))</f>
        <v/>
      </c>
      <c r="F8" s="80">
        <f>MIN((Inputs!$B$6*(Underwriting!$B$18/0.085)),(Underwriting!$B$20/(Inputs!$B$7*(12*((0.07/12)*(1+(0.07/12))^360)/((1+(0.07/12))^360-1)))),(Underwriting!$B$20/Inputs!$B$8))</f>
        <v/>
      </c>
      <c r="G8" s="80">
        <f>MIN((Inputs!$B$6*(Underwriting!$B$18/0.085)),(Underwriting!$B$20/(Inputs!$B$7*(12*((0.0725/12)*(1+(0.0725/12))^360)/((1+(0.0725/12))^360-1)))),(Underwriting!$B$20/Inputs!$B$8))</f>
        <v/>
      </c>
      <c r="H8" s="80">
        <f>MIN((Inputs!$B$6*(Underwriting!$B$18/0.085)),(Underwriting!$B$20/(Inputs!$B$7*(12*((0.075/12)*(1+(0.075/12))^360)/((1+(0.075/12))^360-1)))),(Underwriting!$B$20/Inputs!$B$8))</f>
        <v/>
      </c>
    </row>
    <row r="10" ht="15" customHeight="1" s="45">
      <c r="A10" s="84" t="inlineStr">
        <is>
          <t>Highlighted cell = base case (cap 7.50%, sizing 6.75%).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28" customWidth="1" style="44" min="1" max="1"/>
    <col width="26" customWidth="1" style="44" min="2" max="2"/>
    <col width="14" customWidth="1" style="44" min="3" max="3"/>
    <col width="60" customWidth="1" style="44" min="4" max="4"/>
  </cols>
  <sheetData>
    <row r="1" ht="15" customHeight="1" s="45">
      <c r="A1" s="57" t="inlineStr">
        <is>
          <t>INPUT / OUTPUT MAP (Sheet!A1 locations)</t>
        </is>
      </c>
    </row>
    <row r="3" ht="15" customHeight="1" s="45">
      <c r="A3" s="79" t="inlineStr">
        <is>
          <t>Name</t>
        </is>
      </c>
      <c r="B3" s="79" t="inlineStr">
        <is>
          <t>Location (Sheet!A1)</t>
        </is>
      </c>
      <c r="C3" s="79" t="inlineStr">
        <is>
          <t>Role</t>
        </is>
      </c>
      <c r="D3" s="79" t="inlineStr">
        <is>
          <t>Live value</t>
        </is>
      </c>
    </row>
    <row r="4" ht="15" customHeight="1" s="45">
      <c r="A4" s="48" t="inlineStr">
        <is>
          <t>gross_potential_rent</t>
        </is>
      </c>
      <c r="B4" s="44" t="inlineStr">
        <is>
          <t>Underwriting!$B$4</t>
        </is>
      </c>
      <c r="C4" s="85" t="inlineStr">
        <is>
          <t>input</t>
        </is>
      </c>
      <c r="D4" s="71">
        <f>Underwriting!$B$4</f>
        <v/>
      </c>
    </row>
    <row r="5" ht="15" customHeight="1" s="45">
      <c r="A5" s="48" t="inlineStr">
        <is>
          <t>cap_rate</t>
        </is>
      </c>
      <c r="B5" s="44" t="inlineStr">
        <is>
          <t>Inputs!$B$23</t>
        </is>
      </c>
      <c r="C5" s="85" t="inlineStr">
        <is>
          <t>input</t>
        </is>
      </c>
      <c r="D5" s="73">
        <f>Inputs!$B$23</f>
        <v/>
      </c>
    </row>
    <row r="6" ht="15" customHeight="1" s="45">
      <c r="A6" s="48" t="inlineStr">
        <is>
          <t>sizing_rate</t>
        </is>
      </c>
      <c r="B6" s="44" t="inlineStr">
        <is>
          <t>Inputs!$B$16</t>
        </is>
      </c>
      <c r="C6" s="85" t="inlineStr">
        <is>
          <t>input (computed)</t>
        </is>
      </c>
      <c r="D6" s="73">
        <f>Inputs!$B$16</f>
        <v/>
      </c>
    </row>
    <row r="7" ht="15" customHeight="1" s="45">
      <c r="A7" s="48" t="inlineStr">
        <is>
          <t>uw_egi</t>
        </is>
      </c>
      <c r="B7" s="44" t="inlineStr">
        <is>
          <t>Underwriting!$B$8</t>
        </is>
      </c>
      <c r="C7" s="85" t="inlineStr">
        <is>
          <t>output</t>
        </is>
      </c>
      <c r="D7" s="71">
        <f>Underwriting!$B$8</f>
        <v/>
      </c>
    </row>
    <row r="8" ht="15" customHeight="1" s="45">
      <c r="A8" s="48" t="inlineStr">
        <is>
          <t>uw_noi</t>
        </is>
      </c>
      <c r="B8" s="44" t="inlineStr">
        <is>
          <t>Underwriting!$B$18</t>
        </is>
      </c>
      <c r="C8" s="85" t="inlineStr">
        <is>
          <t>output</t>
        </is>
      </c>
      <c r="D8" s="71">
        <f>Underwriting!$B$18</f>
        <v/>
      </c>
    </row>
    <row r="9" ht="15" customHeight="1" s="45">
      <c r="A9" s="48" t="inlineStr">
        <is>
          <t>uw_ncf</t>
        </is>
      </c>
      <c r="B9" s="44" t="inlineStr">
        <is>
          <t>Underwriting!$B$20</t>
        </is>
      </c>
      <c r="C9" s="85" t="inlineStr">
        <is>
          <t>output</t>
        </is>
      </c>
      <c r="D9" s="71">
        <f>Underwriting!$B$20</f>
        <v/>
      </c>
    </row>
    <row r="10" ht="15" customHeight="1" s="45">
      <c r="A10" s="48" t="inlineStr">
        <is>
          <t>capitalization_value</t>
        </is>
      </c>
      <c r="B10" s="44" t="inlineStr">
        <is>
          <t>Underwriting!$B$23</t>
        </is>
      </c>
      <c r="C10" s="85" t="inlineStr">
        <is>
          <t>output</t>
        </is>
      </c>
      <c r="D10" s="71">
        <f>Underwriting!$B$23</f>
        <v/>
      </c>
    </row>
    <row r="11" ht="15" customHeight="1" s="45">
      <c r="A11" s="48" t="inlineStr">
        <is>
          <t>maximum_loan</t>
        </is>
      </c>
      <c r="B11" s="44" t="inlineStr">
        <is>
          <t>Underwriting!$B$33</t>
        </is>
      </c>
      <c r="C11" s="85" t="inlineStr">
        <is>
          <t>output</t>
        </is>
      </c>
      <c r="D11" s="71">
        <f>Underwriting!$B$33</f>
        <v/>
      </c>
    </row>
    <row r="12" ht="15" customHeight="1" s="45">
      <c r="A12" s="48" t="inlineStr">
        <is>
          <t>net_cash_out</t>
        </is>
      </c>
      <c r="B12" s="44" t="inlineStr">
        <is>
          <t>Underwriting!$B$40</t>
        </is>
      </c>
      <c r="C12" s="85" t="inlineStr">
        <is>
          <t>output</t>
        </is>
      </c>
      <c r="D12" s="71">
        <f>Underwriting!$B$40</f>
        <v/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30" customWidth="1" style="44" min="1" max="1"/>
    <col width="42" customWidth="1" style="44" min="2" max="2"/>
    <col width="32" customWidth="1" style="44" min="3" max="3"/>
    <col width="60" customWidth="1" style="44" min="4" max="4"/>
  </cols>
  <sheetData>
    <row r="1" ht="15" customHeight="1" s="45">
      <c r="A1" s="57" t="inlineStr">
        <is>
          <t>SOURCE REGISTER</t>
        </is>
      </c>
    </row>
    <row r="3" ht="15" customHeight="1" s="45">
      <c r="A3" s="79" t="inlineStr">
        <is>
          <t>Source file</t>
        </is>
      </c>
      <c r="B3" s="79" t="inlineStr">
        <is>
          <t>Content</t>
        </is>
      </c>
      <c r="C3" s="79" t="inlineStr">
        <is>
          <t>Date / As-of</t>
        </is>
      </c>
      <c r="D3" s="79" t="inlineStr">
        <is>
          <t>How used in this workbook</t>
        </is>
      </c>
    </row>
    <row r="4" ht="31.5" customHeight="1" s="45">
      <c r="A4" s="48" t="inlineStr">
        <is>
          <t>manager-cover.pdf</t>
        </is>
      </c>
      <c r="B4" s="86" t="inlineStr">
        <is>
          <t>Property/market/asset, group mapping, physical-occupancy convention</t>
        </is>
      </c>
      <c r="C4" s="44" t="inlineStr">
        <is>
          <t>n/a</t>
        </is>
      </c>
      <c r="D4" s="86" t="inlineStr">
        <is>
          <t>Group mapping (A=Small, B=Standard, C=Large). Confirms 'certified detail controls physical occupancy'; identifies mgr's mis-count.</t>
        </is>
      </c>
    </row>
    <row r="5" ht="31.5" customHeight="1" s="45">
      <c r="A5" s="48" t="inlineStr">
        <is>
          <t>rent-roll-certified.xlsx</t>
        </is>
      </c>
      <c r="B5" s="86" t="inlineStr">
        <is>
          <t>Certified rent roll — 12 suites, area, monthly rents, status, expirations</t>
        </is>
      </c>
      <c r="C5" s="44" t="inlineStr">
        <is>
          <t>2026-08-31</t>
        </is>
      </c>
      <c r="D5" s="86" t="inlineStr">
        <is>
          <t>Primary rent roll used for occupancy, in-place rent, group counts, near-term rollover.</t>
        </is>
      </c>
    </row>
    <row r="6" ht="31.5" customHeight="1" s="45">
      <c r="A6" s="48" t="inlineStr">
        <is>
          <t>rent-roll-archive.xlsx</t>
        </is>
      </c>
      <c r="B6" s="86" t="inlineStr">
        <is>
          <t>Prior rent roll</t>
        </is>
      </c>
      <c r="C6" s="44" t="inlineStr">
        <is>
          <t>2026-06-30</t>
        </is>
      </c>
      <c r="D6" s="86" t="inlineStr">
        <is>
          <t>Provides pre-Suite-001-amendment monthly rent ($10,975) used in GPR per instructions.</t>
        </is>
      </c>
    </row>
    <row r="7" ht="31.5" customHeight="1" s="45">
      <c r="A7" s="48" t="inlineStr">
        <is>
          <t>lease-001.pdf</t>
        </is>
      </c>
      <c r="B7" s="86" t="inlineStr">
        <is>
          <t>Executed lease excerpt for Suite 001</t>
        </is>
      </c>
      <c r="C7" s="44" t="inlineStr">
        <is>
          <t>n/a</t>
        </is>
      </c>
      <c r="D7" s="86" t="inlineStr">
        <is>
          <t>Confirms current in-place monthly rent $11,050 and no free-rent concession.</t>
        </is>
      </c>
    </row>
    <row r="8" ht="31.5" customHeight="1" s="45">
      <c r="A8" s="48" t="inlineStr">
        <is>
          <t>lease-correspondence.pdf</t>
        </is>
      </c>
      <c r="B8" s="86" t="inlineStr">
        <is>
          <t>PM confirmation dated 2026-08-31</t>
        </is>
      </c>
      <c r="C8" s="44" t="inlineStr">
        <is>
          <t>2026-08-31</t>
        </is>
      </c>
      <c r="D8" s="86" t="inlineStr">
        <is>
          <t>Confirms no amendments/new concessions affect Suite 001 as of certified date.</t>
        </is>
      </c>
    </row>
    <row r="9" ht="31.5" customHeight="1" s="45">
      <c r="A9" s="48" t="inlineStr">
        <is>
          <t>operating-statement.pdf</t>
        </is>
      </c>
      <c r="B9" s="86" t="inlineStr">
        <is>
          <t>T-12 cash operating statement</t>
        </is>
      </c>
      <c r="C9" s="44" t="inlineStr">
        <is>
          <t>2025-09-01 → 2026-08-31</t>
        </is>
      </c>
      <c r="D9" s="86" t="inlineStr">
        <is>
          <t>Historical figures; classification of roof replacement as capital (not in opex).</t>
        </is>
      </c>
    </row>
    <row r="10" ht="31.5" customHeight="1" s="45">
      <c r="A10" s="48" t="inlineStr">
        <is>
          <t>insurance.pdf</t>
        </is>
      </c>
      <c r="B10" s="86" t="inlineStr">
        <is>
          <t>Policy declaration — GL aggregate $2,000,000</t>
        </is>
      </c>
      <c r="C10" s="44" t="inlineStr">
        <is>
          <t>Effective 2026-07-01 → 2027-06-30</t>
        </is>
      </c>
      <c r="D10" s="86" t="inlineStr">
        <is>
          <t>Documents policy limit; distinct from annual insurance expense.</t>
        </is>
      </c>
    </row>
    <row r="11" ht="31.5" customHeight="1" s="45">
      <c r="A11" s="48" t="inlineStr">
        <is>
          <t>underwriting-instructions.pdf</t>
        </is>
      </c>
      <c r="B11" s="86" t="inlineStr">
        <is>
          <t>Acquisition analysis instructions</t>
        </is>
      </c>
      <c r="C11" s="44" t="inlineStr">
        <is>
          <t>n/a</t>
        </is>
      </c>
      <c r="D11" s="86" t="inlineStr">
        <is>
          <t>All UW rules: GPR method, economic loss, other income, mgmt %, reserves, cap rate, loan constraints, rate floor, sizing rule, sources &amp; uses.</t>
        </is>
      </c>
    </row>
    <row r="12" ht="31.5" customHeight="1" s="45">
      <c r="A12" s="48" t="inlineStr">
        <is>
          <t>diligence-status.pdf</t>
        </is>
      </c>
      <c r="B12" s="86" t="inlineStr">
        <is>
          <t>Diligence status memo</t>
        </is>
      </c>
      <c r="C12" s="44" t="inlineStr">
        <is>
          <t>n/a</t>
        </is>
      </c>
      <c r="D12" s="86" t="inlineStr">
        <is>
          <t>Confirms legal/environmental/PCA/title reviews are routine pending — no findings claimed.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2026-09-07T12:51:31Z</dcterms:created>
  <dcterms:modified xmlns:dcterms="http://purl.org/dc/terms/" xmlns:xsi="http://www.w3.org/2001/XMLSchema-instance" xsi:type="dcterms:W3CDTF">2026-09-07T13:13:54Z</dcterms:modified>
  <cp:revision>0</cp:revision>
</cp:coreProperties>
</file>