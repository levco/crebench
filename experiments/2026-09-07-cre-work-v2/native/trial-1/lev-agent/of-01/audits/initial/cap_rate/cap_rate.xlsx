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Historical vs UW" sheetId="4" state="visible" r:id="rId6"/>
    <sheet name="Occupancy &amp; Mix" sheetId="5" state="visible" r:id="rId7"/>
    <sheet name="Sensitivity" sheetId="6" state="visible" r:id="rId8"/>
    <sheet name="I-O Map" sheetId="7" state="visible" r:id="rId9"/>
    <sheet name="Source 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<sst xmlns="http://schemas.openxmlformats.org/spreadsheetml/2006/main" count="286" uniqueCount="226">
  <si>
    <t xml:space="preserve">BEACON PLAZA — UNDERWRITING INPUTS</t>
  </si>
  <si>
    <t xml:space="preserve">Evaluation date</t>
  </si>
  <si>
    <t xml:space="preserve">2026-08-31</t>
  </si>
  <si>
    <t xml:space="preserve">Source: manager cover / certified rent roll</t>
  </si>
  <si>
    <t xml:space="preserve">Legend</t>
  </si>
  <si>
    <t xml:space="preserve">Blue = input</t>
  </si>
  <si>
    <t xml:space="preserve">Yellow fill = key input</t>
  </si>
  <si>
    <t xml:space="preserve">Black = formula   |   Green = cross-sheet link</t>
  </si>
  <si>
    <t xml:space="preserve">LOAN CONSTRAINTS &amp; RATES</t>
  </si>
  <si>
    <t xml:space="preserve">ltv_limit</t>
  </si>
  <si>
    <t xml:space="preserve">Underwriting instructions</t>
  </si>
  <si>
    <t xml:space="preserve">dscr_limit</t>
  </si>
  <si>
    <t xml:space="preserve">Minimum DSCR — instructions</t>
  </si>
  <si>
    <t xml:space="preserve">debt_yield_limit</t>
  </si>
  <si>
    <t xml:space="preserve">Minimum NCF debt yield — instructions</t>
  </si>
  <si>
    <t xml:space="preserve">note_rate</t>
  </si>
  <si>
    <t xml:space="preserve">Note rate — instructions</t>
  </si>
  <si>
    <t xml:space="preserve">rate_floor</t>
  </si>
  <si>
    <t xml:space="preserve">UW rate floor — instructions</t>
  </si>
  <si>
    <t xml:space="preserve">amort_years</t>
  </si>
  <si>
    <t xml:space="preserve">Amortization years — instructions</t>
  </si>
  <si>
    <t xml:space="preserve">origination_fee_pct</t>
  </si>
  <si>
    <t xml:space="preserve">1% of sized loan — instructions</t>
  </si>
  <si>
    <t xml:space="preserve">closing_costs</t>
  </si>
  <si>
    <t xml:space="preserve">Closing costs — instructions</t>
  </si>
  <si>
    <t xml:space="preserve">existing_payoff</t>
  </si>
  <si>
    <t xml:space="preserve">Existing payoff — instructions</t>
  </si>
  <si>
    <t xml:space="preserve">SIZING RATE (computed — surfaced as required output)</t>
  </si>
  <si>
    <t xml:space="preserve">sizing_rate</t>
  </si>
  <si>
    <t xml:space="preserve">MAX(note_rate, rate_floor) — instructions: size on the greater rate</t>
  </si>
  <si>
    <t xml:space="preserve">UNDERWRITING ASSUMPTIONS</t>
  </si>
  <si>
    <t xml:space="preserve">economic_loss_pct</t>
  </si>
  <si>
    <t xml:space="preserve">Economic loss — instructions</t>
  </si>
  <si>
    <t xml:space="preserve">other_income_per_unit</t>
  </si>
  <si>
    <t xml:space="preserve">$350 / unit / year — instructions</t>
  </si>
  <si>
    <t xml:space="preserve">management_fee_pct</t>
  </si>
  <si>
    <t xml:space="preserve">3% of EGI — instructions</t>
  </si>
  <si>
    <t xml:space="preserve">replacement_reserve_per_unit</t>
  </si>
  <si>
    <t xml:space="preserve">$300 / unit / year — instructions</t>
  </si>
  <si>
    <t xml:space="preserve">cap_rate</t>
  </si>
  <si>
    <t xml:space="preserve">Capitalize NOI before reserves — instructions</t>
  </si>
  <si>
    <t xml:space="preserve">uw_tax</t>
  </si>
  <si>
    <t xml:space="preserve">Real estate tax — instructions &amp; operating stmt</t>
  </si>
  <si>
    <t xml:space="preserve">uw_insurance</t>
  </si>
  <si>
    <t xml:space="preserve">Insurance expense — instructions &amp; operating stmt</t>
  </si>
  <si>
    <t xml:space="preserve">uw_other_recurring_opex</t>
  </si>
  <si>
    <t xml:space="preserve">Other recurring opex — instructions &amp; operating stmt</t>
  </si>
  <si>
    <t xml:space="preserve">total_units</t>
  </si>
  <si>
    <t xml:space="preserve">Certified rent roll</t>
  </si>
  <si>
    <t xml:space="preserve">BEACON PLAZA — CERTIFIED RENT ROLL (AS OF 2026-08-31)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</si>
  <si>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</si>
  <si>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</si>
  <si>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</si>
  <si>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</si>
  <si>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</si>
  <si>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(certified)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</si>
  <si>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</si>
  <si>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</si>
  <si>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</si>
  <si>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</si>
  <si>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</si>
  <si>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</si>
  <si>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</si>
  <si>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</si>
  <si>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</si>
  <si>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</si>
  <si>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</si>
  <si>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</si>
  <si>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</si>
  <si>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</si>
  <si>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</si>
  <si>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</si>
  <si>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</si>
  <si>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</si>
  <si>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</si>
  <si>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</si>
  <si>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</si>
  <si>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</si>
  <si>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</si>
  <si>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</si>
  <si>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</si>
  <si>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</si>
  <si>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</si>
  <si>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</si>
  <si>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</si>
  <si>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</si>
  <si>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Physical occupancy = "active" only. "Pending" is not in possession (manager cover; certified rent roll note).</t>
  </si>
  <si>
    <t xml:space="preserve">"Monthly rent for GPR" strips the Suite 001 amendment ($10,975 pre-amendment on archive roll); UW instructions require the pre-amendment monthly for GPR.</t>
  </si>
  <si>
    <t xml:space="preserve">Near-term rollover horizon = active leases expiring on or before 2027-08-31 (12 months from evaluation date).</t>
  </si>
  <si>
    <t xml:space="preserve">BEACON PLAZA — RECONCILED UNDERWRITING</t>
  </si>
  <si>
    <t xml:space="preserve">INCOME</t>
  </si>
  <si>
    <t xml:space="preserve">gross_potential_rent</t>
  </si>
  <si>
    <t xml:space="preserve">All-suite monthly rent (pre-001 amendment) × 12 — instructions</t>
  </si>
  <si>
    <t xml:space="preserve">Economic loss (vacancy/credit)</t>
  </si>
  <si>
    <t xml:space="preserve">5% of GPR — instructions</t>
  </si>
  <si>
    <t xml:space="preserve">Effective rental income</t>
  </si>
  <si>
    <t xml:space="preserve">Other income ($350 × total units)</t>
  </si>
  <si>
    <t xml:space="preserve">$350 per unit/suite — instructions (reimbursement already included, not doubled)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</si>
  <si>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</si>
  <si>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</si>
  <si>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</si>
  <si>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</si>
  <si>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</si>
  <si>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</si>
  <si>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</si>
  <si>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</si>
  <si>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</si>
  <si>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</si>
  <si>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</si>
  <si>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</si>
  <si>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</si>
  <si>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</si>
  <si>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</si>
  <si>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</si>
  <si>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</si>
  <si>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</si>
  <si>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</si>
  <si>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</si>
  <si>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</si>
  <si>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</si>
  <si>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</si>
  <si>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</si>
  <si>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</si>
  <si>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</si>
  <si>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</si>
  <si>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</si>
  <si>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</si>
  <si>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</si>
  <si>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</si>
  <si>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</si>
  <si>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</si>
  <si>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</si>
  <si>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</si>
  <si>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</si>
  <si>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collections (hist.) vs UW EGI</t>
  </si>
  <si>
    <t xml:space="preserve">Historical = cash collections; UW EGI = GPR pre-amendment × (1 - loss) + other income.</t>
  </si>
  <si>
    <t xml:space="preserve">Real estate tax</t>
  </si>
  <si>
    <t xml:space="preserve">Same figure — instructions</t>
  </si>
  <si>
    <t xml:space="preserve">Insurance expense</t>
  </si>
  <si>
    <t xml:space="preserve">Roof replacement (in ledger)</t>
  </si>
  <si>
    <t xml:space="preserve">Capital improvement; not in recurring opex — operating statement</t>
  </si>
  <si>
    <t xml:space="preserve">Management fee (UW only)</t>
  </si>
  <si>
    <t xml:space="preserve">Historical stmt has no mgmt fee; UW adds 3% of EGI</t>
  </si>
  <si>
    <t xml:space="preserve">Replacement reserves (UW only)</t>
  </si>
  <si>
    <t xml:space="preserve">Historical is cash; UW adds $300/unit</t>
  </si>
  <si>
    <t xml:space="preserve">Reported historical NOI (as stated)</t>
  </si>
  <si>
    <t xml:space="preserve">Operating statement, 'Reported NOI' line. Cash basis, no mgmt or reserves.</t>
  </si>
  <si>
    <t xml:space="preserve">OCCUPANCY &amp; UNIT MIX (as of 2026-08-31, certified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</si>
  <si>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</si>
  <si>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</si>
  <si>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</si>
  <si>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</si>
  <si>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</si>
  <si>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</si>
  <si>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</si>
  <si>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"Active" only. Pending is not in possession (manager cover).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</si>
  <si>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</si>
  <si>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</si>
  <si>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</si>
  <si>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</si>
  <si>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</si>
  <si>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</si>
  <si>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 only)</t>
  </si>
  <si>
    <t xml:space="preserve">Manager's 'leased' count (active + pending) [for comparison]</t>
  </si>
  <si>
    <t xml:space="preserve">Manager cover headline counts 10 of 12; treats pending as leased.</t>
  </si>
  <si>
    <t xml:space="preserve">SENSITIVITY: Maximum loan by cap rate &amp; sizing rate</t>
  </si>
  <si>
    <t xml:space="preserve">Cap rate ↓ / Sizing rate →</t>
  </si>
  <si>
    <t xml:space="preserve">Highlighted cell = base case (cap 7.50%, sizing 6.75%).</t>
  </si>
  <si>
    <t xml:space="preserve">INPUT / OUTPUT MAP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</si>
  <si>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</si>
  <si>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</si>
  <si>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</si>
  <si>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</si>
  <si>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</si>
  <si>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</si>
  <si>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</si>
  <si>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</si>
  <si>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</si>
  <si>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</si>
  <si>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</si>
  <si>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</si>
  <si>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</si>
  <si>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</si>
  <si>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</si>
  <si>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</si>
  <si>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</si>
  <si>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</si>
  <si>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</si>
  <si>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</si>
  <si>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</si>
  <si>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</t>
  </si>
  <si>
    <t xml:space="preserve">Source file</t>
  </si>
  <si>
    <t xml:space="preserve">Content</t>
  </si>
  <si>
    <t xml:space="preserve">Date / As-of</t>
  </si>
  <si>
    <t xml:space="preserve">How used in this workbook</t>
  </si>
  <si>
    <t xml:space="preserve">manager-cover.pdf</t>
  </si>
  <si>
    <t xml:space="preserve">Property/market/asset, group mapping, physical-occupancy convention</t>
  </si>
  <si>
    <t xml:space="preserve">n/a</t>
  </si>
  <si>
    <t xml:space="preserve">Group mapping (A=Small, B=Standard, C=Large). Confirms 'certified detail controls physical occupancy'; identifies mgr's mis-count.</t>
  </si>
  <si>
    <t xml:space="preserve">rent-roll-certified.xlsx</t>
  </si>
  <si>
    <t xml:space="preserve">Certified rent roll — 12 suites, area, monthly rents, status, expirations</t>
  </si>
  <si>
    <t xml:space="preserve">Primary rent roll used for occupancy, in-place rent, group counts, near-term rollover.</t>
  </si>
  <si>
    <t xml:space="preserve">rent-roll-archive.xlsx</t>
  </si>
  <si>
    <t xml:space="preserve">Prior rent roll</t>
  </si>
  <si>
    <t xml:space="preserve">2026-06-30</t>
  </si>
  <si>
    <t xml:space="preserve">Provides pre-Suite-001-amendment monthly rent ($10,975) used in GPR per instructions.</t>
  </si>
  <si>
    <t xml:space="preserve">lease-001.pdf</t>
  </si>
  <si>
    <t xml:space="preserve">Executed lease excerpt for Suite 001</t>
  </si>
  <si>
    <t xml:space="preserve">Confirms current in-place monthly rent $11,050 and no free-rent concession.</t>
  </si>
  <si>
    <t xml:space="preserve">lease-correspondence.pdf</t>
  </si>
  <si>
    <t xml:space="preserve">PM confirmation dated 2026-08-31</t>
  </si>
  <si>
    <t xml:space="preserve">Confirms no amendments/new concessions affect Suite 001 as of certified date.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</si>
  <si>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</si>
  <si>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</si>
  <si>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</si>
  <si>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figures; classification of roof replacement as capital (not in opex).</t>
  </si>
  <si>
    <t xml:space="preserve">insurance.pdf</t>
  </si>
  <si>
    <t xml:space="preserve">Policy declaration — GL aggregate $2,000,000</t>
  </si>
  <si>
    <t xml:space="preserve">Effective 2026-07-01 → 2027-06-30</t>
  </si>
  <si>
    <t xml:space="preserve">Documents policy limit; distinct from annual insurance expense.</t>
  </si>
  <si>
    <t xml:space="preserve">underwriting-instructions.pdf</t>
  </si>
  <si>
    <t xml:space="preserve">Acquisition analysis instructions</t>
  </si>
  <si>
    <t xml:space="preserve">All UW rules: GPR method, economic loss, other income, mgmt %, reserves, cap rate, loan constraints, rate floor, sizing rule, sources &amp; uses.</t>
  </si>
  <si>
    <t xml:space="preserve">diligence-status.pdf</t>
  </si>
  <si>
    <t xml:space="preserve">Diligence status memo</t>
  </si>
  <si>
    <t xml:space="preserve">Confirms legal/environmental/PCA/title reviews are routine pending — no findings claimed.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</si>
</sst>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1" t="s">
        <v>1</v>
      </c>
      <c r="B2" s="3" t="s">
        <v>2</v>
      </c>
      <c r="D2" s="1" t="s">
        <v>3</v>
      </c>
    </row>
    <row r="3" customFormat="false" ht="15" hidden="false" customHeight="true" outlineLevel="0" collapsed="false">
      <c r="A3" s="4" t="s">
        <v>4</v>
      </c>
      <c r="B3" s="3" t="s">
        <v>5</v>
      </c>
      <c r="C3" s="5" t="s">
        <v>6</v>
      </c>
      <c r="D3" s="1" t="s">
        <v>7</v>
      </c>
    </row>
    <row r="5" customFormat="false" ht="15" hidden="false" customHeight="true" outlineLevel="0" collapsed="false">
      <c r="A5" s="6" t="s">
        <v>8</v>
      </c>
      <c r="B5" s="6"/>
      <c r="C5" s="6"/>
      <c r="D5" s="6"/>
    </row>
    <row r="6" customFormat="false" ht="15" hidden="false" customHeight="true" outlineLevel="0" collapsed="false">
      <c r="A6" s="4" t="s">
        <v>9</v>
      </c>
      <c r="B6" s="7" t="n">
        <v>0.6</v>
      </c>
      <c r="D6" s="1" t="s">
        <v>10</v>
      </c>
    </row>
    <row r="7" customFormat="false" ht="15" hidden="false" customHeight="true" outlineLevel="0" collapsed="false">
      <c r="A7" s="4" t="s">
        <v>11</v>
      </c>
      <c r="B7" s="8" t="n">
        <v>1.25</v>
      </c>
      <c r="D7" s="1" t="s">
        <v>12</v>
      </c>
    </row>
    <row r="8" customFormat="false" ht="15" hidden="false" customHeight="true" outlineLevel="0" collapsed="false">
      <c r="A8" s="4" t="s">
        <v>13</v>
      </c>
      <c r="B8" s="7" t="n">
        <v>0.09</v>
      </c>
      <c r="D8" s="1" t="s">
        <v>14</v>
      </c>
    </row>
    <row r="9" customFormat="false" ht="15" hidden="false" customHeight="true" outlineLevel="0" collapsed="false">
      <c r="A9" s="4" t="s">
        <v>15</v>
      </c>
      <c r="B9" s="7" t="n">
        <v>0.0675</v>
      </c>
      <c r="D9" s="1" t="s">
        <v>16</v>
      </c>
    </row>
    <row r="10" customFormat="false" ht="15" hidden="false" customHeight="true" outlineLevel="0" collapsed="false">
      <c r="A10" s="4" t="s">
        <v>17</v>
      </c>
      <c r="B10" s="7" t="n">
        <v>0.06</v>
      </c>
      <c r="D10" s="1" t="s">
        <v>18</v>
      </c>
    </row>
    <row r="11" customFormat="false" ht="15" hidden="false" customHeight="true" outlineLevel="0" collapsed="false">
      <c r="A11" s="4" t="s">
        <v>19</v>
      </c>
      <c r="B11" s="9" t="n">
        <v>30</v>
      </c>
      <c r="D11" s="1" t="s">
        <v>20</v>
      </c>
    </row>
    <row r="12" customFormat="false" ht="15" hidden="false" customHeight="true" outlineLevel="0" collapsed="false">
      <c r="A12" s="4" t="s">
        <v>21</v>
      </c>
      <c r="B12" s="7" t="n">
        <v>0.01</v>
      </c>
      <c r="D12" s="1" t="s">
        <v>22</v>
      </c>
    </row>
    <row r="13" customFormat="false" ht="15" hidden="false" customHeight="true" outlineLevel="0" collapsed="false">
      <c r="A13" s="4" t="s">
        <v>23</v>
      </c>
      <c r="B13" s="10" t="n">
        <v>45000</v>
      </c>
      <c r="D13" s="1" t="s">
        <v>24</v>
      </c>
    </row>
    <row r="14" customFormat="false" ht="15" hidden="false" customHeight="true" outlineLevel="0" collapsed="false">
      <c r="A14" s="4" t="s">
        <v>25</v>
      </c>
      <c r="B14" s="10" t="n">
        <v>6500000</v>
      </c>
      <c r="D14" s="1" t="s">
        <v>26</v>
      </c>
    </row>
    <row r="15" customFormat="false" ht="15" hidden="false" customHeight="true" outlineLevel="0" collapsed="false">
      <c r="A15" s="6" t="s">
        <v>27</v>
      </c>
      <c r="B15" s="6"/>
      <c r="C15" s="6"/>
      <c r="D15" s="6"/>
    </row>
    <row r="16" customFormat="false" ht="15" hidden="false" customHeight="true" outlineLevel="0" collapsed="false">
      <c r="A16" s="4" t="s">
        <v>28</v>
      </c>
      <c r="B16" s="11" t="n">
        <f aca="false">MAX(B9,B10)</f>
        <v>0.0675</v>
      </c>
      <c r="D16" s="1" t="s">
        <v>29</v>
      </c>
    </row>
    <row r="18" customFormat="false" ht="15" hidden="false" customHeight="true" outlineLevel="0" collapsed="false">
      <c r="A18" s="6" t="s">
        <v>30</v>
      </c>
      <c r="B18" s="6"/>
      <c r="C18" s="6"/>
      <c r="D18" s="6"/>
    </row>
    <row r="19" customFormat="false" ht="15" hidden="false" customHeight="true" outlineLevel="0" collapsed="false">
      <c r="A19" s="4" t="s">
        <v>31</v>
      </c>
      <c r="B19" s="7" t="n">
        <v>0.05</v>
      </c>
      <c r="D19" s="1" t="s">
        <v>32</v>
      </c>
    </row>
    <row r="20" customFormat="false" ht="15" hidden="false" customHeight="true" outlineLevel="0" collapsed="false">
      <c r="A20" s="4" t="s">
        <v>33</v>
      </c>
      <c r="B20" s="10" t="n">
        <v>350</v>
      </c>
      <c r="D20" s="1" t="s">
        <v>34</v>
      </c>
    </row>
    <row r="21" customFormat="false" ht="15" hidden="false" customHeight="true" outlineLevel="0" collapsed="false">
      <c r="A21" s="4" t="s">
        <v>35</v>
      </c>
      <c r="B21" s="7" t="n">
        <v>0.03</v>
      </c>
      <c r="D21" s="1" t="s">
        <v>36</v>
      </c>
    </row>
    <row r="22" customFormat="false" ht="15" hidden="false" customHeight="true" outlineLevel="0" collapsed="false">
      <c r="A22" s="4" t="s">
        <v>37</v>
      </c>
      <c r="B22" s="10" t="n">
        <v>300</v>
      </c>
      <c r="D22" s="1" t="s">
        <v>38</v>
      </c>
    </row>
    <row r="23" customFormat="false" ht="15" hidden="false" customHeight="true" outlineLevel="0" collapsed="false">
      <c r="A23" s="4" t="s">
        <v>39</v>
      </c>
      <c r="B23" s="12" t="n">
        <v>0.08</v>
      </c>
      <c r="D23" s="1" t="s">
        <v>40</v>
      </c>
    </row>
    <row r="24" customFormat="false" ht="15" hidden="false" customHeight="true" outlineLevel="0" collapsed="false">
      <c r="A24" s="4" t="s">
        <v>41</v>
      </c>
      <c r="B24" s="10" t="n">
        <v>169974</v>
      </c>
      <c r="D24" s="1" t="s">
        <v>42</v>
      </c>
    </row>
    <row r="25" customFormat="false" ht="15" hidden="false" customHeight="true" outlineLevel="0" collapsed="false">
      <c r="A25" s="4" t="s">
        <v>43</v>
      </c>
      <c r="B25" s="10" t="n">
        <v>56658</v>
      </c>
      <c r="D25" s="1" t="s">
        <v>44</v>
      </c>
    </row>
    <row r="26" customFormat="false" ht="15" hidden="false" customHeight="true" outlineLevel="0" collapsed="false">
      <c r="A26" s="4" t="s">
        <v>45</v>
      </c>
      <c r="B26" s="10" t="n">
        <v>226632</v>
      </c>
      <c r="D26" s="1" t="s">
        <v>46</v>
      </c>
    </row>
    <row r="27" customFormat="false" ht="15" hidden="false" customHeight="true" outlineLevel="0" collapsed="false">
      <c r="A27" s="4" t="s">
        <v>47</v>
      </c>
      <c r="B27" s="9" t="n">
        <v>12</v>
      </c>
      <c r="D27" s="1" t="s">
        <v>48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13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3" customFormat="false" ht="31.5" hidden="false" customHeight="true" outlineLevel="0" collapsed="false">
      <c r="A3" s="14" t="s">
        <v>50</v>
      </c>
      <c r="B3" s="14" t="s">
        <v>51</v>
      </c>
      <c r="C3" s="14" t="s">
        <v>52</v>
      </c>
      <c r="D3" s="14" t="s">
        <v>53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  <c r="J3" s="14" t="s">
        <v>59</v>
      </c>
    </row>
    <row r="4" customFormat="false" ht="15" hidden="false" customHeight="true" outlineLevel="0" collapsed="false">
      <c r="A4" s="15" t="s">
        <v>60</v>
      </c>
      <c r="B4" s="16" t="s">
        <v>61</v>
      </c>
      <c r="C4" s="15" t="s">
        <v>62</v>
      </c>
      <c r="D4" s="17" t="n">
        <v>5380</v>
      </c>
      <c r="E4" s="16" t="s">
        <v>63</v>
      </c>
      <c r="F4" s="18" t="n">
        <v>11050</v>
      </c>
      <c r="G4" s="15" t="s">
        <v>64</v>
      </c>
      <c r="H4" s="18" t="n">
        <v>10975</v>
      </c>
      <c r="I4" s="19" t="n">
        <f aca="false">IF(E4="active",F4*12,0)</f>
        <v>132600</v>
      </c>
      <c r="J4" s="20" t="str">
        <f aca="false">IF(AND(E4="active",DATEVALUE(G4)&lt;DATEVALUE("2027-08-31")),"YES","")</f>
        <v>YES</v>
      </c>
    </row>
    <row r="5" customFormat="false" ht="15" hidden="false" customHeight="true" outlineLevel="0" collapsed="false">
      <c r="A5" s="15" t="s">
        <v>65</v>
      </c>
      <c r="B5" s="16" t="s">
        <v>66</v>
      </c>
      <c r="C5" s="15" t="s">
        <v>67</v>
      </c>
      <c r="D5" s="17" t="n">
        <v>5500</v>
      </c>
      <c r="E5" s="16" t="s">
        <v>63</v>
      </c>
      <c r="F5" s="18" t="n">
        <v>11200</v>
      </c>
      <c r="G5" s="15" t="s">
        <v>68</v>
      </c>
      <c r="H5" s="18" t="n">
        <v>11200</v>
      </c>
      <c r="I5" s="19" t="n">
        <f aca="false">IF(E5="active",F5*12,0)</f>
        <v>134400</v>
      </c>
      <c r="J5" s="20" t="str">
        <f aca="false">IF(AND(E5="active",DATEVALUE(G5)&lt;DATEVALUE("2027-08-31")),"YES","")</f>
        <v/>
      </c>
    </row>
    <row r="6" customFormat="false" ht="15" hidden="false" customHeight="true" outlineLevel="0" collapsed="false">
      <c r="A6" s="15" t="s">
        <v>69</v>
      </c>
      <c r="B6" s="16" t="s">
        <v>70</v>
      </c>
      <c r="C6" s="15" t="s">
        <v>71</v>
      </c>
      <c r="D6" s="17" t="n">
        <v>5710</v>
      </c>
      <c r="E6" s="16" t="s">
        <v>63</v>
      </c>
      <c r="F6" s="18" t="n">
        <v>11475</v>
      </c>
      <c r="G6" s="15" t="s">
        <v>68</v>
      </c>
      <c r="H6" s="18" t="n">
        <v>11475</v>
      </c>
      <c r="I6" s="19" t="n">
        <f aca="false">IF(E6="active",F6*12,0)</f>
        <v>137700</v>
      </c>
      <c r="J6" s="20" t="str">
        <f aca="false">IF(AND(E6="active",DATEVALUE(G6)&lt;DATEVALUE("2027-08-31")),"YES","")</f>
        <v/>
      </c>
    </row>
    <row r="7" customFormat="false" ht="15" hidden="false" customHeight="true" outlineLevel="0" collapsed="false">
      <c r="A7" s="15" t="s">
        <v>72</v>
      </c>
      <c r="B7" s="16" t="s">
        <v>61</v>
      </c>
      <c r="C7" s="15" t="s">
        <v>62</v>
      </c>
      <c r="D7" s="17" t="n">
        <v>5380</v>
      </c>
      <c r="E7" s="16" t="s">
        <v>63</v>
      </c>
      <c r="F7" s="18" t="n">
        <v>11050</v>
      </c>
      <c r="G7" s="15" t="s">
        <v>68</v>
      </c>
      <c r="H7" s="18" t="n">
        <v>10975</v>
      </c>
      <c r="I7" s="19" t="n">
        <f aca="false">IF(E7="active",F7*12,0)</f>
        <v>132600</v>
      </c>
      <c r="J7" s="20" t="str">
        <f aca="false">IF(AND(E7="active",DATEVALUE(G7)&lt;DATEVALUE("2027-08-31")),"YES","")</f>
        <v/>
      </c>
    </row>
    <row r="8" customFormat="false" ht="15" hidden="false" customHeight="true" outlineLevel="0" collapsed="false">
      <c r="A8" s="15" t="s">
        <v>73</v>
      </c>
      <c r="B8" s="16" t="s">
        <v>66</v>
      </c>
      <c r="C8" s="15" t="s">
        <v>67</v>
      </c>
      <c r="D8" s="17" t="n">
        <v>5500</v>
      </c>
      <c r="E8" s="16" t="s">
        <v>63</v>
      </c>
      <c r="F8" s="18" t="n">
        <v>11200</v>
      </c>
      <c r="G8" s="15" t="s">
        <v>68</v>
      </c>
      <c r="H8" s="18" t="n">
        <v>11200</v>
      </c>
      <c r="I8" s="19" t="n">
        <f aca="false">IF(E8="active",F8*12,0)</f>
        <v>134400</v>
      </c>
      <c r="J8" s="20" t="str">
        <f aca="false">IF(AND(E8="active",DATEVALUE(G8)&lt;DATEVALUE("2027-08-31")),"YES","")</f>
        <v/>
      </c>
    </row>
    <row r="9" customFormat="false" ht="15" hidden="false" customHeight="true" outlineLevel="0" collapsed="false">
      <c r="A9" s="15" t="s">
        <v>74</v>
      </c>
      <c r="B9" s="16" t="s">
        <v>70</v>
      </c>
      <c r="C9" s="15" t="s">
        <v>71</v>
      </c>
      <c r="D9" s="17" t="n">
        <v>5710</v>
      </c>
      <c r="E9" s="16" t="s">
        <v>63</v>
      </c>
      <c r="F9" s="18" t="n">
        <v>11475</v>
      </c>
      <c r="G9" s="15" t="s">
        <v>68</v>
      </c>
      <c r="H9" s="18" t="n">
        <v>11475</v>
      </c>
      <c r="I9" s="19" t="n">
        <f aca="false">IF(E9="active",F9*12,0)</f>
        <v>137700</v>
      </c>
      <c r="J9" s="20" t="str">
        <f aca="false">IF(AND(E9="active",DATEVALUE(G9)&lt;DATEVALUE("2027-08-31")),"YES","")</f>
        <v/>
      </c>
    </row>
    <row r="10" customFormat="false" ht="15" hidden="false" customHeight="true" outlineLevel="0" collapsed="false">
      <c r="A10" s="15" t="s">
        <v>75</v>
      </c>
      <c r="B10" s="16" t="s">
        <v>61</v>
      </c>
      <c r="C10" s="15" t="s">
        <v>62</v>
      </c>
      <c r="D10" s="17" t="n">
        <v>5380</v>
      </c>
      <c r="E10" s="16" t="s">
        <v>63</v>
      </c>
      <c r="F10" s="18" t="n">
        <v>11050</v>
      </c>
      <c r="G10" s="15" t="s">
        <v>68</v>
      </c>
      <c r="H10" s="18" t="n">
        <v>10975</v>
      </c>
      <c r="I10" s="19" t="n">
        <f aca="false">IF(E10="active",F10*12,0)</f>
        <v>132600</v>
      </c>
      <c r="J10" s="20" t="str">
        <f aca="false">IF(AND(E10="active",DATEVALUE(G10)&lt;DATEVALUE("2027-08-31")),"YES","")</f>
        <v/>
      </c>
    </row>
    <row r="11" customFormat="false" ht="15" hidden="false" customHeight="true" outlineLevel="0" collapsed="false">
      <c r="A11" s="15" t="s">
        <v>76</v>
      </c>
      <c r="B11" s="16" t="s">
        <v>66</v>
      </c>
      <c r="C11" s="15" t="s">
        <v>67</v>
      </c>
      <c r="D11" s="17" t="n">
        <v>5500</v>
      </c>
      <c r="E11" s="16" t="s">
        <v>63</v>
      </c>
      <c r="F11" s="18" t="n">
        <v>11200</v>
      </c>
      <c r="G11" s="15" t="s">
        <v>68</v>
      </c>
      <c r="H11" s="18" t="n">
        <v>11200</v>
      </c>
      <c r="I11" s="19" t="n">
        <f aca="false">IF(E11="active",F11*12,0)</f>
        <v>134400</v>
      </c>
      <c r="J11" s="20" t="str">
        <f aca="false">IF(AND(E11="active",DATEVALUE(G11)&lt;DATEVALUE("2027-08-31")),"YES","")</f>
        <v/>
      </c>
    </row>
    <row r="12" customFormat="false" ht="15" hidden="false" customHeight="true" outlineLevel="0" collapsed="false">
      <c r="A12" s="15" t="s">
        <v>77</v>
      </c>
      <c r="B12" s="16" t="s">
        <v>70</v>
      </c>
      <c r="C12" s="15" t="s">
        <v>71</v>
      </c>
      <c r="D12" s="17" t="n">
        <v>5710</v>
      </c>
      <c r="E12" s="16" t="s">
        <v>63</v>
      </c>
      <c r="F12" s="18" t="n">
        <v>11475</v>
      </c>
      <c r="G12" s="15" t="s">
        <v>68</v>
      </c>
      <c r="H12" s="18" t="n">
        <v>11475</v>
      </c>
      <c r="I12" s="19" t="n">
        <f aca="false">IF(E12="active",F12*12,0)</f>
        <v>137700</v>
      </c>
      <c r="J12" s="20" t="str">
        <f aca="false">IF(AND(E12="active",DATEVALUE(G12)&lt;DATEVALUE("2027-08-31")),"YES","")</f>
        <v/>
      </c>
    </row>
    <row r="13" customFormat="false" ht="15" hidden="false" customHeight="true" outlineLevel="0" collapsed="false">
      <c r="A13" s="15" t="s">
        <v>78</v>
      </c>
      <c r="B13" s="16" t="s">
        <v>61</v>
      </c>
      <c r="C13" s="15" t="s">
        <v>62</v>
      </c>
      <c r="D13" s="17" t="n">
        <v>5380</v>
      </c>
      <c r="E13" s="16" t="s">
        <v>79</v>
      </c>
      <c r="F13" s="18" t="n">
        <v>11050</v>
      </c>
      <c r="G13" s="15" t="s">
        <v>68</v>
      </c>
      <c r="H13" s="18" t="n">
        <v>10975</v>
      </c>
      <c r="I13" s="19" t="n">
        <f aca="false">IF(E13="active",F13*12,0)</f>
        <v>0</v>
      </c>
      <c r="J13" s="20" t="str">
        <f aca="false">IF(AND(E13="active",DATEVALUE(G13)&lt;DATEVALUE("2027-08-31")),"YES","")</f>
        <v/>
      </c>
    </row>
    <row r="14" customFormat="false" ht="15" hidden="false" customHeight="true" outlineLevel="0" collapsed="false">
      <c r="A14" s="15" t="s">
        <v>80</v>
      </c>
      <c r="B14" s="16" t="s">
        <v>66</v>
      </c>
      <c r="C14" s="15" t="s">
        <v>67</v>
      </c>
      <c r="D14" s="17" t="n">
        <v>5500</v>
      </c>
      <c r="E14" s="16" t="s">
        <v>81</v>
      </c>
      <c r="F14" s="18" t="n">
        <v>11200</v>
      </c>
      <c r="G14" s="15" t="s">
        <v>68</v>
      </c>
      <c r="H14" s="18" t="n">
        <v>11200</v>
      </c>
      <c r="I14" s="19" t="n">
        <f aca="false">IF(E14="active",F14*12,0)</f>
        <v>0</v>
      </c>
      <c r="J14" s="20" t="str">
        <f aca="false">IF(AND(E14="active",DATEVALUE(G14)&lt;DATEVALUE("2027-08-31")),"YES","")</f>
        <v/>
      </c>
    </row>
    <row r="15" customFormat="false" ht="15" hidden="false" customHeight="true" outlineLevel="0" collapsed="false">
      <c r="A15" s="15" t="s">
        <v>82</v>
      </c>
      <c r="B15" s="16" t="s">
        <v>70</v>
      </c>
      <c r="C15" s="15" t="s">
        <v>71</v>
      </c>
      <c r="D15" s="17" t="n">
        <v>5710</v>
      </c>
      <c r="E15" s="16" t="s">
        <v>81</v>
      </c>
      <c r="F15" s="18" t="n">
        <v>11475</v>
      </c>
      <c r="G15" s="15" t="s">
        <v>68</v>
      </c>
      <c r="H15" s="18" t="n">
        <v>11475</v>
      </c>
      <c r="I15" s="19" t="n">
        <f aca="false">IF(E15="active",F15*12,0)</f>
        <v>0</v>
      </c>
      <c r="J15" s="20" t="str">
        <f aca="false">IF(AND(E15="active",DATEVALUE(G15)&lt;DATEVALUE("2027-08-31")),"YES","")</f>
        <v/>
      </c>
    </row>
    <row r="16" customFormat="false" ht="15" hidden="false" customHeight="true" outlineLevel="0" collapsed="false">
      <c r="A16" s="21" t="s">
        <v>83</v>
      </c>
      <c r="B16" s="22"/>
      <c r="C16" s="22"/>
      <c r="D16" s="23" t="n">
        <f aca="false">SUM(D4:D15)</f>
        <v>66360</v>
      </c>
      <c r="E16" s="22"/>
      <c r="F16" s="24" t="n">
        <f aca="false">SUM(F4:F15)</f>
        <v>134900</v>
      </c>
      <c r="G16" s="22"/>
      <c r="H16" s="24" t="n">
        <f aca="false">SUM(H4:H15)</f>
        <v>134600</v>
      </c>
      <c r="I16" s="24" t="n">
        <f aca="false">SUM(I4:I15)</f>
        <v>1214100</v>
      </c>
      <c r="J16" s="22"/>
    </row>
    <row r="18" customFormat="false" ht="15" hidden="false" customHeight="true" outlineLevel="0" collapsed="false">
      <c r="A18" s="25" t="s">
        <v>84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true" outlineLevel="0" collapsed="false">
      <c r="A19" s="26" t="s">
        <v>85</v>
      </c>
      <c r="B19" s="26"/>
      <c r="C19" s="26"/>
      <c r="D19" s="26"/>
      <c r="E19" s="26"/>
      <c r="F19" s="26"/>
      <c r="G19" s="26"/>
      <c r="H19" s="26"/>
      <c r="I19" s="26"/>
      <c r="J19" s="26"/>
    </row>
    <row r="20" customFormat="false" ht="15" hidden="false" customHeight="true" outlineLevel="0" collapsed="false">
      <c r="A20" s="26" t="s">
        <v>86</v>
      </c>
      <c r="B20" s="26"/>
      <c r="C20" s="26"/>
      <c r="D20" s="26"/>
      <c r="E20" s="26"/>
      <c r="F20" s="26"/>
      <c r="G20" s="26"/>
      <c r="H20" s="26"/>
      <c r="I20" s="26"/>
      <c r="J20" s="26"/>
    </row>
    <row r="21" customFormat="false" ht="15" hidden="false" customHeight="true" outlineLevel="0" collapsed="false">
      <c r="A21" s="26" t="s">
        <v>87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15" hidden="false" customHeight="true" outlineLevel="0" collapsed="false">
      <c r="A22" s="26" t="s">
        <v>88</v>
      </c>
      <c r="B22" s="26"/>
      <c r="C22" s="26"/>
      <c r="D22" s="26"/>
      <c r="E22" s="26"/>
      <c r="F22" s="26"/>
      <c r="G22" s="26"/>
      <c r="H22" s="26"/>
      <c r="I22" s="26"/>
      <c r="J22" s="26"/>
    </row>
  </sheetData>
  <mergeCells count="6">
    <mergeCell ref="A1:J1"/>
    <mergeCell ref="A18:J18"/>
    <mergeCell ref="A19:J19"/>
    <mergeCell ref="A20:J20"/>
    <mergeCell ref="A21:J21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89</v>
      </c>
      <c r="B1" s="2"/>
      <c r="C1" s="2"/>
      <c r="D1" s="2"/>
    </row>
    <row r="3" customFormat="false" ht="15" hidden="false" customHeight="true" outlineLevel="0" collapsed="false">
      <c r="A3" s="6" t="s">
        <v>90</v>
      </c>
      <c r="B3" s="6"/>
      <c r="C3" s="6"/>
      <c r="D3" s="6"/>
    </row>
    <row r="4" customFormat="false" ht="15" hidden="false" customHeight="true" outlineLevel="0" collapsed="false">
      <c r="A4" s="4" t="s">
        <v>91</v>
      </c>
      <c r="B4" s="27" t="n">
        <f aca="false">SUM('Rent Roll'!H4:H15)*12</f>
        <v>1615200</v>
      </c>
      <c r="D4" s="1" t="s">
        <v>92</v>
      </c>
    </row>
    <row r="5" customFormat="false" ht="15" hidden="false" customHeight="true" outlineLevel="0" collapsed="false">
      <c r="A5" s="4" t="s">
        <v>93</v>
      </c>
      <c r="B5" s="28" t="n">
        <f aca="false">-Underwriting!$B$4*Inputs!$B$19</f>
        <v>-80760</v>
      </c>
      <c r="D5" s="1" t="s">
        <v>94</v>
      </c>
    </row>
    <row r="6" customFormat="false" ht="15" hidden="false" customHeight="true" outlineLevel="0" collapsed="false">
      <c r="A6" s="4" t="s">
        <v>95</v>
      </c>
      <c r="B6" s="28" t="n">
        <f aca="false">Underwriting!$B$4+Underwriting!$B$5</f>
        <v>1534440</v>
      </c>
    </row>
    <row r="7" customFormat="false" ht="15" hidden="false" customHeight="true" outlineLevel="0" collapsed="false">
      <c r="A7" s="4" t="s">
        <v>96</v>
      </c>
      <c r="B7" s="29" t="n">
        <f aca="false">Inputs!$B$20*Inputs!$B$27</f>
        <v>4200</v>
      </c>
      <c r="D7" s="1" t="s">
        <v>97</v>
      </c>
    </row>
    <row r="8" customFormat="false" ht="15" hidden="false" customHeight="true" outlineLevel="0" collapsed="false">
      <c r="A8" s="4" t="s">
        <v>98</v>
      </c>
      <c r="B8" s="30" t="n">
        <f aca="false">Underwriting!$B$6+Underwriting!$B$7</f>
        <v>1538640</v>
      </c>
    </row>
    <row r="10" customFormat="false" ht="15" hidden="false" customHeight="true" outlineLevel="0" collapsed="false">
      <c r="A10" s="6" t="s">
        <v>99</v>
      </c>
      <c r="B10" s="6"/>
      <c r="C10" s="6"/>
      <c r="D10" s="6"/>
    </row>
    <row r="11" customFormat="false" ht="15" hidden="false" customHeight="true" outlineLevel="0" collapsed="false">
      <c r="A11" s="4" t="s">
        <v>41</v>
      </c>
      <c r="B11" s="29" t="n">
        <f aca="false">Inputs!$B$24</f>
        <v>169974</v>
      </c>
    </row>
    <row r="12" customFormat="false" ht="15" hidden="false" customHeight="true" outlineLevel="0" collapsed="false">
      <c r="A12" s="4" t="s">
        <v>43</v>
      </c>
      <c r="B12" s="29" t="n">
        <f aca="false">Inputs!$B$25</f>
        <v>56658</v>
      </c>
    </row>
    <row r="13" customFormat="false" ht="15" hidden="false" customHeight="true" outlineLevel="0" collapsed="false">
      <c r="A13" s="4" t="s">
        <v>100</v>
      </c>
      <c r="B13" s="29" t="n">
        <f aca="false">Inputs!$B$26</f>
        <v>226632</v>
      </c>
    </row>
    <row r="14" customFormat="false" ht="15" hidden="false" customHeight="true" outlineLevel="0" collapsed="false">
      <c r="A14" s="4" t="s">
        <v>101</v>
      </c>
      <c r="B14" s="28" t="n">
        <f aca="false">Underwriting!$B$8*Inputs!$B$21</f>
        <v>46159.2</v>
      </c>
    </row>
    <row r="15" customFormat="false" ht="15" hidden="false" customHeight="true" outlineLevel="0" collapsed="false">
      <c r="A15" s="4" t="s">
        <v>102</v>
      </c>
      <c r="B15" s="30" t="n">
        <f aca="false">Underwriting!$B$11+Underwriting!$B$12+Underwriting!$B$13+Underwriting!$B$14</f>
        <v>499423.2</v>
      </c>
    </row>
    <row r="17" customFormat="false" ht="15" hidden="false" customHeight="true" outlineLevel="0" collapsed="false">
      <c r="A17" s="6" t="s">
        <v>103</v>
      </c>
      <c r="B17" s="6"/>
      <c r="C17" s="6"/>
      <c r="D17" s="6"/>
    </row>
    <row r="18" customFormat="false" ht="15" hidden="false" customHeight="true" outlineLevel="0" collapsed="false">
      <c r="A18" s="4" t="s">
        <v>104</v>
      </c>
      <c r="B18" s="30" t="n">
        <f aca="false">Underwriting!$B$8-Underwriting!$B$15</f>
        <v>1039216.8</v>
      </c>
    </row>
    <row r="19" customFormat="false" ht="15" hidden="false" customHeight="true" outlineLevel="0" collapsed="false">
      <c r="A19" s="4" t="s">
        <v>105</v>
      </c>
      <c r="B19" s="28" t="n">
        <f aca="false">Inputs!$B$22*Inputs!$B$27</f>
        <v>3600</v>
      </c>
    </row>
    <row r="20" customFormat="false" ht="15" hidden="false" customHeight="true" outlineLevel="0" collapsed="false">
      <c r="A20" s="4" t="s">
        <v>106</v>
      </c>
      <c r="B20" s="30" t="n">
        <f aca="false">Underwriting!$B$18-Underwriting!$B$19</f>
        <v>1035616.8</v>
      </c>
    </row>
    <row r="22" customFormat="false" ht="15" hidden="false" customHeight="true" outlineLevel="0" collapsed="false">
      <c r="A22" s="6" t="s">
        <v>107</v>
      </c>
      <c r="B22" s="6"/>
      <c r="C22" s="6"/>
      <c r="D22" s="6"/>
    </row>
    <row r="23" customFormat="false" ht="15" hidden="false" customHeight="true" outlineLevel="0" collapsed="false">
      <c r="A23" s="4" t="s">
        <v>108</v>
      </c>
      <c r="B23" s="30" t="n">
        <f aca="false">Underwriting!$B$18/Inputs!$B$23</f>
        <v>12990210</v>
      </c>
    </row>
    <row r="25" customFormat="false" ht="15" hidden="false" customHeight="true" outlineLevel="0" collapsed="false">
      <c r="A25" s="6" t="s">
        <v>109</v>
      </c>
      <c r="B25" s="6"/>
      <c r="C25" s="6"/>
      <c r="D25" s="6"/>
    </row>
    <row r="26" customFormat="false" ht="15" hidden="false" customHeight="true" outlineLevel="0" collapsed="false">
      <c r="A26" s="4" t="s">
        <v>110</v>
      </c>
      <c r="B26" s="31" t="n">
        <f aca="false">Inputs!$B$16</f>
        <v>0.0675</v>
      </c>
    </row>
    <row r="27" customFormat="false" ht="15" hidden="false" customHeight="true" outlineLevel="0" collapsed="false">
      <c r="A27" s="4" t="s">
        <v>111</v>
      </c>
      <c r="B27" s="32" t="n">
        <f aca="false">Underwriting!$B$26/12</f>
        <v>0.005625</v>
      </c>
    </row>
    <row r="28" customFormat="false" ht="15" hidden="false" customHeight="true" outlineLevel="0" collapsed="false">
      <c r="A28" s="4" t="s">
        <v>112</v>
      </c>
      <c r="B28" s="33" t="n">
        <f aca="false">Inputs!$B$11*12</f>
        <v>360</v>
      </c>
    </row>
    <row r="29" customFormat="false" ht="15" hidden="false" customHeight="true" outlineLevel="0" collapsed="false">
      <c r="A29" s="4" t="s">
        <v>113</v>
      </c>
      <c r="B29" s="32" t="n">
        <f aca="false">12*(Underwriting!$B$27*(1+Underwriting!$B$27)^Underwriting!$B$28)/((1+Underwriting!$B$27)^Underwriting!$B$28-1)</f>
        <v>0.0778317715881859</v>
      </c>
    </row>
    <row r="30" customFormat="false" ht="15" hidden="false" customHeight="true" outlineLevel="0" collapsed="false">
      <c r="A30" s="4" t="s">
        <v>114</v>
      </c>
      <c r="B30" s="28" t="n">
        <f aca="false">Underwriting!$B$23*Inputs!$B$6</f>
        <v>7794126</v>
      </c>
    </row>
    <row r="31" customFormat="false" ht="15" hidden="false" customHeight="true" outlineLevel="0" collapsed="false">
      <c r="A31" s="4" t="s">
        <v>115</v>
      </c>
      <c r="B31" s="28" t="n">
        <f aca="false">Underwriting!$B$20/(Inputs!$B$7*Underwriting!$B$29)</f>
        <v>10644668.9198291</v>
      </c>
    </row>
    <row r="32" customFormat="false" ht="15" hidden="false" customHeight="true" outlineLevel="0" collapsed="false">
      <c r="A32" s="4" t="s">
        <v>116</v>
      </c>
      <c r="B32" s="28" t="n">
        <f aca="false">Underwriting!$B$20/Inputs!$B$8</f>
        <v>11506853.3333333</v>
      </c>
    </row>
    <row r="33" customFormat="false" ht="15" hidden="false" customHeight="true" outlineLevel="0" collapsed="false">
      <c r="A33" s="4" t="s">
        <v>117</v>
      </c>
      <c r="B33" s="30" t="n">
        <f aca="false">MIN(Underwriting!$B$30,Underwriting!$B$31,Underwriting!$B$32)</f>
        <v>7794126</v>
      </c>
    </row>
    <row r="34" customFormat="false" ht="15" hidden="false" customHeight="true" outlineLevel="0" collapsed="false">
      <c r="A34" s="4" t="s">
        <v>118</v>
      </c>
      <c r="B34" s="34" t="str">
        <f aca="false">IF(Underwriting!$B$33=Underwriting!$B$30,"LTV",IF(Underwriting!$B$33=Underwriting!$B$31,"DSCR","Debt Yield"))</f>
        <v>LTV</v>
      </c>
    </row>
    <row r="36" customFormat="false" ht="15" hidden="false" customHeight="true" outlineLevel="0" collapsed="false">
      <c r="A36" s="6" t="s">
        <v>119</v>
      </c>
      <c r="B36" s="6"/>
      <c r="C36" s="6"/>
      <c r="D36" s="6"/>
    </row>
    <row r="37" customFormat="false" ht="15" hidden="false" customHeight="true" outlineLevel="0" collapsed="false">
      <c r="A37" s="4" t="s">
        <v>120</v>
      </c>
      <c r="B37" s="28" t="n">
        <f aca="false">Underwriting!$B$33*Inputs!$B$12</f>
        <v>77941.26</v>
      </c>
    </row>
    <row r="38" customFormat="false" ht="15" hidden="false" customHeight="true" outlineLevel="0" collapsed="false">
      <c r="A38" s="4" t="s">
        <v>121</v>
      </c>
      <c r="B38" s="29" t="n">
        <f aca="false">Inputs!$B$13</f>
        <v>45000</v>
      </c>
    </row>
    <row r="39" customFormat="false" ht="15" hidden="false" customHeight="true" outlineLevel="0" collapsed="false">
      <c r="A39" s="4" t="s">
        <v>122</v>
      </c>
      <c r="B39" s="29" t="n">
        <f aca="false">Inputs!$B$14</f>
        <v>6500000</v>
      </c>
    </row>
    <row r="40" customFormat="false" ht="15" hidden="false" customHeight="true" outlineLevel="0" collapsed="false">
      <c r="A40" s="4" t="s">
        <v>123</v>
      </c>
      <c r="B40" s="30" t="n">
        <f aca="false">Underwriting!$B$33-Underwriting!$B$37-Underwriting!$B$38-Underwriting!$B$39</f>
        <v>1171184.74</v>
      </c>
    </row>
    <row r="42" customFormat="false" ht="15" hidden="false" customHeight="true" outlineLevel="0" collapsed="false">
      <c r="A42" s="6" t="s">
        <v>124</v>
      </c>
      <c r="B42" s="6"/>
      <c r="C42" s="6"/>
      <c r="D42" s="6"/>
    </row>
    <row r="43" customFormat="false" ht="15" hidden="false" customHeight="true" outlineLevel="0" collapsed="false">
      <c r="A43" s="4" t="s">
        <v>125</v>
      </c>
      <c r="B43" s="35" t="n">
        <f aca="false">Underwriting!$B$33/Underwriting!$B$23</f>
        <v>0.6</v>
      </c>
    </row>
    <row r="44" customFormat="false" ht="15" hidden="false" customHeight="true" outlineLevel="0" collapsed="false">
      <c r="A44" s="4" t="s">
        <v>126</v>
      </c>
      <c r="B44" s="36" t="n">
        <f aca="false">Underwriting!$B$20/(Underwriting!$B$33*Underwriting!$B$29)</f>
        <v>1.70716205380647</v>
      </c>
    </row>
    <row r="45" customFormat="false" ht="15" hidden="false" customHeight="true" outlineLevel="0" collapsed="false">
      <c r="A45" s="4" t="s">
        <v>127</v>
      </c>
      <c r="B45" s="35" t="n">
        <f aca="false">Underwriting!$B$20/Underwriting!$B$33</f>
        <v>0.132871447035883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13" t="s">
        <v>128</v>
      </c>
      <c r="B1" s="13"/>
      <c r="C1" s="13"/>
      <c r="D1" s="13"/>
      <c r="E1" s="13"/>
    </row>
    <row r="3" customFormat="false" ht="15" hidden="false" customHeight="true" outlineLevel="0" collapsed="false">
      <c r="A3" s="37" t="s">
        <v>129</v>
      </c>
      <c r="B3" s="37" t="s">
        <v>130</v>
      </c>
      <c r="C3" s="37" t="s">
        <v>131</v>
      </c>
      <c r="D3" s="37" t="s">
        <v>132</v>
      </c>
      <c r="E3" s="37" t="s">
        <v>133</v>
      </c>
    </row>
    <row r="4" customFormat="false" ht="15" hidden="false" customHeight="true" outlineLevel="0" collapsed="false">
      <c r="A4" s="4" t="s">
        <v>134</v>
      </c>
      <c r="B4" s="38" t="n">
        <v>1456920</v>
      </c>
      <c r="C4" s="28" t="n">
        <f aca="false">Underwriting!$B$8</f>
        <v>1538640</v>
      </c>
      <c r="D4" s="38" t="n">
        <f aca="false">C4-B4</f>
        <v>81720</v>
      </c>
      <c r="E4" s="1" t="s">
        <v>135</v>
      </c>
    </row>
    <row r="5" customFormat="false" ht="15" hidden="false" customHeight="true" outlineLevel="0" collapsed="false">
      <c r="A5" s="4" t="s">
        <v>136</v>
      </c>
      <c r="B5" s="38" t="n">
        <v>-169974</v>
      </c>
      <c r="C5" s="28" t="n">
        <f aca="false">-Underwriting!$B$11</f>
        <v>-169974</v>
      </c>
      <c r="D5" s="38" t="n">
        <f aca="false">C5-B5</f>
        <v>0</v>
      </c>
      <c r="E5" s="1" t="s">
        <v>137</v>
      </c>
    </row>
    <row r="6" customFormat="false" ht="15" hidden="false" customHeight="true" outlineLevel="0" collapsed="false">
      <c r="A6" s="4" t="s">
        <v>138</v>
      </c>
      <c r="B6" s="38" t="n">
        <v>-56658</v>
      </c>
      <c r="C6" s="28" t="n">
        <f aca="false">-Underwriting!$B$12</f>
        <v>-56658</v>
      </c>
      <c r="D6" s="38" t="n">
        <f aca="false">C6-B6</f>
        <v>0</v>
      </c>
      <c r="E6" s="1" t="s">
        <v>137</v>
      </c>
    </row>
    <row r="7" customFormat="false" ht="15" hidden="false" customHeight="true" outlineLevel="0" collapsed="false">
      <c r="A7" s="4" t="s">
        <v>100</v>
      </c>
      <c r="B7" s="38" t="n">
        <v>-226632</v>
      </c>
      <c r="C7" s="28" t="n">
        <f aca="false">-Underwriting!$B$13</f>
        <v>-226632</v>
      </c>
      <c r="D7" s="38" t="n">
        <f aca="false">C7-B7</f>
        <v>0</v>
      </c>
      <c r="E7" s="1" t="s">
        <v>137</v>
      </c>
    </row>
    <row r="8" customFormat="false" ht="15" hidden="false" customHeight="true" outlineLevel="0" collapsed="false">
      <c r="A8" s="4" t="s">
        <v>139</v>
      </c>
      <c r="B8" s="38" t="n">
        <v>0</v>
      </c>
      <c r="C8" s="28" t="n">
        <v>0</v>
      </c>
      <c r="D8" s="38" t="n">
        <f aca="false">C8-B8</f>
        <v>0</v>
      </c>
      <c r="E8" s="1" t="s">
        <v>140</v>
      </c>
    </row>
    <row r="9" customFormat="false" ht="15" hidden="false" customHeight="true" outlineLevel="0" collapsed="false">
      <c r="A9" s="4" t="s">
        <v>141</v>
      </c>
      <c r="B9" s="38" t="n">
        <v>0</v>
      </c>
      <c r="C9" s="28" t="n">
        <f aca="false">-Underwriting!$B$14</f>
        <v>-46159.2</v>
      </c>
      <c r="D9" s="38" t="n">
        <f aca="false">C9-B9</f>
        <v>-46159.2</v>
      </c>
      <c r="E9" s="1" t="s">
        <v>142</v>
      </c>
    </row>
    <row r="10" customFormat="false" ht="15" hidden="false" customHeight="true" outlineLevel="0" collapsed="false">
      <c r="A10" s="4" t="s">
        <v>143</v>
      </c>
      <c r="B10" s="38" t="n">
        <v>0</v>
      </c>
      <c r="C10" s="28" t="n">
        <f aca="false">-Underwriting!$B$19</f>
        <v>-3600</v>
      </c>
      <c r="D10" s="38" t="n">
        <f aca="false">C10-B10</f>
        <v>-3600</v>
      </c>
      <c r="E10" s="1" t="s">
        <v>144</v>
      </c>
    </row>
    <row r="11" customFormat="false" ht="15" hidden="false" customHeight="true" outlineLevel="0" collapsed="false">
      <c r="A11" s="4" t="s">
        <v>145</v>
      </c>
      <c r="B11" s="10" t="n">
        <v>1003656</v>
      </c>
      <c r="E11" s="1" t="s">
        <v>146</v>
      </c>
    </row>
    <row r="12" customFormat="false" ht="15" hidden="false" customHeight="true" outlineLevel="0" collapsed="false">
      <c r="A12" s="4" t="s">
        <v>104</v>
      </c>
      <c r="C12" s="29" t="n">
        <f aca="false">Underwriting!$B$18</f>
        <v>1039216.8</v>
      </c>
    </row>
    <row r="13" customFormat="false" ht="15" hidden="false" customHeight="true" outlineLevel="0" collapsed="false">
      <c r="A13" s="4" t="s">
        <v>106</v>
      </c>
      <c r="C13" s="29" t="n">
        <f aca="false">Underwriting!$B$20</f>
        <v>1035616.8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5" hidden="false" customHeight="true" outlineLevel="0" collapsed="false">
      <c r="A1" s="13" t="s">
        <v>147</v>
      </c>
      <c r="B1" s="13"/>
      <c r="C1" s="13"/>
      <c r="D1" s="13"/>
      <c r="E1" s="13"/>
      <c r="F1" s="13"/>
    </row>
    <row r="3" customFormat="false" ht="15" hidden="false" customHeight="true" outlineLevel="0" collapsed="false">
      <c r="A3" s="37" t="s">
        <v>148</v>
      </c>
      <c r="B3" s="37" t="s">
        <v>149</v>
      </c>
      <c r="C3" s="37" t="s">
        <v>150</v>
      </c>
      <c r="D3" s="37" t="s">
        <v>151</v>
      </c>
      <c r="E3" s="37" t="s">
        <v>152</v>
      </c>
      <c r="F3" s="37" t="s">
        <v>133</v>
      </c>
    </row>
    <row r="4" customFormat="false" ht="15" hidden="false" customHeight="true" outlineLevel="0" collapsed="false">
      <c r="A4" s="4" t="s">
        <v>153</v>
      </c>
      <c r="B4" s="39" t="n">
        <f aca="false">COUNTIF('Rent Roll'!C4:C15,"A")</f>
        <v>4</v>
      </c>
      <c r="C4" s="39" t="n">
        <f aca="false">COUNTIF('Rent Roll'!C4:C15,"B")</f>
        <v>4</v>
      </c>
      <c r="D4" s="39" t="n">
        <f aca="false">COUNTIF('Rent Roll'!C4:C15,"C")</f>
        <v>4</v>
      </c>
      <c r="E4" s="39" t="n">
        <f aca="false">SUM(B4:D4)</f>
        <v>12</v>
      </c>
    </row>
    <row r="5" customFormat="false" ht="15" hidden="false" customHeight="true" outlineLevel="0" collapsed="false">
      <c r="A5" s="4" t="s">
        <v>154</v>
      </c>
      <c r="B5" s="39" t="n">
        <f aca="false">COUNTIFS('Rent Roll'!C4:C15,"A",'Rent Roll'!E4:E15,"active")</f>
        <v>3</v>
      </c>
      <c r="C5" s="39" t="n">
        <f aca="false">COUNTIFS('Rent Roll'!C4:C15,"B",'Rent Roll'!E4:E15,"active")</f>
        <v>3</v>
      </c>
      <c r="D5" s="39" t="n">
        <f aca="false">COUNTIFS('Rent Roll'!C4:C15,"C",'Rent Roll'!E4:E15,"active")</f>
        <v>3</v>
      </c>
      <c r="E5" s="39" t="n">
        <f aca="false">SUM(B5:D5)</f>
        <v>9</v>
      </c>
      <c r="F5" s="1" t="s">
        <v>155</v>
      </c>
    </row>
    <row r="6" customFormat="false" ht="15" hidden="false" customHeight="true" outlineLevel="0" collapsed="false">
      <c r="A6" s="4" t="s">
        <v>156</v>
      </c>
      <c r="B6" s="39" t="n">
        <f aca="false">COUNTIFS('Rent Roll'!C4:C15,"A",'Rent Roll'!E4:E15,"pending")</f>
        <v>1</v>
      </c>
      <c r="C6" s="39" t="n">
        <f aca="false">COUNTIFS('Rent Roll'!C4:C15,"B",'Rent Roll'!E4:E15,"pending")</f>
        <v>0</v>
      </c>
      <c r="D6" s="39" t="n">
        <f aca="false">COUNTIFS('Rent Roll'!C4:C15,"C",'Rent Roll'!E4:E15,"pending")</f>
        <v>0</v>
      </c>
      <c r="E6" s="39" t="n">
        <f aca="false">SUM(B6:D6)</f>
        <v>1</v>
      </c>
    </row>
    <row r="7" customFormat="false" ht="15" hidden="false" customHeight="true" outlineLevel="0" collapsed="false">
      <c r="A7" s="4" t="s">
        <v>157</v>
      </c>
      <c r="B7" s="39" t="n">
        <f aca="false">COUNTIFS('Rent Roll'!C4:C15,"A",'Rent Roll'!E4:E15,"vacant")</f>
        <v>0</v>
      </c>
      <c r="C7" s="39" t="n">
        <f aca="false">COUNTIFS('Rent Roll'!C4:C15,"B",'Rent Roll'!E4:E15,"vacant")</f>
        <v>1</v>
      </c>
      <c r="D7" s="39" t="n">
        <f aca="false">COUNTIFS('Rent Roll'!C4:C15,"C",'Rent Roll'!E4:E15,"vacant")</f>
        <v>1</v>
      </c>
      <c r="E7" s="39" t="n">
        <f aca="false">SUM(B7:D7)</f>
        <v>2</v>
      </c>
    </row>
    <row r="8" customFormat="false" ht="15" hidden="false" customHeight="true" outlineLevel="0" collapsed="false">
      <c r="A8" s="4" t="s">
        <v>158</v>
      </c>
      <c r="B8" s="39" t="n">
        <f aca="false">SUMIF('Rent Roll'!C4:C15,"A",'Rent Roll'!D4:D15)</f>
        <v>21520</v>
      </c>
      <c r="C8" s="39" t="n">
        <f aca="false">SUMIF('Rent Roll'!C4:C15,"B",'Rent Roll'!D4:D15)</f>
        <v>22000</v>
      </c>
      <c r="D8" s="39" t="n">
        <f aca="false">SUMIF('Rent Roll'!C4:C15,"C",'Rent Roll'!D4:D15)</f>
        <v>22840</v>
      </c>
      <c r="E8" s="39" t="n">
        <f aca="false">SUM(B8:D8)</f>
        <v>66360</v>
      </c>
    </row>
    <row r="9" customFormat="false" ht="15" hidden="false" customHeight="true" outlineLevel="0" collapsed="false">
      <c r="A9" s="4" t="s">
        <v>159</v>
      </c>
      <c r="B9" s="39" t="n">
        <f aca="false">SUMIFS('Rent Roll'!D4:D15,'Rent Roll'!C4:C15,"A",'Rent Roll'!E4:E15,"active")</f>
        <v>16140</v>
      </c>
      <c r="C9" s="39" t="n">
        <f aca="false">SUMIFS('Rent Roll'!D4:D15,'Rent Roll'!C4:C15,"B",'Rent Roll'!E4:E15,"active")</f>
        <v>16500</v>
      </c>
      <c r="D9" s="39" t="n">
        <f aca="false">SUMIFS('Rent Roll'!D4:D15,'Rent Roll'!C4:C15,"C",'Rent Roll'!E4:E15,"active")</f>
        <v>17130</v>
      </c>
      <c r="E9" s="39" t="n">
        <f aca="false">SUM(B9:D9)</f>
        <v>49770</v>
      </c>
    </row>
    <row r="11" customFormat="false" ht="15" hidden="false" customHeight="true" outlineLevel="0" collapsed="false">
      <c r="A11" s="4" t="s">
        <v>160</v>
      </c>
      <c r="E11" s="35" t="n">
        <f aca="false">'Occupancy &amp; Mix'!$E$5/'Occupancy &amp; Mix'!$E$4</f>
        <v>0.75</v>
      </c>
    </row>
    <row r="12" customFormat="false" ht="15" hidden="false" customHeight="true" outlineLevel="0" collapsed="false">
      <c r="A12" s="4" t="s">
        <v>161</v>
      </c>
      <c r="E12" s="35" t="n">
        <f aca="false">'Occupancy &amp; Mix'!$E$9/'Occupancy &amp; Mix'!$E$8</f>
        <v>0.75</v>
      </c>
    </row>
    <row r="13" customFormat="false" ht="15" hidden="false" customHeight="true" outlineLevel="0" collapsed="false">
      <c r="A13" s="4" t="s">
        <v>162</v>
      </c>
      <c r="E13" s="29" t="n">
        <f aca="false">'Rent Roll'!I16</f>
        <v>1214100</v>
      </c>
    </row>
    <row r="14" customFormat="false" ht="15" hidden="false" customHeight="true" outlineLevel="0" collapsed="false">
      <c r="A14" s="4" t="s">
        <v>163</v>
      </c>
      <c r="E14" s="39" t="n">
        <f aca="false">'Occupancy &amp; Mix'!$E$5+'Occupancy &amp; Mix'!$E$6</f>
        <v>10</v>
      </c>
      <c r="F14" s="1" t="s">
        <v>164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5" hidden="false" customHeight="true" outlineLevel="0" collapsed="false">
      <c r="A1" s="13" t="s">
        <v>165</v>
      </c>
      <c r="B1" s="13"/>
      <c r="C1" s="13"/>
      <c r="D1" s="13"/>
      <c r="E1" s="13"/>
      <c r="F1" s="13"/>
      <c r="G1" s="13"/>
      <c r="H1" s="13"/>
    </row>
    <row r="3" customFormat="false" ht="15" hidden="false" customHeight="true" outlineLevel="0" collapsed="false">
      <c r="A3" s="37" t="s">
        <v>166</v>
      </c>
      <c r="B3" s="40" t="n">
        <v>0.06</v>
      </c>
      <c r="C3" s="40" t="n">
        <v>0.0625</v>
      </c>
      <c r="D3" s="40" t="n">
        <v>0.065</v>
      </c>
      <c r="E3" s="40" t="n">
        <v>0.0675</v>
      </c>
      <c r="F3" s="40" t="n">
        <v>0.07</v>
      </c>
      <c r="G3" s="40" t="n">
        <v>0.0725</v>
      </c>
      <c r="H3" s="40" t="n">
        <v>0.075</v>
      </c>
    </row>
    <row r="4" customFormat="false" ht="15" hidden="false" customHeight="true" outlineLevel="0" collapsed="false">
      <c r="A4" s="40" t="n">
        <v>0.065</v>
      </c>
      <c r="B4" s="38" t="n">
        <f aca="false">MIN((Inputs!$B$6*(Underwriting!$B$18/0.065)),(Underwriting!$B$20/(Inputs!$B$7*(12*((0.06/12)*(1+(0.06/12))^360)/((1+(0.06/12))^360-1)))),(Underwriting!$B$20/Inputs!$B$8))</f>
        <v>9592770.46153846</v>
      </c>
      <c r="C4" s="38" t="n">
        <f aca="false">MIN((Inputs!$B$6*(Underwriting!$B$18/0.065)),(Underwriting!$B$20/(Inputs!$B$7*(12*((0.0625/12)*(1+(0.0625/12))^360)/((1+(0.0625/12))^360-1)))),(Underwriting!$B$20/Inputs!$B$8))</f>
        <v>9592770.46153846</v>
      </c>
      <c r="D4" s="38" t="n">
        <f aca="false">MIN((Inputs!$B$6*(Underwriting!$B$18/0.065)),(Underwriting!$B$20/(Inputs!$B$7*(12*((0.065/12)*(1+(0.065/12))^360)/((1+(0.065/12))^360-1)))),(Underwriting!$B$20/Inputs!$B$8))</f>
        <v>9592770.46153846</v>
      </c>
      <c r="E4" s="38" t="n">
        <f aca="false">MIN((Inputs!$B$6*(Underwriting!$B$18/0.065)),(Underwriting!$B$20/(Inputs!$B$7*(12*((0.0675/12)*(1+(0.0675/12))^360)/((1+(0.0675/12))^360-1)))),(Underwriting!$B$20/Inputs!$B$8))</f>
        <v>9592770.46153846</v>
      </c>
      <c r="F4" s="38" t="n">
        <f aca="false">MIN((Inputs!$B$6*(Underwriting!$B$18/0.065)),(Underwriting!$B$20/(Inputs!$B$7*(12*((0.07/12)*(1+(0.07/12))^360)/((1+(0.07/12))^360-1)))),(Underwriting!$B$20/Inputs!$B$8))</f>
        <v>9592770.46153846</v>
      </c>
      <c r="G4" s="38" t="n">
        <f aca="false">MIN((Inputs!$B$6*(Underwriting!$B$18/0.065)),(Underwriting!$B$20/(Inputs!$B$7*(12*((0.0725/12)*(1+(0.0725/12))^360)/((1+(0.0725/12))^360-1)))),(Underwriting!$B$20/Inputs!$B$8))</f>
        <v>9592770.46153846</v>
      </c>
      <c r="H4" s="38" t="n">
        <f aca="false">MIN((Inputs!$B$6*(Underwriting!$B$18/0.065)),(Underwriting!$B$20/(Inputs!$B$7*(12*((0.075/12)*(1+(0.075/12))^360)/((1+(0.075/12))^360-1)))),(Underwriting!$B$20/Inputs!$B$8))</f>
        <v>9592770.46153846</v>
      </c>
    </row>
    <row r="5" customFormat="false" ht="15" hidden="false" customHeight="true" outlineLevel="0" collapsed="false">
      <c r="A5" s="40" t="n">
        <v>0.07</v>
      </c>
      <c r="B5" s="38" t="n">
        <f aca="false">MIN((Inputs!$B$6*(Underwriting!$B$18/0.07)),(Underwriting!$B$20/(Inputs!$B$7*(12*((0.06/12)*(1+(0.06/12))^360)/((1+(0.06/12))^360-1)))),(Underwriting!$B$20/Inputs!$B$8))</f>
        <v>8907572.57142857</v>
      </c>
      <c r="C5" s="38" t="n">
        <f aca="false">MIN((Inputs!$B$6*(Underwriting!$B$18/0.07)),(Underwriting!$B$20/(Inputs!$B$7*(12*((0.0625/12)*(1+(0.0625/12))^360)/((1+(0.0625/12))^360-1)))),(Underwriting!$B$20/Inputs!$B$8))</f>
        <v>8907572.57142857</v>
      </c>
      <c r="D5" s="38" t="n">
        <f aca="false">MIN((Inputs!$B$6*(Underwriting!$B$18/0.07)),(Underwriting!$B$20/(Inputs!$B$7*(12*((0.065/12)*(1+(0.065/12))^360)/((1+(0.065/12))^360-1)))),(Underwriting!$B$20/Inputs!$B$8))</f>
        <v>8907572.57142857</v>
      </c>
      <c r="E5" s="38" t="n">
        <f aca="false">MIN((Inputs!$B$6*(Underwriting!$B$18/0.07)),(Underwriting!$B$20/(Inputs!$B$7*(12*((0.0675/12)*(1+(0.0675/12))^360)/((1+(0.0675/12))^360-1)))),(Underwriting!$B$20/Inputs!$B$8))</f>
        <v>8907572.57142857</v>
      </c>
      <c r="F5" s="38" t="n">
        <f aca="false">MIN((Inputs!$B$6*(Underwriting!$B$18/0.07)),(Underwriting!$B$20/(Inputs!$B$7*(12*((0.07/12)*(1+(0.07/12))^360)/((1+(0.07/12))^360-1)))),(Underwriting!$B$20/Inputs!$B$8))</f>
        <v>8907572.57142857</v>
      </c>
      <c r="G5" s="38" t="n">
        <f aca="false">MIN((Inputs!$B$6*(Underwriting!$B$18/0.07)),(Underwriting!$B$20/(Inputs!$B$7*(12*((0.0725/12)*(1+(0.0725/12))^360)/((1+(0.0725/12))^360-1)))),(Underwriting!$B$20/Inputs!$B$8))</f>
        <v>8907572.57142857</v>
      </c>
      <c r="H5" s="38" t="n">
        <f aca="false">MIN((Inputs!$B$6*(Underwriting!$B$18/0.07)),(Underwriting!$B$20/(Inputs!$B$7*(12*((0.075/12)*(1+(0.075/12))^360)/((1+(0.075/12))^360-1)))),(Underwriting!$B$20/Inputs!$B$8))</f>
        <v>8907572.57142857</v>
      </c>
    </row>
    <row r="6" customFormat="false" ht="15" hidden="false" customHeight="true" outlineLevel="0" collapsed="false">
      <c r="A6" s="40" t="n">
        <v>0.075</v>
      </c>
      <c r="B6" s="38" t="n">
        <f aca="false">MIN((Inputs!$B$6*(Underwriting!$B$18/0.075)),(Underwriting!$B$20/(Inputs!$B$7*(12*((0.06/12)*(1+(0.06/12))^360)/((1+(0.06/12))^360-1)))),(Underwriting!$B$20/Inputs!$B$8))</f>
        <v>8313734.4</v>
      </c>
      <c r="C6" s="38" t="n">
        <f aca="false">MIN((Inputs!$B$6*(Underwriting!$B$18/0.075)),(Underwriting!$B$20/(Inputs!$B$7*(12*((0.0625/12)*(1+(0.0625/12))^360)/((1+(0.0625/12))^360-1)))),(Underwriting!$B$20/Inputs!$B$8))</f>
        <v>8313734.4</v>
      </c>
      <c r="D6" s="38" t="n">
        <f aca="false">MIN((Inputs!$B$6*(Underwriting!$B$18/0.075)),(Underwriting!$B$20/(Inputs!$B$7*(12*((0.065/12)*(1+(0.065/12))^360)/((1+(0.065/12))^360-1)))),(Underwriting!$B$20/Inputs!$B$8))</f>
        <v>8313734.4</v>
      </c>
      <c r="E6" s="41" t="n">
        <f aca="false">MIN((Inputs!$B$6*(Underwriting!$B$18/0.075)),(Underwriting!$B$20/(Inputs!$B$7*(12*((0.0675/12)*(1+(0.0675/12))^360)/((1+(0.0675/12))^360-1)))),(Underwriting!$B$20/Inputs!$B$8))</f>
        <v>8313734.4</v>
      </c>
      <c r="F6" s="38" t="n">
        <f aca="false">MIN((Inputs!$B$6*(Underwriting!$B$18/0.075)),(Underwriting!$B$20/(Inputs!$B$7*(12*((0.07/12)*(1+(0.07/12))^360)/((1+(0.07/12))^360-1)))),(Underwriting!$B$20/Inputs!$B$8))</f>
        <v>8313734.4</v>
      </c>
      <c r="G6" s="38" t="n">
        <f aca="false">MIN((Inputs!$B$6*(Underwriting!$B$18/0.075)),(Underwriting!$B$20/(Inputs!$B$7*(12*((0.0725/12)*(1+(0.0725/12))^360)/((1+(0.0725/12))^360-1)))),(Underwriting!$B$20/Inputs!$B$8))</f>
        <v>8313734.4</v>
      </c>
      <c r="H6" s="38" t="n">
        <f aca="false">MIN((Inputs!$B$6*(Underwriting!$B$18/0.075)),(Underwriting!$B$20/(Inputs!$B$7*(12*((0.075/12)*(1+(0.075/12))^360)/((1+(0.075/12))^360-1)))),(Underwriting!$B$20/Inputs!$B$8))</f>
        <v>8313734.4</v>
      </c>
    </row>
    <row r="7" customFormat="false" ht="15" hidden="false" customHeight="true" outlineLevel="0" collapsed="false">
      <c r="A7" s="40" t="n">
        <v>0.08</v>
      </c>
      <c r="B7" s="38" t="n">
        <f aca="false">MIN((Inputs!$B$6*(Underwriting!$B$18/0.08)),(Underwriting!$B$20/(Inputs!$B$7*(12*((0.06/12)*(1+(0.06/12))^360)/((1+(0.06/12))^360-1)))),(Underwriting!$B$20/Inputs!$B$8))</f>
        <v>7794126</v>
      </c>
      <c r="C7" s="38" t="n">
        <f aca="false">MIN((Inputs!$B$6*(Underwriting!$B$18/0.08)),(Underwriting!$B$20/(Inputs!$B$7*(12*((0.0625/12)*(1+(0.0625/12))^360)/((1+(0.0625/12))^360-1)))),(Underwriting!$B$20/Inputs!$B$8))</f>
        <v>7794126</v>
      </c>
      <c r="D7" s="38" t="n">
        <f aca="false">MIN((Inputs!$B$6*(Underwriting!$B$18/0.08)),(Underwriting!$B$20/(Inputs!$B$7*(12*((0.065/12)*(1+(0.065/12))^360)/((1+(0.065/12))^360-1)))),(Underwriting!$B$20/Inputs!$B$8))</f>
        <v>7794126</v>
      </c>
      <c r="E7" s="38" t="n">
        <f aca="false">MIN((Inputs!$B$6*(Underwriting!$B$18/0.08)),(Underwriting!$B$20/(Inputs!$B$7*(12*((0.0675/12)*(1+(0.0675/12))^360)/((1+(0.0675/12))^360-1)))),(Underwriting!$B$20/Inputs!$B$8))</f>
        <v>7794126</v>
      </c>
      <c r="F7" s="38" t="n">
        <f aca="false">MIN((Inputs!$B$6*(Underwriting!$B$18/0.08)),(Underwriting!$B$20/(Inputs!$B$7*(12*((0.07/12)*(1+(0.07/12))^360)/((1+(0.07/12))^360-1)))),(Underwriting!$B$20/Inputs!$B$8))</f>
        <v>7794126</v>
      </c>
      <c r="G7" s="38" t="n">
        <f aca="false">MIN((Inputs!$B$6*(Underwriting!$B$18/0.08)),(Underwriting!$B$20/(Inputs!$B$7*(12*((0.0725/12)*(1+(0.0725/12))^360)/((1+(0.0725/12))^360-1)))),(Underwriting!$B$20/Inputs!$B$8))</f>
        <v>7794126</v>
      </c>
      <c r="H7" s="38" t="n">
        <f aca="false">MIN((Inputs!$B$6*(Underwriting!$B$18/0.08)),(Underwriting!$B$20/(Inputs!$B$7*(12*((0.075/12)*(1+(0.075/12))^360)/((1+(0.075/12))^360-1)))),(Underwriting!$B$20/Inputs!$B$8))</f>
        <v>7794126</v>
      </c>
    </row>
    <row r="8" customFormat="false" ht="15" hidden="false" customHeight="true" outlineLevel="0" collapsed="false">
      <c r="A8" s="40" t="n">
        <v>0.085</v>
      </c>
      <c r="B8" s="38" t="n">
        <f aca="false">MIN((Inputs!$B$6*(Underwriting!$B$18/0.085)),(Underwriting!$B$20/(Inputs!$B$7*(12*((0.06/12)*(1+(0.06/12))^360)/((1+(0.06/12))^360-1)))),(Underwriting!$B$20/Inputs!$B$8))</f>
        <v>7335648</v>
      </c>
      <c r="C8" s="38" t="n">
        <f aca="false">MIN((Inputs!$B$6*(Underwriting!$B$18/0.085)),(Underwriting!$B$20/(Inputs!$B$7*(12*((0.0625/12)*(1+(0.0625/12))^360)/((1+(0.0625/12))^360-1)))),(Underwriting!$B$20/Inputs!$B$8))</f>
        <v>7335648</v>
      </c>
      <c r="D8" s="38" t="n">
        <f aca="false">MIN((Inputs!$B$6*(Underwriting!$B$18/0.085)),(Underwriting!$B$20/(Inputs!$B$7*(12*((0.065/12)*(1+(0.065/12))^360)/((1+(0.065/12))^360-1)))),(Underwriting!$B$20/Inputs!$B$8))</f>
        <v>7335648</v>
      </c>
      <c r="E8" s="38" t="n">
        <f aca="false">MIN((Inputs!$B$6*(Underwriting!$B$18/0.085)),(Underwriting!$B$20/(Inputs!$B$7*(12*((0.0675/12)*(1+(0.0675/12))^360)/((1+(0.0675/12))^360-1)))),(Underwriting!$B$20/Inputs!$B$8))</f>
        <v>7335648</v>
      </c>
      <c r="F8" s="38" t="n">
        <f aca="false">MIN((Inputs!$B$6*(Underwriting!$B$18/0.085)),(Underwriting!$B$20/(Inputs!$B$7*(12*((0.07/12)*(1+(0.07/12))^360)/((1+(0.07/12))^360-1)))),(Underwriting!$B$20/Inputs!$B$8))</f>
        <v>7335648</v>
      </c>
      <c r="G8" s="38" t="n">
        <f aca="false">MIN((Inputs!$B$6*(Underwriting!$B$18/0.085)),(Underwriting!$B$20/(Inputs!$B$7*(12*((0.0725/12)*(1+(0.0725/12))^360)/((1+(0.0725/12))^360-1)))),(Underwriting!$B$20/Inputs!$B$8))</f>
        <v>7335648</v>
      </c>
      <c r="H8" s="38" t="n">
        <f aca="false">MIN((Inputs!$B$6*(Underwriting!$B$18/0.085)),(Underwriting!$B$20/(Inputs!$B$7*(12*((0.075/12)*(1+(0.075/12))^360)/((1+(0.075/12))^360-1)))),(Underwriting!$B$20/Inputs!$B$8))</f>
        <v>7335648</v>
      </c>
    </row>
    <row r="10" customFormat="false" ht="15" hidden="false" customHeight="true" outlineLevel="0" collapsed="false">
      <c r="A10" s="42" t="s">
        <v>167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3" t="s">
        <v>168</v>
      </c>
      <c r="B1" s="13"/>
      <c r="C1" s="13"/>
      <c r="D1" s="13"/>
    </row>
    <row r="3" customFormat="false" ht="15" hidden="false" customHeight="true" outlineLevel="0" collapsed="false">
      <c r="A3" s="37" t="s">
        <v>169</v>
      </c>
      <c r="B3" s="37" t="s">
        <v>170</v>
      </c>
      <c r="C3" s="37" t="s">
        <v>171</v>
      </c>
      <c r="D3" s="37" t="s">
        <v>172</v>
      </c>
    </row>
    <row r="4" customFormat="false" ht="15" hidden="false" customHeight="true" outlineLevel="0" collapsed="false">
      <c r="A4" s="4" t="s">
        <v>91</v>
      </c>
      <c r="B4" s="1" t="s">
        <v>173</v>
      </c>
      <c r="C4" s="43" t="s">
        <v>174</v>
      </c>
      <c r="D4" s="29" t="n">
        <f aca="false">Underwriting!$B$4</f>
        <v>1615200</v>
      </c>
    </row>
    <row r="5" customFormat="false" ht="15" hidden="false" customHeight="true" outlineLevel="0" collapsed="false">
      <c r="A5" s="4" t="s">
        <v>39</v>
      </c>
      <c r="B5" s="1" t="s">
        <v>175</v>
      </c>
      <c r="C5" s="43" t="s">
        <v>174</v>
      </c>
      <c r="D5" s="31" t="n">
        <f aca="false">Inputs!$B$23</f>
        <v>0.08</v>
      </c>
    </row>
    <row r="6" customFormat="false" ht="15" hidden="false" customHeight="true" outlineLevel="0" collapsed="false">
      <c r="A6" s="4" t="s">
        <v>28</v>
      </c>
      <c r="B6" s="1" t="s">
        <v>176</v>
      </c>
      <c r="C6" s="43" t="s">
        <v>177</v>
      </c>
      <c r="D6" s="31" t="n">
        <f aca="false">Inputs!$B$16</f>
        <v>0.0675</v>
      </c>
    </row>
    <row r="7" customFormat="false" ht="15" hidden="false" customHeight="true" outlineLevel="0" collapsed="false">
      <c r="A7" s="4" t="s">
        <v>98</v>
      </c>
      <c r="B7" s="1" t="s">
        <v>178</v>
      </c>
      <c r="C7" s="43" t="s">
        <v>179</v>
      </c>
      <c r="D7" s="29" t="n">
        <f aca="false">Underwriting!$B$8</f>
        <v>1538640</v>
      </c>
    </row>
    <row r="8" customFormat="false" ht="15" hidden="false" customHeight="true" outlineLevel="0" collapsed="false">
      <c r="A8" s="4" t="s">
        <v>180</v>
      </c>
      <c r="B8" s="1" t="s">
        <v>181</v>
      </c>
      <c r="C8" s="43" t="s">
        <v>179</v>
      </c>
      <c r="D8" s="29" t="n">
        <f aca="false">Underwriting!$B$18</f>
        <v>1039216.8</v>
      </c>
    </row>
    <row r="9" customFormat="false" ht="15" hidden="false" customHeight="true" outlineLevel="0" collapsed="false">
      <c r="A9" s="4" t="s">
        <v>182</v>
      </c>
      <c r="B9" s="1" t="s">
        <v>183</v>
      </c>
      <c r="C9" s="43" t="s">
        <v>179</v>
      </c>
      <c r="D9" s="29" t="n">
        <f aca="false">Underwriting!$B$20</f>
        <v>1035616.8</v>
      </c>
    </row>
    <row r="10" customFormat="false" ht="15" hidden="false" customHeight="true" outlineLevel="0" collapsed="false">
      <c r="A10" s="4" t="s">
        <v>184</v>
      </c>
      <c r="B10" s="1" t="s">
        <v>185</v>
      </c>
      <c r="C10" s="43" t="s">
        <v>179</v>
      </c>
      <c r="D10" s="29" t="n">
        <f aca="false">Underwriting!$B$23</f>
        <v>12990210</v>
      </c>
    </row>
    <row r="11" customFormat="false" ht="15" hidden="false" customHeight="true" outlineLevel="0" collapsed="false">
      <c r="A11" s="4" t="s">
        <v>186</v>
      </c>
      <c r="B11" s="1" t="s">
        <v>187</v>
      </c>
      <c r="C11" s="43" t="s">
        <v>179</v>
      </c>
      <c r="D11" s="29" t="n">
        <f aca="false">Underwriting!$B$33</f>
        <v>7794126</v>
      </c>
    </row>
    <row r="12" customFormat="false" ht="15" hidden="false" customHeight="true" outlineLevel="0" collapsed="false">
      <c r="A12" s="4" t="s">
        <v>188</v>
      </c>
      <c r="B12" s="1" t="s">
        <v>189</v>
      </c>
      <c r="C12" s="43" t="s">
        <v>179</v>
      </c>
      <c r="D12" s="29" t="n">
        <f aca="false">Underwriting!$B$40</f>
        <v>1171184.74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3" t="s">
        <v>190</v>
      </c>
      <c r="B1" s="13"/>
      <c r="C1" s="13"/>
      <c r="D1" s="13"/>
    </row>
    <row r="3" customFormat="false" ht="15" hidden="false" customHeight="true" outlineLevel="0" collapsed="false">
      <c r="A3" s="37" t="s">
        <v>191</v>
      </c>
      <c r="B3" s="37" t="s">
        <v>192</v>
      </c>
      <c r="C3" s="37" t="s">
        <v>193</v>
      </c>
      <c r="D3" s="37" t="s">
        <v>194</v>
      </c>
    </row>
    <row r="4" customFormat="false" ht="31.5" hidden="false" customHeight="true" outlineLevel="0" collapsed="false">
      <c r="A4" s="4" t="s">
        <v>195</v>
      </c>
      <c r="B4" s="44" t="s">
        <v>196</v>
      </c>
      <c r="C4" s="1" t="s">
        <v>197</v>
      </c>
      <c r="D4" s="44" t="s">
        <v>198</v>
      </c>
    </row>
    <row r="5" customFormat="false" ht="31.5" hidden="false" customHeight="true" outlineLevel="0" collapsed="false">
      <c r="A5" s="4" t="s">
        <v>199</v>
      </c>
      <c r="B5" s="44" t="s">
        <v>200</v>
      </c>
      <c r="C5" s="1" t="s">
        <v>2</v>
      </c>
      <c r="D5" s="44" t="s">
        <v>201</v>
      </c>
    </row>
    <row r="6" customFormat="false" ht="31.5" hidden="false" customHeight="true" outlineLevel="0" collapsed="false">
      <c r="A6" s="4" t="s">
        <v>202</v>
      </c>
      <c r="B6" s="44" t="s">
        <v>203</v>
      </c>
      <c r="C6" s="1" t="s">
        <v>204</v>
      </c>
      <c r="D6" s="44" t="s">
        <v>205</v>
      </c>
    </row>
    <row r="7" customFormat="false" ht="31.5" hidden="false" customHeight="true" outlineLevel="0" collapsed="false">
      <c r="A7" s="4" t="s">
        <v>206</v>
      </c>
      <c r="B7" s="44" t="s">
        <v>207</v>
      </c>
      <c r="C7" s="1" t="s">
        <v>197</v>
      </c>
      <c r="D7" s="44" t="s">
        <v>208</v>
      </c>
    </row>
    <row r="8" customFormat="false" ht="31.5" hidden="false" customHeight="true" outlineLevel="0" collapsed="false">
      <c r="A8" s="4" t="s">
        <v>209</v>
      </c>
      <c r="B8" s="44" t="s">
        <v>210</v>
      </c>
      <c r="C8" s="1" t="s">
        <v>2</v>
      </c>
      <c r="D8" s="44" t="s">
        <v>211</v>
      </c>
    </row>
    <row r="9" customFormat="false" ht="31.5" hidden="false" customHeight="true" outlineLevel="0" collapsed="false">
      <c r="A9" s="4" t="s">
        <v>212</v>
      </c>
      <c r="B9" s="44" t="s">
        <v>213</v>
      </c>
      <c r="C9" s="1" t="s">
        <v>214</v>
      </c>
      <c r="D9" s="44" t="s">
        <v>215</v>
      </c>
    </row>
    <row r="10" customFormat="false" ht="31.5" hidden="false" customHeight="true" outlineLevel="0" collapsed="false">
      <c r="A10" s="4" t="s">
        <v>216</v>
      </c>
      <c r="B10" s="44" t="s">
        <v>217</v>
      </c>
      <c r="C10" s="1" t="s">
        <v>218</v>
      </c>
      <c r="D10" s="44" t="s">
        <v>219</v>
      </c>
    </row>
    <row r="11" customFormat="false" ht="31.5" hidden="false" customHeight="true" outlineLevel="0" collapsed="false">
      <c r="A11" s="4" t="s">
        <v>220</v>
      </c>
      <c r="B11" s="44" t="s">
        <v>221</v>
      </c>
      <c r="C11" s="1" t="s">
        <v>197</v>
      </c>
      <c r="D11" s="44" t="s">
        <v>222</v>
      </c>
    </row>
    <row r="12" customFormat="false" ht="31.5" hidden="false" customHeight="true" outlineLevel="0" collapsed="false">
      <c r="A12" s="4" t="s">
        <v>223</v>
      </c>
      <c r="B12" s="44" t="s">
        <v>224</v>
      </c>
      <c r="C12" s="1" t="s">
        <v>197</v>
      </c>
      <c r="D12" s="44" t="s">
        <v>225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2026-09-07T12:51:31Z</dcterms:created>
  <dc:creator>openpyxl</dc:creator>
  <dc:description/>
  <dc:language>en-US</dc:language>
  <cp:lastModifiedBy/>
  <dcterms:modified xsi:type="dcterms:W3CDTF">2026-09-07T13:13:54Z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