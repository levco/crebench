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 Note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nt Roll" sheetId="3" state="visible" r:id="rId3"/>
    <sheet xmlns:r="http://schemas.openxmlformats.org/officeDocument/2006/relationships" name="Underwriting" sheetId="4" state="visible" r:id="rId4"/>
    <sheet xmlns:r="http://schemas.openxmlformats.org/officeDocument/2006/relationships" name="Historical vs UW" sheetId="5" state="visible" r:id="rId5"/>
    <sheet xmlns:r="http://schemas.openxmlformats.org/officeDocument/2006/relationships" name="Occupancy &amp; Mix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I-O Map" sheetId="8" state="visible" r:id="rId8"/>
    <sheet xmlns:r="http://schemas.openxmlformats.org/officeDocument/2006/relationships" name="Source Register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\x"/>
    <numFmt numFmtId="165" formatCode="\$#,##0;&quot;($&quot;#,##0\);\-"/>
    <numFmt numFmtId="166" formatCode="0.00000000"/>
  </numFmts>
  <fonts count="1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sz val="11"/>
    </font>
    <font>
      <name val="Arial"/>
      <charset val="1"/>
      <family val="0"/>
      <i val="1"/>
      <color rgb="FF1F4E78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008000"/>
      <sz val="11"/>
    </font>
    <font>
      <name val="Arial"/>
      <charset val="1"/>
      <family val="0"/>
      <i val="1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1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0" fontId="9" fillId="4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0" fontId="8" fillId="5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bottom"/>
    </xf>
    <xf numFmtId="3" fontId="0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165" fontId="9" fillId="4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165" fontId="12" fillId="5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general" vertical="bottom"/>
    </xf>
    <xf numFmtId="10" fontId="12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0" fontId="5" fillId="3" borderId="0" applyAlignment="1" pivotButton="0" quotePrefix="0" xfId="0">
      <alignment horizontal="general" vertical="bottom"/>
    </xf>
    <xf numFmtId="165" fontId="5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1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0" fontId="9" fillId="4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0" fontId="8" fillId="5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bottom"/>
    </xf>
    <xf numFmtId="3" fontId="0" fillId="0" borderId="1" applyAlignment="1" pivotButton="0" quotePrefix="0" xfId="0">
      <alignment horizontal="general" vertical="bottom"/>
    </xf>
    <xf numFmtId="165" fontId="9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0" fillId="4" borderId="1" applyAlignment="1" pivotButton="0" quotePrefix="0" xfId="0">
      <alignment horizontal="general" vertical="bottom"/>
    </xf>
    <xf numFmtId="165" fontId="9" fillId="4" borderId="1" applyAlignment="1" pivotButton="0" quotePrefix="0" xfId="0">
      <alignment horizontal="general" vertical="bottom"/>
    </xf>
    <xf numFmtId="3" fontId="5" fillId="3" borderId="1" applyAlignment="1" pivotButton="0" quotePrefix="0" xfId="0">
      <alignment horizontal="general" vertical="bottom"/>
    </xf>
    <xf numFmtId="165" fontId="5" fillId="3" borderId="1" applyAlignment="1" pivotButton="0" quotePrefix="0" xfId="0">
      <alignment horizontal="general" vertical="bottom"/>
    </xf>
    <xf numFmtId="165" fontId="12" fillId="5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8" fillId="5" borderId="0" applyAlignment="1" pivotButton="0" quotePrefix="0" xfId="0">
      <alignment horizontal="general" vertical="bottom"/>
    </xf>
    <xf numFmtId="10" fontId="12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0" fontId="5" fillId="3" borderId="0" applyAlignment="1" pivotButton="0" quotePrefix="0" xfId="0">
      <alignment horizontal="general" vertical="bottom"/>
    </xf>
    <xf numFmtId="165" fontId="5" fillId="5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0" customWidth="1" style="52" min="1" max="1"/>
    <col width="24" customWidth="1" style="52" min="2" max="3"/>
    <col width="60" customWidth="1" style="52" min="4" max="4"/>
  </cols>
  <sheetData>
    <row r="1" ht="21.75" customHeight="1" s="53">
      <c r="A1" s="54" t="inlineStr">
        <is>
          <t>BEACON PLAZA — REVISION v2 (as of 2026-09-01)</t>
        </is>
      </c>
    </row>
    <row r="2" ht="15" customHeight="1" s="53">
      <c r="A2" s="55" t="inlineStr">
        <is>
          <t>Approved copy (preserved verbatim):</t>
        </is>
      </c>
      <c r="B2" s="56" t="inlineStr">
        <is>
          <t>"Source-backed analysis. Assumptions remain subject to diligence."</t>
        </is>
      </c>
    </row>
    <row r="4" ht="15" customHeight="1" s="53">
      <c r="A4" s="57" t="inlineStr">
        <is>
          <t>Change</t>
        </is>
      </c>
      <c r="B4" s="57" t="inlineStr">
        <is>
          <t>Prior (v1)</t>
        </is>
      </c>
      <c r="C4" s="57" t="inlineStr">
        <is>
          <t>Revised (v2)</t>
        </is>
      </c>
      <c r="D4" s="57" t="inlineStr">
        <is>
          <t>Source</t>
        </is>
      </c>
    </row>
    <row r="5" ht="30" customHeight="1" s="53">
      <c r="A5" s="58" t="inlineStr">
        <is>
          <t>Certified rent roll as-of</t>
        </is>
      </c>
      <c r="B5" s="59" t="inlineStr">
        <is>
          <t>2026-08-31</t>
        </is>
      </c>
      <c r="C5" s="60" t="inlineStr">
        <is>
          <t>2026-09-01</t>
        </is>
      </c>
      <c r="D5" s="61" t="inlineStr">
        <is>
          <t>revision-notice.pdf; rent-roll-revised.xlsx</t>
        </is>
      </c>
    </row>
    <row r="6" ht="30" customHeight="1" s="53">
      <c r="A6" s="58" t="inlineStr">
        <is>
          <t>Suite 010 possession</t>
        </is>
      </c>
      <c r="B6" s="59" t="inlineStr">
        <is>
          <t>pending</t>
        </is>
      </c>
      <c r="C6" s="60" t="inlineStr">
        <is>
          <t>active</t>
        </is>
      </c>
      <c r="D6" s="61" t="inlineStr">
        <is>
          <t>rent-roll-revised.xlsx (Suite 010 row)</t>
        </is>
      </c>
    </row>
    <row r="7" ht="30" customHeight="1" s="53">
      <c r="A7" s="58" t="inlineStr">
        <is>
          <t>Suite 010 monthly rent</t>
        </is>
      </c>
      <c r="B7" s="59" t="inlineStr">
        <is>
          <t>$11,050</t>
        </is>
      </c>
      <c r="C7" s="60" t="inlineStr">
        <is>
          <t>$11,275 (+$225)</t>
        </is>
      </c>
      <c r="D7" s="61" t="inlineStr">
        <is>
          <t>revision-notice.pdf; rent-roll-revised.xlsx</t>
        </is>
      </c>
    </row>
    <row r="8" ht="30" customHeight="1" s="53">
      <c r="A8" s="58" t="inlineStr">
        <is>
          <t>Cap rate</t>
        </is>
      </c>
      <c r="B8" s="59" t="inlineStr">
        <is>
          <t>7.50%</t>
        </is>
      </c>
      <c r="C8" s="60" t="inlineStr">
        <is>
          <t>7.75% (+25 bps)</t>
        </is>
      </c>
      <c r="D8" s="61" t="inlineStr">
        <is>
          <t>revision-notice.pdf</t>
        </is>
      </c>
    </row>
    <row r="9" ht="30" customHeight="1" s="53">
      <c r="A9" s="58" t="inlineStr">
        <is>
          <t>Initial sizing rate</t>
        </is>
      </c>
      <c r="B9" s="59" t="inlineStr">
        <is>
          <t>6.75%</t>
        </is>
      </c>
      <c r="C9" s="60" t="inlineStr">
        <is>
          <t>7.50% (+75 bps)</t>
        </is>
      </c>
      <c r="D9" s="61" t="inlineStr">
        <is>
          <t>revision-notice.pdf (Note rate +75 bps; floor unchanged 6.00%)</t>
        </is>
      </c>
    </row>
    <row r="10" ht="30" customHeight="1" s="53">
      <c r="A10" s="58" t="inlineStr">
        <is>
          <t>Suite 001 amendment</t>
        </is>
      </c>
      <c r="B10" s="59" t="inlineStr">
        <is>
          <t>applies</t>
        </is>
      </c>
      <c r="C10" s="62" t="inlineStr">
        <is>
          <t>applies (preserved)</t>
        </is>
      </c>
      <c r="D10" s="61" t="inlineStr">
        <is>
          <t>revision-notice.pdf: 'Prior executed Suite 001 amendments continue to apply.'</t>
        </is>
      </c>
    </row>
    <row r="11" ht="30" customHeight="1" s="53">
      <c r="A11" s="58" t="inlineStr">
        <is>
          <t>Existing payoff</t>
        </is>
      </c>
      <c r="B11" s="59" t="inlineStr">
        <is>
          <t>$6,500,000</t>
        </is>
      </c>
      <c r="C11" s="62" t="inlineStr">
        <is>
          <t>$6,500,000 (unchanged)</t>
        </is>
      </c>
      <c r="D11" s="61" t="inlineStr">
        <is>
          <t>revision-notice.pdf</t>
        </is>
      </c>
    </row>
    <row r="12" ht="30" customHeight="1" s="53">
      <c r="A12" s="58" t="inlineStr">
        <is>
          <t>Other UW rules</t>
        </is>
      </c>
      <c r="B12" s="59" t="inlineStr">
        <is>
          <t>as v1</t>
        </is>
      </c>
      <c r="C12" s="62" t="inlineStr">
        <is>
          <t>unchanged</t>
        </is>
      </c>
      <c r="D12" s="61" t="inlineStr">
        <is>
          <t>underwriting-instructions.pdf</t>
        </is>
      </c>
    </row>
    <row r="14" ht="43.5" customHeight="1" s="53">
      <c r="A14" s="55" t="inlineStr">
        <is>
          <t>Audit note</t>
        </is>
      </c>
      <c r="B14" s="63" t="inlineStr">
        <is>
          <t>This workbook is v2. The prior v1 workbook (Beacon_Plaza_Underwriting.xlsx) is preserved separately in the audit archive and is not overwritten.</t>
        </is>
      </c>
    </row>
  </sheetData>
  <mergeCells count="3">
    <mergeCell ref="A1:D1"/>
    <mergeCell ref="B2:D2"/>
    <mergeCell ref="B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4" customWidth="1" style="52" min="1" max="1"/>
    <col width="18" customWidth="1" style="52" min="2" max="2"/>
    <col width="14" customWidth="1" style="52" min="3" max="3"/>
    <col width="60" customWidth="1" style="52" min="4" max="4"/>
  </cols>
  <sheetData>
    <row r="1" ht="15" customHeight="1" s="53">
      <c r="A1" s="54" t="inlineStr">
        <is>
          <t>BEACON PLAZA — UNDERWRITING INPUTS (v2)</t>
        </is>
      </c>
    </row>
    <row r="2" ht="15" customHeight="1" s="53">
      <c r="A2" s="52" t="inlineStr">
        <is>
          <t>Evaluation date</t>
        </is>
      </c>
      <c r="B2" s="64" t="inlineStr">
        <is>
          <t>2026-09-01</t>
        </is>
      </c>
      <c r="D2" s="52" t="inlineStr">
        <is>
          <t>Revised roll supersedes prior (revision-notice.pdf)</t>
        </is>
      </c>
    </row>
    <row r="3" ht="15" customHeight="1" s="53">
      <c r="A3" s="55" t="inlineStr">
        <is>
          <t>Legend</t>
        </is>
      </c>
      <c r="B3" s="65" t="inlineStr">
        <is>
          <t>Blue = input</t>
        </is>
      </c>
      <c r="C3" s="66" t="inlineStr">
        <is>
          <t>Yellow = key</t>
        </is>
      </c>
      <c r="D3" s="67" t="inlineStr">
        <is>
          <t>Peach fill = changed vs v1</t>
        </is>
      </c>
    </row>
    <row r="5" ht="15" customHeight="1" s="53">
      <c r="A5" s="68" t="inlineStr">
        <is>
          <t>LOAN CONSTRAINTS &amp; RATES</t>
        </is>
      </c>
    </row>
    <row r="6" ht="15" customHeight="1" s="53">
      <c r="A6" s="55" t="inlineStr">
        <is>
          <t>ltv_limit</t>
        </is>
      </c>
      <c r="B6" s="69" t="n">
        <v>0.6</v>
      </c>
      <c r="D6" s="52" t="inlineStr">
        <is>
          <t>Maximum LTV — instructions (unchanged)</t>
        </is>
      </c>
    </row>
    <row r="7" ht="15" customHeight="1" s="53">
      <c r="A7" s="55" t="inlineStr">
        <is>
          <t>dscr_limit</t>
        </is>
      </c>
      <c r="B7" s="70" t="n">
        <v>1.25</v>
      </c>
      <c r="D7" s="52" t="inlineStr">
        <is>
          <t>Minimum DSCR — instructions (unchanged)</t>
        </is>
      </c>
    </row>
    <row r="8" ht="15" customHeight="1" s="53">
      <c r="A8" s="55" t="inlineStr">
        <is>
          <t>debt_yield_limit</t>
        </is>
      </c>
      <c r="B8" s="69" t="n">
        <v>0.09</v>
      </c>
      <c r="D8" s="52" t="inlineStr">
        <is>
          <t>Minimum NCF debt yield — instructions (unchanged)</t>
        </is>
      </c>
    </row>
    <row r="9" ht="15" customHeight="1" s="53">
      <c r="A9" s="55" t="inlineStr">
        <is>
          <t>note_rate</t>
        </is>
      </c>
      <c r="B9" s="71" t="n">
        <v>0.075</v>
      </c>
      <c r="D9" s="52" t="inlineStr">
        <is>
          <t>Note rate +75 bps per revision (was 6.75%)</t>
        </is>
      </c>
    </row>
    <row r="10" ht="15" customHeight="1" s="53">
      <c r="A10" s="55" t="inlineStr">
        <is>
          <t>rate_floor</t>
        </is>
      </c>
      <c r="B10" s="69" t="n">
        <v>0.06</v>
      </c>
      <c r="D10" s="52" t="inlineStr">
        <is>
          <t>UW rate floor — instructions (unchanged)</t>
        </is>
      </c>
    </row>
    <row r="11" ht="15" customHeight="1" s="53">
      <c r="A11" s="55" t="inlineStr">
        <is>
          <t>amort_years</t>
        </is>
      </c>
      <c r="B11" s="72" t="n">
        <v>30</v>
      </c>
      <c r="D11" s="52" t="inlineStr">
        <is>
          <t>Amortization years — instructions (unchanged)</t>
        </is>
      </c>
    </row>
    <row r="12" ht="15" customHeight="1" s="53">
      <c r="A12" s="55" t="inlineStr">
        <is>
          <t>origination_fee_pct</t>
        </is>
      </c>
      <c r="B12" s="69" t="n">
        <v>0.01</v>
      </c>
      <c r="D12" s="52" t="inlineStr">
        <is>
          <t>1% of sized loan — instructions (unchanged)</t>
        </is>
      </c>
    </row>
    <row r="13" ht="15" customHeight="1" s="53">
      <c r="A13" s="55" t="inlineStr">
        <is>
          <t>closing_costs</t>
        </is>
      </c>
      <c r="B13" s="73" t="n">
        <v>45000</v>
      </c>
      <c r="D13" s="52" t="inlineStr">
        <is>
          <t>Closing costs — instructions (unchanged)</t>
        </is>
      </c>
    </row>
    <row r="14" ht="15" customHeight="1" s="53">
      <c r="A14" s="55" t="inlineStr">
        <is>
          <t>existing_payoff</t>
        </is>
      </c>
      <c r="B14" s="73" t="n">
        <v>6500000</v>
      </c>
      <c r="D14" s="52" t="inlineStr">
        <is>
          <t>Existing payoff — unchanged per revision</t>
        </is>
      </c>
    </row>
    <row r="15" ht="15" customHeight="1" s="53">
      <c r="A15" s="68" t="inlineStr">
        <is>
          <t>SIZING RATE (computed — surfaced as required output)</t>
        </is>
      </c>
    </row>
    <row r="16" ht="15" customHeight="1" s="53">
      <c r="A16" s="55" t="inlineStr">
        <is>
          <t>sizing_rate</t>
        </is>
      </c>
      <c r="B16" s="74">
        <f>MAX(B9,B10)</f>
        <v/>
      </c>
      <c r="D16" s="52" t="inlineStr">
        <is>
          <t>MAX(note_rate, rate_floor). Now 7.50% (note); floor 6.00% not binding.</t>
        </is>
      </c>
    </row>
    <row r="18" ht="15" customHeight="1" s="53">
      <c r="A18" s="68" t="inlineStr">
        <is>
          <t>UNDERWRITING ASSUMPTIONS</t>
        </is>
      </c>
    </row>
    <row r="19" ht="15" customHeight="1" s="53">
      <c r="A19" s="55" t="inlineStr">
        <is>
          <t>economic_loss_pct</t>
        </is>
      </c>
      <c r="B19" s="69" t="n">
        <v>0.05</v>
      </c>
      <c r="D19" s="52" t="inlineStr">
        <is>
          <t>Economic loss — instructions (unchanged)</t>
        </is>
      </c>
    </row>
    <row r="20" ht="15" customHeight="1" s="53">
      <c r="A20" s="55" t="inlineStr">
        <is>
          <t>other_income_per_unit</t>
        </is>
      </c>
      <c r="B20" s="73" t="n">
        <v>350</v>
      </c>
      <c r="D20" s="52" t="inlineStr">
        <is>
          <t>$350 / unit / year — instructions (unchanged)</t>
        </is>
      </c>
    </row>
    <row r="21" ht="15" customHeight="1" s="53">
      <c r="A21" s="55" t="inlineStr">
        <is>
          <t>management_fee_pct</t>
        </is>
      </c>
      <c r="B21" s="69" t="n">
        <v>0.03</v>
      </c>
      <c r="D21" s="52" t="inlineStr">
        <is>
          <t>3% of EGI — instructions (unchanged)</t>
        </is>
      </c>
    </row>
    <row r="22" ht="15" customHeight="1" s="53">
      <c r="A22" s="55" t="inlineStr">
        <is>
          <t>replacement_reserve_per_unit</t>
        </is>
      </c>
      <c r="B22" s="73" t="n">
        <v>300</v>
      </c>
      <c r="D22" s="52" t="inlineStr">
        <is>
          <t>$300 / unit / year — instructions (unchanged)</t>
        </is>
      </c>
    </row>
    <row r="23" ht="15" customHeight="1" s="53">
      <c r="A23" s="55" t="inlineStr">
        <is>
          <t>cap_rate</t>
        </is>
      </c>
      <c r="B23" s="71" t="n">
        <v>0.0825</v>
      </c>
      <c r="D23" s="52" t="inlineStr">
        <is>
          <t>+25 bps per revision (was 7.50%)</t>
        </is>
      </c>
    </row>
    <row r="24" ht="15" customHeight="1" s="53">
      <c r="A24" s="55" t="inlineStr">
        <is>
          <t>uw_tax</t>
        </is>
      </c>
      <c r="B24" s="73" t="n">
        <v>169974</v>
      </c>
      <c r="D24" s="52" t="inlineStr">
        <is>
          <t>Real estate tax — unchanged</t>
        </is>
      </c>
    </row>
    <row r="25" ht="15" customHeight="1" s="53">
      <c r="A25" s="55" t="inlineStr">
        <is>
          <t>uw_insurance</t>
        </is>
      </c>
      <c r="B25" s="73" t="n">
        <v>56658</v>
      </c>
      <c r="D25" s="52" t="inlineStr">
        <is>
          <t>Insurance expense — unchanged</t>
        </is>
      </c>
    </row>
    <row r="26" ht="15" customHeight="1" s="53">
      <c r="A26" s="55" t="inlineStr">
        <is>
          <t>uw_other_recurring_opex</t>
        </is>
      </c>
      <c r="B26" s="73" t="n">
        <v>226632</v>
      </c>
      <c r="D26" s="52" t="inlineStr">
        <is>
          <t>Other recurring opex — unchanged</t>
        </is>
      </c>
    </row>
    <row r="27" ht="15" customHeight="1" s="53">
      <c r="A27" s="55" t="inlineStr">
        <is>
          <t>total_units</t>
        </is>
      </c>
      <c r="B27" s="72" t="n">
        <v>12</v>
      </c>
      <c r="D27" s="52" t="inlineStr">
        <is>
          <t>Certified rent roll — unchanged</t>
        </is>
      </c>
    </row>
  </sheetData>
  <mergeCells count="4">
    <mergeCell ref="A1:D1"/>
    <mergeCell ref="A18:D18"/>
    <mergeCell ref="A5:D5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0" customWidth="1" style="52" min="1" max="1"/>
    <col width="16" customWidth="1" style="52" min="2" max="2"/>
    <col width="10" customWidth="1" style="52" min="3" max="3"/>
    <col width="14" customWidth="1" style="52" min="4" max="4"/>
    <col width="20" customWidth="1" style="52" min="5" max="5"/>
    <col width="16" customWidth="1" style="52" min="6" max="6"/>
    <col width="14" customWidth="1" style="52" min="7" max="7"/>
    <col width="22" customWidth="1" style="52" min="8" max="8"/>
    <col width="18" customWidth="1" style="52" min="9" max="9"/>
    <col width="14" customWidth="1" style="52" min="10" max="10"/>
  </cols>
  <sheetData>
    <row r="1" ht="15" customHeight="1" s="53">
      <c r="A1" s="75" t="inlineStr">
        <is>
          <t>BEACON PLAZA — REVISED CERTIFIED RENT ROLL (AS OF 2026-09-01)</t>
        </is>
      </c>
    </row>
    <row r="3" ht="31.5" customHeight="1" s="53">
      <c r="A3" s="76" t="inlineStr">
        <is>
          <t>Suite</t>
        </is>
      </c>
      <c r="B3" s="76" t="inlineStr">
        <is>
          <t>Unit type</t>
        </is>
      </c>
      <c r="C3" s="76" t="inlineStr">
        <is>
          <t>Group</t>
        </is>
      </c>
      <c r="D3" s="76" t="inlineStr">
        <is>
          <t>Area SF</t>
        </is>
      </c>
      <c r="E3" s="76" t="inlineStr">
        <is>
          <t>Possession</t>
        </is>
      </c>
      <c r="F3" s="76" t="inlineStr">
        <is>
          <t>Monthly rent (revised)</t>
        </is>
      </c>
      <c r="G3" s="76" t="inlineStr">
        <is>
          <t>Lease expiration</t>
        </is>
      </c>
      <c r="H3" s="76" t="inlineStr">
        <is>
          <t>Monthly rent for GPR (pre-001 amend.)</t>
        </is>
      </c>
      <c r="I3" s="76" t="inlineStr">
        <is>
          <t>Annual in-place rent</t>
        </is>
      </c>
      <c r="J3" s="76" t="inlineStr">
        <is>
          <t>Near-term rollover?</t>
        </is>
      </c>
    </row>
    <row r="4" ht="15" customHeight="1" s="53">
      <c r="A4" s="77" t="inlineStr">
        <is>
          <t>001</t>
        </is>
      </c>
      <c r="B4" s="59" t="inlineStr">
        <is>
          <t>Small suite</t>
        </is>
      </c>
      <c r="C4" s="77" t="inlineStr">
        <is>
          <t>A</t>
        </is>
      </c>
      <c r="D4" s="78" t="n">
        <v>5380</v>
      </c>
      <c r="E4" s="59" t="inlineStr">
        <is>
          <t>active</t>
        </is>
      </c>
      <c r="F4" s="79" t="n">
        <v>11050</v>
      </c>
      <c r="G4" s="77" t="inlineStr">
        <is>
          <t>2027-02-28</t>
        </is>
      </c>
      <c r="H4" s="79" t="n">
        <v>10975</v>
      </c>
      <c r="I4" s="80">
        <f>IF(E4="active",F4*12,0)</f>
        <v/>
      </c>
      <c r="J4" s="81">
        <f>IF(AND(E4="active",DATEVALUE(G4)&lt;DATEVALUE("2027-09-01")),"YES","")</f>
        <v/>
      </c>
    </row>
    <row r="5" ht="15" customHeight="1" s="53">
      <c r="A5" s="77" t="inlineStr">
        <is>
          <t>002</t>
        </is>
      </c>
      <c r="B5" s="59" t="inlineStr">
        <is>
          <t>Standard suite</t>
        </is>
      </c>
      <c r="C5" s="77" t="inlineStr">
        <is>
          <t>B</t>
        </is>
      </c>
      <c r="D5" s="78" t="n">
        <v>5500</v>
      </c>
      <c r="E5" s="59" t="inlineStr">
        <is>
          <t>active</t>
        </is>
      </c>
      <c r="F5" s="79" t="n">
        <v>11200</v>
      </c>
      <c r="G5" s="77" t="inlineStr">
        <is>
          <t>2029-08-31</t>
        </is>
      </c>
      <c r="H5" s="79" t="n">
        <v>11200</v>
      </c>
      <c r="I5" s="80">
        <f>IF(E5="active",F5*12,0)</f>
        <v/>
      </c>
      <c r="J5" s="81">
        <f>IF(AND(E5="active",DATEVALUE(G5)&lt;DATEVALUE("2027-09-01")),"YES","")</f>
        <v/>
      </c>
    </row>
    <row r="6" ht="15" customHeight="1" s="53">
      <c r="A6" s="77" t="inlineStr">
        <is>
          <t>003</t>
        </is>
      </c>
      <c r="B6" s="59" t="inlineStr">
        <is>
          <t>Large suite</t>
        </is>
      </c>
      <c r="C6" s="77" t="inlineStr">
        <is>
          <t>C</t>
        </is>
      </c>
      <c r="D6" s="78" t="n">
        <v>5710</v>
      </c>
      <c r="E6" s="59" t="inlineStr">
        <is>
          <t>active</t>
        </is>
      </c>
      <c r="F6" s="79" t="n">
        <v>11475</v>
      </c>
      <c r="G6" s="77" t="inlineStr">
        <is>
          <t>2029-08-31</t>
        </is>
      </c>
      <c r="H6" s="79" t="n">
        <v>11475</v>
      </c>
      <c r="I6" s="80">
        <f>IF(E6="active",F6*12,0)</f>
        <v/>
      </c>
      <c r="J6" s="81">
        <f>IF(AND(E6="active",DATEVALUE(G6)&lt;DATEVALUE("2027-09-01")),"YES","")</f>
        <v/>
      </c>
    </row>
    <row r="7" ht="15" customHeight="1" s="53">
      <c r="A7" s="77" t="inlineStr">
        <is>
          <t>004</t>
        </is>
      </c>
      <c r="B7" s="59" t="inlineStr">
        <is>
          <t>Small suite</t>
        </is>
      </c>
      <c r="C7" s="77" t="inlineStr">
        <is>
          <t>A</t>
        </is>
      </c>
      <c r="D7" s="78" t="n">
        <v>5380</v>
      </c>
      <c r="E7" s="59" t="inlineStr">
        <is>
          <t>active</t>
        </is>
      </c>
      <c r="F7" s="79" t="n">
        <v>11050</v>
      </c>
      <c r="G7" s="77" t="inlineStr">
        <is>
          <t>2029-08-31</t>
        </is>
      </c>
      <c r="H7" s="79" t="n">
        <v>11050</v>
      </c>
      <c r="I7" s="80">
        <f>IF(E7="active",F7*12,0)</f>
        <v/>
      </c>
      <c r="J7" s="81">
        <f>IF(AND(E7="active",DATEVALUE(G7)&lt;DATEVALUE("2027-09-01")),"YES","")</f>
        <v/>
      </c>
    </row>
    <row r="8" ht="15" customHeight="1" s="53">
      <c r="A8" s="77" t="inlineStr">
        <is>
          <t>005</t>
        </is>
      </c>
      <c r="B8" s="59" t="inlineStr">
        <is>
          <t>Standard suite</t>
        </is>
      </c>
      <c r="C8" s="77" t="inlineStr">
        <is>
          <t>B</t>
        </is>
      </c>
      <c r="D8" s="78" t="n">
        <v>5500</v>
      </c>
      <c r="E8" s="59" t="inlineStr">
        <is>
          <t>active</t>
        </is>
      </c>
      <c r="F8" s="79" t="n">
        <v>11200</v>
      </c>
      <c r="G8" s="77" t="inlineStr">
        <is>
          <t>2029-08-31</t>
        </is>
      </c>
      <c r="H8" s="79" t="n">
        <v>11200</v>
      </c>
      <c r="I8" s="80">
        <f>IF(E8="active",F8*12,0)</f>
        <v/>
      </c>
      <c r="J8" s="81">
        <f>IF(AND(E8="active",DATEVALUE(G8)&lt;DATEVALUE("2027-09-01")),"YES","")</f>
        <v/>
      </c>
    </row>
    <row r="9" ht="15" customHeight="1" s="53">
      <c r="A9" s="77" t="inlineStr">
        <is>
          <t>006</t>
        </is>
      </c>
      <c r="B9" s="59" t="inlineStr">
        <is>
          <t>Large suite</t>
        </is>
      </c>
      <c r="C9" s="77" t="inlineStr">
        <is>
          <t>C</t>
        </is>
      </c>
      <c r="D9" s="78" t="n">
        <v>5710</v>
      </c>
      <c r="E9" s="59" t="inlineStr">
        <is>
          <t>active</t>
        </is>
      </c>
      <c r="F9" s="79" t="n">
        <v>11475</v>
      </c>
      <c r="G9" s="77" t="inlineStr">
        <is>
          <t>2029-08-31</t>
        </is>
      </c>
      <c r="H9" s="79" t="n">
        <v>11475</v>
      </c>
      <c r="I9" s="80">
        <f>IF(E9="active",F9*12,0)</f>
        <v/>
      </c>
      <c r="J9" s="81">
        <f>IF(AND(E9="active",DATEVALUE(G9)&lt;DATEVALUE("2027-09-01")),"YES","")</f>
        <v/>
      </c>
    </row>
    <row r="10" ht="15" customHeight="1" s="53">
      <c r="A10" s="77" t="inlineStr">
        <is>
          <t>007</t>
        </is>
      </c>
      <c r="B10" s="59" t="inlineStr">
        <is>
          <t>Small suite</t>
        </is>
      </c>
      <c r="C10" s="77" t="inlineStr">
        <is>
          <t>A</t>
        </is>
      </c>
      <c r="D10" s="78" t="n">
        <v>5380</v>
      </c>
      <c r="E10" s="59" t="inlineStr">
        <is>
          <t>active</t>
        </is>
      </c>
      <c r="F10" s="79" t="n">
        <v>11050</v>
      </c>
      <c r="G10" s="77" t="inlineStr">
        <is>
          <t>2029-08-31</t>
        </is>
      </c>
      <c r="H10" s="79" t="n">
        <v>11050</v>
      </c>
      <c r="I10" s="80">
        <f>IF(E10="active",F10*12,0)</f>
        <v/>
      </c>
      <c r="J10" s="81">
        <f>IF(AND(E10="active",DATEVALUE(G10)&lt;DATEVALUE("2027-09-01")),"YES","")</f>
        <v/>
      </c>
    </row>
    <row r="11" ht="15" customHeight="1" s="53">
      <c r="A11" s="77" t="inlineStr">
        <is>
          <t>008</t>
        </is>
      </c>
      <c r="B11" s="59" t="inlineStr">
        <is>
          <t>Standard suite</t>
        </is>
      </c>
      <c r="C11" s="77" t="inlineStr">
        <is>
          <t>B</t>
        </is>
      </c>
      <c r="D11" s="78" t="n">
        <v>5500</v>
      </c>
      <c r="E11" s="59" t="inlineStr">
        <is>
          <t>active</t>
        </is>
      </c>
      <c r="F11" s="79" t="n">
        <v>11200</v>
      </c>
      <c r="G11" s="77" t="inlineStr">
        <is>
          <t>2029-08-31</t>
        </is>
      </c>
      <c r="H11" s="79" t="n">
        <v>11200</v>
      </c>
      <c r="I11" s="80">
        <f>IF(E11="active",F11*12,0)</f>
        <v/>
      </c>
      <c r="J11" s="81">
        <f>IF(AND(E11="active",DATEVALUE(G11)&lt;DATEVALUE("2027-09-01")),"YES","")</f>
        <v/>
      </c>
    </row>
    <row r="12" ht="15" customHeight="1" s="53">
      <c r="A12" s="77" t="inlineStr">
        <is>
          <t>009</t>
        </is>
      </c>
      <c r="B12" s="59" t="inlineStr">
        <is>
          <t>Large suite</t>
        </is>
      </c>
      <c r="C12" s="77" t="inlineStr">
        <is>
          <t>C</t>
        </is>
      </c>
      <c r="D12" s="78" t="n">
        <v>5710</v>
      </c>
      <c r="E12" s="59" t="inlineStr">
        <is>
          <t>active</t>
        </is>
      </c>
      <c r="F12" s="79" t="n">
        <v>11475</v>
      </c>
      <c r="G12" s="77" t="inlineStr">
        <is>
          <t>2029-08-31</t>
        </is>
      </c>
      <c r="H12" s="79" t="n">
        <v>11475</v>
      </c>
      <c r="I12" s="80">
        <f>IF(E12="active",F12*12,0)</f>
        <v/>
      </c>
      <c r="J12" s="81">
        <f>IF(AND(E12="active",DATEVALUE(G12)&lt;DATEVALUE("2027-09-01")),"YES","")</f>
        <v/>
      </c>
    </row>
    <row r="13" ht="15" customHeight="1" s="53">
      <c r="A13" s="77" t="inlineStr">
        <is>
          <t>010</t>
        </is>
      </c>
      <c r="B13" s="59" t="inlineStr">
        <is>
          <t>Small suite</t>
        </is>
      </c>
      <c r="C13" s="77" t="inlineStr">
        <is>
          <t>A</t>
        </is>
      </c>
      <c r="D13" s="78" t="n">
        <v>5380</v>
      </c>
      <c r="E13" s="82" t="inlineStr">
        <is>
          <t>active</t>
        </is>
      </c>
      <c r="F13" s="83" t="n">
        <v>11275</v>
      </c>
      <c r="G13" s="77" t="inlineStr">
        <is>
          <t>2029-08-31</t>
        </is>
      </c>
      <c r="H13" s="83" t="n">
        <v>11275</v>
      </c>
      <c r="I13" s="80">
        <f>IF(E13="active",F13*12,0)</f>
        <v/>
      </c>
      <c r="J13" s="81">
        <f>IF(AND(E13="active",DATEVALUE(G13)&lt;DATEVALUE("2027-09-01")),"YES","")</f>
        <v/>
      </c>
    </row>
    <row r="14" ht="15" customHeight="1" s="53">
      <c r="A14" s="77" t="inlineStr">
        <is>
          <t>011</t>
        </is>
      </c>
      <c r="B14" s="59" t="inlineStr">
        <is>
          <t>Standard suite</t>
        </is>
      </c>
      <c r="C14" s="77" t="inlineStr">
        <is>
          <t>B</t>
        </is>
      </c>
      <c r="D14" s="78" t="n">
        <v>5500</v>
      </c>
      <c r="E14" s="59" t="inlineStr">
        <is>
          <t>vacant</t>
        </is>
      </c>
      <c r="F14" s="79" t="n">
        <v>11200</v>
      </c>
      <c r="G14" s="77" t="inlineStr">
        <is>
          <t>2029-08-31</t>
        </is>
      </c>
      <c r="H14" s="79" t="n">
        <v>11200</v>
      </c>
      <c r="I14" s="80">
        <f>IF(E14="active",F14*12,0)</f>
        <v/>
      </c>
      <c r="J14" s="81">
        <f>IF(AND(E14="active",DATEVALUE(G14)&lt;DATEVALUE("2027-09-01")),"YES","")</f>
        <v/>
      </c>
    </row>
    <row r="15" ht="15" customHeight="1" s="53">
      <c r="A15" s="77" t="inlineStr">
        <is>
          <t>012</t>
        </is>
      </c>
      <c r="B15" s="59" t="inlineStr">
        <is>
          <t>Large suite</t>
        </is>
      </c>
      <c r="C15" s="77" t="inlineStr">
        <is>
          <t>C</t>
        </is>
      </c>
      <c r="D15" s="78" t="n">
        <v>5710</v>
      </c>
      <c r="E15" s="59" t="inlineStr">
        <is>
          <t>vacant</t>
        </is>
      </c>
      <c r="F15" s="79" t="n">
        <v>11475</v>
      </c>
      <c r="G15" s="77" t="inlineStr">
        <is>
          <t>2029-08-31</t>
        </is>
      </c>
      <c r="H15" s="79" t="n">
        <v>11475</v>
      </c>
      <c r="I15" s="80">
        <f>IF(E15="active",F15*12,0)</f>
        <v/>
      </c>
      <c r="J15" s="81">
        <f>IF(AND(E15="active",DATEVALUE(G15)&lt;DATEVALUE("2027-09-01")),"YES","")</f>
        <v/>
      </c>
    </row>
    <row r="16" ht="15" customHeight="1" s="53">
      <c r="A16" s="57" t="inlineStr">
        <is>
          <t>TOTAL</t>
        </is>
      </c>
      <c r="B16" s="57" t="n"/>
      <c r="C16" s="57" t="n"/>
      <c r="D16" s="84">
        <f>SUM(D4:D15)</f>
        <v/>
      </c>
      <c r="E16" s="57" t="n"/>
      <c r="F16" s="85">
        <f>SUM(F4:F15)</f>
        <v/>
      </c>
      <c r="G16" s="57" t="n"/>
      <c r="H16" s="85">
        <f>SUM(H4:H15)</f>
        <v/>
      </c>
      <c r="I16" s="85">
        <f>SUM(I4:I15)</f>
        <v/>
      </c>
      <c r="J16" s="57" t="n"/>
    </row>
    <row r="18" ht="15" customHeight="1" s="53">
      <c r="A18" s="55" t="inlineStr">
        <is>
          <t>Notes:</t>
        </is>
      </c>
    </row>
    <row r="19" ht="15" customHeight="1" s="53">
      <c r="A19" s="52" t="inlineStr">
        <is>
          <t>Group mapping (manager cover): A = Small suite, B = Standard suite, C = Large suite.</t>
        </is>
      </c>
    </row>
    <row r="20" ht="15" customHeight="1" s="53">
      <c r="A20" s="52" t="inlineStr">
        <is>
          <t>"Active" only counts as in physical possession; certified detail controls physical occupancy (manager cover).</t>
        </is>
      </c>
    </row>
    <row r="21" ht="15" customHeight="1" s="53">
      <c r="A21" s="52" t="inlineStr">
        <is>
          <t>Suite 001 GPR uses pre-amendment monthly ($10,975 from archive roll) per underwriting instructions; Suite 010 GPR uses the new roll monthly ($11,275).</t>
        </is>
      </c>
    </row>
    <row r="22" ht="15" customHeight="1" s="53">
      <c r="A22" s="52" t="inlineStr">
        <is>
          <t>Near-term rollover horizon = active leases expiring on or before 2027-09-01 (12 months from evaluation date 2026-09-01).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2" customWidth="1" style="52" min="1" max="1"/>
    <col width="18" customWidth="1" style="52" min="2" max="2"/>
    <col width="14" customWidth="1" style="52" min="3" max="3"/>
    <col width="60" customWidth="1" style="52" min="4" max="4"/>
  </cols>
  <sheetData>
    <row r="1" ht="15" customHeight="1" s="53">
      <c r="A1" s="54" t="inlineStr">
        <is>
          <t>BEACON PLAZA — RECONCILED UNDERWRITING (v2)</t>
        </is>
      </c>
    </row>
    <row r="3" ht="15" customHeight="1" s="53">
      <c r="A3" s="68" t="inlineStr">
        <is>
          <t>INCOME</t>
        </is>
      </c>
    </row>
    <row r="4" ht="15" customHeight="1" s="53">
      <c r="A4" s="55" t="inlineStr">
        <is>
          <t>gross_potential_rent</t>
        </is>
      </c>
      <c r="B4" s="86">
        <f>SUM('Rent Roll'!H4:H15)*12</f>
        <v/>
      </c>
      <c r="D4" s="52" t="inlineStr">
        <is>
          <t>All-suite scheduled monthly (new roll; 001 pre-amend) × 12</t>
        </is>
      </c>
    </row>
    <row r="5" ht="15" customHeight="1" s="53">
      <c r="A5" s="55" t="inlineStr">
        <is>
          <t>Economic loss (vacancy/credit)</t>
        </is>
      </c>
      <c r="B5" s="87">
        <f>-Underwriting!$B$4*Inputs!$B$19</f>
        <v/>
      </c>
    </row>
    <row r="6" ht="15" customHeight="1" s="53">
      <c r="A6" s="55" t="inlineStr">
        <is>
          <t>Effective rental income</t>
        </is>
      </c>
      <c r="B6" s="87">
        <f>Underwriting!$B$4+Underwriting!$B$5</f>
        <v/>
      </c>
    </row>
    <row r="7" ht="15" customHeight="1" s="53">
      <c r="A7" s="55" t="inlineStr">
        <is>
          <t>Other income ($350 × total units)</t>
        </is>
      </c>
      <c r="B7" s="88">
        <f>Inputs!$B$20*Inputs!$B$27</f>
        <v/>
      </c>
    </row>
    <row r="8" ht="15" customHeight="1" s="53">
      <c r="A8" s="55" t="inlineStr">
        <is>
          <t>uw_egi</t>
        </is>
      </c>
      <c r="B8" s="89">
        <f>Underwriting!$B$6+Underwriting!$B$7</f>
        <v/>
      </c>
    </row>
    <row r="10" ht="15" customHeight="1" s="53">
      <c r="A10" s="68" t="inlineStr">
        <is>
          <t>OPERATING EXPENSES</t>
        </is>
      </c>
    </row>
    <row r="11" ht="15" customHeight="1" s="53">
      <c r="A11" s="55" t="inlineStr">
        <is>
          <t>uw_tax</t>
        </is>
      </c>
      <c r="B11" s="88">
        <f>Inputs!$B$24</f>
        <v/>
      </c>
    </row>
    <row r="12" ht="15" customHeight="1" s="53">
      <c r="A12" s="55" t="inlineStr">
        <is>
          <t>uw_insurance</t>
        </is>
      </c>
      <c r="B12" s="88">
        <f>Inputs!$B$25</f>
        <v/>
      </c>
    </row>
    <row r="13" ht="15" customHeight="1" s="53">
      <c r="A13" s="55" t="inlineStr">
        <is>
          <t>Other recurring opex</t>
        </is>
      </c>
      <c r="B13" s="88">
        <f>Inputs!$B$26</f>
        <v/>
      </c>
    </row>
    <row r="14" ht="15" customHeight="1" s="53">
      <c r="A14" s="55" t="inlineStr">
        <is>
          <t>Management fee (3% of EGI)</t>
        </is>
      </c>
      <c r="B14" s="87">
        <f>Underwriting!$B$8*Inputs!$B$21</f>
        <v/>
      </c>
    </row>
    <row r="15" ht="15" customHeight="1" s="53">
      <c r="A15" s="55" t="inlineStr">
        <is>
          <t>uw_operating_expenses</t>
        </is>
      </c>
      <c r="B15" s="89">
        <f>Underwriting!$B$11+Underwriting!$B$12+Underwriting!$B$13+Underwriting!$B$14</f>
        <v/>
      </c>
    </row>
    <row r="17" ht="15" customHeight="1" s="53">
      <c r="A17" s="68" t="inlineStr">
        <is>
          <t>NOI / NCF</t>
        </is>
      </c>
    </row>
    <row r="18" ht="15" customHeight="1" s="53">
      <c r="A18" s="55" t="inlineStr">
        <is>
          <t>uw_noi (before reserves)</t>
        </is>
      </c>
      <c r="B18" s="89">
        <f>Underwriting!$B$8-Underwriting!$B$15</f>
        <v/>
      </c>
    </row>
    <row r="19" ht="15" customHeight="1" s="53">
      <c r="A19" s="55" t="inlineStr">
        <is>
          <t>Replacement reserves ($300 × units)</t>
        </is>
      </c>
      <c r="B19" s="87">
        <f>Inputs!$B$22*Inputs!$B$27</f>
        <v/>
      </c>
    </row>
    <row r="20" ht="15" customHeight="1" s="53">
      <c r="A20" s="55" t="inlineStr">
        <is>
          <t>uw_ncf (after reserves)</t>
        </is>
      </c>
      <c r="B20" s="89">
        <f>Underwriting!$B$18-Underwriting!$B$19</f>
        <v/>
      </c>
    </row>
    <row r="22" ht="15" customHeight="1" s="53">
      <c r="A22" s="68" t="inlineStr">
        <is>
          <t>VALUATION</t>
        </is>
      </c>
    </row>
    <row r="23" ht="15" customHeight="1" s="53">
      <c r="A23" s="55" t="inlineStr">
        <is>
          <t>capitalization_value (NOI ÷ cap_rate)</t>
        </is>
      </c>
      <c r="B23" s="89">
        <f>Underwriting!$B$18/Inputs!$B$23</f>
        <v/>
      </c>
    </row>
    <row r="25" ht="15" customHeight="1" s="53">
      <c r="A25" s="68" t="inlineStr">
        <is>
          <t>DEBT SIZING</t>
        </is>
      </c>
    </row>
    <row r="26" ht="15" customHeight="1" s="53">
      <c r="A26" s="55" t="inlineStr">
        <is>
          <t>Sizing rate (MAX of note vs floor)</t>
        </is>
      </c>
      <c r="B26" s="90">
        <f>Inputs!$B$16</f>
        <v/>
      </c>
    </row>
    <row r="27" ht="15" customHeight="1" s="53">
      <c r="A27" s="55" t="inlineStr">
        <is>
          <t>Monthly rate</t>
        </is>
      </c>
      <c r="B27" s="91">
        <f>Underwriting!$B$26/12</f>
        <v/>
      </c>
    </row>
    <row r="28" ht="15" customHeight="1" s="53">
      <c r="A28" s="55" t="inlineStr">
        <is>
          <t>Amort periods (months)</t>
        </is>
      </c>
      <c r="B28" s="92">
        <f>Inputs!$B$11*12</f>
        <v/>
      </c>
    </row>
    <row r="29" ht="15" customHeight="1" s="53">
      <c r="A29" s="55" t="inlineStr">
        <is>
          <t>Annual debt service constant per $1</t>
        </is>
      </c>
      <c r="B29" s="91">
        <f>12*(Underwriting!$B$27*(1+Underwriting!$B$27)^Underwriting!$B$28)/((1+Underwriting!$B$27)^Underwriting!$B$28-1)</f>
        <v/>
      </c>
    </row>
    <row r="30" ht="15" customHeight="1" s="53">
      <c r="A30" s="55" t="inlineStr">
        <is>
          <t>LTV-constrained loan</t>
        </is>
      </c>
      <c r="B30" s="87">
        <f>Underwriting!$B$23*Inputs!$B$6</f>
        <v/>
      </c>
    </row>
    <row r="31" ht="15" customHeight="1" s="53">
      <c r="A31" s="55" t="inlineStr">
        <is>
          <t>DSCR-constrained loan (NCF basis)</t>
        </is>
      </c>
      <c r="B31" s="87">
        <f>Underwriting!$B$20/(Inputs!$B$7*Underwriting!$B$29)</f>
        <v/>
      </c>
    </row>
    <row r="32" ht="15" customHeight="1" s="53">
      <c r="A32" s="55" t="inlineStr">
        <is>
          <t>Debt yield-constrained loan (NCF basis)</t>
        </is>
      </c>
      <c r="B32" s="87">
        <f>Underwriting!$B$20/Inputs!$B$8</f>
        <v/>
      </c>
    </row>
    <row r="33" ht="15" customHeight="1" s="53">
      <c r="A33" s="55" t="inlineStr">
        <is>
          <t>maximum_loan (binding constraint)</t>
        </is>
      </c>
      <c r="B33" s="89">
        <f>MIN(Underwriting!$B$30,Underwriting!$B$31,Underwriting!$B$32)</f>
        <v/>
      </c>
    </row>
    <row r="34" ht="15" customHeight="1" s="53">
      <c r="A34" s="55" t="inlineStr">
        <is>
          <t>Binding constraint</t>
        </is>
      </c>
      <c r="B34" s="93">
        <f>IF(Underwriting!$B$33=Underwriting!$B$30,"LTV",IF(Underwriting!$B$33=Underwriting!$B$31,"DSCR","Debt Yield"))</f>
        <v/>
      </c>
    </row>
    <row r="36" ht="15" customHeight="1" s="53">
      <c r="A36" s="68" t="inlineStr">
        <is>
          <t>SOURCES &amp; USES</t>
        </is>
      </c>
    </row>
    <row r="37" ht="15" customHeight="1" s="53">
      <c r="A37" s="55" t="inlineStr">
        <is>
          <t>Origination fee (1% of sized loan)</t>
        </is>
      </c>
      <c r="B37" s="87">
        <f>Underwriting!$B$33*Inputs!$B$12</f>
        <v/>
      </c>
    </row>
    <row r="38" ht="15" customHeight="1" s="53">
      <c r="A38" s="55" t="inlineStr">
        <is>
          <t>Closing costs</t>
        </is>
      </c>
      <c r="B38" s="88">
        <f>Inputs!$B$13</f>
        <v/>
      </c>
    </row>
    <row r="39" ht="15" customHeight="1" s="53">
      <c r="A39" s="55" t="inlineStr">
        <is>
          <t>Existing loan payoff</t>
        </is>
      </c>
      <c r="B39" s="88">
        <f>Inputs!$B$14</f>
        <v/>
      </c>
    </row>
    <row r="40" ht="15" customHeight="1" s="53">
      <c r="A40" s="55" t="inlineStr">
        <is>
          <t>net_cash_out (negative = equity required)</t>
        </is>
      </c>
      <c r="B40" s="89">
        <f>Underwriting!$B$33-Underwriting!$B$37-Underwriting!$B$38-Underwriting!$B$39</f>
        <v/>
      </c>
    </row>
    <row r="42" ht="15" customHeight="1" s="53">
      <c r="A42" s="68" t="inlineStr">
        <is>
          <t>CREDIT METRICS AT SIZED LOAN</t>
        </is>
      </c>
    </row>
    <row r="43" ht="15" customHeight="1" s="53">
      <c r="A43" s="55" t="inlineStr">
        <is>
          <t>LTV at sized loan</t>
        </is>
      </c>
      <c r="B43" s="94">
        <f>Underwriting!$B$33/Underwriting!$B$23</f>
        <v/>
      </c>
    </row>
    <row r="44" ht="15" customHeight="1" s="53">
      <c r="A44" s="55" t="inlineStr">
        <is>
          <t>DSCR at sized loan (NCF)</t>
        </is>
      </c>
      <c r="B44" s="95">
        <f>Underwriting!$B$20/(Underwriting!$B$33*Underwriting!$B$29)</f>
        <v/>
      </c>
    </row>
    <row r="45" ht="15" customHeight="1" s="53">
      <c r="A45" s="55" t="inlineStr">
        <is>
          <t>Debt yield at sized loan (NCF)</t>
        </is>
      </c>
      <c r="B45" s="94">
        <f>Underwriting!$B$20/Underwriting!$B$33</f>
        <v/>
      </c>
    </row>
  </sheetData>
  <mergeCells count="8">
    <mergeCell ref="A1:D1"/>
    <mergeCell ref="A17:D17"/>
    <mergeCell ref="A22:D22"/>
    <mergeCell ref="A3:D3"/>
    <mergeCell ref="A25:D25"/>
    <mergeCell ref="A10:D10"/>
    <mergeCell ref="A42:D42"/>
    <mergeCell ref="A36:D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2" customWidth="1" style="52" min="1" max="1"/>
    <col width="18" customWidth="1" style="52" min="2" max="4"/>
    <col width="60" customWidth="1" style="52" min="5" max="5"/>
  </cols>
  <sheetData>
    <row r="1" ht="15" customHeight="1" s="53">
      <c r="A1" s="75" t="inlineStr">
        <is>
          <t>HISTORICAL T-12 (2025-09-01 → 2026-08-31) vs UNDERWRITTEN (v2)</t>
        </is>
      </c>
    </row>
    <row r="3" ht="15" customHeight="1" s="53">
      <c r="A3" s="96" t="inlineStr">
        <is>
          <t>Line item</t>
        </is>
      </c>
      <c r="B3" s="96" t="inlineStr">
        <is>
          <t>Historical T-12</t>
        </is>
      </c>
      <c r="C3" s="96" t="inlineStr">
        <is>
          <t>Underwritten</t>
        </is>
      </c>
      <c r="D3" s="96" t="inlineStr">
        <is>
          <t>Δ</t>
        </is>
      </c>
      <c r="E3" s="96" t="inlineStr">
        <is>
          <t>Notes</t>
        </is>
      </c>
    </row>
    <row r="4" ht="15" customHeight="1" s="53">
      <c r="A4" s="55" t="inlineStr">
        <is>
          <t>Rental / ancillary (hist) vs UW EGI</t>
        </is>
      </c>
      <c r="B4" s="97" t="n">
        <v>1456920</v>
      </c>
      <c r="C4" s="97">
        <f>Underwriting!$B$8</f>
        <v/>
      </c>
      <c r="D4" s="97">
        <f>C4-B4</f>
        <v/>
      </c>
      <c r="E4" s="52" t="inlineStr">
        <is>
          <t>Cash collections vs prescribed UW EGI</t>
        </is>
      </c>
    </row>
    <row r="5" ht="15" customHeight="1" s="53">
      <c r="A5" s="55" t="inlineStr">
        <is>
          <t>Real estate tax</t>
        </is>
      </c>
      <c r="B5" s="97" t="n">
        <v>-169974</v>
      </c>
      <c r="C5" s="97">
        <f>-Underwriting!$B$11</f>
        <v/>
      </c>
      <c r="D5" s="97">
        <f>C5-B5</f>
        <v/>
      </c>
      <c r="E5" s="52" t="inlineStr">
        <is>
          <t>Unchanged</t>
        </is>
      </c>
    </row>
    <row r="6" ht="15" customHeight="1" s="53">
      <c r="A6" s="55" t="inlineStr">
        <is>
          <t>Insurance expense</t>
        </is>
      </c>
      <c r="B6" s="97" t="n">
        <v>-56658</v>
      </c>
      <c r="C6" s="97">
        <f>-Underwriting!$B$12</f>
        <v/>
      </c>
      <c r="D6" s="97">
        <f>C6-B6</f>
        <v/>
      </c>
      <c r="E6" s="52" t="inlineStr">
        <is>
          <t>Unchanged</t>
        </is>
      </c>
    </row>
    <row r="7" ht="15" customHeight="1" s="53">
      <c r="A7" s="55" t="inlineStr">
        <is>
          <t>Other recurring opex</t>
        </is>
      </c>
      <c r="B7" s="97" t="n">
        <v>-226632</v>
      </c>
      <c r="C7" s="97">
        <f>-Underwriting!$B$13</f>
        <v/>
      </c>
      <c r="D7" s="97">
        <f>C7-B7</f>
        <v/>
      </c>
      <c r="E7" s="52" t="inlineStr">
        <is>
          <t>Unchanged</t>
        </is>
      </c>
    </row>
    <row r="8" ht="15" customHeight="1" s="53">
      <c r="A8" s="55" t="inlineStr">
        <is>
          <t>Roof replacement (capital, not opex)</t>
        </is>
      </c>
      <c r="B8" s="97" t="n">
        <v>0</v>
      </c>
      <c r="C8" s="97" t="n">
        <v>0</v>
      </c>
      <c r="D8" s="97">
        <f>C8-B8</f>
        <v/>
      </c>
      <c r="E8" s="52" t="inlineStr">
        <is>
          <t>Operating statement — capital classification preserved</t>
        </is>
      </c>
    </row>
    <row r="9" ht="15" customHeight="1" s="53">
      <c r="A9" s="55" t="inlineStr">
        <is>
          <t>Management fee (UW only)</t>
        </is>
      </c>
      <c r="B9" s="97" t="n">
        <v>0</v>
      </c>
      <c r="C9" s="97">
        <f>-Underwriting!$B$14</f>
        <v/>
      </c>
      <c r="D9" s="97">
        <f>C9-B9</f>
        <v/>
      </c>
      <c r="E9" s="52" t="inlineStr">
        <is>
          <t>UW adds 3% of EGI</t>
        </is>
      </c>
    </row>
    <row r="10" ht="15" customHeight="1" s="53">
      <c r="A10" s="55" t="inlineStr">
        <is>
          <t>Replacement reserves (UW only)</t>
        </is>
      </c>
      <c r="B10" s="97" t="n">
        <v>0</v>
      </c>
      <c r="C10" s="97">
        <f>-Underwriting!$B$19</f>
        <v/>
      </c>
      <c r="D10" s="97">
        <f>C10-B10</f>
        <v/>
      </c>
      <c r="E10" s="52" t="inlineStr">
        <is>
          <t>UW adds $300/unit</t>
        </is>
      </c>
    </row>
    <row r="11" ht="15" customHeight="1" s="53">
      <c r="A11" s="55" t="inlineStr">
        <is>
          <t>Reported historical NOI (as stated)</t>
        </is>
      </c>
      <c r="B11" s="73" t="n">
        <v>1003656</v>
      </c>
      <c r="E11" s="52" t="inlineStr">
        <is>
          <t>Operating statement, 'Reported NOI'. Cash basis; no mgmt/reserves.</t>
        </is>
      </c>
    </row>
    <row r="12" ht="15" customHeight="1" s="53">
      <c r="A12" s="55" t="inlineStr">
        <is>
          <t>uw_noi (before reserves)</t>
        </is>
      </c>
      <c r="C12" s="88">
        <f>Underwriting!$B$18</f>
        <v/>
      </c>
    </row>
    <row r="13" ht="15" customHeight="1" s="53">
      <c r="A13" s="55" t="inlineStr">
        <is>
          <t>uw_ncf (after reserves)</t>
        </is>
      </c>
      <c r="C13" s="88">
        <f>Underwriting!$B$20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4" customWidth="1" style="52" min="1" max="1"/>
    <col width="14" customWidth="1" style="52" min="2" max="5"/>
    <col width="50" customWidth="1" style="52" min="6" max="6"/>
  </cols>
  <sheetData>
    <row r="1" ht="15" customHeight="1" s="53">
      <c r="A1" s="75" t="inlineStr">
        <is>
          <t>OCCUPANCY &amp; UNIT MIX (as of 2026-09-01, revised roll)</t>
        </is>
      </c>
    </row>
    <row r="3" ht="15" customHeight="1" s="53">
      <c r="A3" s="96" t="inlineStr">
        <is>
          <t>Metric</t>
        </is>
      </c>
      <c r="B3" s="96" t="inlineStr">
        <is>
          <t>Type A (Small)</t>
        </is>
      </c>
      <c r="C3" s="96" t="inlineStr">
        <is>
          <t>Type B (Standard)</t>
        </is>
      </c>
      <c r="D3" s="96" t="inlineStr">
        <is>
          <t>Type C (Large)</t>
        </is>
      </c>
      <c r="E3" s="96" t="inlineStr">
        <is>
          <t>Total</t>
        </is>
      </c>
      <c r="F3" s="96" t="inlineStr">
        <is>
          <t>Notes</t>
        </is>
      </c>
    </row>
    <row r="4" ht="15" customHeight="1" s="53">
      <c r="A4" s="55" t="inlineStr">
        <is>
          <t>Units in group</t>
        </is>
      </c>
      <c r="B4" s="98">
        <f>COUNTIF('Rent Roll'!C4:C15,"A")</f>
        <v/>
      </c>
      <c r="C4" s="98">
        <f>COUNTIF('Rent Roll'!C4:C15,"B")</f>
        <v/>
      </c>
      <c r="D4" s="98">
        <f>COUNTIF('Rent Roll'!C4:C15,"C")</f>
        <v/>
      </c>
      <c r="E4" s="98">
        <f>SUM(B4:D4)</f>
        <v/>
      </c>
    </row>
    <row r="5" ht="15" customHeight="1" s="53">
      <c r="A5" s="55" t="inlineStr">
        <is>
          <t>Occupied (active) in group</t>
        </is>
      </c>
      <c r="B5" s="98">
        <f>COUNTIFS('Rent Roll'!C4:C15,"A",'Rent Roll'!E4:E15,"active")</f>
        <v/>
      </c>
      <c r="C5" s="98">
        <f>COUNTIFS('Rent Roll'!C4:C15,"B",'Rent Roll'!E4:E15,"active")</f>
        <v/>
      </c>
      <c r="D5" s="98">
        <f>COUNTIFS('Rent Roll'!C4:C15,"C",'Rent Roll'!E4:E15,"active")</f>
        <v/>
      </c>
      <c r="E5" s="98">
        <f>SUM(B5:D5)</f>
        <v/>
      </c>
      <c r="F5" s="52" t="inlineStr">
        <is>
          <t>Suite 010 now active (was pending in v1).</t>
        </is>
      </c>
    </row>
    <row r="6" ht="15" customHeight="1" s="53">
      <c r="A6" s="55" t="inlineStr">
        <is>
          <t>Pending in group</t>
        </is>
      </c>
      <c r="B6" s="98">
        <f>COUNTIFS('Rent Roll'!C4:C15,"A",'Rent Roll'!E4:E15,"pending")</f>
        <v/>
      </c>
      <c r="C6" s="98">
        <f>COUNTIFS('Rent Roll'!C4:C15,"B",'Rent Roll'!E4:E15,"pending")</f>
        <v/>
      </c>
      <c r="D6" s="98">
        <f>COUNTIFS('Rent Roll'!C4:C15,"C",'Rent Roll'!E4:E15,"pending")</f>
        <v/>
      </c>
      <c r="E6" s="98">
        <f>SUM(B6:D6)</f>
        <v/>
      </c>
    </row>
    <row r="7" ht="15" customHeight="1" s="53">
      <c r="A7" s="55" t="inlineStr">
        <is>
          <t>Vacant in group</t>
        </is>
      </c>
      <c r="B7" s="98">
        <f>COUNTIFS('Rent Roll'!C4:C15,"A",'Rent Roll'!E4:E15,"vacant")</f>
        <v/>
      </c>
      <c r="C7" s="98">
        <f>COUNTIFS('Rent Roll'!C4:C15,"B",'Rent Roll'!E4:E15,"vacant")</f>
        <v/>
      </c>
      <c r="D7" s="98">
        <f>COUNTIFS('Rent Roll'!C4:C15,"C",'Rent Roll'!E4:E15,"vacant")</f>
        <v/>
      </c>
      <c r="E7" s="98">
        <f>SUM(B7:D7)</f>
        <v/>
      </c>
    </row>
    <row r="8" ht="15" customHeight="1" s="53">
      <c r="A8" s="55" t="inlineStr">
        <is>
          <t>Total area SF (group)</t>
        </is>
      </c>
      <c r="B8" s="98">
        <f>SUMIF('Rent Roll'!C4:C15,"A",'Rent Roll'!D4:D15)</f>
        <v/>
      </c>
      <c r="C8" s="98">
        <f>SUMIF('Rent Roll'!C4:C15,"B",'Rent Roll'!D4:D15)</f>
        <v/>
      </c>
      <c r="D8" s="98">
        <f>SUMIF('Rent Roll'!C4:C15,"C",'Rent Roll'!D4:D15)</f>
        <v/>
      </c>
      <c r="E8" s="98">
        <f>SUM(B8:D8)</f>
        <v/>
      </c>
    </row>
    <row r="9" ht="15" customHeight="1" s="53">
      <c r="A9" s="55" t="inlineStr">
        <is>
          <t>Occupied area SF (active)</t>
        </is>
      </c>
      <c r="B9" s="98">
        <f>SUMIFS('Rent Roll'!D4:D15,'Rent Roll'!C4:C15,"A",'Rent Roll'!E4:E15,"active")</f>
        <v/>
      </c>
      <c r="C9" s="98">
        <f>SUMIFS('Rent Roll'!D4:D15,'Rent Roll'!C4:C15,"B",'Rent Roll'!E4:E15,"active")</f>
        <v/>
      </c>
      <c r="D9" s="98">
        <f>SUMIFS('Rent Roll'!D4:D15,'Rent Roll'!C4:C15,"C",'Rent Roll'!E4:E15,"active")</f>
        <v/>
      </c>
      <c r="E9" s="98">
        <f>SUM(B9:D9)</f>
        <v/>
      </c>
    </row>
    <row r="11" ht="15" customHeight="1" s="53">
      <c r="A11" s="55" t="inlineStr">
        <is>
          <t>Unit occupancy</t>
        </is>
      </c>
      <c r="E11" s="99">
        <f>'Occupancy &amp; Mix'!$E$5/'Occupancy &amp; Mix'!$E$4</f>
        <v/>
      </c>
    </row>
    <row r="12" ht="15" customHeight="1" s="53">
      <c r="A12" s="55" t="inlineStr">
        <is>
          <t>Area occupancy</t>
        </is>
      </c>
      <c r="E12" s="99">
        <f>'Occupancy &amp; Mix'!$E$9/'Occupancy &amp; Mix'!$E$8</f>
        <v/>
      </c>
    </row>
    <row r="13" ht="15" customHeight="1" s="53">
      <c r="A13" s="55" t="inlineStr">
        <is>
          <t>Annual in-place rent (active suites)</t>
        </is>
      </c>
      <c r="E13" s="88">
        <f>'Rent Roll'!I16</f>
        <v/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2" customWidth="1" style="52" min="1" max="1"/>
    <col width="16" customWidth="1" style="52" min="2" max="8"/>
  </cols>
  <sheetData>
    <row r="1" ht="15" customHeight="1" s="53">
      <c r="A1" s="75" t="inlineStr">
        <is>
          <t>SENSITIVITY: Maximum loan by cap rate &amp; sizing rate (v2)</t>
        </is>
      </c>
    </row>
    <row r="3" ht="15" customHeight="1" s="53">
      <c r="A3" s="96" t="inlineStr">
        <is>
          <t>Cap rate ↓ / Sizing rate →</t>
        </is>
      </c>
      <c r="B3" s="100" t="n">
        <v>0.07000000000000001</v>
      </c>
      <c r="C3" s="100" t="n">
        <v>0.0725</v>
      </c>
      <c r="D3" s="100" t="n">
        <v>0.075</v>
      </c>
      <c r="E3" s="100" t="n">
        <v>0.0775</v>
      </c>
      <c r="F3" s="100" t="n">
        <v>0.08</v>
      </c>
      <c r="G3" s="100" t="n">
        <v>0.0825</v>
      </c>
      <c r="H3" s="100" t="n">
        <v>0.08500000000000001</v>
      </c>
    </row>
    <row r="4" ht="15" customHeight="1" s="53">
      <c r="A4" s="100" t="n">
        <v>0.07000000000000001</v>
      </c>
      <c r="B4" s="97">
        <f>MIN((Inputs!$B$6*(Underwriting!$B$18/0.07)),(Underwriting!$B$20/(Inputs!$B$7*(12*((0.07/12)*(1+(0.07/12))^360)/((1+(0.07/12))^360-1)))),(Underwriting!$B$20/Inputs!$B$8))</f>
        <v/>
      </c>
      <c r="C4" s="97">
        <f>MIN((Inputs!$B$6*(Underwriting!$B$18/0.07)),(Underwriting!$B$20/(Inputs!$B$7*(12*((0.0725/12)*(1+(0.0725/12))^360)/((1+(0.0725/12))^360-1)))),(Underwriting!$B$20/Inputs!$B$8))</f>
        <v/>
      </c>
      <c r="D4" s="97">
        <f>MIN((Inputs!$B$6*(Underwriting!$B$18/0.07)),(Underwriting!$B$20/(Inputs!$B$7*(12*((0.075/12)*(1+(0.075/12))^360)/((1+(0.075/12))^360-1)))),(Underwriting!$B$20/Inputs!$B$8))</f>
        <v/>
      </c>
      <c r="E4" s="97">
        <f>MIN((Inputs!$B$6*(Underwriting!$B$18/0.07)),(Underwriting!$B$20/(Inputs!$B$7*(12*((0.0775/12)*(1+(0.0775/12))^360)/((1+(0.0775/12))^360-1)))),(Underwriting!$B$20/Inputs!$B$8))</f>
        <v/>
      </c>
      <c r="F4" s="97">
        <f>MIN((Inputs!$B$6*(Underwriting!$B$18/0.07)),(Underwriting!$B$20/(Inputs!$B$7*(12*((0.08/12)*(1+(0.08/12))^360)/((1+(0.08/12))^360-1)))),(Underwriting!$B$20/Inputs!$B$8))</f>
        <v/>
      </c>
      <c r="G4" s="97">
        <f>MIN((Inputs!$B$6*(Underwriting!$B$18/0.07)),(Underwriting!$B$20/(Inputs!$B$7*(12*((0.0825/12)*(1+(0.0825/12))^360)/((1+(0.0825/12))^360-1)))),(Underwriting!$B$20/Inputs!$B$8))</f>
        <v/>
      </c>
      <c r="H4" s="97">
        <f>MIN((Inputs!$B$6*(Underwriting!$B$18/0.07)),(Underwriting!$B$20/(Inputs!$B$7*(12*((0.085/12)*(1+(0.085/12))^360)/((1+(0.085/12))^360-1)))),(Underwriting!$B$20/Inputs!$B$8))</f>
        <v/>
      </c>
    </row>
    <row r="5" ht="15" customHeight="1" s="53">
      <c r="A5" s="100" t="n">
        <v>0.075</v>
      </c>
      <c r="B5" s="97">
        <f>MIN((Inputs!$B$6*(Underwriting!$B$18/0.075)),(Underwriting!$B$20/(Inputs!$B$7*(12*((0.07/12)*(1+(0.07/12))^360)/((1+(0.07/12))^360-1)))),(Underwriting!$B$20/Inputs!$B$8))</f>
        <v/>
      </c>
      <c r="C5" s="97">
        <f>MIN((Inputs!$B$6*(Underwriting!$B$18/0.075)),(Underwriting!$B$20/(Inputs!$B$7*(12*((0.0725/12)*(1+(0.0725/12))^360)/((1+(0.0725/12))^360-1)))),(Underwriting!$B$20/Inputs!$B$8))</f>
        <v/>
      </c>
      <c r="D5" s="97">
        <f>MIN((Inputs!$B$6*(Underwriting!$B$18/0.075)),(Underwriting!$B$20/(Inputs!$B$7*(12*((0.075/12)*(1+(0.075/12))^360)/((1+(0.075/12))^360-1)))),(Underwriting!$B$20/Inputs!$B$8))</f>
        <v/>
      </c>
      <c r="E5" s="97">
        <f>MIN((Inputs!$B$6*(Underwriting!$B$18/0.075)),(Underwriting!$B$20/(Inputs!$B$7*(12*((0.0775/12)*(1+(0.0775/12))^360)/((1+(0.0775/12))^360-1)))),(Underwriting!$B$20/Inputs!$B$8))</f>
        <v/>
      </c>
      <c r="F5" s="97">
        <f>MIN((Inputs!$B$6*(Underwriting!$B$18/0.075)),(Underwriting!$B$20/(Inputs!$B$7*(12*((0.08/12)*(1+(0.08/12))^360)/((1+(0.08/12))^360-1)))),(Underwriting!$B$20/Inputs!$B$8))</f>
        <v/>
      </c>
      <c r="G5" s="97">
        <f>MIN((Inputs!$B$6*(Underwriting!$B$18/0.075)),(Underwriting!$B$20/(Inputs!$B$7*(12*((0.0825/12)*(1+(0.0825/12))^360)/((1+(0.0825/12))^360-1)))),(Underwriting!$B$20/Inputs!$B$8))</f>
        <v/>
      </c>
      <c r="H5" s="97">
        <f>MIN((Inputs!$B$6*(Underwriting!$B$18/0.075)),(Underwriting!$B$20/(Inputs!$B$7*(12*((0.085/12)*(1+(0.085/12))^360)/((1+(0.085/12))^360-1)))),(Underwriting!$B$20/Inputs!$B$8))</f>
        <v/>
      </c>
    </row>
    <row r="6" ht="15" customHeight="1" s="53">
      <c r="A6" s="100" t="n">
        <v>0.0775</v>
      </c>
      <c r="B6" s="97">
        <f>MIN((Inputs!$B$6*(Underwriting!$B$18/0.0775)),(Underwriting!$B$20/(Inputs!$B$7*(12*((0.07/12)*(1+(0.07/12))^360)/((1+(0.07/12))^360-1)))),(Underwriting!$B$20/Inputs!$B$8))</f>
        <v/>
      </c>
      <c r="C6" s="97">
        <f>MIN((Inputs!$B$6*(Underwriting!$B$18/0.0775)),(Underwriting!$B$20/(Inputs!$B$7*(12*((0.0725/12)*(1+(0.0725/12))^360)/((1+(0.0725/12))^360-1)))),(Underwriting!$B$20/Inputs!$B$8))</f>
        <v/>
      </c>
      <c r="D6" s="101">
        <f>MIN((Inputs!$B$6*(Underwriting!$B$18/0.0775)),(Underwriting!$B$20/(Inputs!$B$7*(12*((0.075/12)*(1+(0.075/12))^360)/((1+(0.075/12))^360-1)))),(Underwriting!$B$20/Inputs!$B$8))</f>
        <v/>
      </c>
      <c r="E6" s="97">
        <f>MIN((Inputs!$B$6*(Underwriting!$B$18/0.0775)),(Underwriting!$B$20/(Inputs!$B$7*(12*((0.0775/12)*(1+(0.0775/12))^360)/((1+(0.0775/12))^360-1)))),(Underwriting!$B$20/Inputs!$B$8))</f>
        <v/>
      </c>
      <c r="F6" s="97">
        <f>MIN((Inputs!$B$6*(Underwriting!$B$18/0.0775)),(Underwriting!$B$20/(Inputs!$B$7*(12*((0.08/12)*(1+(0.08/12))^360)/((1+(0.08/12))^360-1)))),(Underwriting!$B$20/Inputs!$B$8))</f>
        <v/>
      </c>
      <c r="G6" s="97">
        <f>MIN((Inputs!$B$6*(Underwriting!$B$18/0.0775)),(Underwriting!$B$20/(Inputs!$B$7*(12*((0.0825/12)*(1+(0.0825/12))^360)/((1+(0.0825/12))^360-1)))),(Underwriting!$B$20/Inputs!$B$8))</f>
        <v/>
      </c>
      <c r="H6" s="97">
        <f>MIN((Inputs!$B$6*(Underwriting!$B$18/0.0775)),(Underwriting!$B$20/(Inputs!$B$7*(12*((0.085/12)*(1+(0.085/12))^360)/((1+(0.085/12))^360-1)))),(Underwriting!$B$20/Inputs!$B$8))</f>
        <v/>
      </c>
    </row>
    <row r="7" ht="15" customHeight="1" s="53">
      <c r="A7" s="100" t="n">
        <v>0.08</v>
      </c>
      <c r="B7" s="97">
        <f>MIN((Inputs!$B$6*(Underwriting!$B$18/0.08)),(Underwriting!$B$20/(Inputs!$B$7*(12*((0.07/12)*(1+(0.07/12))^360)/((1+(0.07/12))^360-1)))),(Underwriting!$B$20/Inputs!$B$8))</f>
        <v/>
      </c>
      <c r="C7" s="97">
        <f>MIN((Inputs!$B$6*(Underwriting!$B$18/0.08)),(Underwriting!$B$20/(Inputs!$B$7*(12*((0.0725/12)*(1+(0.0725/12))^360)/((1+(0.0725/12))^360-1)))),(Underwriting!$B$20/Inputs!$B$8))</f>
        <v/>
      </c>
      <c r="D7" s="97">
        <f>MIN((Inputs!$B$6*(Underwriting!$B$18/0.08)),(Underwriting!$B$20/(Inputs!$B$7*(12*((0.075/12)*(1+(0.075/12))^360)/((1+(0.075/12))^360-1)))),(Underwriting!$B$20/Inputs!$B$8))</f>
        <v/>
      </c>
      <c r="E7" s="97">
        <f>MIN((Inputs!$B$6*(Underwriting!$B$18/0.08)),(Underwriting!$B$20/(Inputs!$B$7*(12*((0.0775/12)*(1+(0.0775/12))^360)/((1+(0.0775/12))^360-1)))),(Underwriting!$B$20/Inputs!$B$8))</f>
        <v/>
      </c>
      <c r="F7" s="97">
        <f>MIN((Inputs!$B$6*(Underwriting!$B$18/0.08)),(Underwriting!$B$20/(Inputs!$B$7*(12*((0.08/12)*(1+(0.08/12))^360)/((1+(0.08/12))^360-1)))),(Underwriting!$B$20/Inputs!$B$8))</f>
        <v/>
      </c>
      <c r="G7" s="97">
        <f>MIN((Inputs!$B$6*(Underwriting!$B$18/0.08)),(Underwriting!$B$20/(Inputs!$B$7*(12*((0.0825/12)*(1+(0.0825/12))^360)/((1+(0.0825/12))^360-1)))),(Underwriting!$B$20/Inputs!$B$8))</f>
        <v/>
      </c>
      <c r="H7" s="97">
        <f>MIN((Inputs!$B$6*(Underwriting!$B$18/0.08)),(Underwriting!$B$20/(Inputs!$B$7*(12*((0.085/12)*(1+(0.085/12))^360)/((1+(0.085/12))^360-1)))),(Underwriting!$B$20/Inputs!$B$8))</f>
        <v/>
      </c>
    </row>
    <row r="8" ht="15" customHeight="1" s="53">
      <c r="A8" s="100" t="n">
        <v>0.08500000000000001</v>
      </c>
      <c r="B8" s="97">
        <f>MIN((Inputs!$B$6*(Underwriting!$B$18/0.085)),(Underwriting!$B$20/(Inputs!$B$7*(12*((0.07/12)*(1+(0.07/12))^360)/((1+(0.07/12))^360-1)))),(Underwriting!$B$20/Inputs!$B$8))</f>
        <v/>
      </c>
      <c r="C8" s="97">
        <f>MIN((Inputs!$B$6*(Underwriting!$B$18/0.085)),(Underwriting!$B$20/(Inputs!$B$7*(12*((0.0725/12)*(1+(0.0725/12))^360)/((1+(0.0725/12))^360-1)))),(Underwriting!$B$20/Inputs!$B$8))</f>
        <v/>
      </c>
      <c r="D8" s="97">
        <f>MIN((Inputs!$B$6*(Underwriting!$B$18/0.085)),(Underwriting!$B$20/(Inputs!$B$7*(12*((0.075/12)*(1+(0.075/12))^360)/((1+(0.075/12))^360-1)))),(Underwriting!$B$20/Inputs!$B$8))</f>
        <v/>
      </c>
      <c r="E8" s="97">
        <f>MIN((Inputs!$B$6*(Underwriting!$B$18/0.085)),(Underwriting!$B$20/(Inputs!$B$7*(12*((0.0775/12)*(1+(0.0775/12))^360)/((1+(0.0775/12))^360-1)))),(Underwriting!$B$20/Inputs!$B$8))</f>
        <v/>
      </c>
      <c r="F8" s="97">
        <f>MIN((Inputs!$B$6*(Underwriting!$B$18/0.085)),(Underwriting!$B$20/(Inputs!$B$7*(12*((0.08/12)*(1+(0.08/12))^360)/((1+(0.08/12))^360-1)))),(Underwriting!$B$20/Inputs!$B$8))</f>
        <v/>
      </c>
      <c r="G8" s="97">
        <f>MIN((Inputs!$B$6*(Underwriting!$B$18/0.085)),(Underwriting!$B$20/(Inputs!$B$7*(12*((0.0825/12)*(1+(0.0825/12))^360)/((1+(0.0825/12))^360-1)))),(Underwriting!$B$20/Inputs!$B$8))</f>
        <v/>
      </c>
      <c r="H8" s="97">
        <f>MIN((Inputs!$B$6*(Underwriting!$B$18/0.085)),(Underwriting!$B$20/(Inputs!$B$7*(12*((0.085/12)*(1+(0.085/12))^360)/((1+(0.085/12))^360-1)))),(Underwriting!$B$20/Inputs!$B$8))</f>
        <v/>
      </c>
    </row>
    <row r="10" ht="15" customHeight="1" s="53">
      <c r="A10" s="102" t="inlineStr">
        <is>
          <t>Highlighted cell = base case (cap 7.75%, sizing 7.50%).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8" customWidth="1" style="52" min="1" max="2"/>
    <col width="18" customWidth="1" style="52" min="3" max="3"/>
    <col width="50" customWidth="1" style="52" min="4" max="4"/>
  </cols>
  <sheetData>
    <row r="1" ht="15" customHeight="1" s="53">
      <c r="A1" s="75" t="inlineStr">
        <is>
          <t>INPUT / OUTPUT MAP — v2 (Sheet!A1 locations)</t>
        </is>
      </c>
    </row>
    <row r="3" ht="15" customHeight="1" s="53">
      <c r="A3" s="96" t="inlineStr">
        <is>
          <t>Name</t>
        </is>
      </c>
      <c r="B3" s="96" t="inlineStr">
        <is>
          <t>Location (Sheet!A1)</t>
        </is>
      </c>
      <c r="C3" s="96" t="inlineStr">
        <is>
          <t>Role</t>
        </is>
      </c>
      <c r="D3" s="96" t="inlineStr">
        <is>
          <t>Live value</t>
        </is>
      </c>
    </row>
    <row r="4" ht="15" customHeight="1" s="53">
      <c r="A4" s="55" t="inlineStr">
        <is>
          <t>gross_potential_rent</t>
        </is>
      </c>
      <c r="B4" s="52" t="inlineStr">
        <is>
          <t>Underwriting!$B$4</t>
        </is>
      </c>
      <c r="C4" s="103" t="inlineStr">
        <is>
          <t>input</t>
        </is>
      </c>
      <c r="D4" s="88">
        <f>Underwriting!$B$4</f>
        <v/>
      </c>
    </row>
    <row r="5" ht="15" customHeight="1" s="53">
      <c r="A5" s="55" t="inlineStr">
        <is>
          <t>cap_rate</t>
        </is>
      </c>
      <c r="B5" s="52" t="inlineStr">
        <is>
          <t>Inputs!$B$23</t>
        </is>
      </c>
      <c r="C5" s="103" t="inlineStr">
        <is>
          <t>input</t>
        </is>
      </c>
      <c r="D5" s="90">
        <f>Inputs!$B$23</f>
        <v/>
      </c>
    </row>
    <row r="6" ht="15" customHeight="1" s="53">
      <c r="A6" s="55" t="inlineStr">
        <is>
          <t>sizing_rate</t>
        </is>
      </c>
      <c r="B6" s="52" t="inlineStr">
        <is>
          <t>Inputs!$B$16</t>
        </is>
      </c>
      <c r="C6" s="103" t="inlineStr">
        <is>
          <t>input (computed)</t>
        </is>
      </c>
      <c r="D6" s="90">
        <f>Inputs!$B$16</f>
        <v/>
      </c>
    </row>
    <row r="7" ht="15" customHeight="1" s="53">
      <c r="A7" s="55" t="inlineStr">
        <is>
          <t>uw_egi</t>
        </is>
      </c>
      <c r="B7" s="52" t="inlineStr">
        <is>
          <t>Underwriting!$B$8</t>
        </is>
      </c>
      <c r="C7" s="103" t="inlineStr">
        <is>
          <t>output</t>
        </is>
      </c>
      <c r="D7" s="88">
        <f>Underwriting!$B$8</f>
        <v/>
      </c>
    </row>
    <row r="8" ht="15" customHeight="1" s="53">
      <c r="A8" s="55" t="inlineStr">
        <is>
          <t>uw_noi</t>
        </is>
      </c>
      <c r="B8" s="52" t="inlineStr">
        <is>
          <t>Underwriting!$B$18</t>
        </is>
      </c>
      <c r="C8" s="103" t="inlineStr">
        <is>
          <t>output</t>
        </is>
      </c>
      <c r="D8" s="88">
        <f>Underwriting!$B$18</f>
        <v/>
      </c>
    </row>
    <row r="9" ht="15" customHeight="1" s="53">
      <c r="A9" s="55" t="inlineStr">
        <is>
          <t>uw_ncf</t>
        </is>
      </c>
      <c r="B9" s="52" t="inlineStr">
        <is>
          <t>Underwriting!$B$20</t>
        </is>
      </c>
      <c r="C9" s="103" t="inlineStr">
        <is>
          <t>output</t>
        </is>
      </c>
      <c r="D9" s="88">
        <f>Underwriting!$B$20</f>
        <v/>
      </c>
    </row>
    <row r="10" ht="15" customHeight="1" s="53">
      <c r="A10" s="55" t="inlineStr">
        <is>
          <t>capitalization_value</t>
        </is>
      </c>
      <c r="B10" s="52" t="inlineStr">
        <is>
          <t>Underwriting!$B$23</t>
        </is>
      </c>
      <c r="C10" s="103" t="inlineStr">
        <is>
          <t>output</t>
        </is>
      </c>
      <c r="D10" s="88">
        <f>Underwriting!$B$23</f>
        <v/>
      </c>
    </row>
    <row r="11" ht="15" customHeight="1" s="53">
      <c r="A11" s="55" t="inlineStr">
        <is>
          <t>maximum_loan</t>
        </is>
      </c>
      <c r="B11" s="52" t="inlineStr">
        <is>
          <t>Underwriting!$B$33</t>
        </is>
      </c>
      <c r="C11" s="103" t="inlineStr">
        <is>
          <t>output</t>
        </is>
      </c>
      <c r="D11" s="88">
        <f>Underwriting!$B$33</f>
        <v/>
      </c>
    </row>
    <row r="12" ht="15" customHeight="1" s="53">
      <c r="A12" s="55" t="inlineStr">
        <is>
          <t>net_cash_out</t>
        </is>
      </c>
      <c r="B12" s="52" t="inlineStr">
        <is>
          <t>Underwriting!$B$40</t>
        </is>
      </c>
      <c r="C12" s="103" t="inlineStr">
        <is>
          <t>output</t>
        </is>
      </c>
      <c r="D12" s="88">
        <f>Underwriting!$B$40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2" customWidth="1" style="52" min="1" max="1"/>
    <col width="42" customWidth="1" style="52" min="2" max="2"/>
    <col width="32" customWidth="1" style="52" min="3" max="3"/>
    <col width="60" customWidth="1" style="52" min="4" max="4"/>
  </cols>
  <sheetData>
    <row r="1" ht="15" customHeight="1" s="53">
      <c r="A1" s="75" t="inlineStr">
        <is>
          <t>SOURCE REGISTER (v2)</t>
        </is>
      </c>
    </row>
    <row r="3" ht="15" customHeight="1" s="53">
      <c r="A3" s="96" t="inlineStr">
        <is>
          <t>Source file</t>
        </is>
      </c>
      <c r="B3" s="96" t="inlineStr">
        <is>
          <t>Content</t>
        </is>
      </c>
      <c r="C3" s="96" t="inlineStr">
        <is>
          <t>Date / As-of</t>
        </is>
      </c>
      <c r="D3" s="96" t="inlineStr">
        <is>
          <t>How used in v2</t>
        </is>
      </c>
    </row>
    <row r="4" ht="36" customHeight="1" s="53">
      <c r="A4" s="55" t="inlineStr">
        <is>
          <t>revision-notice.pdf</t>
        </is>
      </c>
      <c r="B4" s="63" t="inlineStr">
        <is>
          <t>Revision instructions: new roll supersedes; Suite 010 active +$225; sizing +75 bps; cap +25 bps; payoff unchanged; preserve 001 amendment; preserve approved copy</t>
        </is>
      </c>
      <c r="C4" s="52" t="inlineStr">
        <is>
          <t>2026-09-01</t>
        </is>
      </c>
      <c r="D4" s="63" t="inlineStr">
        <is>
          <t>Drives all v2 changes. Applied verbatim.</t>
        </is>
      </c>
    </row>
    <row r="5" ht="36" customHeight="1" s="53">
      <c r="A5" s="55" t="inlineStr">
        <is>
          <t>rent-roll-revised.xlsx</t>
        </is>
      </c>
      <c r="B5" s="63" t="inlineStr">
        <is>
          <t>Revised certified rent roll — Suite 010 now active at $11,275; all others unchanged</t>
        </is>
      </c>
      <c r="C5" s="52" t="inlineStr">
        <is>
          <t>2026-09-01</t>
        </is>
      </c>
      <c r="D5" s="63" t="inlineStr">
        <is>
          <t>Primary rent roll for v2.</t>
        </is>
      </c>
    </row>
    <row r="6" ht="36" customHeight="1" s="53">
      <c r="A6" s="55" t="inlineStr">
        <is>
          <t>rent-roll-certified.xlsx</t>
        </is>
      </c>
      <c r="B6" s="63" t="inlineStr">
        <is>
          <t>Prior certified rent roll (v1 primary)</t>
        </is>
      </c>
      <c r="C6" s="52" t="inlineStr">
        <is>
          <t>2026-08-31</t>
        </is>
      </c>
      <c r="D6" s="63" t="inlineStr">
        <is>
          <t>Superseded by revised roll (per revision notice). Retained for audit.</t>
        </is>
      </c>
    </row>
    <row r="7" ht="36" customHeight="1" s="53">
      <c r="A7" s="55" t="inlineStr">
        <is>
          <t>rent-roll-archive.xlsx</t>
        </is>
      </c>
      <c r="B7" s="63" t="inlineStr">
        <is>
          <t>Prior roll — pre-Suite-001-amendment monthly ($10,975)</t>
        </is>
      </c>
      <c r="C7" s="52" t="inlineStr">
        <is>
          <t>2026-06-30</t>
        </is>
      </c>
      <c r="D7" s="63" t="inlineStr">
        <is>
          <t>Still used to source pre-amendment 001 monthly for GPR per UW instructions.</t>
        </is>
      </c>
    </row>
    <row r="8" ht="36" customHeight="1" s="53">
      <c r="A8" s="55" t="inlineStr">
        <is>
          <t>lease-001.pdf</t>
        </is>
      </c>
      <c r="B8" s="63" t="inlineStr">
        <is>
          <t>Executed lease excerpt — Suite 001, $11,050 monthly, exp 2027-02-28</t>
        </is>
      </c>
      <c r="C8" s="52" t="inlineStr">
        <is>
          <t>n/a</t>
        </is>
      </c>
      <c r="D8" s="63" t="inlineStr">
        <is>
          <t>Suite 001 in-place rent; no free rent.</t>
        </is>
      </c>
    </row>
    <row r="9" ht="36" customHeight="1" s="53">
      <c r="A9" s="55" t="inlineStr">
        <is>
          <t>lease-correspondence.pdf</t>
        </is>
      </c>
      <c r="B9" s="63" t="inlineStr">
        <is>
          <t>PM confirmation — no amendments/new concessions affect Suite 001</t>
        </is>
      </c>
      <c r="C9" s="52" t="inlineStr">
        <is>
          <t>2026-08-31</t>
        </is>
      </c>
      <c r="D9" s="63" t="inlineStr">
        <is>
          <t>Preserved; still applies.</t>
        </is>
      </c>
    </row>
    <row r="10" ht="36" customHeight="1" s="53">
      <c r="A10" s="55" t="inlineStr">
        <is>
          <t>operating-statement.pdf</t>
        </is>
      </c>
      <c r="B10" s="63" t="inlineStr">
        <is>
          <t>T-12 cash operating statement</t>
        </is>
      </c>
      <c r="C10" s="52" t="inlineStr">
        <is>
          <t>2025-09-01 → 2026-08-31</t>
        </is>
      </c>
      <c r="D10" s="63" t="inlineStr">
        <is>
          <t>Historical NOI and capital classification unchanged.</t>
        </is>
      </c>
    </row>
    <row r="11" ht="36" customHeight="1" s="53">
      <c r="A11" s="55" t="inlineStr">
        <is>
          <t>insurance.pdf</t>
        </is>
      </c>
      <c r="B11" s="63" t="inlineStr">
        <is>
          <t>GL aggregate limit $2,000,000</t>
        </is>
      </c>
      <c r="C11" s="52" t="inlineStr">
        <is>
          <t>Effective 2026-07-01 → 2027-06-30</t>
        </is>
      </c>
      <c r="D11" s="63" t="inlineStr">
        <is>
          <t>Preserved. Distinct from insurance expense.</t>
        </is>
      </c>
    </row>
    <row r="12" ht="36" customHeight="1" s="53">
      <c r="A12" s="55" t="inlineStr">
        <is>
          <t>underwriting-instructions.pdf</t>
        </is>
      </c>
      <c r="B12" s="63" t="inlineStr">
        <is>
          <t>All base UW rules</t>
        </is>
      </c>
      <c r="C12" s="52" t="inlineStr">
        <is>
          <t>n/a</t>
        </is>
      </c>
      <c r="D12" s="63" t="inlineStr">
        <is>
          <t>All rules other than sizing rate / cap rate remain in force per revision notice.</t>
        </is>
      </c>
    </row>
    <row r="13" ht="36" customHeight="1" s="53">
      <c r="A13" s="55" t="inlineStr">
        <is>
          <t>diligence-status.pdf</t>
        </is>
      </c>
      <c r="B13" s="63" t="inlineStr">
        <is>
          <t>Routine pending diligence</t>
        </is>
      </c>
      <c r="C13" s="52" t="inlineStr">
        <is>
          <t>n/a</t>
        </is>
      </c>
      <c r="D13" s="63" t="inlineStr">
        <is>
          <t>Preserved.</t>
        </is>
      </c>
    </row>
    <row r="14" ht="36" customHeight="1" s="53">
      <c r="A14" s="55" t="inlineStr">
        <is>
          <t>manager-cover.pdf</t>
        </is>
      </c>
      <c r="B14" s="63" t="inlineStr">
        <is>
          <t>Group mapping; approved copy; physical-occupancy convention</t>
        </is>
      </c>
      <c r="C14" s="52" t="inlineStr">
        <is>
          <t>n/a</t>
        </is>
      </c>
      <c r="D14" s="63" t="inlineStr">
        <is>
          <t>Approved sentence preserved verbatim in v2.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2026-09-07T13:15:21Z</dcterms:created>
  <dcterms:modified xmlns:dcterms="http://purl.org/dc/terms/" xmlns:xsi="http://www.w3.org/2001/XMLSchema-instance" xsi:type="dcterms:W3CDTF">2026-09-07T13:28:30Z</dcterms:modified>
  <cp:revision>0</cp:revision>
</cp:coreProperties>
</file>