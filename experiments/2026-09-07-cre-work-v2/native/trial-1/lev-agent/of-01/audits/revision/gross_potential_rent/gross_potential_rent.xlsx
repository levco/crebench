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ion Notes" sheetId="1" state="visible" r:id="rId3"/>
    <sheet name="Inputs" sheetId="2" state="visible" r:id="rId4"/>
    <sheet name="Rent Roll" sheetId="3" state="visible" r:id="rId5"/>
    <sheet name="Underwriting" sheetId="4" state="visible" r:id="rId6"/>
    <sheet name="Historical vs UW" sheetId="5" state="visible" r:id="rId7"/>
    <sheet name="Occupancy &amp; Mix" sheetId="6" state="visible" r:id="rId8"/>
    <sheet name="Sensitivity" sheetId="7" state="visible" r:id="rId9"/>
    <sheet name="I-O Map" sheetId="8" state="visible" r:id="rId10"/>
    <sheet name="Source Regist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<sst xmlns="http://schemas.openxmlformats.org/spreadsheetml/2006/main" count="331" uniqueCount="262">
  <si>
    <t xml:space="preserve">BEACON PLAZA — REVISION v2 (as of 2026-09-01)</t>
  </si>
  <si>
    <t xml:space="preserve">Approved copy (preserved verbatim):</t>
  </si>
  <si>
    <t xml:space="preserve">"Source-backed analysis. Assumptions remain subject to diligence."</t>
  </si>
  <si>
    <t xml:space="preserve">Change</t>
  </si>
  <si>
    <t xml:space="preserve">Prior (v1)</t>
  </si>
  <si>
    <t xml:space="preserve">Revised (v2)</t>
  </si>
  <si>
    <t xml:space="preserve">Source</t>
  </si>
  <si>
    <t xml:space="preserve">Certified rent roll as-of</t>
  </si>
  <si>
    <t xml:space="preserve">2026-08-31</t>
  </si>
  <si>
    <t xml:space="preserve">2026-09-01</t>
  </si>
  <si>
    <t xml:space="preserve">revision-notice.pdf; rent-roll-revised.xlsx</t>
  </si>
  <si>
    <t xml:space="preserve">Suite 010 possession</t>
  </si>
  <si>
    <t xml:space="preserve">pending</t>
  </si>
  <si>
    <t xml:space="preserve">active</t>
  </si>
  <si>
    <t xml:space="preserve">rent-roll-revised.xlsx (Suite 010 row)</t>
  </si>
  <si>
    <t xml:space="preserve">Suite 010 monthly rent</t>
  </si>
  <si>
    <t xml:space="preserve">$11,050</t>
  </si>
  <si>
    <t xml:space="preserve">$11,275 (+$225)</t>
  </si>
  <si>
    <t xml:space="preserve">Cap rate</t>
  </si>
  <si>
    <t xml:space="preserve">7.50%</t>
  </si>
  <si>
    <t xml:space="preserve">7.75% (+25 bps)</t>
  </si>
  <si>
    <t xml:space="preserve">revision-notice.pdf</t>
  </si>
  <si>
    <t xml:space="preserve">Initial sizing rate</t>
  </si>
  <si>
    <t xml:space="preserve">6.75%</t>
  </si>
  <si>
    <t xml:space="preserve">7.50% (+75 bps)</t>
  </si>
  <si>
    <t xml:space="preserve">revision-notice.pdf (Note rate +75 bps; floor unchanged 6.00%)</t>
  </si>
  <si>
    <t xml:space="preserve">Suite 001 amendment</t>
  </si>
  <si>
    <t xml:space="preserve">applies</t>
  </si>
  <si>
    <t xml:space="preserve">applies (preserved)</t>
  </si>
  <si>
    <t xml:space="preserve">revision-notice.pdf: 'Prior executed Suite 001 amendments continue to apply.'</t>
  </si>
  <si>
    <t xml:space="preserve">Existing payoff</t>
  </si>
  <si>
    <t xml:space="preserve">$6,500,000</t>
  </si>
  <si>
    <t xml:space="preserve">$6,500,000 (unchanged)</t>
  </si>
  <si>
    <t xml:space="preserve">Other UW rules</t>
  </si>
  <si>
    <t xml:space="preserve">as v1</t>
  </si>
  <si>
    <t xml:space="preserve">unchanged</t>
  </si>
  <si>
    <t xml:space="preserve">underwriting-instructions.pdf</t>
  </si>
  <si>
    <t xml:space="preserve">Audit note</t>
  </si>
  <si>
    <t xml:space="preserve">This workbook is v2. The prior v1 workbook (Beacon_Plaza_Underwriting.xlsx) is preserved separately in the audit archive and is not overwritten.</t>
  </si>
  <si>
    <t xml:space="preserve">BEACON PLAZA — UNDERWRITING INPUTS (v2)</t>
  </si>
  <si>
    <t xml:space="preserve">Evaluation date</t>
  </si>
  <si>
    <t xml:space="preserve">Revised roll supersedes prior (revision-notice.pdf)</t>
  </si>
  <si>
    <t xml:space="preserve">Legend</t>
  </si>
  <si>
    <t xml:space="preserve">Blue = input</t>
  </si>
  <si>
    <t xml:space="preserve">Yellow = key</t>
  </si>
  <si>
    <t xml:space="preserve">Peach fill = changed vs v1</t>
  </si>
  <si>
    <t xml:space="preserve">LOAN CONSTRAINTS &amp; RATES</t>
  </si>
  <si>
    <t xml:space="preserve">ltv_limit</t>
  </si>
  <si>
    <t xml:space="preserve">Maximum LTV — instructions (unchanged)</t>
  </si>
  <si>
    <t xml:space="preserve">dscr_limit</t>
  </si>
  <si>
    <t xml:space="preserve">Minimum DSCR — instructions (unchanged)</t>
  </si>
  <si>
    <t xml:space="preserve">debt_yield_limit</t>
  </si>
  <si>
    <t xml:space="preserve">Minimum NCF debt yield — instructions (unchanged)</t>
  </si>
  <si>
    <t xml:space="preserve">note_rate</t>
  </si>
  <si>
    <t xml:space="preserve">Note rate +75 bps per revision (was 6.75%)</t>
  </si>
  <si>
    <t xml:space="preserve">rate_floor</t>
  </si>
  <si>
    <t xml:space="preserve">UW rate floor — instructions (unchanged)</t>
  </si>
  <si>
    <t xml:space="preserve">amort_years</t>
  </si>
  <si>
    <t xml:space="preserve">Amortization years — instructions (unchanged)</t>
  </si>
  <si>
    <t xml:space="preserve">origination_fee_pct</t>
  </si>
  <si>
    <t xml:space="preserve">1% of sized loan — instructions (unchanged)</t>
  </si>
  <si>
    <t xml:space="preserve">closing_costs</t>
  </si>
  <si>
    <t xml:space="preserve">Closing costs — instructions (unchanged)</t>
  </si>
  <si>
    <t xml:space="preserve">existing_payoff</t>
  </si>
  <si>
    <t xml:space="preserve">Existing payoff — unchanged per revision</t>
  </si>
  <si>
    <t xml:space="preserve">SIZING RATE (computed — surfaced as required output)</t>
  </si>
  <si>
    <t xml:space="preserve">sizing_rate</t>
  </si>
  <si>
    <t xml:space="preserve">MAX(note_rate, rate_floor). Now 7.50% (note); floor 6.00% not binding.</t>
  </si>
  <si>
    <t xml:space="preserve">UNDERWRITING ASSUMPTIONS</t>
  </si>
  <si>
    <t xml:space="preserve">economic_loss_pct</t>
  </si>
  <si>
    <t xml:space="preserve">Economic loss — instructions (unchanged)</t>
  </si>
  <si>
    <t xml:space="preserve">other_income_per_unit</t>
  </si>
  <si>
    <t xml:space="preserve">$350 / unit / year — instructions (unchanged)</t>
  </si>
  <si>
    <t xml:space="preserve">management_fee_pct</t>
  </si>
  <si>
    <t xml:space="preserve">3% of EGI — instructions (unchanged)</t>
  </si>
  <si>
    <t xml:space="preserve">replacement_reserve_per_unit</t>
  </si>
  <si>
    <t xml:space="preserve">$300 / unit / year — instructions (unchanged)</t>
  </si>
  <si>
    <t xml:space="preserve">cap_rate</t>
  </si>
  <si>
    <t xml:space="preserve">+25 bps per revision (was 7.50%)</t>
  </si>
  <si>
    <t xml:space="preserve">uw_tax</t>
  </si>
  <si>
    <t xml:space="preserve">Real estate tax — unchanged</t>
  </si>
  <si>
    <t xml:space="preserve">uw_insurance</t>
  </si>
  <si>
    <t xml:space="preserve">Insurance expense — unchanged</t>
  </si>
  <si>
    <t xml:space="preserve">uw_other_recurring_opex</t>
  </si>
  <si>
    <t xml:space="preserve">Other recurring opex — unchanged</t>
  </si>
  <si>
    <t xml:space="preserve">total_units</t>
  </si>
  <si>
    <t xml:space="preserve">Certified rent roll — unchanged</t>
  </si>
  <si>
    <t xml:space="preserve">BEACON PLAZA — REVISED CERTIFIED RENT ROLL (AS OF 2026-09-01)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</si>
  <si>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</si>
  <si>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</si>
  <si>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</si>
  <si>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</si>
  <si>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</si>
  <si>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 (revised)</t>
  </si>
  <si>
    <t xml:space="preserve">Lease expiration</t>
  </si>
  <si>
    <t xml:space="preserve">Monthly rent for GPR (pre-001 amend.)</t>
  </si>
  <si>
    <t xml:space="preserve">Annual in-place rent</t>
  </si>
  <si>
    <t xml:space="preserve">Near-term rollover?</t>
  </si>
  <si>
    <t xml:space="preserve">001</t>
  </si>
  <si>
    <t xml:space="preserve">Small suite</t>
  </si>
  <si>
    <t xml:space="preserve">A</t>
  </si>
  <si>
    <t xml:space="preserve">2027-02-28</t>
  </si>
  <si>
    <t xml:space="preserve">002</t>
  </si>
  <si>
    <t xml:space="preserve">Standard suite</t>
  </si>
  <si>
    <t xml:space="preserve">B</t>
  </si>
  <si>
    <t xml:space="preserve">2029-08-31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</si>
  <si>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</si>
  <si>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</si>
  <si>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</si>
  <si>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</si>
  <si>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</si>
  <si>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</si>
  <si>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</si>
  <si>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</si>
  <si>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</si>
  <si>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</si>
  <si>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</si>
  <si>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vacant</t>
  </si>
  <si>
    <t xml:space="preserve">012</t>
  </si>
  <si>
    <t xml:space="preserve">TOTAL</t>
  </si>
  <si>
    <t xml:space="preserve">Notes:</t>
  </si>
  <si>
    <t xml:space="preserve">Group mapping (manager cover): A = Small suite, B = Standard suite, C = Large suite.</t>
  </si>
  <si>
    <t xml:space="preserve">"Active" only counts as in physical possession; certified detail controls physical occupancy (manager cover).</t>
  </si>
  <si>
    <t xml:space="preserve">Suite 001 GPR uses pre-amendment monthly ($10,975 from archive roll) per underwriting instructions; Suite 010 GPR uses the new roll monthly ($11,275).</t>
  </si>
  <si>
    <t xml:space="preserve">Near-term rollover horizon = active leases expiring on or before 2027-09-01 (12 months from evaluation date 2026-09-01).</t>
  </si>
  <si>
    <t xml:space="preserve">BEACON PLAZA — RECONCILED UNDERWRITING (v2)</t>
  </si>
  <si>
    <t xml:space="preserve">INCOME</t>
  </si>
  <si>
    <t xml:space="preserve">gross_potential_rent</t>
  </si>
  <si>
    <t xml:space="preserve">All-suite scheduled monthly (new roll; 001 pre-amend) × 12</t>
  </si>
  <si>
    <t xml:space="preserve">Economic loss (vacancy/credit)</t>
  </si>
  <si>
    <t xml:space="preserve">Effective rental income</t>
  </si>
  <si>
    <t xml:space="preserve">Other income ($350 × total units)</t>
  </si>
  <si>
    <t xml:space="preserve">uw_egi</t>
  </si>
  <si>
    <t xml:space="preserve">OPERATING EXPENSES</t>
  </si>
  <si>
    <t xml:space="preserve">Other recurring opex</t>
  </si>
  <si>
    <t xml:space="preserve">Management fee (3% of EGI)</t>
  </si>
  <si>
    <t xml:space="preserve">uw_operating_expenses</t>
  </si>
  <si>
    <t xml:space="preserve">NOI / NCF</t>
  </si>
  <si>
    <t xml:space="preserve">uw_noi (before reserves)</t>
  </si>
  <si>
    <t xml:space="preserve">Replacement reserves ($300 × units)</t>
  </si>
  <si>
    <t xml:space="preserve">uw_ncf (after reserves)</t>
  </si>
  <si>
    <t xml:space="preserve">VALUATION</t>
  </si>
  <si>
    <t xml:space="preserve">capitalization_value (NOI ÷ cap_rate)</t>
  </si>
  <si>
    <t xml:space="preserve">DEBT SIZING</t>
  </si>
  <si>
    <t xml:space="preserve">Sizing rate (MAX of note vs floor)</t>
  </si>
  <si>
    <t xml:space="preserve">Monthly rate</t>
  </si>
  <si>
    <t xml:space="preserve">Amort periods (months)</t>
  </si>
  <si>
    <t xml:space="preserve">Annual debt service constant per $1</t>
  </si>
  <si>
    <t xml:space="preserve">LTV-constrained loan</t>
  </si>
  <si>
    <t xml:space="preserve">DSCR-constrained loan (NCF basis)</t>
  </si>
  <si>
    <t xml:space="preserve">Debt yield-constrained loan (NCF basis)</t>
  </si>
  <si>
    <t xml:space="preserve">maximum_loan (binding constraint)</t>
  </si>
  <si>
    <t xml:space="preserve">Binding constraint</t>
  </si>
  <si>
    <t xml:space="preserve">SOURCES &amp; USES</t>
  </si>
  <si>
    <t xml:space="preserve">Origination fee (1% of sized loan)</t>
  </si>
  <si>
    <t xml:space="preserve">Closing costs</t>
  </si>
  <si>
    <t xml:space="preserve">Existing loan payoff</t>
  </si>
  <si>
    <t xml:space="preserve">net_cash_out (negative = equity required)</t>
  </si>
  <si>
    <t xml:space="preserve">CREDIT METRICS AT SIZED LOAN</t>
  </si>
  <si>
    <t xml:space="preserve">LTV at sized loan</t>
  </si>
  <si>
    <t xml:space="preserve">DSCR at sized loan (NCF)</t>
  </si>
  <si>
    <t xml:space="preserve">Debt yield at sized loan (NCF)</t>
  </si>
  <si>
    <t xml:space="preserve">HISTORICAL T-12 (2025-09-01 → 2026-08-31) vs UNDERWRITTEN (v2)</t>
  </si>
  <si>
    <t xml:space="preserve">Line item</t>
  </si>
  <si>
    <t xml:space="preserve">Historical T-12</t>
  </si>
  <si>
    <t xml:space="preserve">Underwritten</t>
  </si>
  <si>
    <t xml:space="preserve">Δ</t>
  </si>
  <si>
    <t xml:space="preserve">Notes</t>
  </si>
  <si>
    <t xml:space="preserve">Rental / ancillary (hist) vs UW EGI</t>
  </si>
  <si>
    <t xml:space="preserve">Cash collections vs prescribed UW EGI</t>
  </si>
  <si>
    <t xml:space="preserve">Real estate tax</t>
  </si>
  <si>
    <t xml:space="preserve">Unchanged</t>
  </si>
  <si>
    <t xml:space="preserve">Insurance expense</t>
  </si>
  <si>
    <t xml:space="preserve">Roof replacement (capital, not opex)</t>
  </si>
  <si>
    <t xml:space="preserve">Operating statement — capital classification preserved</t>
  </si>
  <si>
    <t xml:space="preserve">Management fee (UW only)</t>
  </si>
  <si>
    <t xml:space="preserve">UW adds 3% of EGI</t>
  </si>
  <si>
    <t xml:space="preserve">Replacement reserves (UW only)</t>
  </si>
  <si>
    <t xml:space="preserve">UW adds $300/unit</t>
  </si>
  <si>
    <t xml:space="preserve">Reported historical NOI (as stated)</t>
  </si>
  <si>
    <t xml:space="preserve">Operating statement, 'Reported NOI'. Cash basis; no mgmt/reserves.</t>
  </si>
  <si>
    <t xml:space="preserve">OCCUPANCY &amp; UNIT MIX (as of 2026-09-01, revised roll)</t>
  </si>
  <si>
    <t xml:space="preserve">Metric</t>
  </si>
  <si>
    <t xml:space="preserve">Type A (Small)</t>
  </si>
  <si>
    <t xml:space="preserve">Type B (Standard)</t>
  </si>
  <si>
    <t xml:space="preserve">Type C (Large)</t>
  </si>
  <si>
    <t xml:space="preserve">Total</t>
  </si>
  <si>
    <t xml:space="preserve">Units in group</t>
  </si>
  <si>
    <t xml:space="preserve">Occupied (active) in group</t>
  </si>
  <si>
    <t xml:space="preserve">Suite 010 now active (was pending in v1).</t>
  </si>
  <si>
    <t xml:space="preserve">Pending in group</t>
  </si>
  <si>
    <t xml:space="preserve">Vacant in group</t>
  </si>
  <si>
    <t xml:space="preserve">Total area SF (group)</t>
  </si>
  <si>
    <t xml:space="preserve">Occupied area SF (active)</t>
  </si>
  <si>
    <t xml:space="preserve">Unit occupancy</t>
  </si>
  <si>
    <t xml:space="preserve">Area occupancy</t>
  </si>
  <si>
    <t xml:space="preserve">Annual in-place rent (active suites)</t>
  </si>
  <si>
    <t xml:space="preserve">SENSITIVITY: Maximum loan by cap rate &amp; sizing rate (v2)</t>
  </si>
  <si>
    <t xml:space="preserve">Cap rate ↓ / Sizing rate →</t>
  </si>
  <si>
    <t xml:space="preserve">Highlighted cell = base case (cap 7.75%, sizing 7.50%).</t>
  </si>
  <si>
    <t xml:space="preserve">INPUT / OUTPUT MAP — v2 (Sheet!A1 locations)</t>
  </si>
  <si>
    <t xml:space="preserve">Name</t>
  </si>
  <si>
    <t xml:space="preserve">Location (Sheet!A1)</t>
  </si>
  <si>
    <t xml:space="preserve">Role</t>
  </si>
  <si>
    <t xml:space="preserve">Live value</t>
  </si>
  <si>
    <t xml:space="preserve">Underwriting!$B$4</t>
  </si>
  <si>
    <t xml:space="preserve">input</t>
  </si>
  <si>
    <t xml:space="preserve">Inputs!$B$23</t>
  </si>
  <si>
    <t xml:space="preserve">Inputs!$B$16</t>
  </si>
  <si>
    <t xml:space="preserve">input (computed)</t>
  </si>
  <si>
    <t xml:space="preserve">Underwriting!$B$8</t>
  </si>
  <si>
    <t xml:space="preserve">output</t>
  </si>
  <si>
    <t xml:space="preserve">uw_noi</t>
  </si>
  <si>
    <t xml:space="preserve">Underwriting!$B$18</t>
  </si>
  <si>
    <t xml:space="preserve">uw_ncf</t>
  </si>
  <si>
    <t xml:space="preserve">Underwriting!$B$20</t>
  </si>
  <si>
    <t xml:space="preserve">capitalization_value</t>
  </si>
  <si>
    <t xml:space="preserve">Underwriting!$B$23</t>
  </si>
  <si>
    <t xml:space="preserve">maximum_loan</t>
  </si>
  <si>
    <t xml:space="preserve">Underwriting!$B$33</t>
  </si>
  <si>
    <t xml:space="preserve">net_cash_out</t>
  </si>
  <si>
    <t xml:space="preserve">Underwriting!$B$40</t>
  </si>
  <si>
    <t xml:space="preserve">SOURCE REGISTER (v2)</t>
  </si>
  <si>
    <t xml:space="preserve">Source file</t>
  </si>
  <si>
    <t xml:space="preserve">Content</t>
  </si>
  <si>
    <t xml:space="preserve">Date / As-of</t>
  </si>
  <si>
    <t xml:space="preserve">How used in v2</t>
  </si>
  <si>
    <t xml:space="preserve">Revision instructions: new roll supersedes; Suite 010 active +$225; sizing +75 bps; cap +25 bps; payoff unchanged; preserve 001 amendment; preserve approved copy</t>
  </si>
  <si>
    <t xml:space="preserve">Drives all v2 changes. Applied verbatim.</t>
  </si>
  <si>
    <t xml:space="preserve">rent-roll-revised.xlsx</t>
  </si>
  <si>
    <t xml:space="preserve">Revised certified rent roll — Suite 010 now active at $11,275; all others unchanged</t>
  </si>
  <si>
    <t xml:space="preserve">Primary rent roll for v2.</t>
  </si>
  <si>
    <t xml:space="preserve">rent-roll-certified.xlsx</t>
  </si>
  <si>
    <t xml:space="preserve">Prior certified rent roll (v1 primary)</t>
  </si>
  <si>
    <t xml:space="preserve">Superseded by revised roll (per revision notice). Retained for audit.</t>
  </si>
  <si>
    <t xml:space="preserve">rent-roll-archive.xlsx</t>
  </si>
  <si>
    <t xml:space="preserve">Prior roll — pre-Suite-001-amendment monthly ($10,975)</t>
  </si>
  <si>
    <t xml:space="preserve">2026-06-30</t>
  </si>
  <si>
    <t xml:space="preserve">Still used to source pre-amendment 001 monthly for GPR per UW instructions.</t>
  </si>
  <si>
    <t xml:space="preserve">lease-001.pdf</t>
  </si>
  <si>
    <t xml:space="preserve">Executed lease excerpt — Suite 001, $11,050 monthly, exp 2027-02-28</t>
  </si>
  <si>
    <t xml:space="preserve">n/a</t>
  </si>
  <si>
    <t xml:space="preserve">Suite 001 in-place rent; no free rent.</t>
  </si>
  <si>
    <t xml:space="preserve">lease-correspondence.pdf</t>
  </si>
  <si>
    <t xml:space="preserve">PM confirmation — no amendments/new concessions affect Suite 001</t>
  </si>
  <si>
    <t xml:space="preserve">Preserved; still applies.</t>
  </si>
  <si>
    <t xml:space="preserve">operating-statement.pdf</t>
  </si>
  <si>
    <t xml:space="preserve">T-12 cash operating statement</t>
  </si>
  <si>
    <t xml:space="preserve">2025-09-01 → 2026-08-31</t>
  </si>
  <si>
    <t xml:space="preserve">Historical NOI and capital classification unchanged.</t>
  </si>
  <si>
    <t xml:space="preserve">insurance.pdf</t>
  </si>
  <si>
    <t xml:space="preserve">GL aggregate limit $2,000,000</t>
  </si>
  <si>
    <t xml:space="preserve">Effective 2026-07-01 → 2027-06-30</t>
  </si>
  <si>
    <t xml:space="preserve">Preserved. Distinct from insurance expense.</t>
  </si>
  <si>
    <t xml:space="preserve">All base UW rules</t>
  </si>
  <si>
    <t xml:space="preserve">All rules other than sizing rate / cap rate remain in force per revision notice.</t>
  </si>
  <si>
    <t xml:space="preserve">diligence-status.pdf</t>
  </si>
  <si>
    <t xml:space="preserve">Routine pending diligence</t>
  </si>
  <si>
    <t xml:space="preserve">Preserved.</t>
  </si>
  <si>
    <t xml:space="preserve">manager-cover.pdf</t>
  </si>
  <si>
    <t xml:space="preserve">Group mapping; approved copy; physical-occupancy convention</t>
  </si>
  <si>
    <t xml:space="preserve">Approved sentence preserved verbatim in v2.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</si>
</sst>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\x"/>
    <numFmt numFmtId="167" formatCode="#,##0"/>
    <numFmt numFmtId="168" formatCode="\$#,##0;&quot;($&quot;#,##0\);\-"/>
    <numFmt numFmtId="169" formatCode="0.0000000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1F4E78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4"/>
    <col collapsed="false" customWidth="true" hidden="false" outlineLevel="0" max="4" min="4" style="1" width="6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4" t="s">
        <v>2</v>
      </c>
      <c r="C2" s="4"/>
      <c r="D2" s="4"/>
    </row>
    <row r="4" customFormat="false" ht="1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</row>
    <row r="5" customFormat="false" ht="30" hidden="false" customHeight="true" outlineLevel="0" collapsed="false">
      <c r="A5" s="6" t="s">
        <v>7</v>
      </c>
      <c r="B5" s="7" t="s">
        <v>8</v>
      </c>
      <c r="C5" s="8" t="s">
        <v>9</v>
      </c>
      <c r="D5" s="9" t="s">
        <v>10</v>
      </c>
    </row>
    <row r="6" customFormat="false" ht="30" hidden="false" customHeight="true" outlineLevel="0" collapsed="false">
      <c r="A6" s="6" t="s">
        <v>11</v>
      </c>
      <c r="B6" s="7" t="s">
        <v>12</v>
      </c>
      <c r="C6" s="8" t="s">
        <v>13</v>
      </c>
      <c r="D6" s="9" t="s">
        <v>14</v>
      </c>
    </row>
    <row r="7" customFormat="false" ht="30" hidden="false" customHeight="true" outlineLevel="0" collapsed="false">
      <c r="A7" s="6" t="s">
        <v>15</v>
      </c>
      <c r="B7" s="7" t="s">
        <v>16</v>
      </c>
      <c r="C7" s="8" t="s">
        <v>17</v>
      </c>
      <c r="D7" s="9" t="s">
        <v>10</v>
      </c>
    </row>
    <row r="8" customFormat="false" ht="30" hidden="false" customHeight="true" outlineLevel="0" collapsed="false">
      <c r="A8" s="6" t="s">
        <v>18</v>
      </c>
      <c r="B8" s="7" t="s">
        <v>19</v>
      </c>
      <c r="C8" s="8" t="s">
        <v>20</v>
      </c>
      <c r="D8" s="9" t="s">
        <v>21</v>
      </c>
    </row>
    <row r="9" customFormat="false" ht="30" hidden="false" customHeight="true" outlineLevel="0" collapsed="false">
      <c r="A9" s="6" t="s">
        <v>22</v>
      </c>
      <c r="B9" s="7" t="s">
        <v>23</v>
      </c>
      <c r="C9" s="8" t="s">
        <v>24</v>
      </c>
      <c r="D9" s="9" t="s">
        <v>25</v>
      </c>
    </row>
    <row r="10" customFormat="false" ht="30" hidden="false" customHeight="true" outlineLevel="0" collapsed="false">
      <c r="A10" s="6" t="s">
        <v>26</v>
      </c>
      <c r="B10" s="7" t="s">
        <v>27</v>
      </c>
      <c r="C10" s="10" t="s">
        <v>28</v>
      </c>
      <c r="D10" s="9" t="s">
        <v>29</v>
      </c>
    </row>
    <row r="11" customFormat="false" ht="30" hidden="false" customHeight="true" outlineLevel="0" collapsed="false">
      <c r="A11" s="6" t="s">
        <v>30</v>
      </c>
      <c r="B11" s="7" t="s">
        <v>31</v>
      </c>
      <c r="C11" s="10" t="s">
        <v>32</v>
      </c>
      <c r="D11" s="9" t="s">
        <v>21</v>
      </c>
    </row>
    <row r="12" customFormat="false" ht="30" hidden="false" customHeight="true" outlineLevel="0" collapsed="false">
      <c r="A12" s="6" t="s">
        <v>33</v>
      </c>
      <c r="B12" s="7" t="s">
        <v>34</v>
      </c>
      <c r="C12" s="10" t="s">
        <v>35</v>
      </c>
      <c r="D12" s="9" t="s">
        <v>36</v>
      </c>
    </row>
    <row r="14" customFormat="false" ht="43.5" hidden="false" customHeight="true" outlineLevel="0" collapsed="false">
      <c r="A14" s="3" t="s">
        <v>37</v>
      </c>
      <c r="B14" s="11" t="s">
        <v>38</v>
      </c>
      <c r="C14" s="11"/>
      <c r="D14" s="11"/>
    </row>
  </sheetData>
  <mergeCells count="3">
    <mergeCell ref="A1:D1"/>
    <mergeCell ref="B2:D2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39</v>
      </c>
      <c r="B1" s="2"/>
      <c r="C1" s="2"/>
      <c r="D1" s="2"/>
    </row>
    <row r="2" customFormat="false" ht="15" hidden="false" customHeight="true" outlineLevel="0" collapsed="false">
      <c r="A2" s="1" t="s">
        <v>40</v>
      </c>
      <c r="B2" s="12" t="s">
        <v>9</v>
      </c>
      <c r="D2" s="1" t="s">
        <v>41</v>
      </c>
    </row>
    <row r="3" customFormat="false" ht="15" hidden="false" customHeight="true" outlineLevel="0" collapsed="false">
      <c r="A3" s="3" t="s">
        <v>42</v>
      </c>
      <c r="B3" s="13" t="s">
        <v>43</v>
      </c>
      <c r="C3" s="14" t="s">
        <v>44</v>
      </c>
      <c r="D3" s="15" t="s">
        <v>45</v>
      </c>
    </row>
    <row r="5" customFormat="false" ht="15" hidden="false" customHeight="true" outlineLevel="0" collapsed="false">
      <c r="A5" s="16" t="s">
        <v>46</v>
      </c>
      <c r="B5" s="16"/>
      <c r="C5" s="16"/>
      <c r="D5" s="16"/>
    </row>
    <row r="6" customFormat="false" ht="15" hidden="false" customHeight="true" outlineLevel="0" collapsed="false">
      <c r="A6" s="3" t="s">
        <v>47</v>
      </c>
      <c r="B6" s="17" t="n">
        <v>0.6</v>
      </c>
      <c r="D6" s="1" t="s">
        <v>48</v>
      </c>
    </row>
    <row r="7" customFormat="false" ht="15" hidden="false" customHeight="true" outlineLevel="0" collapsed="false">
      <c r="A7" s="3" t="s">
        <v>49</v>
      </c>
      <c r="B7" s="18" t="n">
        <v>1.25</v>
      </c>
      <c r="D7" s="1" t="s">
        <v>50</v>
      </c>
    </row>
    <row r="8" customFormat="false" ht="15" hidden="false" customHeight="true" outlineLevel="0" collapsed="false">
      <c r="A8" s="3" t="s">
        <v>51</v>
      </c>
      <c r="B8" s="17" t="n">
        <v>0.09</v>
      </c>
      <c r="D8" s="1" t="s">
        <v>52</v>
      </c>
    </row>
    <row r="9" customFormat="false" ht="15" hidden="false" customHeight="true" outlineLevel="0" collapsed="false">
      <c r="A9" s="3" t="s">
        <v>53</v>
      </c>
      <c r="B9" s="19" t="n">
        <v>0.075</v>
      </c>
      <c r="D9" s="1" t="s">
        <v>54</v>
      </c>
    </row>
    <row r="10" customFormat="false" ht="15" hidden="false" customHeight="true" outlineLevel="0" collapsed="false">
      <c r="A10" s="3" t="s">
        <v>55</v>
      </c>
      <c r="B10" s="17" t="n">
        <v>0.06</v>
      </c>
      <c r="D10" s="1" t="s">
        <v>56</v>
      </c>
    </row>
    <row r="11" customFormat="false" ht="15" hidden="false" customHeight="true" outlineLevel="0" collapsed="false">
      <c r="A11" s="3" t="s">
        <v>57</v>
      </c>
      <c r="B11" s="20" t="n">
        <v>30</v>
      </c>
      <c r="D11" s="1" t="s">
        <v>58</v>
      </c>
    </row>
    <row r="12" customFormat="false" ht="15" hidden="false" customHeight="true" outlineLevel="0" collapsed="false">
      <c r="A12" s="3" t="s">
        <v>59</v>
      </c>
      <c r="B12" s="17" t="n">
        <v>0.01</v>
      </c>
      <c r="D12" s="1" t="s">
        <v>60</v>
      </c>
    </row>
    <row r="13" customFormat="false" ht="15" hidden="false" customHeight="true" outlineLevel="0" collapsed="false">
      <c r="A13" s="3" t="s">
        <v>61</v>
      </c>
      <c r="B13" s="21" t="n">
        <v>45000</v>
      </c>
      <c r="D13" s="1" t="s">
        <v>62</v>
      </c>
    </row>
    <row r="14" customFormat="false" ht="15" hidden="false" customHeight="true" outlineLevel="0" collapsed="false">
      <c r="A14" s="3" t="s">
        <v>63</v>
      </c>
      <c r="B14" s="21" t="n">
        <v>6500000</v>
      </c>
      <c r="D14" s="1" t="s">
        <v>64</v>
      </c>
    </row>
    <row r="15" customFormat="false" ht="15" hidden="false" customHeight="true" outlineLevel="0" collapsed="false">
      <c r="A15" s="16" t="s">
        <v>65</v>
      </c>
      <c r="B15" s="16"/>
      <c r="C15" s="16"/>
      <c r="D15" s="16"/>
    </row>
    <row r="16" customFormat="false" ht="15" hidden="false" customHeight="true" outlineLevel="0" collapsed="false">
      <c r="A16" s="3" t="s">
        <v>66</v>
      </c>
      <c r="B16" s="22" t="n">
        <f aca="false">MAX(B9,B10)</f>
        <v>0.075</v>
      </c>
      <c r="D16" s="1" t="s">
        <v>67</v>
      </c>
    </row>
    <row r="18" customFormat="false" ht="15" hidden="false" customHeight="true" outlineLevel="0" collapsed="false">
      <c r="A18" s="16" t="s">
        <v>68</v>
      </c>
      <c r="B18" s="16"/>
      <c r="C18" s="16"/>
      <c r="D18" s="16"/>
    </row>
    <row r="19" customFormat="false" ht="15" hidden="false" customHeight="true" outlineLevel="0" collapsed="false">
      <c r="A19" s="3" t="s">
        <v>69</v>
      </c>
      <c r="B19" s="17" t="n">
        <v>0.05</v>
      </c>
      <c r="D19" s="1" t="s">
        <v>70</v>
      </c>
    </row>
    <row r="20" customFormat="false" ht="15" hidden="false" customHeight="true" outlineLevel="0" collapsed="false">
      <c r="A20" s="3" t="s">
        <v>71</v>
      </c>
      <c r="B20" s="21" t="n">
        <v>350</v>
      </c>
      <c r="D20" s="1" t="s">
        <v>72</v>
      </c>
    </row>
    <row r="21" customFormat="false" ht="15" hidden="false" customHeight="true" outlineLevel="0" collapsed="false">
      <c r="A21" s="3" t="s">
        <v>73</v>
      </c>
      <c r="B21" s="17" t="n">
        <v>0.03</v>
      </c>
      <c r="D21" s="1" t="s">
        <v>74</v>
      </c>
    </row>
    <row r="22" customFormat="false" ht="15" hidden="false" customHeight="true" outlineLevel="0" collapsed="false">
      <c r="A22" s="3" t="s">
        <v>75</v>
      </c>
      <c r="B22" s="21" t="n">
        <v>300</v>
      </c>
      <c r="D22" s="1" t="s">
        <v>76</v>
      </c>
    </row>
    <row r="23" customFormat="false" ht="15" hidden="false" customHeight="true" outlineLevel="0" collapsed="false">
      <c r="A23" s="3" t="s">
        <v>77</v>
      </c>
      <c r="B23" s="19" t="n">
        <v>0.0775</v>
      </c>
      <c r="D23" s="1" t="s">
        <v>78</v>
      </c>
    </row>
    <row r="24" customFormat="false" ht="15" hidden="false" customHeight="true" outlineLevel="0" collapsed="false">
      <c r="A24" s="3" t="s">
        <v>79</v>
      </c>
      <c r="B24" s="21" t="n">
        <v>169974</v>
      </c>
      <c r="D24" s="1" t="s">
        <v>80</v>
      </c>
    </row>
    <row r="25" customFormat="false" ht="15" hidden="false" customHeight="true" outlineLevel="0" collapsed="false">
      <c r="A25" s="3" t="s">
        <v>81</v>
      </c>
      <c r="B25" s="21" t="n">
        <v>56658</v>
      </c>
      <c r="D25" s="1" t="s">
        <v>82</v>
      </c>
    </row>
    <row r="26" customFormat="false" ht="15" hidden="false" customHeight="true" outlineLevel="0" collapsed="false">
      <c r="A26" s="3" t="s">
        <v>83</v>
      </c>
      <c r="B26" s="21" t="n">
        <v>226632</v>
      </c>
      <c r="D26" s="1" t="s">
        <v>84</v>
      </c>
    </row>
    <row r="27" customFormat="false" ht="15" hidden="false" customHeight="true" outlineLevel="0" collapsed="false">
      <c r="A27" s="3" t="s">
        <v>85</v>
      </c>
      <c r="B27" s="20" t="n">
        <v>12</v>
      </c>
      <c r="D27" s="1" t="s">
        <v>86</v>
      </c>
    </row>
  </sheetData>
  <mergeCells count="4">
    <mergeCell ref="A1:D1"/>
    <mergeCell ref="A5:D5"/>
    <mergeCell ref="A15:D15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22"/>
    <col collapsed="false" customWidth="true" hidden="false" outlineLevel="0" max="9" min="9" style="1" width="18"/>
    <col collapsed="false" customWidth="true" hidden="false" outlineLevel="0" max="10" min="10" style="1" width="14"/>
  </cols>
  <sheetData>
    <row r="1" customFormat="false" ht="15" hidden="false" customHeight="true" outlineLevel="0" collapsed="false">
      <c r="A1" s="23" t="s">
        <v>87</v>
      </c>
      <c r="B1" s="23"/>
      <c r="C1" s="23"/>
      <c r="D1" s="23"/>
      <c r="E1" s="23"/>
      <c r="F1" s="23"/>
      <c r="G1" s="23"/>
      <c r="H1" s="23"/>
      <c r="I1" s="23"/>
      <c r="J1" s="23"/>
    </row>
    <row r="3" customFormat="false" ht="31.5" hidden="false" customHeight="true" outlineLevel="0" collapsed="false">
      <c r="A3" s="24" t="s">
        <v>88</v>
      </c>
      <c r="B3" s="24" t="s">
        <v>89</v>
      </c>
      <c r="C3" s="24" t="s">
        <v>90</v>
      </c>
      <c r="D3" s="24" t="s">
        <v>91</v>
      </c>
      <c r="E3" s="24" t="s">
        <v>92</v>
      </c>
      <c r="F3" s="24" t="s">
        <v>93</v>
      </c>
      <c r="G3" s="24" t="s">
        <v>94</v>
      </c>
      <c r="H3" s="24" t="s">
        <v>95</v>
      </c>
      <c r="I3" s="24" t="s">
        <v>96</v>
      </c>
      <c r="J3" s="24" t="s">
        <v>97</v>
      </c>
    </row>
    <row r="4" customFormat="false" ht="15" hidden="false" customHeight="true" outlineLevel="0" collapsed="false">
      <c r="A4" s="25" t="s">
        <v>98</v>
      </c>
      <c r="B4" s="7" t="s">
        <v>99</v>
      </c>
      <c r="C4" s="25" t="s">
        <v>100</v>
      </c>
      <c r="D4" s="26" t="n">
        <v>5380</v>
      </c>
      <c r="E4" s="7" t="s">
        <v>13</v>
      </c>
      <c r="F4" s="27" t="n">
        <v>11050</v>
      </c>
      <c r="G4" s="25" t="s">
        <v>101</v>
      </c>
      <c r="H4" s="27" t="n">
        <v>10975</v>
      </c>
      <c r="I4" s="28" t="n">
        <f aca="false">IF(E4="active",F4*12,0)</f>
        <v>132600</v>
      </c>
      <c r="J4" s="29" t="str">
        <f aca="false">IF(AND(E4="active",DATEVALUE(G4)&lt;DATEVALUE("2027-09-01")),"YES","")</f>
        <v>YES</v>
      </c>
    </row>
    <row r="5" customFormat="false" ht="15" hidden="false" customHeight="true" outlineLevel="0" collapsed="false">
      <c r="A5" s="25" t="s">
        <v>102</v>
      </c>
      <c r="B5" s="7" t="s">
        <v>103</v>
      </c>
      <c r="C5" s="25" t="s">
        <v>104</v>
      </c>
      <c r="D5" s="26" t="n">
        <v>5500</v>
      </c>
      <c r="E5" s="7" t="s">
        <v>13</v>
      </c>
      <c r="F5" s="27" t="n">
        <v>11200</v>
      </c>
      <c r="G5" s="25" t="s">
        <v>105</v>
      </c>
      <c r="H5" s="27" t="n">
        <v>11200</v>
      </c>
      <c r="I5" s="28" t="n">
        <f aca="false">IF(E5="active",F5*12,0)</f>
        <v>134400</v>
      </c>
      <c r="J5" s="29" t="str">
        <f aca="false">IF(AND(E5="active",DATEVALUE(G5)&lt;DATEVALUE("2027-09-01")),"YES","")</f>
        <v/>
      </c>
    </row>
    <row r="6" customFormat="false" ht="15" hidden="false" customHeight="true" outlineLevel="0" collapsed="false">
      <c r="A6" s="25" t="s">
        <v>106</v>
      </c>
      <c r="B6" s="7" t="s">
        <v>107</v>
      </c>
      <c r="C6" s="25" t="s">
        <v>108</v>
      </c>
      <c r="D6" s="26" t="n">
        <v>5710</v>
      </c>
      <c r="E6" s="7" t="s">
        <v>13</v>
      </c>
      <c r="F6" s="27" t="n">
        <v>11475</v>
      </c>
      <c r="G6" s="25" t="s">
        <v>105</v>
      </c>
      <c r="H6" s="27" t="n">
        <v>11475</v>
      </c>
      <c r="I6" s="28" t="n">
        <f aca="false">IF(E6="active",F6*12,0)</f>
        <v>137700</v>
      </c>
      <c r="J6" s="29" t="str">
        <f aca="false">IF(AND(E6="active",DATEVALUE(G6)&lt;DATEVALUE("2027-09-01")),"YES","")</f>
        <v/>
      </c>
    </row>
    <row r="7" customFormat="false" ht="15" hidden="false" customHeight="true" outlineLevel="0" collapsed="false">
      <c r="A7" s="25" t="s">
        <v>109</v>
      </c>
      <c r="B7" s="7" t="s">
        <v>99</v>
      </c>
      <c r="C7" s="25" t="s">
        <v>100</v>
      </c>
      <c r="D7" s="26" t="n">
        <v>5380</v>
      </c>
      <c r="E7" s="7" t="s">
        <v>13</v>
      </c>
      <c r="F7" s="27" t="n">
        <v>11050</v>
      </c>
      <c r="G7" s="25" t="s">
        <v>105</v>
      </c>
      <c r="H7" s="27" t="n">
        <v>11050</v>
      </c>
      <c r="I7" s="28" t="n">
        <f aca="false">IF(E7="active",F7*12,0)</f>
        <v>132600</v>
      </c>
      <c r="J7" s="29" t="str">
        <f aca="false">IF(AND(E7="active",DATEVALUE(G7)&lt;DATEVALUE("2027-09-01")),"YES","")</f>
        <v/>
      </c>
    </row>
    <row r="8" customFormat="false" ht="15" hidden="false" customHeight="true" outlineLevel="0" collapsed="false">
      <c r="A8" s="25" t="s">
        <v>110</v>
      </c>
      <c r="B8" s="7" t="s">
        <v>103</v>
      </c>
      <c r="C8" s="25" t="s">
        <v>104</v>
      </c>
      <c r="D8" s="26" t="n">
        <v>5500</v>
      </c>
      <c r="E8" s="7" t="s">
        <v>13</v>
      </c>
      <c r="F8" s="27" t="n">
        <v>11200</v>
      </c>
      <c r="G8" s="25" t="s">
        <v>105</v>
      </c>
      <c r="H8" s="27" t="n">
        <v>11200</v>
      </c>
      <c r="I8" s="28" t="n">
        <f aca="false">IF(E8="active",F8*12,0)</f>
        <v>134400</v>
      </c>
      <c r="J8" s="29" t="str">
        <f aca="false">IF(AND(E8="active",DATEVALUE(G8)&lt;DATEVALUE("2027-09-01")),"YES","")</f>
        <v/>
      </c>
    </row>
    <row r="9" customFormat="false" ht="15" hidden="false" customHeight="true" outlineLevel="0" collapsed="false">
      <c r="A9" s="25" t="s">
        <v>111</v>
      </c>
      <c r="B9" s="7" t="s">
        <v>107</v>
      </c>
      <c r="C9" s="25" t="s">
        <v>108</v>
      </c>
      <c r="D9" s="26" t="n">
        <v>5710</v>
      </c>
      <c r="E9" s="7" t="s">
        <v>13</v>
      </c>
      <c r="F9" s="27" t="n">
        <v>11475</v>
      </c>
      <c r="G9" s="25" t="s">
        <v>105</v>
      </c>
      <c r="H9" s="27" t="n">
        <v>11475</v>
      </c>
      <c r="I9" s="28" t="n">
        <f aca="false">IF(E9="active",F9*12,0)</f>
        <v>137700</v>
      </c>
      <c r="J9" s="29" t="str">
        <f aca="false">IF(AND(E9="active",DATEVALUE(G9)&lt;DATEVALUE("2027-09-01")),"YES","")</f>
        <v/>
      </c>
    </row>
    <row r="10" customFormat="false" ht="15" hidden="false" customHeight="true" outlineLevel="0" collapsed="false">
      <c r="A10" s="25" t="s">
        <v>112</v>
      </c>
      <c r="B10" s="7" t="s">
        <v>99</v>
      </c>
      <c r="C10" s="25" t="s">
        <v>100</v>
      </c>
      <c r="D10" s="26" t="n">
        <v>5380</v>
      </c>
      <c r="E10" s="7" t="s">
        <v>13</v>
      </c>
      <c r="F10" s="27" t="n">
        <v>11050</v>
      </c>
      <c r="G10" s="25" t="s">
        <v>105</v>
      </c>
      <c r="H10" s="27" t="n">
        <v>11050</v>
      </c>
      <c r="I10" s="28" t="n">
        <f aca="false">IF(E10="active",F10*12,0)</f>
        <v>132600</v>
      </c>
      <c r="J10" s="29" t="str">
        <f aca="false">IF(AND(E10="active",DATEVALUE(G10)&lt;DATEVALUE("2027-09-01")),"YES","")</f>
        <v/>
      </c>
    </row>
    <row r="11" customFormat="false" ht="15" hidden="false" customHeight="true" outlineLevel="0" collapsed="false">
      <c r="A11" s="25" t="s">
        <v>113</v>
      </c>
      <c r="B11" s="7" t="s">
        <v>103</v>
      </c>
      <c r="C11" s="25" t="s">
        <v>104</v>
      </c>
      <c r="D11" s="26" t="n">
        <v>5500</v>
      </c>
      <c r="E11" s="7" t="s">
        <v>13</v>
      </c>
      <c r="F11" s="27" t="n">
        <v>11200</v>
      </c>
      <c r="G11" s="25" t="s">
        <v>105</v>
      </c>
      <c r="H11" s="27" t="n">
        <v>11200</v>
      </c>
      <c r="I11" s="28" t="n">
        <f aca="false">IF(E11="active",F11*12,0)</f>
        <v>134400</v>
      </c>
      <c r="J11" s="29" t="str">
        <f aca="false">IF(AND(E11="active",DATEVALUE(G11)&lt;DATEVALUE("2027-09-01")),"YES","")</f>
        <v/>
      </c>
    </row>
    <row r="12" customFormat="false" ht="15" hidden="false" customHeight="true" outlineLevel="0" collapsed="false">
      <c r="A12" s="25" t="s">
        <v>114</v>
      </c>
      <c r="B12" s="7" t="s">
        <v>107</v>
      </c>
      <c r="C12" s="25" t="s">
        <v>108</v>
      </c>
      <c r="D12" s="26" t="n">
        <v>5710</v>
      </c>
      <c r="E12" s="7" t="s">
        <v>13</v>
      </c>
      <c r="F12" s="27" t="n">
        <v>11475</v>
      </c>
      <c r="G12" s="25" t="s">
        <v>105</v>
      </c>
      <c r="H12" s="27" t="n">
        <v>11475</v>
      </c>
      <c r="I12" s="28" t="n">
        <f aca="false">IF(E12="active",F12*12,0)</f>
        <v>137700</v>
      </c>
      <c r="J12" s="29" t="str">
        <f aca="false">IF(AND(E12="active",DATEVALUE(G12)&lt;DATEVALUE("2027-09-01")),"YES","")</f>
        <v/>
      </c>
    </row>
    <row r="13" customFormat="false" ht="15" hidden="false" customHeight="true" outlineLevel="0" collapsed="false">
      <c r="A13" s="25" t="s">
        <v>115</v>
      </c>
      <c r="B13" s="7" t="s">
        <v>99</v>
      </c>
      <c r="C13" s="25" t="s">
        <v>100</v>
      </c>
      <c r="D13" s="26" t="n">
        <v>5380</v>
      </c>
      <c r="E13" s="30" t="s">
        <v>13</v>
      </c>
      <c r="F13" s="31" t="n">
        <v>11275</v>
      </c>
      <c r="G13" s="25" t="s">
        <v>105</v>
      </c>
      <c r="H13" s="31" t="n">
        <v>11275</v>
      </c>
      <c r="I13" s="28" t="n">
        <f aca="false">IF(E13="active",F13*12,0)</f>
        <v>135300</v>
      </c>
      <c r="J13" s="29" t="str">
        <f aca="false">IF(AND(E13="active",DATEVALUE(G13)&lt;DATEVALUE("2027-09-01")),"YES","")</f>
        <v/>
      </c>
    </row>
    <row r="14" customFormat="false" ht="15" hidden="false" customHeight="true" outlineLevel="0" collapsed="false">
      <c r="A14" s="25" t="s">
        <v>116</v>
      </c>
      <c r="B14" s="7" t="s">
        <v>103</v>
      </c>
      <c r="C14" s="25" t="s">
        <v>104</v>
      </c>
      <c r="D14" s="26" t="n">
        <v>5500</v>
      </c>
      <c r="E14" s="7" t="s">
        <v>117</v>
      </c>
      <c r="F14" s="27" t="n">
        <v>11200</v>
      </c>
      <c r="G14" s="25" t="s">
        <v>105</v>
      </c>
      <c r="H14" s="27" t="n">
        <v>11200</v>
      </c>
      <c r="I14" s="28" t="n">
        <f aca="false">IF(E14="active",F14*12,0)</f>
        <v>0</v>
      </c>
      <c r="J14" s="29" t="str">
        <f aca="false">IF(AND(E14="active",DATEVALUE(G14)&lt;DATEVALUE("2027-09-01")),"YES","")</f>
        <v/>
      </c>
    </row>
    <row r="15" customFormat="false" ht="15" hidden="false" customHeight="true" outlineLevel="0" collapsed="false">
      <c r="A15" s="25" t="s">
        <v>118</v>
      </c>
      <c r="B15" s="7" t="s">
        <v>107</v>
      </c>
      <c r="C15" s="25" t="s">
        <v>108</v>
      </c>
      <c r="D15" s="26" t="n">
        <v>5710</v>
      </c>
      <c r="E15" s="7" t="s">
        <v>117</v>
      </c>
      <c r="F15" s="27" t="n">
        <v>11475</v>
      </c>
      <c r="G15" s="25" t="s">
        <v>105</v>
      </c>
      <c r="H15" s="27" t="n">
        <v>11475</v>
      </c>
      <c r="I15" s="28" t="n">
        <f aca="false">IF(E15="active",F15*12,0)</f>
        <v>0</v>
      </c>
      <c r="J15" s="29" t="str">
        <f aca="false">IF(AND(E15="active",DATEVALUE(G15)&lt;DATEVALUE("2027-09-01")),"YES","")</f>
        <v/>
      </c>
    </row>
    <row r="16" customFormat="false" ht="15" hidden="false" customHeight="true" outlineLevel="0" collapsed="false">
      <c r="A16" s="5" t="s">
        <v>119</v>
      </c>
      <c r="B16" s="5"/>
      <c r="C16" s="5"/>
      <c r="D16" s="32" t="n">
        <f aca="false">SUM(D4:D15)</f>
        <v>66360</v>
      </c>
      <c r="E16" s="5"/>
      <c r="F16" s="33" t="n">
        <f aca="false">SUM(F4:F15)</f>
        <v>135125</v>
      </c>
      <c r="G16" s="5"/>
      <c r="H16" s="33" t="n">
        <f aca="false">SUM(H4:H15)</f>
        <v>135050</v>
      </c>
      <c r="I16" s="33" t="n">
        <f aca="false">SUM(I4:I15)</f>
        <v>1349400</v>
      </c>
      <c r="J16" s="5"/>
    </row>
    <row r="18" customFormat="false" ht="15" hidden="false" customHeight="true" outlineLevel="0" collapsed="false">
      <c r="A18" s="3" t="s">
        <v>120</v>
      </c>
    </row>
    <row r="19" customFormat="false" ht="15" hidden="false" customHeight="true" outlineLevel="0" collapsed="false">
      <c r="A19" s="1" t="s">
        <v>121</v>
      </c>
    </row>
    <row r="20" customFormat="false" ht="15" hidden="false" customHeight="true" outlineLevel="0" collapsed="false">
      <c r="A20" s="1" t="s">
        <v>122</v>
      </c>
    </row>
    <row r="21" customFormat="false" ht="15" hidden="false" customHeight="true" outlineLevel="0" collapsed="false">
      <c r="A21" s="1" t="s">
        <v>123</v>
      </c>
    </row>
    <row r="22" customFormat="false" ht="15" hidden="false" customHeight="true" outlineLevel="0" collapsed="false">
      <c r="A22" s="1" t="s">
        <v>124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125</v>
      </c>
      <c r="B1" s="2"/>
      <c r="C1" s="2"/>
      <c r="D1" s="2"/>
    </row>
    <row r="3" customFormat="false" ht="15" hidden="false" customHeight="true" outlineLevel="0" collapsed="false">
      <c r="A3" s="16" t="s">
        <v>126</v>
      </c>
      <c r="B3" s="16"/>
      <c r="C3" s="16"/>
      <c r="D3" s="16"/>
    </row>
    <row r="4" customFormat="false" ht="15" hidden="false" customHeight="true" outlineLevel="0" collapsed="false">
      <c r="A4" s="3" t="s">
        <v>127</v>
      </c>
      <c r="B4" s="34" t="n">
        <v>1540425</v>
      </c>
      <c r="D4" s="1" t="s">
        <v>128</v>
      </c>
    </row>
    <row r="5" customFormat="false" ht="15" hidden="false" customHeight="true" outlineLevel="0" collapsed="false">
      <c r="A5" s="3" t="s">
        <v>129</v>
      </c>
      <c r="B5" s="35" t="n">
        <f aca="false">-Underwriting!$B$4*Inputs!$B$19</f>
        <v>-77021.25</v>
      </c>
    </row>
    <row r="6" customFormat="false" ht="15" hidden="false" customHeight="true" outlineLevel="0" collapsed="false">
      <c r="A6" s="3" t="s">
        <v>130</v>
      </c>
      <c r="B6" s="35" t="n">
        <f aca="false">Underwriting!$B$4+Underwriting!$B$5</f>
        <v>1463403.75</v>
      </c>
    </row>
    <row r="7" customFormat="false" ht="15" hidden="false" customHeight="true" outlineLevel="0" collapsed="false">
      <c r="A7" s="3" t="s">
        <v>131</v>
      </c>
      <c r="B7" s="36" t="n">
        <f aca="false">Inputs!$B$20*Inputs!$B$27</f>
        <v>4200</v>
      </c>
    </row>
    <row r="8" customFormat="false" ht="15" hidden="false" customHeight="true" outlineLevel="0" collapsed="false">
      <c r="A8" s="3" t="s">
        <v>132</v>
      </c>
      <c r="B8" s="37" t="n">
        <f aca="false">Underwriting!$B$6+Underwriting!$B$7</f>
        <v>1467603.75</v>
      </c>
    </row>
    <row r="10" customFormat="false" ht="15" hidden="false" customHeight="true" outlineLevel="0" collapsed="false">
      <c r="A10" s="16" t="s">
        <v>133</v>
      </c>
      <c r="B10" s="16"/>
      <c r="C10" s="16"/>
      <c r="D10" s="16"/>
    </row>
    <row r="11" customFormat="false" ht="15" hidden="false" customHeight="true" outlineLevel="0" collapsed="false">
      <c r="A11" s="3" t="s">
        <v>79</v>
      </c>
      <c r="B11" s="36" t="n">
        <f aca="false">Inputs!$B$24</f>
        <v>169974</v>
      </c>
    </row>
    <row r="12" customFormat="false" ht="15" hidden="false" customHeight="true" outlineLevel="0" collapsed="false">
      <c r="A12" s="3" t="s">
        <v>81</v>
      </c>
      <c r="B12" s="36" t="n">
        <f aca="false">Inputs!$B$25</f>
        <v>56658</v>
      </c>
    </row>
    <row r="13" customFormat="false" ht="15" hidden="false" customHeight="true" outlineLevel="0" collapsed="false">
      <c r="A13" s="3" t="s">
        <v>134</v>
      </c>
      <c r="B13" s="36" t="n">
        <f aca="false">Inputs!$B$26</f>
        <v>226632</v>
      </c>
    </row>
    <row r="14" customFormat="false" ht="15" hidden="false" customHeight="true" outlineLevel="0" collapsed="false">
      <c r="A14" s="3" t="s">
        <v>135</v>
      </c>
      <c r="B14" s="35" t="n">
        <f aca="false">Underwriting!$B$8*Inputs!$B$21</f>
        <v>44028.1125</v>
      </c>
    </row>
    <row r="15" customFormat="false" ht="15" hidden="false" customHeight="true" outlineLevel="0" collapsed="false">
      <c r="A15" s="3" t="s">
        <v>136</v>
      </c>
      <c r="B15" s="37" t="n">
        <f aca="false">Underwriting!$B$11+Underwriting!$B$12+Underwriting!$B$13+Underwriting!$B$14</f>
        <v>497292.1125</v>
      </c>
    </row>
    <row r="17" customFormat="false" ht="15" hidden="false" customHeight="true" outlineLevel="0" collapsed="false">
      <c r="A17" s="16" t="s">
        <v>137</v>
      </c>
      <c r="B17" s="16"/>
      <c r="C17" s="16"/>
      <c r="D17" s="16"/>
    </row>
    <row r="18" customFormat="false" ht="15" hidden="false" customHeight="true" outlineLevel="0" collapsed="false">
      <c r="A18" s="3" t="s">
        <v>138</v>
      </c>
      <c r="B18" s="37" t="n">
        <f aca="false">Underwriting!$B$8-Underwriting!$B$15</f>
        <v>970311.6375</v>
      </c>
    </row>
    <row r="19" customFormat="false" ht="15" hidden="false" customHeight="true" outlineLevel="0" collapsed="false">
      <c r="A19" s="3" t="s">
        <v>139</v>
      </c>
      <c r="B19" s="35" t="n">
        <f aca="false">Inputs!$B$22*Inputs!$B$27</f>
        <v>3600</v>
      </c>
    </row>
    <row r="20" customFormat="false" ht="15" hidden="false" customHeight="true" outlineLevel="0" collapsed="false">
      <c r="A20" s="3" t="s">
        <v>140</v>
      </c>
      <c r="B20" s="37" t="n">
        <f aca="false">Underwriting!$B$18-Underwriting!$B$19</f>
        <v>966711.6375</v>
      </c>
    </row>
    <row r="22" customFormat="false" ht="15" hidden="false" customHeight="true" outlineLevel="0" collapsed="false">
      <c r="A22" s="16" t="s">
        <v>141</v>
      </c>
      <c r="B22" s="16"/>
      <c r="C22" s="16"/>
      <c r="D22" s="16"/>
    </row>
    <row r="23" customFormat="false" ht="15" hidden="false" customHeight="true" outlineLevel="0" collapsed="false">
      <c r="A23" s="3" t="s">
        <v>142</v>
      </c>
      <c r="B23" s="37" t="n">
        <f aca="false">Underwriting!$B$18/Inputs!$B$23</f>
        <v>12520150.1612903</v>
      </c>
    </row>
    <row r="25" customFormat="false" ht="15" hidden="false" customHeight="true" outlineLevel="0" collapsed="false">
      <c r="A25" s="16" t="s">
        <v>143</v>
      </c>
      <c r="B25" s="16"/>
      <c r="C25" s="16"/>
      <c r="D25" s="16"/>
    </row>
    <row r="26" customFormat="false" ht="15" hidden="false" customHeight="true" outlineLevel="0" collapsed="false">
      <c r="A26" s="3" t="s">
        <v>144</v>
      </c>
      <c r="B26" s="38" t="n">
        <f aca="false">Inputs!$B$16</f>
        <v>0.075</v>
      </c>
    </row>
    <row r="27" customFormat="false" ht="15" hidden="false" customHeight="true" outlineLevel="0" collapsed="false">
      <c r="A27" s="3" t="s">
        <v>145</v>
      </c>
      <c r="B27" s="39" t="n">
        <f aca="false">Underwriting!$B$26/12</f>
        <v>0.00625</v>
      </c>
    </row>
    <row r="28" customFormat="false" ht="15" hidden="false" customHeight="true" outlineLevel="0" collapsed="false">
      <c r="A28" s="3" t="s">
        <v>146</v>
      </c>
      <c r="B28" s="40" t="n">
        <f aca="false">Inputs!$B$11*12</f>
        <v>360</v>
      </c>
    </row>
    <row r="29" customFormat="false" ht="15" hidden="false" customHeight="true" outlineLevel="0" collapsed="false">
      <c r="A29" s="3" t="s">
        <v>147</v>
      </c>
      <c r="B29" s="39" t="n">
        <f aca="false">12*(Underwriting!$B$27*(1+Underwriting!$B$27)^Underwriting!$B$28)/((1+Underwriting!$B$27)^Underwriting!$B$28-1)</f>
        <v>0.0839057410263332</v>
      </c>
    </row>
    <row r="30" customFormat="false" ht="15" hidden="false" customHeight="true" outlineLevel="0" collapsed="false">
      <c r="A30" s="3" t="s">
        <v>148</v>
      </c>
      <c r="B30" s="35" t="n">
        <f aca="false">Underwriting!$B$23*Inputs!$B$6</f>
        <v>7512090.09677419</v>
      </c>
    </row>
    <row r="31" customFormat="false" ht="15" hidden="false" customHeight="true" outlineLevel="0" collapsed="false">
      <c r="A31" s="3" t="s">
        <v>149</v>
      </c>
      <c r="B31" s="35" t="n">
        <f aca="false">Underwriting!$B$20/(Inputs!$B$7*Underwriting!$B$29)</f>
        <v>9217120.31310568</v>
      </c>
    </row>
    <row r="32" customFormat="false" ht="15" hidden="false" customHeight="true" outlineLevel="0" collapsed="false">
      <c r="A32" s="3" t="s">
        <v>150</v>
      </c>
      <c r="B32" s="35" t="n">
        <f aca="false">Underwriting!$B$20/Inputs!$B$8</f>
        <v>10741240.4166667</v>
      </c>
    </row>
    <row r="33" customFormat="false" ht="15" hidden="false" customHeight="true" outlineLevel="0" collapsed="false">
      <c r="A33" s="3" t="s">
        <v>151</v>
      </c>
      <c r="B33" s="37" t="n">
        <f aca="false">MIN(Underwriting!$B$30,Underwriting!$B$31,Underwriting!$B$32)</f>
        <v>7512090.09677419</v>
      </c>
    </row>
    <row r="34" customFormat="false" ht="15" hidden="false" customHeight="true" outlineLevel="0" collapsed="false">
      <c r="A34" s="3" t="s">
        <v>152</v>
      </c>
      <c r="B34" s="41" t="str">
        <f aca="false">IF(Underwriting!$B$33=Underwriting!$B$30,"LTV",IF(Underwriting!$B$33=Underwriting!$B$31,"DSCR","Debt Yield"))</f>
        <v>LTV</v>
      </c>
    </row>
    <row r="36" customFormat="false" ht="15" hidden="false" customHeight="true" outlineLevel="0" collapsed="false">
      <c r="A36" s="16" t="s">
        <v>153</v>
      </c>
      <c r="B36" s="16"/>
      <c r="C36" s="16"/>
      <c r="D36" s="16"/>
    </row>
    <row r="37" customFormat="false" ht="15" hidden="false" customHeight="true" outlineLevel="0" collapsed="false">
      <c r="A37" s="3" t="s">
        <v>154</v>
      </c>
      <c r="B37" s="35" t="n">
        <f aca="false">Underwriting!$B$33*Inputs!$B$12</f>
        <v>75120.9009677419</v>
      </c>
    </row>
    <row r="38" customFormat="false" ht="15" hidden="false" customHeight="true" outlineLevel="0" collapsed="false">
      <c r="A38" s="3" t="s">
        <v>155</v>
      </c>
      <c r="B38" s="36" t="n">
        <f aca="false">Inputs!$B$13</f>
        <v>45000</v>
      </c>
    </row>
    <row r="39" customFormat="false" ht="15" hidden="false" customHeight="true" outlineLevel="0" collapsed="false">
      <c r="A39" s="3" t="s">
        <v>156</v>
      </c>
      <c r="B39" s="36" t="n">
        <f aca="false">Inputs!$B$14</f>
        <v>6500000</v>
      </c>
    </row>
    <row r="40" customFormat="false" ht="15" hidden="false" customHeight="true" outlineLevel="0" collapsed="false">
      <c r="A40" s="3" t="s">
        <v>157</v>
      </c>
      <c r="B40" s="37" t="n">
        <f aca="false">Underwriting!$B$33-Underwriting!$B$37-Underwriting!$B$38-Underwriting!$B$39</f>
        <v>891969.19580645</v>
      </c>
    </row>
    <row r="42" customFormat="false" ht="15" hidden="false" customHeight="true" outlineLevel="0" collapsed="false">
      <c r="A42" s="16" t="s">
        <v>158</v>
      </c>
      <c r="B42" s="16"/>
      <c r="C42" s="16"/>
      <c r="D42" s="16"/>
    </row>
    <row r="43" customFormat="false" ht="15" hidden="false" customHeight="true" outlineLevel="0" collapsed="false">
      <c r="A43" s="3" t="s">
        <v>159</v>
      </c>
      <c r="B43" s="42" t="n">
        <f aca="false">Underwriting!$B$33/Underwriting!$B$23</f>
        <v>0.6</v>
      </c>
    </row>
    <row r="44" customFormat="false" ht="15" hidden="false" customHeight="true" outlineLevel="0" collapsed="false">
      <c r="A44" s="3" t="s">
        <v>160</v>
      </c>
      <c r="B44" s="43" t="n">
        <f aca="false">Underwriting!$B$20/(Underwriting!$B$33*Underwriting!$B$29)</f>
        <v>1.53371435152642</v>
      </c>
    </row>
    <row r="45" customFormat="false" ht="15" hidden="false" customHeight="true" outlineLevel="0" collapsed="false">
      <c r="A45" s="3" t="s">
        <v>161</v>
      </c>
      <c r="B45" s="42" t="n">
        <f aca="false">Underwriting!$B$20/Underwriting!$B$33</f>
        <v>0.128687439187547</v>
      </c>
    </row>
  </sheetData>
  <mergeCells count="8">
    <mergeCell ref="A1:D1"/>
    <mergeCell ref="A3:D3"/>
    <mergeCell ref="A10:D10"/>
    <mergeCell ref="A17:D17"/>
    <mergeCell ref="A22:D22"/>
    <mergeCell ref="A25:D25"/>
    <mergeCell ref="A36:D36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8"/>
    <col collapsed="false" customWidth="true" hidden="false" outlineLevel="0" max="5" min="5" style="1" width="60"/>
  </cols>
  <sheetData>
    <row r="1" customFormat="false" ht="15" hidden="false" customHeight="true" outlineLevel="0" collapsed="false">
      <c r="A1" s="23" t="s">
        <v>162</v>
      </c>
      <c r="B1" s="23"/>
      <c r="C1" s="23"/>
      <c r="D1" s="23"/>
      <c r="E1" s="23"/>
    </row>
    <row r="3" customFormat="false" ht="15" hidden="false" customHeight="true" outlineLevel="0" collapsed="false">
      <c r="A3" s="44" t="s">
        <v>163</v>
      </c>
      <c r="B3" s="44" t="s">
        <v>164</v>
      </c>
      <c r="C3" s="44" t="s">
        <v>165</v>
      </c>
      <c r="D3" s="44" t="s">
        <v>166</v>
      </c>
      <c r="E3" s="44" t="s">
        <v>167</v>
      </c>
    </row>
    <row r="4" customFormat="false" ht="15" hidden="false" customHeight="true" outlineLevel="0" collapsed="false">
      <c r="A4" s="3" t="s">
        <v>168</v>
      </c>
      <c r="B4" s="45" t="n">
        <v>1456920</v>
      </c>
      <c r="C4" s="45" t="n">
        <f aca="false">Underwriting!$B$8</f>
        <v>1467603.75</v>
      </c>
      <c r="D4" s="45" t="n">
        <f aca="false">C4-B4</f>
        <v>10683.75</v>
      </c>
      <c r="E4" s="1" t="s">
        <v>169</v>
      </c>
    </row>
    <row r="5" customFormat="false" ht="15" hidden="false" customHeight="true" outlineLevel="0" collapsed="false">
      <c r="A5" s="3" t="s">
        <v>170</v>
      </c>
      <c r="B5" s="45" t="n">
        <v>-169974</v>
      </c>
      <c r="C5" s="45" t="n">
        <f aca="false">-Underwriting!$B$11</f>
        <v>-169974</v>
      </c>
      <c r="D5" s="45" t="n">
        <f aca="false">C5-B5</f>
        <v>0</v>
      </c>
      <c r="E5" s="1" t="s">
        <v>171</v>
      </c>
    </row>
    <row r="6" customFormat="false" ht="15" hidden="false" customHeight="true" outlineLevel="0" collapsed="false">
      <c r="A6" s="3" t="s">
        <v>172</v>
      </c>
      <c r="B6" s="45" t="n">
        <v>-56658</v>
      </c>
      <c r="C6" s="45" t="n">
        <f aca="false">-Underwriting!$B$12</f>
        <v>-56658</v>
      </c>
      <c r="D6" s="45" t="n">
        <f aca="false">C6-B6</f>
        <v>0</v>
      </c>
      <c r="E6" s="1" t="s">
        <v>171</v>
      </c>
    </row>
    <row r="7" customFormat="false" ht="15" hidden="false" customHeight="true" outlineLevel="0" collapsed="false">
      <c r="A7" s="3" t="s">
        <v>134</v>
      </c>
      <c r="B7" s="45" t="n">
        <v>-226632</v>
      </c>
      <c r="C7" s="45" t="n">
        <f aca="false">-Underwriting!$B$13</f>
        <v>-226632</v>
      </c>
      <c r="D7" s="45" t="n">
        <f aca="false">C7-B7</f>
        <v>0</v>
      </c>
      <c r="E7" s="1" t="s">
        <v>171</v>
      </c>
    </row>
    <row r="8" customFormat="false" ht="15" hidden="false" customHeight="true" outlineLevel="0" collapsed="false">
      <c r="A8" s="3" t="s">
        <v>173</v>
      </c>
      <c r="B8" s="45" t="n">
        <v>0</v>
      </c>
      <c r="C8" s="45" t="n">
        <v>0</v>
      </c>
      <c r="D8" s="45" t="n">
        <f aca="false">C8-B8</f>
        <v>0</v>
      </c>
      <c r="E8" s="1" t="s">
        <v>174</v>
      </c>
    </row>
    <row r="9" customFormat="false" ht="15" hidden="false" customHeight="true" outlineLevel="0" collapsed="false">
      <c r="A9" s="3" t="s">
        <v>175</v>
      </c>
      <c r="B9" s="45" t="n">
        <v>0</v>
      </c>
      <c r="C9" s="45" t="n">
        <f aca="false">-Underwriting!$B$14</f>
        <v>-44028.1125</v>
      </c>
      <c r="D9" s="45" t="n">
        <f aca="false">C9-B9</f>
        <v>-44028.1125</v>
      </c>
      <c r="E9" s="1" t="s">
        <v>176</v>
      </c>
    </row>
    <row r="10" customFormat="false" ht="15" hidden="false" customHeight="true" outlineLevel="0" collapsed="false">
      <c r="A10" s="3" t="s">
        <v>177</v>
      </c>
      <c r="B10" s="45" t="n">
        <v>0</v>
      </c>
      <c r="C10" s="45" t="n">
        <f aca="false">-Underwriting!$B$19</f>
        <v>-3600</v>
      </c>
      <c r="D10" s="45" t="n">
        <f aca="false">C10-B10</f>
        <v>-3600</v>
      </c>
      <c r="E10" s="1" t="s">
        <v>178</v>
      </c>
    </row>
    <row r="11" customFormat="false" ht="15" hidden="false" customHeight="true" outlineLevel="0" collapsed="false">
      <c r="A11" s="3" t="s">
        <v>179</v>
      </c>
      <c r="B11" s="21" t="n">
        <v>1003656</v>
      </c>
      <c r="E11" s="1" t="s">
        <v>180</v>
      </c>
    </row>
    <row r="12" customFormat="false" ht="15" hidden="false" customHeight="true" outlineLevel="0" collapsed="false">
      <c r="A12" s="3" t="s">
        <v>138</v>
      </c>
      <c r="C12" s="36" t="n">
        <f aca="false">Underwriting!$B$18</f>
        <v>970311.6375</v>
      </c>
    </row>
    <row r="13" customFormat="false" ht="15" hidden="false" customHeight="true" outlineLevel="0" collapsed="false">
      <c r="A13" s="3" t="s">
        <v>140</v>
      </c>
      <c r="C13" s="36" t="n">
        <f aca="false">Underwriting!$B$20</f>
        <v>966711.6375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4"/>
    <col collapsed="false" customWidth="true" hidden="false" outlineLevel="0" max="6" min="6" style="1" width="50"/>
  </cols>
  <sheetData>
    <row r="1" customFormat="false" ht="15" hidden="false" customHeight="true" outlineLevel="0" collapsed="false">
      <c r="A1" s="23" t="s">
        <v>181</v>
      </c>
      <c r="B1" s="23"/>
      <c r="C1" s="23"/>
      <c r="D1" s="23"/>
      <c r="E1" s="23"/>
      <c r="F1" s="23"/>
    </row>
    <row r="3" customFormat="false" ht="15" hidden="false" customHeight="true" outlineLevel="0" collapsed="false">
      <c r="A3" s="44" t="s">
        <v>182</v>
      </c>
      <c r="B3" s="44" t="s">
        <v>183</v>
      </c>
      <c r="C3" s="44" t="s">
        <v>184</v>
      </c>
      <c r="D3" s="44" t="s">
        <v>185</v>
      </c>
      <c r="E3" s="44" t="s">
        <v>186</v>
      </c>
      <c r="F3" s="44" t="s">
        <v>167</v>
      </c>
    </row>
    <row r="4" customFormat="false" ht="15" hidden="false" customHeight="true" outlineLevel="0" collapsed="false">
      <c r="A4" s="3" t="s">
        <v>187</v>
      </c>
      <c r="B4" s="46" t="n">
        <f aca="false">COUNTIF('Rent Roll'!C4:C15,"A")</f>
        <v>4</v>
      </c>
      <c r="C4" s="46" t="n">
        <f aca="false">COUNTIF('Rent Roll'!C4:C15,"B")</f>
        <v>4</v>
      </c>
      <c r="D4" s="46" t="n">
        <f aca="false">COUNTIF('Rent Roll'!C4:C15,"C")</f>
        <v>4</v>
      </c>
      <c r="E4" s="46" t="n">
        <f aca="false">SUM(B4:D4)</f>
        <v>12</v>
      </c>
    </row>
    <row r="5" customFormat="false" ht="15" hidden="false" customHeight="true" outlineLevel="0" collapsed="false">
      <c r="A5" s="3" t="s">
        <v>188</v>
      </c>
      <c r="B5" s="46" t="n">
        <f aca="false">COUNTIFS('Rent Roll'!C4:C15,"A",'Rent Roll'!E4:E15,"active")</f>
        <v>4</v>
      </c>
      <c r="C5" s="46" t="n">
        <f aca="false">COUNTIFS('Rent Roll'!C4:C15,"B",'Rent Roll'!E4:E15,"active")</f>
        <v>3</v>
      </c>
      <c r="D5" s="46" t="n">
        <f aca="false">COUNTIFS('Rent Roll'!C4:C15,"C",'Rent Roll'!E4:E15,"active")</f>
        <v>3</v>
      </c>
      <c r="E5" s="46" t="n">
        <f aca="false">SUM(B5:D5)</f>
        <v>10</v>
      </c>
      <c r="F5" s="1" t="s">
        <v>189</v>
      </c>
    </row>
    <row r="6" customFormat="false" ht="15" hidden="false" customHeight="true" outlineLevel="0" collapsed="false">
      <c r="A6" s="3" t="s">
        <v>190</v>
      </c>
      <c r="B6" s="46" t="n">
        <f aca="false">COUNTIFS('Rent Roll'!C4:C15,"A",'Rent Roll'!E4:E15,"pending")</f>
        <v>0</v>
      </c>
      <c r="C6" s="46" t="n">
        <f aca="false">COUNTIFS('Rent Roll'!C4:C15,"B",'Rent Roll'!E4:E15,"pending")</f>
        <v>0</v>
      </c>
      <c r="D6" s="46" t="n">
        <f aca="false">COUNTIFS('Rent Roll'!C4:C15,"C",'Rent Roll'!E4:E15,"pending")</f>
        <v>0</v>
      </c>
      <c r="E6" s="46" t="n">
        <f aca="false">SUM(B6:D6)</f>
        <v>0</v>
      </c>
    </row>
    <row r="7" customFormat="false" ht="15" hidden="false" customHeight="true" outlineLevel="0" collapsed="false">
      <c r="A7" s="3" t="s">
        <v>191</v>
      </c>
      <c r="B7" s="46" t="n">
        <f aca="false">COUNTIFS('Rent Roll'!C4:C15,"A",'Rent Roll'!E4:E15,"vacant")</f>
        <v>0</v>
      </c>
      <c r="C7" s="46" t="n">
        <f aca="false">COUNTIFS('Rent Roll'!C4:C15,"B",'Rent Roll'!E4:E15,"vacant")</f>
        <v>1</v>
      </c>
      <c r="D7" s="46" t="n">
        <f aca="false">COUNTIFS('Rent Roll'!C4:C15,"C",'Rent Roll'!E4:E15,"vacant")</f>
        <v>1</v>
      </c>
      <c r="E7" s="46" t="n">
        <f aca="false">SUM(B7:D7)</f>
        <v>2</v>
      </c>
    </row>
    <row r="8" customFormat="false" ht="15" hidden="false" customHeight="true" outlineLevel="0" collapsed="false">
      <c r="A8" s="3" t="s">
        <v>192</v>
      </c>
      <c r="B8" s="46" t="n">
        <f aca="false">SUMIF('Rent Roll'!C4:C15,"A",'Rent Roll'!D4:D15)</f>
        <v>21520</v>
      </c>
      <c r="C8" s="46" t="n">
        <f aca="false">SUMIF('Rent Roll'!C4:C15,"B",'Rent Roll'!D4:D15)</f>
        <v>22000</v>
      </c>
      <c r="D8" s="46" t="n">
        <f aca="false">SUMIF('Rent Roll'!C4:C15,"C",'Rent Roll'!D4:D15)</f>
        <v>22840</v>
      </c>
      <c r="E8" s="46" t="n">
        <f aca="false">SUM(B8:D8)</f>
        <v>66360</v>
      </c>
    </row>
    <row r="9" customFormat="false" ht="15" hidden="false" customHeight="true" outlineLevel="0" collapsed="false">
      <c r="A9" s="3" t="s">
        <v>193</v>
      </c>
      <c r="B9" s="46" t="n">
        <f aca="false">SUMIFS('Rent Roll'!D4:D15,'Rent Roll'!C4:C15,"A",'Rent Roll'!E4:E15,"active")</f>
        <v>21520</v>
      </c>
      <c r="C9" s="46" t="n">
        <f aca="false">SUMIFS('Rent Roll'!D4:D15,'Rent Roll'!C4:C15,"B",'Rent Roll'!E4:E15,"active")</f>
        <v>16500</v>
      </c>
      <c r="D9" s="46" t="n">
        <f aca="false">SUMIFS('Rent Roll'!D4:D15,'Rent Roll'!C4:C15,"C",'Rent Roll'!E4:E15,"active")</f>
        <v>17130</v>
      </c>
      <c r="E9" s="46" t="n">
        <f aca="false">SUM(B9:D9)</f>
        <v>55150</v>
      </c>
    </row>
    <row r="11" customFormat="false" ht="15" hidden="false" customHeight="true" outlineLevel="0" collapsed="false">
      <c r="A11" s="3" t="s">
        <v>194</v>
      </c>
      <c r="E11" s="47" t="n">
        <f aca="false">'Occupancy &amp; Mix'!$E$5/'Occupancy &amp; Mix'!$E$4</f>
        <v>0.833333333333333</v>
      </c>
    </row>
    <row r="12" customFormat="false" ht="15" hidden="false" customHeight="true" outlineLevel="0" collapsed="false">
      <c r="A12" s="3" t="s">
        <v>195</v>
      </c>
      <c r="E12" s="47" t="n">
        <f aca="false">'Occupancy &amp; Mix'!$E$9/'Occupancy &amp; Mix'!$E$8</f>
        <v>0.831072935503315</v>
      </c>
    </row>
    <row r="13" customFormat="false" ht="15" hidden="false" customHeight="true" outlineLevel="0" collapsed="false">
      <c r="A13" s="3" t="s">
        <v>196</v>
      </c>
      <c r="E13" s="36" t="n">
        <f aca="false">'Rent Roll'!I16</f>
        <v>1349400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6"/>
  </cols>
  <sheetData>
    <row r="1" customFormat="false" ht="15" hidden="false" customHeight="true" outlineLevel="0" collapsed="false">
      <c r="A1" s="23" t="s">
        <v>197</v>
      </c>
      <c r="B1" s="23"/>
      <c r="C1" s="23"/>
      <c r="D1" s="23"/>
      <c r="E1" s="23"/>
      <c r="F1" s="23"/>
      <c r="G1" s="23"/>
      <c r="H1" s="23"/>
    </row>
    <row r="3" customFormat="false" ht="15" hidden="false" customHeight="true" outlineLevel="0" collapsed="false">
      <c r="A3" s="44" t="s">
        <v>198</v>
      </c>
      <c r="B3" s="48" t="n">
        <v>0.07</v>
      </c>
      <c r="C3" s="48" t="n">
        <v>0.0725</v>
      </c>
      <c r="D3" s="48" t="n">
        <v>0.075</v>
      </c>
      <c r="E3" s="48" t="n">
        <v>0.0775</v>
      </c>
      <c r="F3" s="48" t="n">
        <v>0.08</v>
      </c>
      <c r="G3" s="48" t="n">
        <v>0.0825</v>
      </c>
      <c r="H3" s="48" t="n">
        <v>0.085</v>
      </c>
    </row>
    <row r="4" customFormat="false" ht="15" hidden="false" customHeight="true" outlineLevel="0" collapsed="false">
      <c r="A4" s="48" t="n">
        <v>0.07</v>
      </c>
      <c r="B4" s="45" t="n">
        <f aca="false">MIN((Inputs!$B$6*(Underwriting!$B$18/0.07)),(Underwriting!$B$20/(Inputs!$B$7*(12*((0.07/12)*(1+(0.07/12))^360)/((1+(0.07/12))^360-1)))),(Underwriting!$B$20/Inputs!$B$8))</f>
        <v>8316956.89285714</v>
      </c>
      <c r="C4" s="45" t="n">
        <f aca="false">MIN((Inputs!$B$6*(Underwriting!$B$18/0.07)),(Underwriting!$B$20/(Inputs!$B$7*(12*((0.0725/12)*(1+(0.0725/12))^360)/((1+(0.0725/12))^360-1)))),(Underwriting!$B$20/Inputs!$B$8))</f>
        <v>8316956.89285714</v>
      </c>
      <c r="D4" s="45" t="n">
        <f aca="false">MIN((Inputs!$B$6*(Underwriting!$B$18/0.07)),(Underwriting!$B$20/(Inputs!$B$7*(12*((0.075/12)*(1+(0.075/12))^360)/((1+(0.075/12))^360-1)))),(Underwriting!$B$20/Inputs!$B$8))</f>
        <v>8316956.89285714</v>
      </c>
      <c r="E4" s="45" t="n">
        <f aca="false">MIN((Inputs!$B$6*(Underwriting!$B$18/0.07)),(Underwriting!$B$20/(Inputs!$B$7*(12*((0.0775/12)*(1+(0.0775/12))^360)/((1+(0.0775/12))^360-1)))),(Underwriting!$B$20/Inputs!$B$8))</f>
        <v>8316956.89285714</v>
      </c>
      <c r="F4" s="45" t="n">
        <f aca="false">MIN((Inputs!$B$6*(Underwriting!$B$18/0.07)),(Underwriting!$B$20/(Inputs!$B$7*(12*((0.08/12)*(1+(0.08/12))^360)/((1+(0.08/12))^360-1)))),(Underwriting!$B$20/Inputs!$B$8))</f>
        <v>8316956.89285714</v>
      </c>
      <c r="G4" s="45" t="n">
        <f aca="false">MIN((Inputs!$B$6*(Underwriting!$B$18/0.07)),(Underwriting!$B$20/(Inputs!$B$7*(12*((0.0825/12)*(1+(0.0825/12))^360)/((1+(0.0825/12))^360-1)))),(Underwriting!$B$20/Inputs!$B$8))</f>
        <v>8316956.89285714</v>
      </c>
      <c r="H4" s="45" t="n">
        <f aca="false">MIN((Inputs!$B$6*(Underwriting!$B$18/0.07)),(Underwriting!$B$20/(Inputs!$B$7*(12*((0.085/12)*(1+(0.085/12))^360)/((1+(0.085/12))^360-1)))),(Underwriting!$B$20/Inputs!$B$8))</f>
        <v>8316956.89285714</v>
      </c>
    </row>
    <row r="5" customFormat="false" ht="15" hidden="false" customHeight="true" outlineLevel="0" collapsed="false">
      <c r="A5" s="48" t="n">
        <v>0.075</v>
      </c>
      <c r="B5" s="45" t="n">
        <f aca="false">MIN((Inputs!$B$6*(Underwriting!$B$18/0.075)),(Underwriting!$B$20/(Inputs!$B$7*(12*((0.07/12)*(1+(0.07/12))^360)/((1+(0.07/12))^360-1)))),(Underwriting!$B$20/Inputs!$B$8))</f>
        <v>7762493.1</v>
      </c>
      <c r="C5" s="45" t="n">
        <f aca="false">MIN((Inputs!$B$6*(Underwriting!$B$18/0.075)),(Underwriting!$B$20/(Inputs!$B$7*(12*((0.0725/12)*(1+(0.0725/12))^360)/((1+(0.0725/12))^360-1)))),(Underwriting!$B$20/Inputs!$B$8))</f>
        <v>7762493.1</v>
      </c>
      <c r="D5" s="45" t="n">
        <f aca="false">MIN((Inputs!$B$6*(Underwriting!$B$18/0.075)),(Underwriting!$B$20/(Inputs!$B$7*(12*((0.075/12)*(1+(0.075/12))^360)/((1+(0.075/12))^360-1)))),(Underwriting!$B$20/Inputs!$B$8))</f>
        <v>7762493.1</v>
      </c>
      <c r="E5" s="45" t="n">
        <f aca="false">MIN((Inputs!$B$6*(Underwriting!$B$18/0.075)),(Underwriting!$B$20/(Inputs!$B$7*(12*((0.0775/12)*(1+(0.0775/12))^360)/((1+(0.0775/12))^360-1)))),(Underwriting!$B$20/Inputs!$B$8))</f>
        <v>7762493.1</v>
      </c>
      <c r="F5" s="45" t="n">
        <f aca="false">MIN((Inputs!$B$6*(Underwriting!$B$18/0.075)),(Underwriting!$B$20/(Inputs!$B$7*(12*((0.08/12)*(1+(0.08/12))^360)/((1+(0.08/12))^360-1)))),(Underwriting!$B$20/Inputs!$B$8))</f>
        <v>7762493.1</v>
      </c>
      <c r="G5" s="45" t="n">
        <f aca="false">MIN((Inputs!$B$6*(Underwriting!$B$18/0.075)),(Underwriting!$B$20/(Inputs!$B$7*(12*((0.0825/12)*(1+(0.0825/12))^360)/((1+(0.0825/12))^360-1)))),(Underwriting!$B$20/Inputs!$B$8))</f>
        <v>7762493.1</v>
      </c>
      <c r="H5" s="45" t="n">
        <f aca="false">MIN((Inputs!$B$6*(Underwriting!$B$18/0.075)),(Underwriting!$B$20/(Inputs!$B$7*(12*((0.085/12)*(1+(0.085/12))^360)/((1+(0.085/12))^360-1)))),(Underwriting!$B$20/Inputs!$B$8))</f>
        <v>7762493.1</v>
      </c>
    </row>
    <row r="6" customFormat="false" ht="15" hidden="false" customHeight="true" outlineLevel="0" collapsed="false">
      <c r="A6" s="48" t="n">
        <v>0.0775</v>
      </c>
      <c r="B6" s="45" t="n">
        <f aca="false">MIN((Inputs!$B$6*(Underwriting!$B$18/0.0775)),(Underwriting!$B$20/(Inputs!$B$7*(12*((0.07/12)*(1+(0.07/12))^360)/((1+(0.07/12))^360-1)))),(Underwriting!$B$20/Inputs!$B$8))</f>
        <v>7512090.09677419</v>
      </c>
      <c r="C6" s="45" t="n">
        <f aca="false">MIN((Inputs!$B$6*(Underwriting!$B$18/0.0775)),(Underwriting!$B$20/(Inputs!$B$7*(12*((0.0725/12)*(1+(0.0725/12))^360)/((1+(0.0725/12))^360-1)))),(Underwriting!$B$20/Inputs!$B$8))</f>
        <v>7512090.09677419</v>
      </c>
      <c r="D6" s="49" t="n">
        <f aca="false">MIN((Inputs!$B$6*(Underwriting!$B$18/0.0775)),(Underwriting!$B$20/(Inputs!$B$7*(12*((0.075/12)*(1+(0.075/12))^360)/((1+(0.075/12))^360-1)))),(Underwriting!$B$20/Inputs!$B$8))</f>
        <v>7512090.09677419</v>
      </c>
      <c r="E6" s="45" t="n">
        <f aca="false">MIN((Inputs!$B$6*(Underwriting!$B$18/0.0775)),(Underwriting!$B$20/(Inputs!$B$7*(12*((0.0775/12)*(1+(0.0775/12))^360)/((1+(0.0775/12))^360-1)))),(Underwriting!$B$20/Inputs!$B$8))</f>
        <v>7512090.09677419</v>
      </c>
      <c r="F6" s="45" t="n">
        <f aca="false">MIN((Inputs!$B$6*(Underwriting!$B$18/0.0775)),(Underwriting!$B$20/(Inputs!$B$7*(12*((0.08/12)*(1+(0.08/12))^360)/((1+(0.08/12))^360-1)))),(Underwriting!$B$20/Inputs!$B$8))</f>
        <v>7512090.09677419</v>
      </c>
      <c r="G6" s="45" t="n">
        <f aca="false">MIN((Inputs!$B$6*(Underwriting!$B$18/0.0775)),(Underwriting!$B$20/(Inputs!$B$7*(12*((0.0825/12)*(1+(0.0825/12))^360)/((1+(0.0825/12))^360-1)))),(Underwriting!$B$20/Inputs!$B$8))</f>
        <v>7512090.09677419</v>
      </c>
      <c r="H6" s="45" t="n">
        <f aca="false">MIN((Inputs!$B$6*(Underwriting!$B$18/0.0775)),(Underwriting!$B$20/(Inputs!$B$7*(12*((0.085/12)*(1+(0.085/12))^360)/((1+(0.085/12))^360-1)))),(Underwriting!$B$20/Inputs!$B$8))</f>
        <v>7512090.09677419</v>
      </c>
    </row>
    <row r="7" customFormat="false" ht="15" hidden="false" customHeight="true" outlineLevel="0" collapsed="false">
      <c r="A7" s="48" t="n">
        <v>0.08</v>
      </c>
      <c r="B7" s="45" t="n">
        <f aca="false">MIN((Inputs!$B$6*(Underwriting!$B$18/0.08)),(Underwriting!$B$20/(Inputs!$B$7*(12*((0.07/12)*(1+(0.07/12))^360)/((1+(0.07/12))^360-1)))),(Underwriting!$B$20/Inputs!$B$8))</f>
        <v>7277337.28125</v>
      </c>
      <c r="C7" s="45" t="n">
        <f aca="false">MIN((Inputs!$B$6*(Underwriting!$B$18/0.08)),(Underwriting!$B$20/(Inputs!$B$7*(12*((0.0725/12)*(1+(0.0725/12))^360)/((1+(0.0725/12))^360-1)))),(Underwriting!$B$20/Inputs!$B$8))</f>
        <v>7277337.28125</v>
      </c>
      <c r="D7" s="45" t="n">
        <f aca="false">MIN((Inputs!$B$6*(Underwriting!$B$18/0.08)),(Underwriting!$B$20/(Inputs!$B$7*(12*((0.075/12)*(1+(0.075/12))^360)/((1+(0.075/12))^360-1)))),(Underwriting!$B$20/Inputs!$B$8))</f>
        <v>7277337.28125</v>
      </c>
      <c r="E7" s="45" t="n">
        <f aca="false">MIN((Inputs!$B$6*(Underwriting!$B$18/0.08)),(Underwriting!$B$20/(Inputs!$B$7*(12*((0.0775/12)*(1+(0.0775/12))^360)/((1+(0.0775/12))^360-1)))),(Underwriting!$B$20/Inputs!$B$8))</f>
        <v>7277337.28125</v>
      </c>
      <c r="F7" s="45" t="n">
        <f aca="false">MIN((Inputs!$B$6*(Underwriting!$B$18/0.08)),(Underwriting!$B$20/(Inputs!$B$7*(12*((0.08/12)*(1+(0.08/12))^360)/((1+(0.08/12))^360-1)))),(Underwriting!$B$20/Inputs!$B$8))</f>
        <v>7277337.28125</v>
      </c>
      <c r="G7" s="45" t="n">
        <f aca="false">MIN((Inputs!$B$6*(Underwriting!$B$18/0.08)),(Underwriting!$B$20/(Inputs!$B$7*(12*((0.0825/12)*(1+(0.0825/12))^360)/((1+(0.0825/12))^360-1)))),(Underwriting!$B$20/Inputs!$B$8))</f>
        <v>7277337.28125</v>
      </c>
      <c r="H7" s="45" t="n">
        <f aca="false">MIN((Inputs!$B$6*(Underwriting!$B$18/0.08)),(Underwriting!$B$20/(Inputs!$B$7*(12*((0.085/12)*(1+(0.085/12))^360)/((1+(0.085/12))^360-1)))),(Underwriting!$B$20/Inputs!$B$8))</f>
        <v>7277337.28125</v>
      </c>
    </row>
    <row r="8" customFormat="false" ht="15" hidden="false" customHeight="true" outlineLevel="0" collapsed="false">
      <c r="A8" s="48" t="n">
        <v>0.085</v>
      </c>
      <c r="B8" s="45" t="n">
        <f aca="false">MIN((Inputs!$B$6*(Underwriting!$B$18/0.085)),(Underwriting!$B$20/(Inputs!$B$7*(12*((0.07/12)*(1+(0.07/12))^360)/((1+(0.07/12))^360-1)))),(Underwriting!$B$20/Inputs!$B$8))</f>
        <v>6849258.61764706</v>
      </c>
      <c r="C8" s="45" t="n">
        <f aca="false">MIN((Inputs!$B$6*(Underwriting!$B$18/0.085)),(Underwriting!$B$20/(Inputs!$B$7*(12*((0.0725/12)*(1+(0.0725/12))^360)/((1+(0.0725/12))^360-1)))),(Underwriting!$B$20/Inputs!$B$8))</f>
        <v>6849258.61764706</v>
      </c>
      <c r="D8" s="45" t="n">
        <f aca="false">MIN((Inputs!$B$6*(Underwriting!$B$18/0.085)),(Underwriting!$B$20/(Inputs!$B$7*(12*((0.075/12)*(1+(0.075/12))^360)/((1+(0.075/12))^360-1)))),(Underwriting!$B$20/Inputs!$B$8))</f>
        <v>6849258.61764706</v>
      </c>
      <c r="E8" s="45" t="n">
        <f aca="false">MIN((Inputs!$B$6*(Underwriting!$B$18/0.085)),(Underwriting!$B$20/(Inputs!$B$7*(12*((0.0775/12)*(1+(0.0775/12))^360)/((1+(0.0775/12))^360-1)))),(Underwriting!$B$20/Inputs!$B$8))</f>
        <v>6849258.61764706</v>
      </c>
      <c r="F8" s="45" t="n">
        <f aca="false">MIN((Inputs!$B$6*(Underwriting!$B$18/0.085)),(Underwriting!$B$20/(Inputs!$B$7*(12*((0.08/12)*(1+(0.08/12))^360)/((1+(0.08/12))^360-1)))),(Underwriting!$B$20/Inputs!$B$8))</f>
        <v>6849258.61764706</v>
      </c>
      <c r="G8" s="45" t="n">
        <f aca="false">MIN((Inputs!$B$6*(Underwriting!$B$18/0.085)),(Underwriting!$B$20/(Inputs!$B$7*(12*((0.0825/12)*(1+(0.0825/12))^360)/((1+(0.0825/12))^360-1)))),(Underwriting!$B$20/Inputs!$B$8))</f>
        <v>6849258.61764706</v>
      </c>
      <c r="H8" s="45" t="n">
        <f aca="false">MIN((Inputs!$B$6*(Underwriting!$B$18/0.085)),(Underwriting!$B$20/(Inputs!$B$7*(12*((0.085/12)*(1+(0.085/12))^360)/((1+(0.085/12))^360-1)))),(Underwriting!$B$20/Inputs!$B$8))</f>
        <v>6849258.61764706</v>
      </c>
    </row>
    <row r="10" customFormat="false" ht="15" hidden="false" customHeight="true" outlineLevel="0" collapsed="false">
      <c r="A10" s="50" t="s">
        <v>199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3" min="3" style="1" width="18"/>
    <col collapsed="false" customWidth="true" hidden="false" outlineLevel="0" max="4" min="4" style="1" width="50"/>
  </cols>
  <sheetData>
    <row r="1" customFormat="false" ht="15" hidden="false" customHeight="true" outlineLevel="0" collapsed="false">
      <c r="A1" s="23" t="s">
        <v>200</v>
      </c>
      <c r="B1" s="23"/>
      <c r="C1" s="23"/>
      <c r="D1" s="23"/>
    </row>
    <row r="3" customFormat="false" ht="15" hidden="false" customHeight="true" outlineLevel="0" collapsed="false">
      <c r="A3" s="44" t="s">
        <v>201</v>
      </c>
      <c r="B3" s="44" t="s">
        <v>202</v>
      </c>
      <c r="C3" s="44" t="s">
        <v>203</v>
      </c>
      <c r="D3" s="44" t="s">
        <v>204</v>
      </c>
    </row>
    <row r="4" customFormat="false" ht="15" hidden="false" customHeight="true" outlineLevel="0" collapsed="false">
      <c r="A4" s="3" t="s">
        <v>127</v>
      </c>
      <c r="B4" s="1" t="s">
        <v>205</v>
      </c>
      <c r="C4" s="51" t="s">
        <v>206</v>
      </c>
      <c r="D4" s="36" t="n">
        <f aca="false">Underwriting!$B$4</f>
        <v>1540425</v>
      </c>
    </row>
    <row r="5" customFormat="false" ht="15" hidden="false" customHeight="true" outlineLevel="0" collapsed="false">
      <c r="A5" s="3" t="s">
        <v>77</v>
      </c>
      <c r="B5" s="1" t="s">
        <v>207</v>
      </c>
      <c r="C5" s="51" t="s">
        <v>206</v>
      </c>
      <c r="D5" s="38" t="n">
        <f aca="false">Inputs!$B$23</f>
        <v>0.0775</v>
      </c>
    </row>
    <row r="6" customFormat="false" ht="15" hidden="false" customHeight="true" outlineLevel="0" collapsed="false">
      <c r="A6" s="3" t="s">
        <v>66</v>
      </c>
      <c r="B6" s="1" t="s">
        <v>208</v>
      </c>
      <c r="C6" s="51" t="s">
        <v>209</v>
      </c>
      <c r="D6" s="38" t="n">
        <f aca="false">Inputs!$B$16</f>
        <v>0.075</v>
      </c>
    </row>
    <row r="7" customFormat="false" ht="15" hidden="false" customHeight="true" outlineLevel="0" collapsed="false">
      <c r="A7" s="3" t="s">
        <v>132</v>
      </c>
      <c r="B7" s="1" t="s">
        <v>210</v>
      </c>
      <c r="C7" s="51" t="s">
        <v>211</v>
      </c>
      <c r="D7" s="36" t="n">
        <f aca="false">Underwriting!$B$8</f>
        <v>1467603.75</v>
      </c>
    </row>
    <row r="8" customFormat="false" ht="15" hidden="false" customHeight="true" outlineLevel="0" collapsed="false">
      <c r="A8" s="3" t="s">
        <v>212</v>
      </c>
      <c r="B8" s="1" t="s">
        <v>213</v>
      </c>
      <c r="C8" s="51" t="s">
        <v>211</v>
      </c>
      <c r="D8" s="36" t="n">
        <f aca="false">Underwriting!$B$18</f>
        <v>970311.6375</v>
      </c>
    </row>
    <row r="9" customFormat="false" ht="15" hidden="false" customHeight="true" outlineLevel="0" collapsed="false">
      <c r="A9" s="3" t="s">
        <v>214</v>
      </c>
      <c r="B9" s="1" t="s">
        <v>215</v>
      </c>
      <c r="C9" s="51" t="s">
        <v>211</v>
      </c>
      <c r="D9" s="36" t="n">
        <f aca="false">Underwriting!$B$20</f>
        <v>966711.6375</v>
      </c>
    </row>
    <row r="10" customFormat="false" ht="15" hidden="false" customHeight="true" outlineLevel="0" collapsed="false">
      <c r="A10" s="3" t="s">
        <v>216</v>
      </c>
      <c r="B10" s="1" t="s">
        <v>217</v>
      </c>
      <c r="C10" s="51" t="s">
        <v>211</v>
      </c>
      <c r="D10" s="36" t="n">
        <f aca="false">Underwriting!$B$23</f>
        <v>12520150.1612903</v>
      </c>
    </row>
    <row r="11" customFormat="false" ht="15" hidden="false" customHeight="true" outlineLevel="0" collapsed="false">
      <c r="A11" s="3" t="s">
        <v>218</v>
      </c>
      <c r="B11" s="1" t="s">
        <v>219</v>
      </c>
      <c r="C11" s="51" t="s">
        <v>211</v>
      </c>
      <c r="D11" s="36" t="n">
        <f aca="false">Underwriting!$B$33</f>
        <v>7512090.09677419</v>
      </c>
    </row>
    <row r="12" customFormat="false" ht="15" hidden="false" customHeight="true" outlineLevel="0" collapsed="false">
      <c r="A12" s="3" t="s">
        <v>220</v>
      </c>
      <c r="B12" s="1" t="s">
        <v>221</v>
      </c>
      <c r="C12" s="51" t="s">
        <v>211</v>
      </c>
      <c r="D12" s="36" t="n">
        <f aca="false">Underwriting!$B$40</f>
        <v>891969.19580645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42"/>
    <col collapsed="false" customWidth="true" hidden="false" outlineLevel="0" max="3" min="3" style="1" width="32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3" t="s">
        <v>222</v>
      </c>
      <c r="B1" s="23"/>
      <c r="C1" s="23"/>
      <c r="D1" s="23"/>
    </row>
    <row r="3" customFormat="false" ht="15" hidden="false" customHeight="true" outlineLevel="0" collapsed="false">
      <c r="A3" s="44" t="s">
        <v>223</v>
      </c>
      <c r="B3" s="44" t="s">
        <v>224</v>
      </c>
      <c r="C3" s="44" t="s">
        <v>225</v>
      </c>
      <c r="D3" s="44" t="s">
        <v>226</v>
      </c>
    </row>
    <row r="4" customFormat="false" ht="36" hidden="false" customHeight="true" outlineLevel="0" collapsed="false">
      <c r="A4" s="3" t="s">
        <v>21</v>
      </c>
      <c r="B4" s="52" t="s">
        <v>227</v>
      </c>
      <c r="C4" s="1" t="s">
        <v>9</v>
      </c>
      <c r="D4" s="52" t="s">
        <v>228</v>
      </c>
    </row>
    <row r="5" customFormat="false" ht="36" hidden="false" customHeight="true" outlineLevel="0" collapsed="false">
      <c r="A5" s="3" t="s">
        <v>229</v>
      </c>
      <c r="B5" s="52" t="s">
        <v>230</v>
      </c>
      <c r="C5" s="1" t="s">
        <v>9</v>
      </c>
      <c r="D5" s="52" t="s">
        <v>231</v>
      </c>
    </row>
    <row r="6" customFormat="false" ht="36" hidden="false" customHeight="true" outlineLevel="0" collapsed="false">
      <c r="A6" s="3" t="s">
        <v>232</v>
      </c>
      <c r="B6" s="52" t="s">
        <v>233</v>
      </c>
      <c r="C6" s="1" t="s">
        <v>8</v>
      </c>
      <c r="D6" s="52" t="s">
        <v>234</v>
      </c>
    </row>
    <row r="7" customFormat="false" ht="36" hidden="false" customHeight="true" outlineLevel="0" collapsed="false">
      <c r="A7" s="3" t="s">
        <v>235</v>
      </c>
      <c r="B7" s="52" t="s">
        <v>236</v>
      </c>
      <c r="C7" s="1" t="s">
        <v>237</v>
      </c>
      <c r="D7" s="52" t="s">
        <v>238</v>
      </c>
    </row>
    <row r="8" customFormat="false" ht="36" hidden="false" customHeight="true" outlineLevel="0" collapsed="false">
      <c r="A8" s="3" t="s">
        <v>239</v>
      </c>
      <c r="B8" s="52" t="s">
        <v>240</v>
      </c>
      <c r="C8" s="1" t="s">
        <v>241</v>
      </c>
      <c r="D8" s="52" t="s">
        <v>242</v>
      </c>
    </row>
    <row r="9" customFormat="false" ht="36" hidden="false" customHeight="true" outlineLevel="0" collapsed="false">
      <c r="A9" s="3" t="s">
        <v>243</v>
      </c>
      <c r="B9" s="52" t="s">
        <v>244</v>
      </c>
      <c r="C9" s="1" t="s">
        <v>8</v>
      </c>
      <c r="D9" s="52" t="s">
        <v>245</v>
      </c>
    </row>
    <row r="10" customFormat="false" ht="36" hidden="false" customHeight="true" outlineLevel="0" collapsed="false">
      <c r="A10" s="3" t="s">
        <v>246</v>
      </c>
      <c r="B10" s="52" t="s">
        <v>247</v>
      </c>
      <c r="C10" s="1" t="s">
        <v>248</v>
      </c>
      <c r="D10" s="52" t="s">
        <v>249</v>
      </c>
    </row>
    <row r="11" customFormat="false" ht="36" hidden="false" customHeight="true" outlineLevel="0" collapsed="false">
      <c r="A11" s="3" t="s">
        <v>250</v>
      </c>
      <c r="B11" s="52" t="s">
        <v>251</v>
      </c>
      <c r="C11" s="1" t="s">
        <v>252</v>
      </c>
      <c r="D11" s="52" t="s">
        <v>253</v>
      </c>
    </row>
    <row r="12" customFormat="false" ht="36" hidden="false" customHeight="true" outlineLevel="0" collapsed="false">
      <c r="A12" s="3" t="s">
        <v>36</v>
      </c>
      <c r="B12" s="52" t="s">
        <v>254</v>
      </c>
      <c r="C12" s="1" t="s">
        <v>241</v>
      </c>
      <c r="D12" s="52" t="s">
        <v>255</v>
      </c>
    </row>
    <row r="13" customFormat="false" ht="36" hidden="false" customHeight="true" outlineLevel="0" collapsed="false">
      <c r="A13" s="3" t="s">
        <v>256</v>
      </c>
      <c r="B13" s="52" t="s">
        <v>257</v>
      </c>
      <c r="C13" s="1" t="s">
        <v>241</v>
      </c>
      <c r="D13" s="52" t="s">
        <v>258</v>
      </c>
    </row>
    <row r="14" customFormat="false" ht="36" hidden="false" customHeight="true" outlineLevel="0" collapsed="false">
      <c r="A14" s="3" t="s">
        <v>259</v>
      </c>
      <c r="B14" s="52" t="s">
        <v>260</v>
      </c>
      <c r="C14" s="1" t="s">
        <v>241</v>
      </c>
      <c r="D14" s="52" t="s">
        <v>261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2026-09-07T13:15:21Z</dcterms:created>
  <dc:creator>openpyxl</dc:creator>
  <dc:description/>
  <dc:language>en-US</dc:language>
  <cp:lastModifiedBy/>
  <dcterms:modified xsi:type="dcterms:W3CDTF">2026-09-07T13:28:31Z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