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3"/>
    <sheet name="Inputs" sheetId="2" state="visible" r:id="rId4"/>
    <sheet name="RentRoll" sheetId="3" state="visible" r:id="rId5"/>
    <sheet name="UW" sheetId="4" state="visible" r:id="rId6"/>
    <sheet name="Debt" sheetId="5" state="visible" r:id="rId7"/>
    <sheet name="Sensitivity" sheetId="6" state="visible" r:id="rId8"/>
    <sheet name="HistoricalVsUW" sheetId="7" state="visible" r:id="rId9"/>
    <sheet name="Reported" sheetId="8" state="visible" r:id="rId10"/>
    <sheet name="SourceRegister" sheetId="9" state="visible" r:id="rId11"/>
  </sheets>
  <definedNames>
    <definedName function="false" hidden="false" name="capitalization_value_out" vbProcedure="false">UW!$B$20</definedName>
    <definedName function="false" hidden="false" name="cap_rate_input" vbProcedure="false">Inputs!$B$4</definedName>
    <definedName function="false" hidden="false" name="gross_potential_rent_input" vbProcedure="false">Inputs!$B$3</definedName>
    <definedName function="false" hidden="false" name="maximum_loan_out" vbProcedure="false">Debt!$B$18</definedName>
    <definedName function="false" hidden="false" name="net_cash_out_out" vbProcedure="false">Debt!$B$29</definedName>
    <definedName function="false" hidden="false" name="sizing_rate_input" vbProcedure="false">Inputs!$B$5</definedName>
    <definedName function="false" hidden="false" name="uw_egi_out" vbProcedure="false">UW!$B$6</definedName>
    <definedName function="false" hidden="false" name="uw_ncf_out" vbProcedure="false">UW!$B$18</definedName>
    <definedName function="false" hidden="false" name="uw_noi_out" vbProcedure="false">UW!$B$16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<sst xmlns="http://schemas.openxmlformats.org/spreadsheetml/2006/main" count="591" uniqueCount="346">
  <si>
    <t xml:space="preserve">Falcon Distribution — Reconciled Underwriting Workbook</t>
  </si>
  <si>
    <t xml:space="preserve">Property</t>
  </si>
  <si>
    <t xml:space="preserve">Falcon Distribution</t>
  </si>
  <si>
    <t xml:space="preserve">Market</t>
  </si>
  <si>
    <t xml:space="preserve">Indianapolis, IN</t>
  </si>
  <si>
    <t xml:space="preserve">Asset type</t>
  </si>
  <si>
    <t xml:space="preserve">Industrial</t>
  </si>
  <si>
    <t xml:space="preserve">Analysis as-of date</t>
  </si>
  <si>
    <t xml:space="preserve">2026-08-31</t>
  </si>
  <si>
    <t xml:space="preserve">Prepared by</t>
  </si>
  <si>
    <t xml:space="preserve">Lev — Underwriting</t>
  </si>
  <si>
    <t xml:space="preserve">Sources</t>
  </si>
  <si>
    <t xml:space="preserve">Packet documents only — no external research</t>
  </si>
  <si>
    <t xml:space="preserve">Notice</t>
  </si>
  <si>
    <t xml:space="preserve">Original fictional evaluation material; no real transaction</t>
  </si>
  <si>
    <t xml:space="preserve">Approved copy</t>
  </si>
  <si>
    <t xml:space="preserve">Source-backed analysis. Assumptions remain subject to diligence.</t>
  </si>
  <si>
    <t xml:space="preserve">Workbook navigation</t>
  </si>
  <si>
    <t xml:space="preserve">Inputs</t>
  </si>
  <si>
    <t xml:space="preserve">Named driver inputs (gross_potential_rent, cap_rate, sizing_rate). Yellow-fill cells are editable.</t>
  </si>
  <si>
    <t xml:space="preserve">RentRoll</t>
  </si>
  <si>
    <t xml:space="preserve">Reconciled certified rent roll (2026-08-31) with unit mix and occupancy formulas.</t>
  </si>
  <si>
    <t xml:space="preserve">UW</t>
  </si>
  <si>
    <t xml:space="preserve">Underwriting: EGI, expenses, NOI, NCF, capitalization value.</t>
  </si>
  <si>
    <t xml:space="preserve">Debt</t>
  </si>
  <si>
    <t xml:space="preserve">LTV / DSCR / debt-yield sizing tests and sources/uses.</t>
  </si>
  <si>
    <t xml:space="preserve">Sensitivity</t>
  </si>
  <si>
    <t xml:space="preserve">Two-way sensitivity: max loan vs. sizing rate × cap rate.</t>
  </si>
  <si>
    <t xml:space="preserve">Reported</t>
  </si>
  <si>
    <t xml:space="preserve">Field-level output table with evidence and locations.</t>
  </si>
  <si>
    <t xml:space="preserve">SourceRegister</t>
  </si>
  <si>
    <t xml:space="preserve">Filename, page/cell citations for every fact used.</t>
  </si>
  <si>
    <t xml:space="preserve">Named driver inputs (edit yellow cells)</t>
  </si>
  <si>
    <t xml:space="preserve">Field</t>
  </si>
  <si>
    <t xml:space="preserve">Value</t>
  </si>
  <si>
    <t xml:space="preserve">Unit</t>
  </si>
  <si>
    <t xml:space="preserve">Notes / source</t>
  </si>
  <si>
    <t xml:space="preserve">gross_potential_rent</t>
  </si>
  <si>
    <t xml:space="preserve">USD/yr</t>
  </si>
  <si>
    <t xml:space="preserve">All-suite scheduled monthly rent on certified roll × 12, before Suite 001 amendment (underwriting-instructions.pdf).</t>
  </si>
  <si>
    <t xml:space="preserve">cap_rate</t>
  </si>
  <si>
    <t xml:space="preserve">decimal</t>
  </si>
  <si>
    <t xml:space="preserve">6.2500% — underwriting-instructions.pdf.</t>
  </si>
  <si>
    <t xml:space="preserve">sizing_rate</t>
  </si>
  <si>
    <t xml:space="preserve">Greater of note rate 6.10% and floor 7.00% (underwriting-instructions.pdf).</t>
  </si>
  <si>
    <t xml:space="preserve">Prescribed assumptions (from underwriting-instructions.pdf)</t>
  </si>
  <si>
    <t xml:space="preserve">economic_loss_pct</t>
  </si>
  <si>
    <t xml:space="preserve">5% economic loss on GPR.</t>
  </si>
  <si>
    <t xml:space="preserve">other_income_per_unit</t>
  </si>
  <si>
    <t xml:space="preserve">USD/unit/yr</t>
  </si>
  <si>
    <t xml:space="preserve">Annual other income.</t>
  </si>
  <si>
    <t xml:space="preserve">mgmt_pct_of_egi</t>
  </si>
  <si>
    <t xml:space="preserve">Management fee = 3% of UW EGI.</t>
  </si>
  <si>
    <t xml:space="preserve">reserve_per_unit</t>
  </si>
  <si>
    <t xml:space="preserve">Replacement reserve.</t>
  </si>
  <si>
    <t xml:space="preserve">uw_tax</t>
  </si>
  <si>
    <t xml:space="preserve">Prescribed taxes.</t>
  </si>
  <si>
    <t xml:space="preserve">uw_insurance</t>
  </si>
  <si>
    <t xml:space="preserve">Prescribed insurance.</t>
  </si>
  <si>
    <t xml:space="preserve">uw_other_opex</t>
  </si>
  <si>
    <t xml:space="preserve">Prescribed other recurring opex.</t>
  </si>
  <si>
    <t xml:space="preserve">ltv_limit</t>
  </si>
  <si>
    <t xml:space="preserve">Max LTV constraint.</t>
  </si>
  <si>
    <t xml:space="preserve">dscr_limit</t>
  </si>
  <si>
    <t xml:space="preserve">ratio</t>
  </si>
  <si>
    <t xml:space="preserve">Min DSCR constraint.</t>
  </si>
  <si>
    <t xml:space="preserve">debt_yield_limit</t>
  </si>
  <si>
    <t xml:space="preserve">Min NCF debt yield.</t>
  </si>
  <si>
    <t xml:space="preserve">amort_years</t>
  </si>
  <si>
    <t xml:space="preserve">years</t>
  </si>
  <si>
    <t xml:space="preserve">Monthly amortization.</t>
  </si>
  <si>
    <t xml:space="preserve">note_rate</t>
  </si>
  <si>
    <t xml:space="preserve">Contract note rate (informational).</t>
  </si>
  <si>
    <t xml:space="preserve">origination_pct</t>
  </si>
  <si>
    <t xml:space="preserve">Origination fee % of sized loan.</t>
  </si>
  <si>
    <t xml:space="preserve">closing_costs</t>
  </si>
  <si>
    <t xml:space="preserve">USD</t>
  </si>
  <si>
    <t xml:space="preserve">Prescribed closing costs.</t>
  </si>
  <si>
    <t xml:space="preserve">existing_payoff</t>
  </si>
  <si>
    <t xml:space="preserve">Existing loan payoff.</t>
  </si>
  <si>
    <t xml:space="preserve">total_units</t>
  </si>
  <si>
    <t xml:space="preserve">count</t>
  </si>
  <si>
    <t xml:space="preserve">From certified roll.</t>
  </si>
  <si>
    <t xml:space="preserve">Certified rent roll as of 2026-08-31 (rent-roll-certified.xlsx)</t>
  </si>
  <si>
    <t xml:space="preserve">Suite</t>
  </si>
  <si>
    <t xml:space="preserve">Unit type</t>
  </si>
  <si>
    <t xml:space="preserve">Group</t>
  </si>
  <si>
    <t xml:space="preserve">Area SF</t>
  </si>
  <si>
    <t xml:space="preserve">Possession</t>
  </si>
  <si>
    <t xml:space="preserve">Monthly rent</t>
  </si>
  <si>
    <t xml:space="preserve">Annual rent</t>
  </si>
  <si>
    <t xml:space="preserve">Occupied SF</t>
  </si>
  <si>
    <t xml:space="preserve">In-place monthly (occ)</t>
  </si>
  <si>
    <t xml:space="preserve">001</t>
  </si>
  <si>
    <t xml:space="preserve">Small suite</t>
  </si>
  <si>
    <t xml:space="preserve">A</t>
  </si>
  <si>
    <t xml:space="preserve">active</t>
  </si>
  <si>
    <t xml:space="preserve">002</t>
  </si>
  <si>
    <t xml:space="preserve">Standard suite</t>
  </si>
  <si>
    <t xml:space="preserve">B</t>
  </si>
  <si>
    <t xml:space="preserve">003</t>
  </si>
  <si>
    <t xml:space="preserve">Large suite</t>
  </si>
  <si>
    <t xml:space="preserve">C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</si>
  <si>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</si>
  <si>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</si>
  <si>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</si>
  <si>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</si>
  <si>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</si>
  <si>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vacant</t>
  </si>
  <si>
    <t xml:space="preserve">Totals</t>
  </si>
  <si>
    <t xml:space="preserve">Reconciled counts (formulas driven from roll above)</t>
  </si>
  <si>
    <t xml:space="preserve">occupied_units</t>
  </si>
  <si>
    <t xml:space="preserve">pending_units</t>
  </si>
  <si>
    <t xml:space="preserve">vacant_units</t>
  </si>
  <si>
    <t xml:space="preserve">total_area_sf</t>
  </si>
  <si>
    <t xml:space="preserve">SF</t>
  </si>
  <si>
    <t xml:space="preserve">occupied_area_sf</t>
  </si>
  <si>
    <t xml:space="preserve">unit_occupancy</t>
  </si>
  <si>
    <t xml:space="preserve">area_occupancy</t>
  </si>
  <si>
    <t xml:space="preserve">unit_001_monthly_rent</t>
  </si>
  <si>
    <t xml:space="preserve">USD/mo</t>
  </si>
  <si>
    <t xml:space="preserve">annual_in_place_rent</t>
  </si>
  <si>
    <t xml:space="preserve">Unit mix by manager group (A=Small, B=Standard, C=Large)</t>
  </si>
  <si>
    <t xml:space="preserve">Units</t>
  </si>
  <si>
    <t xml:space="preserve">Occupied</t>
  </si>
  <si>
    <t xml:space="preserve">Underwriting — EGI to NCF and capitalization</t>
  </si>
  <si>
    <t xml:space="preserve">Line</t>
  </si>
  <si>
    <t xml:space="preserve">Formula / source</t>
  </si>
  <si>
    <t xml:space="preserve">Named input — instructions convention.</t>
  </si>
  <si>
    <t xml:space="preserve">economic_loss</t>
  </si>
  <si>
    <t xml:space="preserve">5% × GPR (economic vacancy/credit loss).</t>
  </si>
  <si>
    <t xml:space="preserve">other_income</t>
  </si>
  <si>
    <t xml:space="preserve">$350 × total units.</t>
  </si>
  <si>
    <t xml:space="preserve">uw_egi</t>
  </si>
  <si>
    <t xml:space="preserve">GPR − economic loss + other income; reimbursements already in GPR.</t>
  </si>
  <si>
    <t xml:space="preserve">Operating expenses (annual)</t>
  </si>
  <si>
    <t xml:space="preserve">Prescribed.</t>
  </si>
  <si>
    <t xml:space="preserve">Prescribed — distinct from insurance policy coverage limit.</t>
  </si>
  <si>
    <t xml:space="preserve">uw_other_operating_exp</t>
  </si>
  <si>
    <t xml:space="preserve">Prescribed other recurring.</t>
  </si>
  <si>
    <t xml:space="preserve">uw_management_fee</t>
  </si>
  <si>
    <t xml:space="preserve">3% of UW EGI.</t>
  </si>
  <si>
    <t xml:space="preserve">uw_total_operating_exp</t>
  </si>
  <si>
    <t xml:space="preserve">Sum of tax + ins + other + mgmt.</t>
  </si>
  <si>
    <t xml:space="preserve">NOI, reserves, NCF, capitalization</t>
  </si>
  <si>
    <t xml:space="preserve">uw_noi</t>
  </si>
  <si>
    <t xml:space="preserve">EGI − total opex (before reserves).</t>
  </si>
  <si>
    <t xml:space="preserve">replacement_reserves</t>
  </si>
  <si>
    <t xml:space="preserve">$300 × total units.</t>
  </si>
  <si>
    <t xml:space="preserve">uw_ncf</t>
  </si>
  <si>
    <t xml:space="preserve">NOI − reserves.</t>
  </si>
  <si>
    <t xml:space="preserve">Named input.</t>
  </si>
  <si>
    <t xml:space="preserve">capitalization_value</t>
  </si>
  <si>
    <t xml:space="preserve">NOI (before reserves) ÷ cap rate.</t>
  </si>
  <si>
    <t xml:space="preserve">Debt sizing — LTV, DSCR, Debt Yield; Sources &amp; Uses</t>
  </si>
  <si>
    <t xml:space="preserve">Greater of note rate &amp; 7.00% floor.</t>
  </si>
  <si>
    <t xml:space="preserve">Contract rate (informational).</t>
  </si>
  <si>
    <t xml:space="preserve">30-yr monthly amortization.</t>
  </si>
  <si>
    <t xml:space="preserve">monthly_rate</t>
  </si>
  <si>
    <t xml:space="preserve">Sizing rate ÷ 12.</t>
  </si>
  <si>
    <t xml:space="preserve">n_periods</t>
  </si>
  <si>
    <t xml:space="preserve">months</t>
  </si>
  <si>
    <t xml:space="preserve">Amort years × 12.</t>
  </si>
  <si>
    <t xml:space="preserve">annual_debt_constant</t>
  </si>
  <si>
    <t xml:space="preserve">Annualized level-payment constant per $1 loan.</t>
  </si>
  <si>
    <t xml:space="preserve">ncf_for_sizing</t>
  </si>
  <si>
    <t xml:space="preserve">NCF after reserves.</t>
  </si>
  <si>
    <t xml:space="preserve">noi_for_sizing</t>
  </si>
  <si>
    <t xml:space="preserve">NOI before reserves.</t>
  </si>
  <si>
    <t xml:space="preserve">cap_value</t>
  </si>
  <si>
    <t xml:space="preserve">Capitalization value.</t>
  </si>
  <si>
    <t xml:space="preserve">Max LTV.</t>
  </si>
  <si>
    <t xml:space="preserve">Min DSCR.</t>
  </si>
  <si>
    <t xml:space="preserve">max_loan_ltv</t>
  </si>
  <si>
    <t xml:space="preserve">LTV × cap value.</t>
  </si>
  <si>
    <t xml:space="preserve">max_loan_dscr</t>
  </si>
  <si>
    <t xml:space="preserve">NCF ÷ (DSCR × annual constant).</t>
  </si>
  <si>
    <t xml:space="preserve">max_loan_debt_yield</t>
  </si>
  <si>
    <t xml:space="preserve">NCF ÷ DY.</t>
  </si>
  <si>
    <t xml:space="preserve">maximum_loan</t>
  </si>
  <si>
    <t xml:space="preserve">Minimum of the three.</t>
  </si>
  <si>
    <t xml:space="preserve">binding_constraint</t>
  </si>
  <si>
    <t xml:space="preserve">text</t>
  </si>
  <si>
    <t xml:space="preserve">Which test is binding.</t>
  </si>
  <si>
    <t xml:space="preserve">Sources &amp; Uses</t>
  </si>
  <si>
    <t xml:space="preserve">Sources: sized loan</t>
  </si>
  <si>
    <t xml:space="preserve">Constrained maximum loan.</t>
  </si>
  <si>
    <t xml:space="preserve">Sources: sponsor equity</t>
  </si>
  <si>
    <t xml:space="preserve">Additional equity if net cash-out is negative.</t>
  </si>
  <si>
    <t xml:space="preserve">Uses: existing payoff</t>
  </si>
  <si>
    <t xml:space="preserve">Uses: closing costs</t>
  </si>
  <si>
    <t xml:space="preserve">Uses: origination fee</t>
  </si>
  <si>
    <t xml:space="preserve">1% × sized loan.</t>
  </si>
  <si>
    <t xml:space="preserve">Uses: cash to sponsor</t>
  </si>
  <si>
    <t xml:space="preserve">Positive net cash-out returned to sponsor.</t>
  </si>
  <si>
    <t xml:space="preserve">net_cash_out</t>
  </si>
  <si>
    <t xml:space="preserve">Loan − payoff − closing − origination. Negative = additional equity required.</t>
  </si>
  <si>
    <t xml:space="preserve">Sizing diagnostics</t>
  </si>
  <si>
    <t xml:space="preserve">DSCR at sized loan</t>
  </si>
  <si>
    <t xml:space="preserve">LTV at sized loan</t>
  </si>
  <si>
    <t xml:space="preserve">Debt yield at sized loan</t>
  </si>
  <si>
    <t xml:space="preserve">Two-way sensitivity — Maximum loan ($) by sizing rate × cap rate</t>
  </si>
  <si>
    <t xml:space="preserve">Rows: sizing rate; Columns: cap rate</t>
  </si>
  <si>
    <t xml:space="preserve">Sizing rate \ Cap rate</t>
  </si>
  <si>
    <t xml:space="preserve">Historical T12 vs. Underwritten — with definitions</t>
  </si>
  <si>
    <t xml:space="preserve">Historical T12</t>
  </si>
  <si>
    <t xml:space="preserve">Underwritten</t>
  </si>
  <si>
    <t xml:space="preserve">Delta</t>
  </si>
  <si>
    <t xml:space="preserve">Definition / note</t>
  </si>
  <si>
    <t xml:space="preserve">Rental &amp; ancillary collections (T12)</t>
  </si>
  <si>
    <t xml:space="preserve">Historical is cash collections (incl. reimbursements). UW is EGI after 5% economic loss + $350/unit other income.</t>
  </si>
  <si>
    <t xml:space="preserve">Real estate tax expense</t>
  </si>
  <si>
    <t xml:space="preserve">Prescribed = historical.</t>
  </si>
  <si>
    <t xml:space="preserve">Insurance expense</t>
  </si>
  <si>
    <t xml:space="preserve">Other recurring operating expenses</t>
  </si>
  <si>
    <t xml:space="preserve">Management fee</t>
  </si>
  <si>
    <t xml:space="preserve">Historical statement did not book a mgmt fee; UW adds 3% × EGI.</t>
  </si>
  <si>
    <t xml:space="preserve">Reported / underwritten NOI (pre-reserve)</t>
  </si>
  <si>
    <t xml:space="preserve">Historical 'Reported NOI' uses cash operating results. Underwritten NOI uses scheduled potential with prescribed EGI/opex — different definitions.</t>
  </si>
  <si>
    <t xml:space="preserve">Replacement reserves</t>
  </si>
  <si>
    <t xml:space="preserve">Not booked historically; UW = $300/unit.</t>
  </si>
  <si>
    <t xml:space="preserve">Net Cash Flow (NCF) after reserves</t>
  </si>
  <si>
    <t xml:space="preserve">unknown (not reported historically)</t>
  </si>
  <si>
    <t xml:space="preserve">n/a</t>
  </si>
  <si>
    <t xml:space="preserve">Historical NCF is not reported in the operating statement.</t>
  </si>
  <si>
    <t xml:space="preserve">Reported fields — value, unit, evidence, location, calculation</t>
  </si>
  <si>
    <t xml:space="preserve">Field id</t>
  </si>
  <si>
    <t xml:space="preserve">Evidence filename</t>
  </si>
  <si>
    <t xml:space="preserve">Page/cell</t>
  </si>
  <si>
    <t xml:space="preserve">Calculation / basis</t>
  </si>
  <si>
    <t xml:space="preserve">rent-roll-certified.xlsx</t>
  </si>
  <si>
    <t xml:space="preserve">Rent Roll!A5:A12</t>
  </si>
  <si>
    <t xml:space="preserve">COUNTA suites on certified roll.</t>
  </si>
  <si>
    <t xml:space="preserve">Rent Roll!D5:D12</t>
  </si>
  <si>
    <t xml:space="preserve">COUNTIF possession = "active".</t>
  </si>
  <si>
    <t xml:space="preserve">No suite marked pending on certified roll.</t>
  </si>
  <si>
    <t xml:space="preserve">Rent Roll!C5:C12</t>
  </si>
  <si>
    <t xml:space="preserve">SUM of Area SF.</t>
  </si>
  <si>
    <t xml:space="preserve">Rent Roll!C5:C12,D5:D12</t>
  </si>
  <si>
    <t xml:space="preserve">SUMIF possession="active".</t>
  </si>
  <si>
    <t xml:space="preserve">Rent Roll!A5:A12,D5:D12</t>
  </si>
  <si>
    <t xml:space="preserve">occupied_units ÷ total_units.</t>
  </si>
  <si>
    <t xml:space="preserve">occupied_area_sf ÷ total_area_sf.</t>
  </si>
  <si>
    <t xml:space="preserve">Rent Roll!E5:E12,D5:D12</t>
  </si>
  <si>
    <t xml:space="preserve">Σ (active suite monthly rent) × 12.</t>
  </si>
  <si>
    <t xml:space="preserve">rent-roll-certified.xlsx; lease-001.pdf</t>
  </si>
  <si>
    <t xml:space="preserve">Rent Roll!E5; lease p.1</t>
  </si>
  <si>
    <t xml:space="preserve">Certified roll matches executed amendment ($14,450).</t>
  </si>
  <si>
    <t xml:space="preserve">underwriting-instructions.pdf</t>
  </si>
  <si>
    <t xml:space="preserve">p.1 para 2</t>
  </si>
  <si>
    <t xml:space="preserve">All-suite scheduled × 12 before Suite 001 amendment.</t>
  </si>
  <si>
    <t xml:space="preserve">GPR − 5% economic loss + other income; reimbursements included.</t>
  </si>
  <si>
    <t xml:space="preserve">p.1 para 3</t>
  </si>
  <si>
    <t xml:space="preserve">Prescribed; policy coverage limit is separate.</t>
  </si>
  <si>
    <t xml:space="preserve">uw_operating_expenses</t>
  </si>
  <si>
    <t xml:space="preserve">Tax + Ins + Other + Mgmt (3% EGI).</t>
  </si>
  <si>
    <t xml:space="preserve">EGI − opex, before reserves.</t>
  </si>
  <si>
    <t xml:space="preserve">NOI − reserves ($300/unit).</t>
  </si>
  <si>
    <t xml:space="preserve">p.1 para 4</t>
  </si>
  <si>
    <t xml:space="preserve">Max(note 6.10%, floor 7.00%) = 7.00%.</t>
  </si>
  <si>
    <t xml:space="preserve">Prescribed 6.2500%.</t>
  </si>
  <si>
    <t xml:space="preserve">NOI (pre-reserve) ÷ cap rate.</t>
  </si>
  <si>
    <t xml:space="preserve">65%.</t>
  </si>
  <si>
    <t xml:space="preserve">1.25×.</t>
  </si>
  <si>
    <t xml:space="preserve">9%.</t>
  </si>
  <si>
    <t xml:space="preserve">MIN(LTV, DSCR, DY) sizing.</t>
  </si>
  <si>
    <t xml:space="preserve">Loan − payoff − closing − origination.</t>
  </si>
  <si>
    <t xml:space="preserve">insurance_policy_limit</t>
  </si>
  <si>
    <t xml:space="preserve">insurance.pdf</t>
  </si>
  <si>
    <t xml:space="preserve">p.1 para 1</t>
  </si>
  <si>
    <t xml:space="preserve">GL aggregate limit; distinct from insurance expense.</t>
  </si>
  <si>
    <t xml:space="preserve">selected_roll_date</t>
  </si>
  <si>
    <t xml:space="preserve">date</t>
  </si>
  <si>
    <t xml:space="preserve">Rent Roll!B2</t>
  </si>
  <si>
    <t xml:space="preserve">Certified controls over archive (2026-06-30).</t>
  </si>
  <si>
    <t xml:space="preserve">reported_t12_noi</t>
  </si>
  <si>
    <t xml:space="preserve">operating-statement.pdf</t>
  </si>
  <si>
    <t xml:space="preserve">p.1 table</t>
  </si>
  <si>
    <t xml:space="preserve">Historical reported NOI.</t>
  </si>
  <si>
    <t xml:space="preserve">type_a_units</t>
  </si>
  <si>
    <t xml:space="preserve">rent-roll-certified.xlsx; manager-cover.pdf</t>
  </si>
  <si>
    <t xml:space="preserve">Rent Roll!B5:B12; cover p.1</t>
  </si>
  <si>
    <t xml:space="preserve">Small suites (A).</t>
  </si>
  <si>
    <t xml:space="preserve">type_a_occupied</t>
  </si>
  <si>
    <t xml:space="preserve">Small suites, active.</t>
  </si>
  <si>
    <t xml:space="preserve">type_b_units</t>
  </si>
  <si>
    <t xml:space="preserve">Standard suites (B).</t>
  </si>
  <si>
    <t xml:space="preserve">type_b_occupied</t>
  </si>
  <si>
    <t xml:space="preserve">Standard suites, active.</t>
  </si>
  <si>
    <t xml:space="preserve">type_c_units</t>
  </si>
  <si>
    <t xml:space="preserve">Large suites (C).</t>
  </si>
  <si>
    <t xml:space="preserve">type_c_occupied</t>
  </si>
  <si>
    <t xml:space="preserve">Large suites, active.</t>
  </si>
  <si>
    <t xml:space="preserve">risk_pending_in_occupancy</t>
  </si>
  <si>
    <t xml:space="preserve">present</t>
  </si>
  <si>
    <t xml:space="preserve">flag</t>
  </si>
  <si>
    <t xml:space="preserve">manager-cover.pdf; rent-roll-certified.xlsx</t>
  </si>
  <si>
    <t xml:space="preserve">cover p.1; Rent Roll!D5:D12</t>
  </si>
  <si>
    <t xml:space="preserve">Manager headline counts pending as leased (7 of 8); certified detail shows 7 active + 1 vacant, no pending. Manager classification bias — present.</t>
  </si>
  <si>
    <t xml:space="preserve">risk_near_term_rollover</t>
  </si>
  <si>
    <t xml:space="preserve">absent</t>
  </si>
  <si>
    <t xml:space="preserve">Rent Roll!F5:F12</t>
  </si>
  <si>
    <t xml:space="preserve">All expirations 2029-08-31, &gt; 12 months from 2026-08-31.</t>
  </si>
  <si>
    <t xml:space="preserve">risk_missing_insurance</t>
  </si>
  <si>
    <t xml:space="preserve">p.1</t>
  </si>
  <si>
    <t xml:space="preserve">Policy declaration is present.</t>
  </si>
  <si>
    <t xml:space="preserve">risk_capital_in_opex</t>
  </si>
  <si>
    <t xml:space="preserve">'Roof replacement booked in repairs: 0' — capital excluded from opex ledger.</t>
  </si>
  <si>
    <t xml:space="preserve">risk_unsigned_rent_change</t>
  </si>
  <si>
    <t xml:space="preserve">lease-001.pdf; lease-correspondence.pdf</t>
  </si>
  <si>
    <t xml:space="preserve">lease p.1; corr. p.1</t>
  </si>
  <si>
    <t xml:space="preserve">Amendment is executed; PM confirms no additional unsigned proposals affect Suite 001.</t>
  </si>
  <si>
    <t xml:space="preserve">risk_temporary_free_rent</t>
  </si>
  <si>
    <t xml:space="preserve">lease-001.pdf</t>
  </si>
  <si>
    <t xml:space="preserve">'No free-rent concession applies as of the evaluation date.'</t>
  </si>
  <si>
    <t xml:space="preserve">risk_sizing_floor_binding</t>
  </si>
  <si>
    <t xml:space="preserve">Note 6.10% &lt; floor 7.00%; sizing at floor.</t>
  </si>
  <si>
    <t xml:space="preserve">risk_refinance_shortfall</t>
  </si>
  <si>
    <t xml:space="preserve">Debt!B29</t>
  </si>
  <si>
    <t xml:space="preserve">net_cash_out &gt; 0 → surplus, no shortfall.</t>
  </si>
  <si>
    <t xml:space="preserve">Source register — every fact cited</t>
  </si>
  <si>
    <t xml:space="preserve">Filename</t>
  </si>
  <si>
    <t xml:space="preserve">Field(s) cited</t>
  </si>
  <si>
    <t xml:space="preserve">Note</t>
  </si>
  <si>
    <t xml:space="preserve">Controlling roll as-of 2026-08-31.</t>
  </si>
  <si>
    <t xml:space="preserve">Rent Roll!A5:G12</t>
  </si>
  <si>
    <t xml:space="preserve">unit mix, occupancy, in-place rent</t>
  </si>
  <si>
    <t xml:space="preserve">All suite-level facts.</t>
  </si>
  <si>
    <t xml:space="preserve">rent-roll-archive.xlsx</t>
  </si>
  <si>
    <t xml:space="preserve">(archive)</t>
  </si>
  <si>
    <t xml:space="preserve">2026-06-30 stale — not used.</t>
  </si>
  <si>
    <t xml:space="preserve">Executed amendment: $14,450/mo, expiry 2029-08-31; SD $28,900.</t>
  </si>
  <si>
    <t xml:space="preserve">lease-correspondence.pdf</t>
  </si>
  <si>
    <t xml:space="preserve">PM confirms no additional amendments/concessions for Suite 001 as of 2026-08-31.</t>
  </si>
  <si>
    <t xml:space="preserve">insurance_policy_limit, risk_missing_insurance</t>
  </si>
  <si>
    <t xml:space="preserve">GL aggregate $2,000,000; expense $49,098 separate.</t>
  </si>
  <si>
    <t xml:space="preserve">reported_t12_noi, risk_capital_in_opex</t>
  </si>
  <si>
    <t xml:space="preserve">T12 through 2026-08-31; roof capitalized (not in repairs).</t>
  </si>
  <si>
    <t xml:space="preserve">manager-cover.pdf</t>
  </si>
  <si>
    <t xml:space="preserve">group mapping, risk_pending_in_occupancy</t>
  </si>
  <si>
    <t xml:space="preserve">A/B/C = Small/Standard/Large; headline '7 of 8 leased' counts pending as leased.</t>
  </si>
  <si>
    <t xml:space="preserve">GPR, EGI, opex, cap rate, sizing, debt constraints</t>
  </si>
  <si>
    <t xml:space="preserve">Prescribed model parameters.</t>
  </si>
  <si>
    <t xml:space="preserve">diligence-status.pdf</t>
  </si>
  <si>
    <t xml:space="preserve">(qualifications)</t>
  </si>
  <si>
    <t xml:space="preserve">Legal/enviro/PCA/title routine pending; no findings of defect asserted.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</si>
</sst>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\$#,##0.00"/>
    <numFmt numFmtId="166" formatCode="0.0000%"/>
    <numFmt numFmtId="167" formatCode="0.00%"/>
    <numFmt numFmtId="168" formatCode="\$#,##0"/>
    <numFmt numFmtId="169" formatCode="0.00\x"/>
    <numFmt numFmtId="170" formatCode="#,##0"/>
    <numFmt numFmtId="171" formatCode="0.0000"/>
    <numFmt numFmtId="172" formatCode="0.000000%"/>
    <numFmt numFmtId="173" formatCode="0.000000"/>
    <numFmt numFmtId="174" formatCode="@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i val="true"/>
      <sz val="9"/>
      <color rgb="FF595959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C6EFCE"/>
      </patternFill>
    </fill>
    <fill>
      <patternFill patternType="solid">
        <fgColor rgb="FFFFF2CC"/>
        <bgColor rgb="FFFFFFFF"/>
      </patternFill>
    </fill>
    <fill>
      <patternFill patternType="solid">
        <fgColor rgb="FFC6EFCE"/>
        <bgColor rgb="FFD9E1F2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5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5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60"/>
  </cols>
  <sheetData>
    <row r="1" customFormat="false" ht="15" hidden="false" customHeight="true" outlineLevel="0" collapsed="false">
      <c r="A1" s="2" t="s">
        <v>0</v>
      </c>
      <c r="B1" s="2"/>
    </row>
    <row r="3" customFormat="false" ht="15" hidden="false" customHeight="true" outlineLevel="0" collapsed="false">
      <c r="A3" s="3" t="s">
        <v>1</v>
      </c>
      <c r="B3" s="4" t="s">
        <v>2</v>
      </c>
    </row>
    <row r="4" customFormat="false" ht="15" hidden="false" customHeight="true" outlineLevel="0" collapsed="false">
      <c r="A4" s="3" t="s">
        <v>3</v>
      </c>
      <c r="B4" s="4" t="s">
        <v>4</v>
      </c>
    </row>
    <row r="5" customFormat="false" ht="15" hidden="false" customHeight="true" outlineLevel="0" collapsed="false">
      <c r="A5" s="3" t="s">
        <v>5</v>
      </c>
      <c r="B5" s="4" t="s">
        <v>6</v>
      </c>
    </row>
    <row r="6" customFormat="false" ht="15" hidden="false" customHeight="true" outlineLevel="0" collapsed="false">
      <c r="A6" s="3" t="s">
        <v>7</v>
      </c>
      <c r="B6" s="4" t="s">
        <v>8</v>
      </c>
    </row>
    <row r="7" customFormat="false" ht="15" hidden="false" customHeight="true" outlineLevel="0" collapsed="false">
      <c r="A7" s="3" t="s">
        <v>9</v>
      </c>
      <c r="B7" s="4" t="s">
        <v>10</v>
      </c>
    </row>
    <row r="8" customFormat="false" ht="15" hidden="false" customHeight="true" outlineLevel="0" collapsed="false">
      <c r="A8" s="3" t="s">
        <v>11</v>
      </c>
      <c r="B8" s="4" t="s">
        <v>12</v>
      </c>
    </row>
    <row r="9" customFormat="false" ht="15" hidden="false" customHeight="true" outlineLevel="0" collapsed="false">
      <c r="A9" s="3" t="s">
        <v>13</v>
      </c>
      <c r="B9" s="4" t="s">
        <v>14</v>
      </c>
    </row>
    <row r="10" customFormat="false" ht="15" hidden="false" customHeight="true" outlineLevel="0" collapsed="false">
      <c r="A10" s="3" t="s">
        <v>15</v>
      </c>
      <c r="B10" s="4" t="s">
        <v>16</v>
      </c>
    </row>
    <row r="12" customFormat="false" ht="15" hidden="false" customHeight="true" outlineLevel="0" collapsed="false">
      <c r="A12" s="3" t="s">
        <v>17</v>
      </c>
    </row>
    <row r="13" customFormat="false" ht="15" hidden="false" customHeight="true" outlineLevel="0" collapsed="false">
      <c r="A13" s="3" t="s">
        <v>18</v>
      </c>
      <c r="B13" s="4" t="s">
        <v>19</v>
      </c>
    </row>
    <row r="14" customFormat="false" ht="15" hidden="false" customHeight="true" outlineLevel="0" collapsed="false">
      <c r="A14" s="3" t="s">
        <v>20</v>
      </c>
      <c r="B14" s="4" t="s">
        <v>21</v>
      </c>
    </row>
    <row r="15" customFormat="false" ht="15" hidden="false" customHeight="true" outlineLevel="0" collapsed="false">
      <c r="A15" s="3" t="s">
        <v>22</v>
      </c>
      <c r="B15" s="4" t="s">
        <v>23</v>
      </c>
    </row>
    <row r="16" customFormat="false" ht="15" hidden="false" customHeight="true" outlineLevel="0" collapsed="false">
      <c r="A16" s="3" t="s">
        <v>24</v>
      </c>
      <c r="B16" s="4" t="s">
        <v>25</v>
      </c>
    </row>
    <row r="17" customFormat="false" ht="15" hidden="false" customHeight="true" outlineLevel="0" collapsed="false">
      <c r="A17" s="3" t="s">
        <v>26</v>
      </c>
      <c r="B17" s="4" t="s">
        <v>27</v>
      </c>
    </row>
    <row r="18" customFormat="false" ht="15" hidden="false" customHeight="true" outlineLevel="0" collapsed="false">
      <c r="A18" s="3" t="s">
        <v>28</v>
      </c>
      <c r="B18" s="4" t="s">
        <v>29</v>
      </c>
    </row>
    <row r="19" customFormat="false" ht="15" hidden="false" customHeight="true" outlineLevel="0" collapsed="false">
      <c r="A19" s="3" t="s">
        <v>30</v>
      </c>
      <c r="B19" s="4" t="s">
        <v>31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20"/>
    <col collapsed="false" customWidth="true" hidden="false" outlineLevel="0" max="3" min="3" style="1" width="14"/>
    <col collapsed="false" customWidth="true" hidden="false" outlineLevel="0" max="4" min="4" style="1" width="60"/>
  </cols>
  <sheetData>
    <row r="1" customFormat="false" ht="15" hidden="false" customHeight="true" outlineLevel="0" collapsed="false">
      <c r="A1" s="5" t="s">
        <v>32</v>
      </c>
      <c r="B1" s="5"/>
      <c r="C1" s="5"/>
      <c r="D1" s="5"/>
    </row>
    <row r="2" customFormat="false" ht="15" hidden="false" customHeight="true" outlineLevel="0" collapsed="false">
      <c r="A2" s="6" t="s">
        <v>33</v>
      </c>
      <c r="B2" s="6" t="s">
        <v>34</v>
      </c>
      <c r="C2" s="6" t="s">
        <v>35</v>
      </c>
      <c r="D2" s="6" t="s">
        <v>36</v>
      </c>
    </row>
    <row r="3" customFormat="false" ht="15" hidden="false" customHeight="true" outlineLevel="0" collapsed="false">
      <c r="A3" s="3" t="s">
        <v>37</v>
      </c>
      <c r="B3" s="7" t="n">
        <v>1401900</v>
      </c>
      <c r="C3" s="8" t="s">
        <v>38</v>
      </c>
      <c r="D3" s="4" t="s">
        <v>39</v>
      </c>
    </row>
    <row r="4" customFormat="false" ht="15" hidden="false" customHeight="true" outlineLevel="0" collapsed="false">
      <c r="A4" s="3" t="s">
        <v>40</v>
      </c>
      <c r="B4" s="9" t="n">
        <v>0.0625</v>
      </c>
      <c r="C4" s="8" t="s">
        <v>41</v>
      </c>
      <c r="D4" s="4" t="s">
        <v>42</v>
      </c>
    </row>
    <row r="5" customFormat="false" ht="15" hidden="false" customHeight="true" outlineLevel="0" collapsed="false">
      <c r="A5" s="3" t="s">
        <v>43</v>
      </c>
      <c r="B5" s="9" t="n">
        <v>0.08</v>
      </c>
      <c r="C5" s="8" t="s">
        <v>41</v>
      </c>
      <c r="D5" s="4" t="s">
        <v>44</v>
      </c>
    </row>
    <row r="7" customFormat="false" ht="15" hidden="false" customHeight="true" outlineLevel="0" collapsed="false">
      <c r="A7" s="10" t="s">
        <v>45</v>
      </c>
      <c r="B7" s="10"/>
      <c r="C7" s="10"/>
      <c r="D7" s="10"/>
    </row>
    <row r="8" customFormat="false" ht="15" hidden="false" customHeight="true" outlineLevel="0" collapsed="false">
      <c r="A8" s="3" t="s">
        <v>46</v>
      </c>
      <c r="B8" s="11" t="n">
        <v>0.05</v>
      </c>
      <c r="C8" s="8" t="s">
        <v>41</v>
      </c>
      <c r="D8" s="4" t="s">
        <v>47</v>
      </c>
    </row>
    <row r="9" customFormat="false" ht="15" hidden="false" customHeight="true" outlineLevel="0" collapsed="false">
      <c r="A9" s="3" t="s">
        <v>48</v>
      </c>
      <c r="B9" s="12" t="n">
        <v>350</v>
      </c>
      <c r="C9" s="8" t="s">
        <v>49</v>
      </c>
      <c r="D9" s="4" t="s">
        <v>50</v>
      </c>
    </row>
    <row r="10" customFormat="false" ht="15" hidden="false" customHeight="true" outlineLevel="0" collapsed="false">
      <c r="A10" s="3" t="s">
        <v>51</v>
      </c>
      <c r="B10" s="11" t="n">
        <v>0.03</v>
      </c>
      <c r="C10" s="8" t="s">
        <v>41</v>
      </c>
      <c r="D10" s="4" t="s">
        <v>52</v>
      </c>
    </row>
    <row r="11" customFormat="false" ht="15" hidden="false" customHeight="true" outlineLevel="0" collapsed="false">
      <c r="A11" s="3" t="s">
        <v>53</v>
      </c>
      <c r="B11" s="12" t="n">
        <v>300</v>
      </c>
      <c r="C11" s="8" t="s">
        <v>49</v>
      </c>
      <c r="D11" s="4" t="s">
        <v>54</v>
      </c>
    </row>
    <row r="12" customFormat="false" ht="15" hidden="false" customHeight="true" outlineLevel="0" collapsed="false">
      <c r="A12" s="3" t="s">
        <v>55</v>
      </c>
      <c r="B12" s="12" t="n">
        <v>147294</v>
      </c>
      <c r="C12" s="8" t="s">
        <v>38</v>
      </c>
      <c r="D12" s="4" t="s">
        <v>56</v>
      </c>
    </row>
    <row r="13" customFormat="false" ht="15" hidden="false" customHeight="true" outlineLevel="0" collapsed="false">
      <c r="A13" s="3" t="s">
        <v>57</v>
      </c>
      <c r="B13" s="12" t="n">
        <v>49098</v>
      </c>
      <c r="C13" s="8" t="s">
        <v>38</v>
      </c>
      <c r="D13" s="4" t="s">
        <v>58</v>
      </c>
    </row>
    <row r="14" customFormat="false" ht="15" hidden="false" customHeight="true" outlineLevel="0" collapsed="false">
      <c r="A14" s="3" t="s">
        <v>59</v>
      </c>
      <c r="B14" s="12" t="n">
        <v>196392</v>
      </c>
      <c r="C14" s="8" t="s">
        <v>38</v>
      </c>
      <c r="D14" s="4" t="s">
        <v>60</v>
      </c>
    </row>
    <row r="15" customFormat="false" ht="15" hidden="false" customHeight="true" outlineLevel="0" collapsed="false">
      <c r="A15" s="3" t="s">
        <v>61</v>
      </c>
      <c r="B15" s="11" t="n">
        <v>0.65</v>
      </c>
      <c r="C15" s="8" t="s">
        <v>41</v>
      </c>
      <c r="D15" s="4" t="s">
        <v>62</v>
      </c>
    </row>
    <row r="16" customFormat="false" ht="15" hidden="false" customHeight="true" outlineLevel="0" collapsed="false">
      <c r="A16" s="3" t="s">
        <v>63</v>
      </c>
      <c r="B16" s="13" t="n">
        <v>1.25</v>
      </c>
      <c r="C16" s="8" t="s">
        <v>64</v>
      </c>
      <c r="D16" s="4" t="s">
        <v>65</v>
      </c>
    </row>
    <row r="17" customFormat="false" ht="15" hidden="false" customHeight="true" outlineLevel="0" collapsed="false">
      <c r="A17" s="3" t="s">
        <v>66</v>
      </c>
      <c r="B17" s="11" t="n">
        <v>0.09</v>
      </c>
      <c r="C17" s="8" t="s">
        <v>41</v>
      </c>
      <c r="D17" s="4" t="s">
        <v>67</v>
      </c>
    </row>
    <row r="18" customFormat="false" ht="15" hidden="false" customHeight="true" outlineLevel="0" collapsed="false">
      <c r="A18" s="3" t="s">
        <v>68</v>
      </c>
      <c r="B18" s="14" t="n">
        <v>30</v>
      </c>
      <c r="C18" s="8" t="s">
        <v>69</v>
      </c>
      <c r="D18" s="4" t="s">
        <v>70</v>
      </c>
    </row>
    <row r="19" customFormat="false" ht="15" hidden="false" customHeight="true" outlineLevel="0" collapsed="false">
      <c r="A19" s="3" t="s">
        <v>71</v>
      </c>
      <c r="B19" s="15" t="n">
        <v>0.061</v>
      </c>
      <c r="C19" s="8" t="s">
        <v>41</v>
      </c>
      <c r="D19" s="4" t="s">
        <v>72</v>
      </c>
    </row>
    <row r="20" customFormat="false" ht="15" hidden="false" customHeight="true" outlineLevel="0" collapsed="false">
      <c r="A20" s="3" t="s">
        <v>73</v>
      </c>
      <c r="B20" s="11" t="n">
        <v>0.01</v>
      </c>
      <c r="C20" s="8" t="s">
        <v>41</v>
      </c>
      <c r="D20" s="4" t="s">
        <v>74</v>
      </c>
    </row>
    <row r="21" customFormat="false" ht="15" hidden="false" customHeight="true" outlineLevel="0" collapsed="false">
      <c r="A21" s="3" t="s">
        <v>75</v>
      </c>
      <c r="B21" s="12" t="n">
        <v>45000</v>
      </c>
      <c r="C21" s="8" t="s">
        <v>76</v>
      </c>
      <c r="D21" s="4" t="s">
        <v>77</v>
      </c>
    </row>
    <row r="22" customFormat="false" ht="15" hidden="false" customHeight="true" outlineLevel="0" collapsed="false">
      <c r="A22" s="3" t="s">
        <v>78</v>
      </c>
      <c r="B22" s="12" t="n">
        <v>7800000</v>
      </c>
      <c r="C22" s="8" t="s">
        <v>76</v>
      </c>
      <c r="D22" s="4" t="s">
        <v>79</v>
      </c>
    </row>
    <row r="23" customFormat="false" ht="15" hidden="false" customHeight="true" outlineLevel="0" collapsed="false">
      <c r="A23" s="3" t="s">
        <v>80</v>
      </c>
      <c r="B23" s="14" t="n">
        <v>8</v>
      </c>
      <c r="C23" s="8" t="s">
        <v>81</v>
      </c>
      <c r="D23" s="4" t="s">
        <v>82</v>
      </c>
    </row>
  </sheetData>
  <mergeCells count="2">
    <mergeCell ref="A1:D1"/>
    <mergeCell ref="A7:D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4"/>
    <col collapsed="false" customWidth="true" hidden="false" outlineLevel="0" max="4" min="3" style="1" width="12"/>
    <col collapsed="false" customWidth="true" hidden="false" outlineLevel="0" max="5" min="5" style="1" width="16"/>
    <col collapsed="false" customWidth="true" hidden="false" outlineLevel="0" max="6" min="6" style="1" width="18"/>
    <col collapsed="false" customWidth="true" hidden="false" outlineLevel="0" max="9" min="7" style="1" width="14"/>
  </cols>
  <sheetData>
    <row r="1" customFormat="false" ht="15" hidden="false" customHeight="true" outlineLevel="0" collapsed="false">
      <c r="A1" s="5" t="s">
        <v>83</v>
      </c>
      <c r="B1" s="5"/>
      <c r="C1" s="5"/>
      <c r="D1" s="5"/>
      <c r="E1" s="5"/>
      <c r="F1" s="5"/>
      <c r="G1" s="5"/>
      <c r="H1" s="5"/>
      <c r="I1" s="5"/>
    </row>
    <row r="2" customFormat="false" ht="15" hidden="false" customHeight="true" outlineLevel="0" collapsed="false">
      <c r="A2" s="16" t="s">
        <v>84</v>
      </c>
      <c r="B2" s="16" t="s">
        <v>85</v>
      </c>
      <c r="C2" s="16" t="s">
        <v>86</v>
      </c>
      <c r="D2" s="16" t="s">
        <v>87</v>
      </c>
      <c r="E2" s="16" t="s">
        <v>88</v>
      </c>
      <c r="F2" s="16" t="s">
        <v>89</v>
      </c>
      <c r="G2" s="16" t="s">
        <v>90</v>
      </c>
      <c r="H2" s="16" t="s">
        <v>91</v>
      </c>
      <c r="I2" s="16" t="s">
        <v>92</v>
      </c>
    </row>
    <row r="3" customFormat="false" ht="15" hidden="false" customHeight="true" outlineLevel="0" collapsed="false">
      <c r="A3" s="8" t="s">
        <v>93</v>
      </c>
      <c r="B3" s="1" t="s">
        <v>94</v>
      </c>
      <c r="C3" s="8" t="s">
        <v>95</v>
      </c>
      <c r="D3" s="14" t="n">
        <v>21880</v>
      </c>
      <c r="E3" s="8" t="s">
        <v>96</v>
      </c>
      <c r="F3" s="12" t="n">
        <v>14450</v>
      </c>
      <c r="G3" s="12" t="n">
        <f aca="false">F3*12</f>
        <v>173400</v>
      </c>
      <c r="H3" s="14" t="n">
        <f aca="false">IF(E3="active",D3,0)</f>
        <v>21880</v>
      </c>
      <c r="I3" s="12" t="n">
        <f aca="false">IF(E3="active",F3,0)</f>
        <v>14450</v>
      </c>
    </row>
    <row r="4" customFormat="false" ht="15" hidden="false" customHeight="true" outlineLevel="0" collapsed="false">
      <c r="A4" s="8" t="s">
        <v>97</v>
      </c>
      <c r="B4" s="1" t="s">
        <v>98</v>
      </c>
      <c r="C4" s="8" t="s">
        <v>99</v>
      </c>
      <c r="D4" s="14" t="n">
        <v>22000</v>
      </c>
      <c r="E4" s="8" t="s">
        <v>96</v>
      </c>
      <c r="F4" s="12" t="n">
        <v>14600</v>
      </c>
      <c r="G4" s="12" t="n">
        <f aca="false">F4*12</f>
        <v>175200</v>
      </c>
      <c r="H4" s="14" t="n">
        <f aca="false">IF(E4="active",D4,0)</f>
        <v>22000</v>
      </c>
      <c r="I4" s="12" t="n">
        <f aca="false">IF(E4="active",F4,0)</f>
        <v>14600</v>
      </c>
    </row>
    <row r="5" customFormat="false" ht="15" hidden="false" customHeight="true" outlineLevel="0" collapsed="false">
      <c r="A5" s="8" t="s">
        <v>100</v>
      </c>
      <c r="B5" s="1" t="s">
        <v>101</v>
      </c>
      <c r="C5" s="8" t="s">
        <v>102</v>
      </c>
      <c r="D5" s="14" t="n">
        <v>22210</v>
      </c>
      <c r="E5" s="8" t="s">
        <v>96</v>
      </c>
      <c r="F5" s="12" t="n">
        <v>14875</v>
      </c>
      <c r="G5" s="12" t="n">
        <f aca="false">F5*12</f>
        <v>178500</v>
      </c>
      <c r="H5" s="14" t="n">
        <f aca="false">IF(E5="active",D5,0)</f>
        <v>22210</v>
      </c>
      <c r="I5" s="12" t="n">
        <f aca="false">IF(E5="active",F5,0)</f>
        <v>14875</v>
      </c>
    </row>
    <row r="6" customFormat="false" ht="15" hidden="false" customHeight="true" outlineLevel="0" collapsed="false">
      <c r="A6" s="8" t="s">
        <v>103</v>
      </c>
      <c r="B6" s="1" t="s">
        <v>94</v>
      </c>
      <c r="C6" s="8" t="s">
        <v>95</v>
      </c>
      <c r="D6" s="14" t="n">
        <v>21880</v>
      </c>
      <c r="E6" s="8" t="s">
        <v>96</v>
      </c>
      <c r="F6" s="12" t="n">
        <v>14450</v>
      </c>
      <c r="G6" s="12" t="n">
        <f aca="false">F6*12</f>
        <v>173400</v>
      </c>
      <c r="H6" s="14" t="n">
        <f aca="false">IF(E6="active",D6,0)</f>
        <v>21880</v>
      </c>
      <c r="I6" s="12" t="n">
        <f aca="false">IF(E6="active",F6,0)</f>
        <v>14450</v>
      </c>
    </row>
    <row r="7" customFormat="false" ht="15" hidden="false" customHeight="true" outlineLevel="0" collapsed="false">
      <c r="A7" s="8" t="s">
        <v>104</v>
      </c>
      <c r="B7" s="1" t="s">
        <v>98</v>
      </c>
      <c r="C7" s="8" t="s">
        <v>99</v>
      </c>
      <c r="D7" s="14" t="n">
        <v>22000</v>
      </c>
      <c r="E7" s="8" t="s">
        <v>96</v>
      </c>
      <c r="F7" s="12" t="n">
        <v>14600</v>
      </c>
      <c r="G7" s="12" t="n">
        <f aca="false">F7*12</f>
        <v>175200</v>
      </c>
      <c r="H7" s="14" t="n">
        <f aca="false">IF(E7="active",D7,0)</f>
        <v>22000</v>
      </c>
      <c r="I7" s="12" t="n">
        <f aca="false">IF(E7="active",F7,0)</f>
        <v>14600</v>
      </c>
    </row>
    <row r="8" customFormat="false" ht="15" hidden="false" customHeight="true" outlineLevel="0" collapsed="false">
      <c r="A8" s="8" t="s">
        <v>105</v>
      </c>
      <c r="B8" s="1" t="s">
        <v>101</v>
      </c>
      <c r="C8" s="8" t="s">
        <v>102</v>
      </c>
      <c r="D8" s="14" t="n">
        <v>22210</v>
      </c>
      <c r="E8" s="8" t="s">
        <v>96</v>
      </c>
      <c r="F8" s="12" t="n">
        <v>14875</v>
      </c>
      <c r="G8" s="12" t="n">
        <f aca="false">F8*12</f>
        <v>178500</v>
      </c>
      <c r="H8" s="14" t="n">
        <f aca="false">IF(E8="active",D8,0)</f>
        <v>22210</v>
      </c>
      <c r="I8" s="12" t="n">
        <f aca="false">IF(E8="active",F8,0)</f>
        <v>14875</v>
      </c>
    </row>
    <row r="9" customFormat="false" ht="15" hidden="false" customHeight="true" outlineLevel="0" collapsed="false">
      <c r="A9" s="8" t="s">
        <v>106</v>
      </c>
      <c r="B9" s="1" t="s">
        <v>94</v>
      </c>
      <c r="C9" s="8" t="s">
        <v>95</v>
      </c>
      <c r="D9" s="14" t="n">
        <v>21880</v>
      </c>
      <c r="E9" s="8" t="s">
        <v>96</v>
      </c>
      <c r="F9" s="12" t="n">
        <v>14450</v>
      </c>
      <c r="G9" s="12" t="n">
        <f aca="false">F9*12</f>
        <v>173400</v>
      </c>
      <c r="H9" s="14" t="n">
        <f aca="false">IF(E9="active",D9,0)</f>
        <v>21880</v>
      </c>
      <c r="I9" s="12" t="n">
        <f aca="false">IF(E9="active",F9,0)</f>
        <v>14450</v>
      </c>
    </row>
    <row r="10" customFormat="false" ht="15" hidden="false" customHeight="true" outlineLevel="0" collapsed="false">
      <c r="A10" s="8" t="s">
        <v>107</v>
      </c>
      <c r="B10" s="1" t="s">
        <v>98</v>
      </c>
      <c r="C10" s="8" t="s">
        <v>99</v>
      </c>
      <c r="D10" s="14" t="n">
        <v>22000</v>
      </c>
      <c r="E10" s="8" t="s">
        <v>108</v>
      </c>
      <c r="F10" s="12" t="n">
        <v>14600</v>
      </c>
      <c r="G10" s="12" t="n">
        <f aca="false">F10*12</f>
        <v>175200</v>
      </c>
      <c r="H10" s="14" t="n">
        <f aca="false">IF(E10="active",D10,0)</f>
        <v>0</v>
      </c>
      <c r="I10" s="12" t="n">
        <f aca="false">IF(E10="active",F10,0)</f>
        <v>0</v>
      </c>
    </row>
    <row r="11" customFormat="false" ht="15" hidden="false" customHeight="true" outlineLevel="0" collapsed="false">
      <c r="A11" s="6" t="s">
        <v>109</v>
      </c>
      <c r="B11" s="6"/>
      <c r="C11" s="6"/>
      <c r="D11" s="17" t="n">
        <f aca="false">SUM(D3:D10)</f>
        <v>176060</v>
      </c>
      <c r="E11" s="6"/>
      <c r="F11" s="18" t="n">
        <f aca="false">SUM(F3:F10)</f>
        <v>116900</v>
      </c>
      <c r="G11" s="18" t="n">
        <f aca="false">SUM(G3:G10)</f>
        <v>1402800</v>
      </c>
      <c r="H11" s="17" t="n">
        <f aca="false">SUM(H3:H10)</f>
        <v>154060</v>
      </c>
      <c r="I11" s="18" t="n">
        <f aca="false">SUM(I3:I10)</f>
        <v>102300</v>
      </c>
    </row>
    <row r="13" customFormat="false" ht="15" hidden="false" customHeight="true" outlineLevel="0" collapsed="false">
      <c r="A13" s="10" t="s">
        <v>110</v>
      </c>
      <c r="B13" s="10"/>
      <c r="C13" s="10"/>
      <c r="D13" s="10"/>
      <c r="E13" s="10"/>
      <c r="F13" s="10"/>
      <c r="G13" s="10"/>
      <c r="H13" s="10"/>
      <c r="I13" s="10"/>
    </row>
    <row r="14" customFormat="false" ht="15" hidden="false" customHeight="true" outlineLevel="0" collapsed="false">
      <c r="A14" s="3" t="s">
        <v>80</v>
      </c>
      <c r="B14" s="19" t="n">
        <f aca="false">COUNTA(A3:A10)</f>
        <v>8</v>
      </c>
      <c r="C14" s="8" t="s">
        <v>81</v>
      </c>
    </row>
    <row r="15" customFormat="false" ht="15" hidden="false" customHeight="true" outlineLevel="0" collapsed="false">
      <c r="A15" s="3" t="s">
        <v>111</v>
      </c>
      <c r="B15" s="19" t="n">
        <f aca="false">COUNTIF(E3:E10,"active")</f>
        <v>7</v>
      </c>
      <c r="C15" s="8" t="s">
        <v>81</v>
      </c>
    </row>
    <row r="16" customFormat="false" ht="15" hidden="false" customHeight="true" outlineLevel="0" collapsed="false">
      <c r="A16" s="3" t="s">
        <v>112</v>
      </c>
      <c r="B16" s="19" t="n">
        <f aca="false">COUNTIF(E3:E10,"pending")</f>
        <v>0</v>
      </c>
      <c r="C16" s="8" t="s">
        <v>81</v>
      </c>
    </row>
    <row r="17" customFormat="false" ht="15" hidden="false" customHeight="true" outlineLevel="0" collapsed="false">
      <c r="A17" s="3" t="s">
        <v>113</v>
      </c>
      <c r="B17" s="19" t="n">
        <f aca="false">COUNTIF(E3:E10,"vacant")</f>
        <v>1</v>
      </c>
      <c r="C17" s="8" t="s">
        <v>81</v>
      </c>
    </row>
    <row r="18" customFormat="false" ht="15" hidden="false" customHeight="true" outlineLevel="0" collapsed="false">
      <c r="A18" s="3" t="s">
        <v>114</v>
      </c>
      <c r="B18" s="19" t="n">
        <f aca="false">SUM(D3:D10)</f>
        <v>176060</v>
      </c>
      <c r="C18" s="8" t="s">
        <v>115</v>
      </c>
    </row>
    <row r="19" customFormat="false" ht="15" hidden="false" customHeight="true" outlineLevel="0" collapsed="false">
      <c r="A19" s="3" t="s">
        <v>116</v>
      </c>
      <c r="B19" s="19" t="n">
        <f aca="false">SUMIF(E3:E10,"active",D3:D10)</f>
        <v>154060</v>
      </c>
      <c r="C19" s="8" t="s">
        <v>115</v>
      </c>
    </row>
    <row r="20" customFormat="false" ht="15" hidden="false" customHeight="true" outlineLevel="0" collapsed="false">
      <c r="A20" s="3" t="s">
        <v>117</v>
      </c>
      <c r="B20" s="20" t="n">
        <f aca="false">B15/B14</f>
        <v>0.875</v>
      </c>
      <c r="C20" s="8" t="s">
        <v>41</v>
      </c>
    </row>
    <row r="21" customFormat="false" ht="15" hidden="false" customHeight="true" outlineLevel="0" collapsed="false">
      <c r="A21" s="3" t="s">
        <v>118</v>
      </c>
      <c r="B21" s="20" t="n">
        <f aca="false">B19/B18</f>
        <v>0.875042599113938</v>
      </c>
      <c r="C21" s="8" t="s">
        <v>41</v>
      </c>
    </row>
    <row r="22" customFormat="false" ht="15" hidden="false" customHeight="true" outlineLevel="0" collapsed="false">
      <c r="A22" s="3" t="s">
        <v>119</v>
      </c>
      <c r="B22" s="21" t="n">
        <f aca="false">F3</f>
        <v>14450</v>
      </c>
      <c r="C22" s="8" t="s">
        <v>120</v>
      </c>
    </row>
    <row r="23" customFormat="false" ht="15" hidden="false" customHeight="true" outlineLevel="0" collapsed="false">
      <c r="A23" s="3" t="s">
        <v>121</v>
      </c>
      <c r="B23" s="22" t="n">
        <f aca="false">SUM(I3:I10)*12</f>
        <v>1227600</v>
      </c>
      <c r="C23" s="8" t="s">
        <v>38</v>
      </c>
    </row>
    <row r="26" customFormat="false" ht="15" hidden="false" customHeight="true" outlineLevel="0" collapsed="false">
      <c r="A26" s="10" t="s">
        <v>122</v>
      </c>
      <c r="B26" s="10"/>
      <c r="C26" s="10"/>
      <c r="D26" s="10"/>
      <c r="E26" s="10"/>
      <c r="F26" s="10"/>
      <c r="G26" s="10"/>
      <c r="H26" s="10"/>
      <c r="I26" s="10"/>
    </row>
    <row r="27" customFormat="false" ht="15" hidden="false" customHeight="true" outlineLevel="0" collapsed="false">
      <c r="A27" s="3" t="s">
        <v>86</v>
      </c>
      <c r="B27" s="3" t="s">
        <v>123</v>
      </c>
      <c r="C27" s="3" t="s">
        <v>124</v>
      </c>
      <c r="D27" s="3" t="s">
        <v>87</v>
      </c>
    </row>
    <row r="28" customFormat="false" ht="15" hidden="false" customHeight="true" outlineLevel="0" collapsed="false">
      <c r="A28" s="23" t="s">
        <v>95</v>
      </c>
      <c r="B28" s="14" t="n">
        <f aca="false">COUNTIF(C3:C10,"A")</f>
        <v>3</v>
      </c>
      <c r="C28" s="14" t="n">
        <f aca="false">COUNTIFS(C3:C10,"A",E3:E10,"active")</f>
        <v>3</v>
      </c>
      <c r="D28" s="14" t="n">
        <f aca="false">SUMIF(C3:C10,"A",D3:D10)</f>
        <v>65640</v>
      </c>
    </row>
    <row r="29" customFormat="false" ht="15" hidden="false" customHeight="true" outlineLevel="0" collapsed="false">
      <c r="A29" s="23" t="s">
        <v>99</v>
      </c>
      <c r="B29" s="14" t="n">
        <f aca="false">COUNTIF(C3:C10,"B")</f>
        <v>3</v>
      </c>
      <c r="C29" s="14" t="n">
        <f aca="false">COUNTIFS(C3:C10,"B",E3:E10,"active")</f>
        <v>2</v>
      </c>
      <c r="D29" s="14" t="n">
        <f aca="false">SUMIF(C3:C10,"B",D3:D10)</f>
        <v>66000</v>
      </c>
    </row>
    <row r="30" customFormat="false" ht="15" hidden="false" customHeight="true" outlineLevel="0" collapsed="false">
      <c r="A30" s="23" t="s">
        <v>102</v>
      </c>
      <c r="B30" s="14" t="n">
        <f aca="false">COUNTIF(C3:C10,"C")</f>
        <v>2</v>
      </c>
      <c r="C30" s="14" t="n">
        <f aca="false">COUNTIFS(C3:C10,"C",E3:E10,"active")</f>
        <v>2</v>
      </c>
      <c r="D30" s="14" t="n">
        <f aca="false">SUMIF(C3:C10,"C",D3:D10)</f>
        <v>44420</v>
      </c>
    </row>
  </sheetData>
  <mergeCells count="3">
    <mergeCell ref="A1:I1"/>
    <mergeCell ref="A13:I13"/>
    <mergeCell ref="A26:I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20"/>
    <col collapsed="false" customWidth="true" hidden="false" outlineLevel="0" max="3" min="3" style="1" width="14"/>
    <col collapsed="false" customWidth="true" hidden="false" outlineLevel="0" max="4" min="4" style="1" width="70"/>
  </cols>
  <sheetData>
    <row r="1" customFormat="false" ht="15" hidden="false" customHeight="true" outlineLevel="0" collapsed="false">
      <c r="A1" s="5" t="s">
        <v>125</v>
      </c>
      <c r="B1" s="5"/>
      <c r="C1" s="5"/>
      <c r="D1" s="5"/>
    </row>
    <row r="2" customFormat="false" ht="15" hidden="false" customHeight="true" outlineLevel="0" collapsed="false">
      <c r="A2" s="6" t="s">
        <v>126</v>
      </c>
      <c r="B2" s="6" t="s">
        <v>34</v>
      </c>
      <c r="C2" s="6" t="s">
        <v>35</v>
      </c>
      <c r="D2" s="6" t="s">
        <v>127</v>
      </c>
    </row>
    <row r="3" customFormat="false" ht="15" hidden="false" customHeight="true" outlineLevel="0" collapsed="false">
      <c r="A3" s="3" t="s">
        <v>37</v>
      </c>
      <c r="B3" s="12" t="n">
        <f aca="false">Inputs!B3</f>
        <v>1401900</v>
      </c>
      <c r="C3" s="8" t="s">
        <v>38</v>
      </c>
      <c r="D3" s="4" t="s">
        <v>128</v>
      </c>
    </row>
    <row r="4" customFormat="false" ht="15" hidden="false" customHeight="true" outlineLevel="0" collapsed="false">
      <c r="A4" s="3" t="s">
        <v>129</v>
      </c>
      <c r="B4" s="12" t="n">
        <f aca="false">-Inputs!B8*B3</f>
        <v>-70095</v>
      </c>
      <c r="C4" s="8" t="s">
        <v>38</v>
      </c>
      <c r="D4" s="4" t="s">
        <v>130</v>
      </c>
    </row>
    <row r="5" customFormat="false" ht="15" hidden="false" customHeight="true" outlineLevel="0" collapsed="false">
      <c r="A5" s="3" t="s">
        <v>131</v>
      </c>
      <c r="B5" s="12" t="n">
        <f aca="false">Inputs!B9*Inputs!B23</f>
        <v>2800</v>
      </c>
      <c r="C5" s="8" t="s">
        <v>38</v>
      </c>
      <c r="D5" s="4" t="s">
        <v>132</v>
      </c>
    </row>
    <row r="6" customFormat="false" ht="15" hidden="false" customHeight="true" outlineLevel="0" collapsed="false">
      <c r="A6" s="3" t="s">
        <v>133</v>
      </c>
      <c r="B6" s="24" t="n">
        <f aca="false">B3+B4+B5</f>
        <v>1334605</v>
      </c>
      <c r="C6" s="8" t="s">
        <v>38</v>
      </c>
      <c r="D6" s="4" t="s">
        <v>134</v>
      </c>
    </row>
    <row r="8" customFormat="false" ht="15" hidden="false" customHeight="true" outlineLevel="0" collapsed="false">
      <c r="A8" s="10" t="s">
        <v>135</v>
      </c>
      <c r="B8" s="10"/>
      <c r="C8" s="10"/>
      <c r="D8" s="10"/>
    </row>
    <row r="9" customFormat="false" ht="15" hidden="false" customHeight="true" outlineLevel="0" collapsed="false">
      <c r="A9" s="3" t="s">
        <v>55</v>
      </c>
      <c r="B9" s="12" t="n">
        <f aca="false">Inputs!B12</f>
        <v>147294</v>
      </c>
      <c r="C9" s="8" t="s">
        <v>38</v>
      </c>
      <c r="D9" s="4" t="s">
        <v>136</v>
      </c>
    </row>
    <row r="10" customFormat="false" ht="15" hidden="false" customHeight="true" outlineLevel="0" collapsed="false">
      <c r="A10" s="3" t="s">
        <v>57</v>
      </c>
      <c r="B10" s="12" t="n">
        <f aca="false">Inputs!B13</f>
        <v>49098</v>
      </c>
      <c r="C10" s="8" t="s">
        <v>38</v>
      </c>
      <c r="D10" s="4" t="s">
        <v>137</v>
      </c>
    </row>
    <row r="11" customFormat="false" ht="15" hidden="false" customHeight="true" outlineLevel="0" collapsed="false">
      <c r="A11" s="3" t="s">
        <v>138</v>
      </c>
      <c r="B11" s="12" t="n">
        <f aca="false">Inputs!B14</f>
        <v>196392</v>
      </c>
      <c r="C11" s="8" t="s">
        <v>38</v>
      </c>
      <c r="D11" s="4" t="s">
        <v>139</v>
      </c>
    </row>
    <row r="12" customFormat="false" ht="15" hidden="false" customHeight="true" outlineLevel="0" collapsed="false">
      <c r="A12" s="3" t="s">
        <v>140</v>
      </c>
      <c r="B12" s="12" t="n">
        <f aca="false">Inputs!B10*B6</f>
        <v>40038.15</v>
      </c>
      <c r="C12" s="8" t="s">
        <v>38</v>
      </c>
      <c r="D12" s="4" t="s">
        <v>141</v>
      </c>
    </row>
    <row r="13" customFormat="false" ht="15" hidden="false" customHeight="true" outlineLevel="0" collapsed="false">
      <c r="A13" s="3" t="s">
        <v>142</v>
      </c>
      <c r="B13" s="12" t="n">
        <f aca="false">SUM(B9:B12)</f>
        <v>432822.15</v>
      </c>
      <c r="C13" s="8" t="s">
        <v>38</v>
      </c>
      <c r="D13" s="4" t="s">
        <v>143</v>
      </c>
    </row>
    <row r="15" customFormat="false" ht="15" hidden="false" customHeight="true" outlineLevel="0" collapsed="false">
      <c r="A15" s="10" t="s">
        <v>144</v>
      </c>
      <c r="B15" s="10"/>
      <c r="C15" s="10"/>
      <c r="D15" s="10"/>
    </row>
    <row r="16" customFormat="false" ht="15" hidden="false" customHeight="true" outlineLevel="0" collapsed="false">
      <c r="A16" s="3" t="s">
        <v>145</v>
      </c>
      <c r="B16" s="24" t="n">
        <f aca="false">B6-B13</f>
        <v>901782.85</v>
      </c>
      <c r="C16" s="8" t="s">
        <v>38</v>
      </c>
      <c r="D16" s="4" t="s">
        <v>146</v>
      </c>
    </row>
    <row r="17" customFormat="false" ht="15" hidden="false" customHeight="true" outlineLevel="0" collapsed="false">
      <c r="A17" s="3" t="s">
        <v>147</v>
      </c>
      <c r="B17" s="12" t="n">
        <f aca="false">Inputs!B11*Inputs!B23</f>
        <v>2400</v>
      </c>
      <c r="C17" s="8" t="s">
        <v>38</v>
      </c>
      <c r="D17" s="4" t="s">
        <v>148</v>
      </c>
    </row>
    <row r="18" customFormat="false" ht="15" hidden="false" customHeight="true" outlineLevel="0" collapsed="false">
      <c r="A18" s="3" t="s">
        <v>149</v>
      </c>
      <c r="B18" s="24" t="n">
        <f aca="false">B16-B17</f>
        <v>899382.85</v>
      </c>
      <c r="C18" s="8" t="s">
        <v>38</v>
      </c>
      <c r="D18" s="4" t="s">
        <v>150</v>
      </c>
    </row>
    <row r="19" customFormat="false" ht="15" hidden="false" customHeight="true" outlineLevel="0" collapsed="false">
      <c r="A19" s="3" t="s">
        <v>40</v>
      </c>
      <c r="B19" s="15" t="n">
        <f aca="false">Inputs!B4</f>
        <v>0.0625</v>
      </c>
      <c r="C19" s="8" t="s">
        <v>41</v>
      </c>
      <c r="D19" s="4" t="s">
        <v>151</v>
      </c>
    </row>
    <row r="20" customFormat="false" ht="15" hidden="false" customHeight="true" outlineLevel="0" collapsed="false">
      <c r="A20" s="3" t="s">
        <v>152</v>
      </c>
      <c r="B20" s="24" t="n">
        <f aca="false">B16/B19</f>
        <v>14428525.6</v>
      </c>
      <c r="C20" s="8" t="s">
        <v>76</v>
      </c>
      <c r="D20" s="4" t="s">
        <v>153</v>
      </c>
    </row>
  </sheetData>
  <mergeCells count="3">
    <mergeCell ref="A1:D1"/>
    <mergeCell ref="A8:D8"/>
    <mergeCell ref="A15:D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20"/>
    <col collapsed="false" customWidth="true" hidden="false" outlineLevel="0" max="3" min="3" style="1" width="14"/>
    <col collapsed="false" customWidth="true" hidden="false" outlineLevel="0" max="4" min="4" style="1" width="70"/>
  </cols>
  <sheetData>
    <row r="1" customFormat="false" ht="15" hidden="false" customHeight="true" outlineLevel="0" collapsed="false">
      <c r="A1" s="5" t="s">
        <v>154</v>
      </c>
      <c r="B1" s="5"/>
      <c r="C1" s="5"/>
      <c r="D1" s="5"/>
    </row>
    <row r="2" customFormat="false" ht="15" hidden="false" customHeight="true" outlineLevel="0" collapsed="false">
      <c r="A2" s="6" t="s">
        <v>126</v>
      </c>
      <c r="B2" s="6" t="s">
        <v>34</v>
      </c>
      <c r="C2" s="6" t="s">
        <v>35</v>
      </c>
      <c r="D2" s="6" t="s">
        <v>127</v>
      </c>
    </row>
    <row r="3" customFormat="false" ht="15" hidden="false" customHeight="true" outlineLevel="0" collapsed="false">
      <c r="A3" s="3" t="s">
        <v>43</v>
      </c>
      <c r="B3" s="15" t="n">
        <f aca="false">Inputs!B5</f>
        <v>0.08</v>
      </c>
      <c r="C3" s="8" t="s">
        <v>41</v>
      </c>
      <c r="D3" s="4" t="s">
        <v>155</v>
      </c>
    </row>
    <row r="4" customFormat="false" ht="15" hidden="false" customHeight="true" outlineLevel="0" collapsed="false">
      <c r="A4" s="3" t="s">
        <v>71</v>
      </c>
      <c r="B4" s="15" t="n">
        <f aca="false">Inputs!B19</f>
        <v>0.061</v>
      </c>
      <c r="C4" s="8" t="s">
        <v>41</v>
      </c>
      <c r="D4" s="4" t="s">
        <v>156</v>
      </c>
    </row>
    <row r="5" customFormat="false" ht="15" hidden="false" customHeight="true" outlineLevel="0" collapsed="false">
      <c r="A5" s="3" t="s">
        <v>68</v>
      </c>
      <c r="B5" s="14" t="n">
        <f aca="false">Inputs!B18</f>
        <v>30</v>
      </c>
      <c r="C5" s="8" t="s">
        <v>69</v>
      </c>
      <c r="D5" s="4" t="s">
        <v>157</v>
      </c>
    </row>
    <row r="6" customFormat="false" ht="15" hidden="false" customHeight="true" outlineLevel="0" collapsed="false">
      <c r="A6" s="3" t="s">
        <v>158</v>
      </c>
      <c r="B6" s="25" t="n">
        <f aca="false">B3/12</f>
        <v>0.00666666666666667</v>
      </c>
      <c r="C6" s="8" t="s">
        <v>41</v>
      </c>
      <c r="D6" s="4" t="s">
        <v>159</v>
      </c>
    </row>
    <row r="7" customFormat="false" ht="15" hidden="false" customHeight="true" outlineLevel="0" collapsed="false">
      <c r="A7" s="3" t="s">
        <v>160</v>
      </c>
      <c r="B7" s="14" t="n">
        <f aca="false">B5*12</f>
        <v>360</v>
      </c>
      <c r="C7" s="8" t="s">
        <v>161</v>
      </c>
      <c r="D7" s="4" t="s">
        <v>162</v>
      </c>
    </row>
    <row r="8" customFormat="false" ht="15" hidden="false" customHeight="true" outlineLevel="0" collapsed="false">
      <c r="A8" s="3" t="s">
        <v>163</v>
      </c>
      <c r="B8" s="26" t="n">
        <f aca="false">12*(B6*(1+B6)^B7)/((1+B6)^B7-1)</f>
        <v>0.0880517488655253</v>
      </c>
      <c r="C8" s="8" t="s">
        <v>41</v>
      </c>
      <c r="D8" s="4" t="s">
        <v>164</v>
      </c>
    </row>
    <row r="9" customFormat="false" ht="15" hidden="false" customHeight="true" outlineLevel="0" collapsed="false">
      <c r="A9" s="3" t="s">
        <v>165</v>
      </c>
      <c r="B9" s="12" t="n">
        <f aca="false">UW!B18</f>
        <v>899382.85</v>
      </c>
      <c r="C9" s="8" t="s">
        <v>38</v>
      </c>
      <c r="D9" s="4" t="s">
        <v>166</v>
      </c>
    </row>
    <row r="10" customFormat="false" ht="15" hidden="false" customHeight="true" outlineLevel="0" collapsed="false">
      <c r="A10" s="3" t="s">
        <v>167</v>
      </c>
      <c r="B10" s="12" t="n">
        <f aca="false">UW!B16</f>
        <v>901782.85</v>
      </c>
      <c r="C10" s="8" t="s">
        <v>38</v>
      </c>
      <c r="D10" s="4" t="s">
        <v>168</v>
      </c>
    </row>
    <row r="11" customFormat="false" ht="15" hidden="false" customHeight="true" outlineLevel="0" collapsed="false">
      <c r="A11" s="3" t="s">
        <v>169</v>
      </c>
      <c r="B11" s="12" t="n">
        <f aca="false">UW!B20</f>
        <v>14428525.6</v>
      </c>
      <c r="C11" s="8" t="s">
        <v>76</v>
      </c>
      <c r="D11" s="4" t="s">
        <v>170</v>
      </c>
    </row>
    <row r="12" customFormat="false" ht="15" hidden="false" customHeight="true" outlineLevel="0" collapsed="false">
      <c r="A12" s="3" t="s">
        <v>61</v>
      </c>
      <c r="B12" s="11" t="n">
        <f aca="false">Inputs!B15</f>
        <v>0.65</v>
      </c>
      <c r="C12" s="8" t="s">
        <v>41</v>
      </c>
      <c r="D12" s="4" t="s">
        <v>171</v>
      </c>
    </row>
    <row r="13" customFormat="false" ht="15" hidden="false" customHeight="true" outlineLevel="0" collapsed="false">
      <c r="A13" s="3" t="s">
        <v>63</v>
      </c>
      <c r="B13" s="13" t="n">
        <f aca="false">Inputs!B16</f>
        <v>1.25</v>
      </c>
      <c r="C13" s="8" t="s">
        <v>64</v>
      </c>
      <c r="D13" s="4" t="s">
        <v>172</v>
      </c>
    </row>
    <row r="14" customFormat="false" ht="15" hidden="false" customHeight="true" outlineLevel="0" collapsed="false">
      <c r="A14" s="3" t="s">
        <v>66</v>
      </c>
      <c r="B14" s="11" t="n">
        <f aca="false">Inputs!B17</f>
        <v>0.09</v>
      </c>
      <c r="C14" s="8" t="s">
        <v>41</v>
      </c>
      <c r="D14" s="4" t="s">
        <v>67</v>
      </c>
    </row>
    <row r="15" customFormat="false" ht="15" hidden="false" customHeight="true" outlineLevel="0" collapsed="false">
      <c r="A15" s="3" t="s">
        <v>173</v>
      </c>
      <c r="B15" s="12" t="n">
        <f aca="false">B12*B11</f>
        <v>9378541.64</v>
      </c>
      <c r="C15" s="8" t="s">
        <v>76</v>
      </c>
      <c r="D15" s="4" t="s">
        <v>174</v>
      </c>
    </row>
    <row r="16" customFormat="false" ht="15" hidden="false" customHeight="true" outlineLevel="0" collapsed="false">
      <c r="A16" s="3" t="s">
        <v>175</v>
      </c>
      <c r="B16" s="12" t="n">
        <f aca="false">B9/(B13*B8)</f>
        <v>8171402.49081079</v>
      </c>
      <c r="C16" s="8" t="s">
        <v>76</v>
      </c>
      <c r="D16" s="4" t="s">
        <v>176</v>
      </c>
    </row>
    <row r="17" customFormat="false" ht="15" hidden="false" customHeight="true" outlineLevel="0" collapsed="false">
      <c r="A17" s="3" t="s">
        <v>177</v>
      </c>
      <c r="B17" s="12" t="n">
        <f aca="false">B9/B14</f>
        <v>9993142.77777778</v>
      </c>
      <c r="C17" s="8" t="s">
        <v>76</v>
      </c>
      <c r="D17" s="4" t="s">
        <v>178</v>
      </c>
    </row>
    <row r="18" customFormat="false" ht="15" hidden="false" customHeight="true" outlineLevel="0" collapsed="false">
      <c r="A18" s="3" t="s">
        <v>179</v>
      </c>
      <c r="B18" s="24" t="n">
        <f aca="false">MIN(B15,B16,B17)</f>
        <v>8171402.49081079</v>
      </c>
      <c r="C18" s="8" t="s">
        <v>76</v>
      </c>
      <c r="D18" s="4" t="s">
        <v>180</v>
      </c>
    </row>
    <row r="19" customFormat="false" ht="15" hidden="false" customHeight="true" outlineLevel="0" collapsed="false">
      <c r="A19" s="3" t="s">
        <v>181</v>
      </c>
      <c r="B19" s="27" t="str">
        <f aca="false">IF(B18=B15,"LTV",IF(B18=B16,"DSCR","Debt Yield"))</f>
        <v>DSCR</v>
      </c>
      <c r="C19" s="8" t="s">
        <v>182</v>
      </c>
      <c r="D19" s="4" t="s">
        <v>183</v>
      </c>
    </row>
    <row r="22" customFormat="false" ht="15" hidden="false" customHeight="true" outlineLevel="0" collapsed="false">
      <c r="A22" s="10" t="s">
        <v>184</v>
      </c>
      <c r="B22" s="10"/>
      <c r="C22" s="10"/>
      <c r="D22" s="10"/>
    </row>
    <row r="23" customFormat="false" ht="15" hidden="false" customHeight="true" outlineLevel="0" collapsed="false">
      <c r="A23" s="3" t="s">
        <v>185</v>
      </c>
      <c r="B23" s="12" t="n">
        <f aca="false">B18</f>
        <v>8171402.49081079</v>
      </c>
      <c r="C23" s="8" t="s">
        <v>76</v>
      </c>
      <c r="D23" s="4" t="s">
        <v>186</v>
      </c>
    </row>
    <row r="24" customFormat="false" ht="15" hidden="false" customHeight="true" outlineLevel="0" collapsed="false">
      <c r="A24" s="3" t="s">
        <v>187</v>
      </c>
      <c r="B24" s="12" t="n">
        <f aca="false">MAX(0,-B29)</f>
        <v>0</v>
      </c>
      <c r="C24" s="8" t="s">
        <v>76</v>
      </c>
      <c r="D24" s="4" t="s">
        <v>188</v>
      </c>
    </row>
    <row r="25" customFormat="false" ht="15" hidden="false" customHeight="true" outlineLevel="0" collapsed="false">
      <c r="A25" s="3" t="s">
        <v>189</v>
      </c>
      <c r="B25" s="12" t="n">
        <f aca="false">Inputs!B22</f>
        <v>7800000</v>
      </c>
      <c r="C25" s="8" t="s">
        <v>76</v>
      </c>
      <c r="D25" s="4" t="s">
        <v>79</v>
      </c>
    </row>
    <row r="26" customFormat="false" ht="15" hidden="false" customHeight="true" outlineLevel="0" collapsed="false">
      <c r="A26" s="3" t="s">
        <v>190</v>
      </c>
      <c r="B26" s="12" t="n">
        <f aca="false">Inputs!B21</f>
        <v>45000</v>
      </c>
      <c r="C26" s="8" t="s">
        <v>76</v>
      </c>
      <c r="D26" s="4" t="s">
        <v>136</v>
      </c>
    </row>
    <row r="27" customFormat="false" ht="15" hidden="false" customHeight="true" outlineLevel="0" collapsed="false">
      <c r="A27" s="3" t="s">
        <v>191</v>
      </c>
      <c r="B27" s="12" t="n">
        <f aca="false">Inputs!B20*B18</f>
        <v>81714.0249081079</v>
      </c>
      <c r="C27" s="8" t="s">
        <v>76</v>
      </c>
      <c r="D27" s="4" t="s">
        <v>192</v>
      </c>
    </row>
    <row r="28" customFormat="false" ht="15" hidden="false" customHeight="true" outlineLevel="0" collapsed="false">
      <c r="A28" s="3" t="s">
        <v>193</v>
      </c>
      <c r="B28" s="12" t="n">
        <f aca="false">MAX(0,B29)</f>
        <v>244688.465902682</v>
      </c>
      <c r="C28" s="8" t="s">
        <v>76</v>
      </c>
      <c r="D28" s="4" t="s">
        <v>194</v>
      </c>
    </row>
    <row r="29" customFormat="false" ht="15" hidden="false" customHeight="true" outlineLevel="0" collapsed="false">
      <c r="A29" s="3" t="s">
        <v>195</v>
      </c>
      <c r="B29" s="24" t="n">
        <f aca="false">B18-Inputs!B22-Inputs!B21-Inputs!B20*B18</f>
        <v>244688.465902682</v>
      </c>
      <c r="C29" s="8" t="s">
        <v>76</v>
      </c>
      <c r="D29" s="4" t="s">
        <v>196</v>
      </c>
    </row>
    <row r="31" customFormat="false" ht="15" hidden="false" customHeight="true" outlineLevel="0" collapsed="false">
      <c r="A31" s="10" t="s">
        <v>197</v>
      </c>
      <c r="B31" s="10"/>
      <c r="C31" s="10"/>
      <c r="D31" s="10"/>
    </row>
    <row r="32" customFormat="false" ht="15" hidden="false" customHeight="true" outlineLevel="0" collapsed="false">
      <c r="A32" s="3" t="s">
        <v>198</v>
      </c>
      <c r="B32" s="13" t="n">
        <f aca="false">B9/(B18*B8)</f>
        <v>1.25</v>
      </c>
    </row>
    <row r="33" customFormat="false" ht="15" hidden="false" customHeight="true" outlineLevel="0" collapsed="false">
      <c r="A33" s="3" t="s">
        <v>199</v>
      </c>
      <c r="B33" s="11" t="n">
        <f aca="false">B18/B11</f>
        <v>0.566336624915493</v>
      </c>
    </row>
    <row r="34" customFormat="false" ht="15" hidden="false" customHeight="true" outlineLevel="0" collapsed="false">
      <c r="A34" s="3" t="s">
        <v>200</v>
      </c>
      <c r="B34" s="11" t="n">
        <f aca="false">B9/B18</f>
        <v>0.110064686081907</v>
      </c>
    </row>
  </sheetData>
  <mergeCells count="3">
    <mergeCell ref="A1:D1"/>
    <mergeCell ref="A22:D22"/>
    <mergeCell ref="A31:D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9" min="2" style="1" width="16"/>
  </cols>
  <sheetData>
    <row r="1" customFormat="false" ht="15" hidden="false" customHeight="true" outlineLevel="0" collapsed="false">
      <c r="A1" s="5" t="s">
        <v>201</v>
      </c>
      <c r="B1" s="5"/>
      <c r="C1" s="5"/>
      <c r="D1" s="5"/>
      <c r="E1" s="5"/>
      <c r="F1" s="5"/>
      <c r="G1" s="5"/>
      <c r="H1" s="5"/>
    </row>
    <row r="2" customFormat="false" ht="15" hidden="false" customHeight="true" outlineLevel="0" collapsed="false">
      <c r="A2" s="28" t="s">
        <v>202</v>
      </c>
      <c r="B2" s="28"/>
      <c r="C2" s="28"/>
      <c r="D2" s="28"/>
      <c r="E2" s="28"/>
      <c r="F2" s="28"/>
      <c r="G2" s="28"/>
      <c r="H2" s="28"/>
    </row>
    <row r="4" customFormat="false" ht="15" hidden="false" customHeight="true" outlineLevel="0" collapsed="false">
      <c r="A4" s="6" t="s">
        <v>203</v>
      </c>
      <c r="B4" s="29" t="n">
        <v>0.055</v>
      </c>
      <c r="C4" s="29" t="n">
        <v>0.06</v>
      </c>
      <c r="D4" s="29" t="n">
        <v>0.0625</v>
      </c>
      <c r="E4" s="29" t="n">
        <v>0.065</v>
      </c>
      <c r="F4" s="29" t="n">
        <v>0.07</v>
      </c>
      <c r="G4" s="29" t="n">
        <v>0.075</v>
      </c>
      <c r="H4" s="29" t="n">
        <v>0.08</v>
      </c>
    </row>
    <row r="5" customFormat="false" ht="15" hidden="false" customHeight="true" outlineLevel="0" collapsed="false">
      <c r="A5" s="30" t="n">
        <v>0.06</v>
      </c>
      <c r="B5" s="31" t="n">
        <f aca="false">MIN(Inputs!$B$15*(UW!$B$16/B$4),UW!$B$18/(Inputs!$B$16*(12*(($A5/12)*(1+$A5/12)^360)/((1+$A5/12)^360-1))),UW!$B$18/Inputs!$B$17)</f>
        <v>9993142.77777778</v>
      </c>
      <c r="C5" s="31" t="n">
        <f aca="false">MIN(Inputs!$B$15*(UW!$B$16/C$4),UW!$B$18/(Inputs!$B$16*(12*(($A5/12)*(1+$A5/12)^360)/((1+$A5/12)^360-1))),UW!$B$18/Inputs!$B$17)</f>
        <v>9769314.20833333</v>
      </c>
      <c r="D5" s="31" t="n">
        <f aca="false">MIN(Inputs!$B$15*(UW!$B$16/D$4),UW!$B$18/(Inputs!$B$16*(12*(($A5/12)*(1+$A5/12)^360)/((1+$A5/12)^360-1))),UW!$B$18/Inputs!$B$17)</f>
        <v>9378541.64</v>
      </c>
      <c r="E5" s="31" t="n">
        <f aca="false">MIN(Inputs!$B$15*(UW!$B$16/E$4),UW!$B$18/(Inputs!$B$16*(12*(($A5/12)*(1+$A5/12)^360)/((1+$A5/12)^360-1))),UW!$B$18/Inputs!$B$17)</f>
        <v>9017828.5</v>
      </c>
      <c r="F5" s="31" t="n">
        <f aca="false">MIN(Inputs!$B$15*(UW!$B$16/F$4),UW!$B$18/(Inputs!$B$16*(12*(($A5/12)*(1+$A5/12)^360)/((1+$A5/12)^360-1))),UW!$B$18/Inputs!$B$17)</f>
        <v>8373697.89285714</v>
      </c>
      <c r="G5" s="31" t="n">
        <f aca="false">MIN(Inputs!$B$15*(UW!$B$16/G$4),UW!$B$18/(Inputs!$B$16*(12*(($A5/12)*(1+$A5/12)^360)/((1+$A5/12)^360-1))),UW!$B$18/Inputs!$B$17)</f>
        <v>7815451.36666667</v>
      </c>
      <c r="H5" s="31" t="n">
        <f aca="false">MIN(Inputs!$B$15*(UW!$B$16/H$4),UW!$B$18/(Inputs!$B$16*(12*(($A5/12)*(1+$A5/12)^360)/((1+$A5/12)^360-1))),UW!$B$18/Inputs!$B$17)</f>
        <v>7326985.65625</v>
      </c>
    </row>
    <row r="6" customFormat="false" ht="15" hidden="false" customHeight="true" outlineLevel="0" collapsed="false">
      <c r="A6" s="30" t="n">
        <v>0.065</v>
      </c>
      <c r="B6" s="31" t="n">
        <f aca="false">MIN(Inputs!$B$15*(UW!$B$16/B$4),UW!$B$18/(Inputs!$B$16*(12*(($A6/12)*(1+$A6/12)^360)/((1+$A6/12)^360-1))),UW!$B$18/Inputs!$B$17)</f>
        <v>9486139.85173923</v>
      </c>
      <c r="C6" s="31" t="n">
        <f aca="false">MIN(Inputs!$B$15*(UW!$B$16/C$4),UW!$B$18/(Inputs!$B$16*(12*(($A6/12)*(1+$A6/12)^360)/((1+$A6/12)^360-1))),UW!$B$18/Inputs!$B$17)</f>
        <v>9486139.85173923</v>
      </c>
      <c r="D6" s="31" t="n">
        <f aca="false">MIN(Inputs!$B$15*(UW!$B$16/D$4),UW!$B$18/(Inputs!$B$16*(12*(($A6/12)*(1+$A6/12)^360)/((1+$A6/12)^360-1))),UW!$B$18/Inputs!$B$17)</f>
        <v>9378541.64</v>
      </c>
      <c r="E6" s="31" t="n">
        <f aca="false">MIN(Inputs!$B$15*(UW!$B$16/E$4),UW!$B$18/(Inputs!$B$16*(12*(($A6/12)*(1+$A6/12)^360)/((1+$A6/12)^360-1))),UW!$B$18/Inputs!$B$17)</f>
        <v>9017828.5</v>
      </c>
      <c r="F6" s="31" t="n">
        <f aca="false">MIN(Inputs!$B$15*(UW!$B$16/F$4),UW!$B$18/(Inputs!$B$16*(12*(($A6/12)*(1+$A6/12)^360)/((1+$A6/12)^360-1))),UW!$B$18/Inputs!$B$17)</f>
        <v>8373697.89285714</v>
      </c>
      <c r="G6" s="31" t="n">
        <f aca="false">MIN(Inputs!$B$15*(UW!$B$16/G$4),UW!$B$18/(Inputs!$B$16*(12*(($A6/12)*(1+$A6/12)^360)/((1+$A6/12)^360-1))),UW!$B$18/Inputs!$B$17)</f>
        <v>7815451.36666667</v>
      </c>
      <c r="H6" s="31" t="n">
        <f aca="false">MIN(Inputs!$B$15*(UW!$B$16/H$4),UW!$B$18/(Inputs!$B$16*(12*(($A6/12)*(1+$A6/12)^360)/((1+$A6/12)^360-1))),UW!$B$18/Inputs!$B$17)</f>
        <v>7326985.65625</v>
      </c>
    </row>
    <row r="7" customFormat="false" ht="15" hidden="false" customHeight="true" outlineLevel="0" collapsed="false">
      <c r="A7" s="30" t="n">
        <v>0.07</v>
      </c>
      <c r="B7" s="31" t="n">
        <f aca="false">MIN(Inputs!$B$15*(UW!$B$16/B$4),UW!$B$18/(Inputs!$B$16*(12*(($A7/12)*(1+$A7/12)^360)/((1+$A7/12)^360-1))),UW!$B$18/Inputs!$B$17)</f>
        <v>9012269.92249868</v>
      </c>
      <c r="C7" s="31" t="n">
        <f aca="false">MIN(Inputs!$B$15*(UW!$B$16/C$4),UW!$B$18/(Inputs!$B$16*(12*(($A7/12)*(1+$A7/12)^360)/((1+$A7/12)^360-1))),UW!$B$18/Inputs!$B$17)</f>
        <v>9012269.92249868</v>
      </c>
      <c r="D7" s="32" t="n">
        <f aca="false">MIN(Inputs!$B$15*(UW!$B$16/D$4),UW!$B$18/(Inputs!$B$16*(12*(($A7/12)*(1+$A7/12)^360)/((1+$A7/12)^360-1))),UW!$B$18/Inputs!$B$17)</f>
        <v>9012269.92249868</v>
      </c>
      <c r="E7" s="31" t="n">
        <f aca="false">MIN(Inputs!$B$15*(UW!$B$16/E$4),UW!$B$18/(Inputs!$B$16*(12*(($A7/12)*(1+$A7/12)^360)/((1+$A7/12)^360-1))),UW!$B$18/Inputs!$B$17)</f>
        <v>9012269.92249868</v>
      </c>
      <c r="F7" s="31" t="n">
        <f aca="false">MIN(Inputs!$B$15*(UW!$B$16/F$4),UW!$B$18/(Inputs!$B$16*(12*(($A7/12)*(1+$A7/12)^360)/((1+$A7/12)^360-1))),UW!$B$18/Inputs!$B$17)</f>
        <v>8373697.89285714</v>
      </c>
      <c r="G7" s="31" t="n">
        <f aca="false">MIN(Inputs!$B$15*(UW!$B$16/G$4),UW!$B$18/(Inputs!$B$16*(12*(($A7/12)*(1+$A7/12)^360)/((1+$A7/12)^360-1))),UW!$B$18/Inputs!$B$17)</f>
        <v>7815451.36666667</v>
      </c>
      <c r="H7" s="31" t="n">
        <f aca="false">MIN(Inputs!$B$15*(UW!$B$16/H$4),UW!$B$18/(Inputs!$B$16*(12*(($A7/12)*(1+$A7/12)^360)/((1+$A7/12)^360-1))),UW!$B$18/Inputs!$B$17)</f>
        <v>7326985.65625</v>
      </c>
    </row>
    <row r="8" customFormat="false" ht="15" hidden="false" customHeight="true" outlineLevel="0" collapsed="false">
      <c r="A8" s="30" t="n">
        <v>0.075</v>
      </c>
      <c r="B8" s="31" t="n">
        <f aca="false">MIN(Inputs!$B$15*(UW!$B$16/B$4),UW!$B$18/(Inputs!$B$16*(12*(($A8/12)*(1+$A8/12)^360)/((1+$A8/12)^360-1))),UW!$B$18/Inputs!$B$17)</f>
        <v>8575173.4172062</v>
      </c>
      <c r="C8" s="31" t="n">
        <f aca="false">MIN(Inputs!$B$15*(UW!$B$16/C$4),UW!$B$18/(Inputs!$B$16*(12*(($A8/12)*(1+$A8/12)^360)/((1+$A8/12)^360-1))),UW!$B$18/Inputs!$B$17)</f>
        <v>8575173.4172062</v>
      </c>
      <c r="D8" s="31" t="n">
        <f aca="false">MIN(Inputs!$B$15*(UW!$B$16/D$4),UW!$B$18/(Inputs!$B$16*(12*(($A8/12)*(1+$A8/12)^360)/((1+$A8/12)^360-1))),UW!$B$18/Inputs!$B$17)</f>
        <v>8575173.4172062</v>
      </c>
      <c r="E8" s="31" t="n">
        <f aca="false">MIN(Inputs!$B$15*(UW!$B$16/E$4),UW!$B$18/(Inputs!$B$16*(12*(($A8/12)*(1+$A8/12)^360)/((1+$A8/12)^360-1))),UW!$B$18/Inputs!$B$17)</f>
        <v>8575173.4172062</v>
      </c>
      <c r="F8" s="31" t="n">
        <f aca="false">MIN(Inputs!$B$15*(UW!$B$16/F$4),UW!$B$18/(Inputs!$B$16*(12*(($A8/12)*(1+$A8/12)^360)/((1+$A8/12)^360-1))),UW!$B$18/Inputs!$B$17)</f>
        <v>8373697.89285714</v>
      </c>
      <c r="G8" s="31" t="n">
        <f aca="false">MIN(Inputs!$B$15*(UW!$B$16/G$4),UW!$B$18/(Inputs!$B$16*(12*(($A8/12)*(1+$A8/12)^360)/((1+$A8/12)^360-1))),UW!$B$18/Inputs!$B$17)</f>
        <v>7815451.36666667</v>
      </c>
      <c r="H8" s="31" t="n">
        <f aca="false">MIN(Inputs!$B$15*(UW!$B$16/H$4),UW!$B$18/(Inputs!$B$16*(12*(($A8/12)*(1+$A8/12)^360)/((1+$A8/12)^360-1))),UW!$B$18/Inputs!$B$17)</f>
        <v>7326985.65625</v>
      </c>
    </row>
    <row r="9" customFormat="false" ht="15" hidden="false" customHeight="true" outlineLevel="0" collapsed="false">
      <c r="A9" s="30" t="n">
        <v>0.08</v>
      </c>
      <c r="B9" s="31" t="n">
        <f aca="false">MIN(Inputs!$B$15*(UW!$B$16/B$4),UW!$B$18/(Inputs!$B$16*(12*(($A9/12)*(1+$A9/12)^360)/((1+$A9/12)^360-1))),UW!$B$18/Inputs!$B$17)</f>
        <v>8171402.49081079</v>
      </c>
      <c r="C9" s="31" t="n">
        <f aca="false">MIN(Inputs!$B$15*(UW!$B$16/C$4),UW!$B$18/(Inputs!$B$16*(12*(($A9/12)*(1+$A9/12)^360)/((1+$A9/12)^360-1))),UW!$B$18/Inputs!$B$17)</f>
        <v>8171402.49081079</v>
      </c>
      <c r="D9" s="31" t="n">
        <f aca="false">MIN(Inputs!$B$15*(UW!$B$16/D$4),UW!$B$18/(Inputs!$B$16*(12*(($A9/12)*(1+$A9/12)^360)/((1+$A9/12)^360-1))),UW!$B$18/Inputs!$B$17)</f>
        <v>8171402.49081079</v>
      </c>
      <c r="E9" s="31" t="n">
        <f aca="false">MIN(Inputs!$B$15*(UW!$B$16/E$4),UW!$B$18/(Inputs!$B$16*(12*(($A9/12)*(1+$A9/12)^360)/((1+$A9/12)^360-1))),UW!$B$18/Inputs!$B$17)</f>
        <v>8171402.49081079</v>
      </c>
      <c r="F9" s="31" t="n">
        <f aca="false">MIN(Inputs!$B$15*(UW!$B$16/F$4),UW!$B$18/(Inputs!$B$16*(12*(($A9/12)*(1+$A9/12)^360)/((1+$A9/12)^360-1))),UW!$B$18/Inputs!$B$17)</f>
        <v>8171402.49081079</v>
      </c>
      <c r="G9" s="31" t="n">
        <f aca="false">MIN(Inputs!$B$15*(UW!$B$16/G$4),UW!$B$18/(Inputs!$B$16*(12*(($A9/12)*(1+$A9/12)^360)/((1+$A9/12)^360-1))),UW!$B$18/Inputs!$B$17)</f>
        <v>7815451.36666667</v>
      </c>
      <c r="H9" s="31" t="n">
        <f aca="false">MIN(Inputs!$B$15*(UW!$B$16/H$4),UW!$B$18/(Inputs!$B$16*(12*(($A9/12)*(1+$A9/12)^360)/((1+$A9/12)^360-1))),UW!$B$18/Inputs!$B$17)</f>
        <v>7326985.65625</v>
      </c>
    </row>
    <row r="10" customFormat="false" ht="15" hidden="false" customHeight="true" outlineLevel="0" collapsed="false">
      <c r="A10" s="30" t="n">
        <v>0.085</v>
      </c>
      <c r="B10" s="31" t="n">
        <f aca="false">MIN(Inputs!$B$15*(UW!$B$16/B$4),UW!$B$18/(Inputs!$B$16*(12*(($A10/12)*(1+$A10/12)^360)/((1+$A10/12)^360-1))),UW!$B$18/Inputs!$B$17)</f>
        <v>7797867.76363513</v>
      </c>
      <c r="C10" s="31" t="n">
        <f aca="false">MIN(Inputs!$B$15*(UW!$B$16/C$4),UW!$B$18/(Inputs!$B$16*(12*(($A10/12)*(1+$A10/12)^360)/((1+$A10/12)^360-1))),UW!$B$18/Inputs!$B$17)</f>
        <v>7797867.76363513</v>
      </c>
      <c r="D10" s="31" t="n">
        <f aca="false">MIN(Inputs!$B$15*(UW!$B$16/D$4),UW!$B$18/(Inputs!$B$16*(12*(($A10/12)*(1+$A10/12)^360)/((1+$A10/12)^360-1))),UW!$B$18/Inputs!$B$17)</f>
        <v>7797867.76363513</v>
      </c>
      <c r="E10" s="31" t="n">
        <f aca="false">MIN(Inputs!$B$15*(UW!$B$16/E$4),UW!$B$18/(Inputs!$B$16*(12*(($A10/12)*(1+$A10/12)^360)/((1+$A10/12)^360-1))),UW!$B$18/Inputs!$B$17)</f>
        <v>7797867.76363513</v>
      </c>
      <c r="F10" s="31" t="n">
        <f aca="false">MIN(Inputs!$B$15*(UW!$B$16/F$4),UW!$B$18/(Inputs!$B$16*(12*(($A10/12)*(1+$A10/12)^360)/((1+$A10/12)^360-1))),UW!$B$18/Inputs!$B$17)</f>
        <v>7797867.76363513</v>
      </c>
      <c r="G10" s="31" t="n">
        <f aca="false">MIN(Inputs!$B$15*(UW!$B$16/G$4),UW!$B$18/(Inputs!$B$16*(12*(($A10/12)*(1+$A10/12)^360)/((1+$A10/12)^360-1))),UW!$B$18/Inputs!$B$17)</f>
        <v>7797867.76363513</v>
      </c>
      <c r="H10" s="31" t="n">
        <f aca="false">MIN(Inputs!$B$15*(UW!$B$16/H$4),UW!$B$18/(Inputs!$B$16*(12*(($A10/12)*(1+$A10/12)^360)/((1+$A10/12)^360-1))),UW!$B$18/Inputs!$B$17)</f>
        <v>7326985.65625</v>
      </c>
    </row>
    <row r="11" customFormat="false" ht="15" hidden="false" customHeight="true" outlineLevel="0" collapsed="false">
      <c r="A11" s="30" t="n">
        <v>0.09</v>
      </c>
      <c r="B11" s="31" t="n">
        <f aca="false">MIN(Inputs!$B$15*(UW!$B$16/B$4),UW!$B$18/(Inputs!$B$16*(12*(($A11/12)*(1+$A11/12)^360)/((1+$A11/12)^360-1))),UW!$B$18/Inputs!$B$17)</f>
        <v>7451798.5704075</v>
      </c>
      <c r="C11" s="31" t="n">
        <f aca="false">MIN(Inputs!$B$15*(UW!$B$16/C$4),UW!$B$18/(Inputs!$B$16*(12*(($A11/12)*(1+$A11/12)^360)/((1+$A11/12)^360-1))),UW!$B$18/Inputs!$B$17)</f>
        <v>7451798.5704075</v>
      </c>
      <c r="D11" s="31" t="n">
        <f aca="false">MIN(Inputs!$B$15*(UW!$B$16/D$4),UW!$B$18/(Inputs!$B$16*(12*(($A11/12)*(1+$A11/12)^360)/((1+$A11/12)^360-1))),UW!$B$18/Inputs!$B$17)</f>
        <v>7451798.5704075</v>
      </c>
      <c r="E11" s="31" t="n">
        <f aca="false">MIN(Inputs!$B$15*(UW!$B$16/E$4),UW!$B$18/(Inputs!$B$16*(12*(($A11/12)*(1+$A11/12)^360)/((1+$A11/12)^360-1))),UW!$B$18/Inputs!$B$17)</f>
        <v>7451798.5704075</v>
      </c>
      <c r="F11" s="31" t="n">
        <f aca="false">MIN(Inputs!$B$15*(UW!$B$16/F$4),UW!$B$18/(Inputs!$B$16*(12*(($A11/12)*(1+$A11/12)^360)/((1+$A11/12)^360-1))),UW!$B$18/Inputs!$B$17)</f>
        <v>7451798.5704075</v>
      </c>
      <c r="G11" s="31" t="n">
        <f aca="false">MIN(Inputs!$B$15*(UW!$B$16/G$4),UW!$B$18/(Inputs!$B$16*(12*(($A11/12)*(1+$A11/12)^360)/((1+$A11/12)^360-1))),UW!$B$18/Inputs!$B$17)</f>
        <v>7451798.5704075</v>
      </c>
      <c r="H11" s="31" t="n">
        <f aca="false">MIN(Inputs!$B$15*(UW!$B$16/H$4),UW!$B$18/(Inputs!$B$16*(12*(($A11/12)*(1+$A11/12)^360)/((1+$A11/12)^360-1))),UW!$B$18/Inputs!$B$17)</f>
        <v>7326985.65625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1" width="40"/>
    <col collapsed="false" customWidth="true" hidden="false" outlineLevel="0" max="4" min="2" style="1" width="20"/>
    <col collapsed="false" customWidth="true" hidden="false" outlineLevel="0" max="5" min="5" style="1" width="60"/>
  </cols>
  <sheetData>
    <row r="1" customFormat="false" ht="15" hidden="false" customHeight="true" outlineLevel="0" collapsed="false">
      <c r="A1" s="5" t="s">
        <v>204</v>
      </c>
      <c r="B1" s="5"/>
      <c r="C1" s="5"/>
      <c r="D1" s="5"/>
      <c r="E1" s="5"/>
    </row>
    <row r="2" customFormat="false" ht="15" hidden="false" customHeight="true" outlineLevel="0" collapsed="false">
      <c r="A2" s="6" t="s">
        <v>126</v>
      </c>
      <c r="B2" s="6" t="s">
        <v>205</v>
      </c>
      <c r="C2" s="6" t="s">
        <v>206</v>
      </c>
      <c r="D2" s="6" t="s">
        <v>207</v>
      </c>
      <c r="E2" s="6" t="s">
        <v>208</v>
      </c>
    </row>
    <row r="3" customFormat="false" ht="15" hidden="false" customHeight="true" outlineLevel="0" collapsed="false">
      <c r="A3" s="3" t="s">
        <v>209</v>
      </c>
      <c r="B3" s="12" t="n">
        <v>1262520</v>
      </c>
      <c r="C3" s="12" t="n">
        <f aca="false">UW!B6</f>
        <v>1334605</v>
      </c>
      <c r="D3" s="12" t="n">
        <f aca="false">C3-B3</f>
        <v>72085</v>
      </c>
      <c r="E3" s="4" t="s">
        <v>210</v>
      </c>
    </row>
    <row r="4" customFormat="false" ht="15" hidden="false" customHeight="true" outlineLevel="0" collapsed="false">
      <c r="A4" s="3" t="s">
        <v>211</v>
      </c>
      <c r="B4" s="12" t="n">
        <v>147294</v>
      </c>
      <c r="C4" s="12" t="n">
        <f aca="false">UW!B9</f>
        <v>147294</v>
      </c>
      <c r="D4" s="12" t="n">
        <f aca="false">C4-B4</f>
        <v>0</v>
      </c>
      <c r="E4" s="4" t="s">
        <v>212</v>
      </c>
    </row>
    <row r="5" customFormat="false" ht="15" hidden="false" customHeight="true" outlineLevel="0" collapsed="false">
      <c r="A5" s="3" t="s">
        <v>213</v>
      </c>
      <c r="B5" s="12" t="n">
        <v>49098</v>
      </c>
      <c r="C5" s="12" t="n">
        <f aca="false">UW!B10</f>
        <v>49098</v>
      </c>
      <c r="D5" s="12" t="n">
        <f aca="false">C5-B5</f>
        <v>0</v>
      </c>
      <c r="E5" s="4" t="s">
        <v>212</v>
      </c>
    </row>
    <row r="6" customFormat="false" ht="15" hidden="false" customHeight="true" outlineLevel="0" collapsed="false">
      <c r="A6" s="3" t="s">
        <v>214</v>
      </c>
      <c r="B6" s="12" t="n">
        <v>196392</v>
      </c>
      <c r="C6" s="12" t="n">
        <f aca="false">UW!B11</f>
        <v>196392</v>
      </c>
      <c r="D6" s="12" t="n">
        <f aca="false">C6-B6</f>
        <v>0</v>
      </c>
      <c r="E6" s="4" t="s">
        <v>212</v>
      </c>
    </row>
    <row r="7" customFormat="false" ht="15" hidden="false" customHeight="true" outlineLevel="0" collapsed="false">
      <c r="A7" s="3" t="s">
        <v>215</v>
      </c>
      <c r="B7" s="12" t="n">
        <v>0</v>
      </c>
      <c r="C7" s="12" t="n">
        <f aca="false">UW!B12</f>
        <v>40038.15</v>
      </c>
      <c r="D7" s="12" t="n">
        <f aca="false">C7-B7</f>
        <v>40038.15</v>
      </c>
      <c r="E7" s="4" t="s">
        <v>216</v>
      </c>
    </row>
    <row r="8" customFormat="false" ht="15" hidden="false" customHeight="true" outlineLevel="0" collapsed="false">
      <c r="A8" s="3" t="s">
        <v>217</v>
      </c>
      <c r="B8" s="12" t="n">
        <v>869736</v>
      </c>
      <c r="C8" s="12" t="n">
        <f aca="false">UW!B16</f>
        <v>901782.85</v>
      </c>
      <c r="D8" s="12" t="n">
        <f aca="false">C8-B8</f>
        <v>32046.85</v>
      </c>
      <c r="E8" s="4" t="s">
        <v>218</v>
      </c>
    </row>
    <row r="9" customFormat="false" ht="15" hidden="false" customHeight="true" outlineLevel="0" collapsed="false">
      <c r="A9" s="3" t="s">
        <v>219</v>
      </c>
      <c r="B9" s="12" t="n">
        <v>0</v>
      </c>
      <c r="C9" s="12" t="n">
        <f aca="false">UW!B17</f>
        <v>2400</v>
      </c>
      <c r="D9" s="12" t="n">
        <f aca="false">C9-B9</f>
        <v>2400</v>
      </c>
      <c r="E9" s="4" t="s">
        <v>220</v>
      </c>
    </row>
    <row r="10" customFormat="false" ht="15" hidden="false" customHeight="true" outlineLevel="0" collapsed="false">
      <c r="A10" s="3" t="s">
        <v>221</v>
      </c>
      <c r="B10" s="1" t="s">
        <v>222</v>
      </c>
      <c r="C10" s="12" t="n">
        <f aca="false">UW!B18</f>
        <v>899382.85</v>
      </c>
      <c r="D10" s="1" t="s">
        <v>223</v>
      </c>
      <c r="E10" s="4" t="s">
        <v>224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22"/>
    <col collapsed="false" customWidth="true" hidden="false" outlineLevel="0" max="3" min="3" style="1" width="12"/>
    <col collapsed="false" customWidth="true" hidden="false" outlineLevel="0" max="4" min="4" style="1" width="40"/>
    <col collapsed="false" customWidth="true" hidden="false" outlineLevel="0" max="5" min="5" style="1" width="22"/>
    <col collapsed="false" customWidth="true" hidden="false" outlineLevel="0" max="6" min="6" style="1" width="60"/>
  </cols>
  <sheetData>
    <row r="1" customFormat="false" ht="15" hidden="false" customHeight="true" outlineLevel="0" collapsed="false">
      <c r="A1" s="5" t="s">
        <v>225</v>
      </c>
      <c r="B1" s="5"/>
      <c r="C1" s="5"/>
      <c r="D1" s="5"/>
      <c r="E1" s="5"/>
      <c r="F1" s="5"/>
    </row>
    <row r="2" customFormat="false" ht="15" hidden="false" customHeight="true" outlineLevel="0" collapsed="false">
      <c r="A2" s="16" t="s">
        <v>226</v>
      </c>
      <c r="B2" s="16" t="s">
        <v>34</v>
      </c>
      <c r="C2" s="16" t="s">
        <v>35</v>
      </c>
      <c r="D2" s="16" t="s">
        <v>227</v>
      </c>
      <c r="E2" s="16" t="s">
        <v>228</v>
      </c>
      <c r="F2" s="16" t="s">
        <v>229</v>
      </c>
    </row>
    <row r="3" customFormat="false" ht="15" hidden="false" customHeight="true" outlineLevel="0" collapsed="false">
      <c r="A3" s="3" t="s">
        <v>80</v>
      </c>
      <c r="B3" s="14" t="n">
        <f aca="false">RentRoll!B14</f>
        <v>8</v>
      </c>
      <c r="C3" s="8" t="s">
        <v>81</v>
      </c>
      <c r="D3" s="4" t="s">
        <v>230</v>
      </c>
      <c r="E3" s="4" t="s">
        <v>231</v>
      </c>
      <c r="F3" s="4" t="s">
        <v>232</v>
      </c>
    </row>
    <row r="4" customFormat="false" ht="15" hidden="false" customHeight="true" outlineLevel="0" collapsed="false">
      <c r="A4" s="3" t="s">
        <v>111</v>
      </c>
      <c r="B4" s="14" t="n">
        <f aca="false">RentRoll!B15</f>
        <v>7</v>
      </c>
      <c r="C4" s="8" t="s">
        <v>81</v>
      </c>
      <c r="D4" s="4" t="s">
        <v>230</v>
      </c>
      <c r="E4" s="4" t="s">
        <v>233</v>
      </c>
      <c r="F4" s="4" t="s">
        <v>234</v>
      </c>
    </row>
    <row r="5" customFormat="false" ht="15" hidden="false" customHeight="true" outlineLevel="0" collapsed="false">
      <c r="A5" s="3" t="s">
        <v>112</v>
      </c>
      <c r="B5" s="14" t="n">
        <f aca="false">RentRoll!B16</f>
        <v>0</v>
      </c>
      <c r="C5" s="8" t="s">
        <v>81</v>
      </c>
      <c r="D5" s="4" t="s">
        <v>230</v>
      </c>
      <c r="E5" s="4" t="s">
        <v>233</v>
      </c>
      <c r="F5" s="4" t="s">
        <v>235</v>
      </c>
    </row>
    <row r="6" customFormat="false" ht="15" hidden="false" customHeight="true" outlineLevel="0" collapsed="false">
      <c r="A6" s="3" t="s">
        <v>114</v>
      </c>
      <c r="B6" s="14" t="n">
        <f aca="false">RentRoll!B18</f>
        <v>176060</v>
      </c>
      <c r="C6" s="8" t="s">
        <v>115</v>
      </c>
      <c r="D6" s="4" t="s">
        <v>230</v>
      </c>
      <c r="E6" s="4" t="s">
        <v>236</v>
      </c>
      <c r="F6" s="4" t="s">
        <v>237</v>
      </c>
    </row>
    <row r="7" customFormat="false" ht="15" hidden="false" customHeight="true" outlineLevel="0" collapsed="false">
      <c r="A7" s="3" t="s">
        <v>116</v>
      </c>
      <c r="B7" s="14" t="n">
        <f aca="false">RentRoll!B19</f>
        <v>154060</v>
      </c>
      <c r="C7" s="8" t="s">
        <v>115</v>
      </c>
      <c r="D7" s="4" t="s">
        <v>230</v>
      </c>
      <c r="E7" s="4" t="s">
        <v>238</v>
      </c>
      <c r="F7" s="4" t="s">
        <v>239</v>
      </c>
    </row>
    <row r="8" customFormat="false" ht="15" hidden="false" customHeight="true" outlineLevel="0" collapsed="false">
      <c r="A8" s="3" t="s">
        <v>117</v>
      </c>
      <c r="B8" s="33" t="n">
        <f aca="false">RentRoll!B20</f>
        <v>0.875</v>
      </c>
      <c r="C8" s="8" t="s">
        <v>41</v>
      </c>
      <c r="D8" s="4" t="s">
        <v>230</v>
      </c>
      <c r="E8" s="4" t="s">
        <v>240</v>
      </c>
      <c r="F8" s="4" t="s">
        <v>241</v>
      </c>
    </row>
    <row r="9" customFormat="false" ht="15" hidden="false" customHeight="true" outlineLevel="0" collapsed="false">
      <c r="A9" s="3" t="s">
        <v>118</v>
      </c>
      <c r="B9" s="33" t="n">
        <f aca="false">RentRoll!B21</f>
        <v>0.875042599113938</v>
      </c>
      <c r="C9" s="8" t="s">
        <v>41</v>
      </c>
      <c r="D9" s="4" t="s">
        <v>230</v>
      </c>
      <c r="E9" s="4" t="s">
        <v>238</v>
      </c>
      <c r="F9" s="4" t="s">
        <v>242</v>
      </c>
    </row>
    <row r="10" customFormat="false" ht="15" hidden="false" customHeight="true" outlineLevel="0" collapsed="false">
      <c r="A10" s="3" t="s">
        <v>121</v>
      </c>
      <c r="B10" s="12" t="n">
        <f aca="false">RentRoll!B23</f>
        <v>1227600</v>
      </c>
      <c r="C10" s="8" t="s">
        <v>38</v>
      </c>
      <c r="D10" s="4" t="s">
        <v>230</v>
      </c>
      <c r="E10" s="4" t="s">
        <v>243</v>
      </c>
      <c r="F10" s="4" t="s">
        <v>244</v>
      </c>
    </row>
    <row r="11" customFormat="false" ht="15" hidden="false" customHeight="true" outlineLevel="0" collapsed="false">
      <c r="A11" s="3" t="s">
        <v>119</v>
      </c>
      <c r="B11" s="12" t="n">
        <f aca="false">RentRoll!B22</f>
        <v>14450</v>
      </c>
      <c r="C11" s="8" t="s">
        <v>120</v>
      </c>
      <c r="D11" s="4" t="s">
        <v>245</v>
      </c>
      <c r="E11" s="4" t="s">
        <v>246</v>
      </c>
      <c r="F11" s="4" t="s">
        <v>247</v>
      </c>
    </row>
    <row r="12" customFormat="false" ht="15" hidden="false" customHeight="true" outlineLevel="0" collapsed="false">
      <c r="A12" s="3" t="s">
        <v>37</v>
      </c>
      <c r="B12" s="12" t="n">
        <f aca="false">UW!B3</f>
        <v>1401900</v>
      </c>
      <c r="C12" s="8" t="s">
        <v>38</v>
      </c>
      <c r="D12" s="4" t="s">
        <v>248</v>
      </c>
      <c r="E12" s="4" t="s">
        <v>249</v>
      </c>
      <c r="F12" s="4" t="s">
        <v>250</v>
      </c>
    </row>
    <row r="13" customFormat="false" ht="15" hidden="false" customHeight="true" outlineLevel="0" collapsed="false">
      <c r="A13" s="3" t="s">
        <v>133</v>
      </c>
      <c r="B13" s="12" t="n">
        <f aca="false">UW!B6</f>
        <v>1334605</v>
      </c>
      <c r="C13" s="8" t="s">
        <v>38</v>
      </c>
      <c r="D13" s="4" t="s">
        <v>248</v>
      </c>
      <c r="E13" s="4" t="s">
        <v>249</v>
      </c>
      <c r="F13" s="4" t="s">
        <v>251</v>
      </c>
    </row>
    <row r="14" customFormat="false" ht="15" hidden="false" customHeight="true" outlineLevel="0" collapsed="false">
      <c r="A14" s="3" t="s">
        <v>55</v>
      </c>
      <c r="B14" s="12" t="n">
        <f aca="false">UW!B9</f>
        <v>147294</v>
      </c>
      <c r="C14" s="8" t="s">
        <v>38</v>
      </c>
      <c r="D14" s="4" t="s">
        <v>248</v>
      </c>
      <c r="E14" s="4" t="s">
        <v>252</v>
      </c>
      <c r="F14" s="4" t="s">
        <v>136</v>
      </c>
    </row>
    <row r="15" customFormat="false" ht="15" hidden="false" customHeight="true" outlineLevel="0" collapsed="false">
      <c r="A15" s="3" t="s">
        <v>57</v>
      </c>
      <c r="B15" s="12" t="n">
        <f aca="false">UW!B10</f>
        <v>49098</v>
      </c>
      <c r="C15" s="8" t="s">
        <v>38</v>
      </c>
      <c r="D15" s="4" t="s">
        <v>248</v>
      </c>
      <c r="E15" s="4" t="s">
        <v>252</v>
      </c>
      <c r="F15" s="4" t="s">
        <v>253</v>
      </c>
    </row>
    <row r="16" customFormat="false" ht="15" hidden="false" customHeight="true" outlineLevel="0" collapsed="false">
      <c r="A16" s="3" t="s">
        <v>254</v>
      </c>
      <c r="B16" s="12" t="n">
        <f aca="false">UW!B13</f>
        <v>432822.15</v>
      </c>
      <c r="C16" s="8" t="s">
        <v>38</v>
      </c>
      <c r="D16" s="4" t="s">
        <v>248</v>
      </c>
      <c r="E16" s="4" t="s">
        <v>252</v>
      </c>
      <c r="F16" s="4" t="s">
        <v>255</v>
      </c>
    </row>
    <row r="17" customFormat="false" ht="15" hidden="false" customHeight="true" outlineLevel="0" collapsed="false">
      <c r="A17" s="3" t="s">
        <v>145</v>
      </c>
      <c r="B17" s="12" t="n">
        <f aca="false">UW!B16</f>
        <v>901782.85</v>
      </c>
      <c r="C17" s="8" t="s">
        <v>38</v>
      </c>
      <c r="D17" s="4" t="s">
        <v>248</v>
      </c>
      <c r="E17" s="4" t="s">
        <v>252</v>
      </c>
      <c r="F17" s="4" t="s">
        <v>256</v>
      </c>
    </row>
    <row r="18" customFormat="false" ht="15" hidden="false" customHeight="true" outlineLevel="0" collapsed="false">
      <c r="A18" s="3" t="s">
        <v>149</v>
      </c>
      <c r="B18" s="12" t="n">
        <f aca="false">UW!B18</f>
        <v>899382.85</v>
      </c>
      <c r="C18" s="8" t="s">
        <v>38</v>
      </c>
      <c r="D18" s="4" t="s">
        <v>248</v>
      </c>
      <c r="E18" s="4" t="s">
        <v>252</v>
      </c>
      <c r="F18" s="4" t="s">
        <v>257</v>
      </c>
    </row>
    <row r="19" customFormat="false" ht="15" hidden="false" customHeight="true" outlineLevel="0" collapsed="false">
      <c r="A19" s="3" t="s">
        <v>43</v>
      </c>
      <c r="B19" s="15" t="n">
        <f aca="false">Inputs!B5</f>
        <v>0.08</v>
      </c>
      <c r="C19" s="8" t="s">
        <v>41</v>
      </c>
      <c r="D19" s="4" t="s">
        <v>248</v>
      </c>
      <c r="E19" s="4" t="s">
        <v>258</v>
      </c>
      <c r="F19" s="4" t="s">
        <v>259</v>
      </c>
    </row>
    <row r="20" customFormat="false" ht="15" hidden="false" customHeight="true" outlineLevel="0" collapsed="false">
      <c r="A20" s="3" t="s">
        <v>40</v>
      </c>
      <c r="B20" s="15" t="n">
        <f aca="false">Inputs!B4</f>
        <v>0.0625</v>
      </c>
      <c r="C20" s="8" t="s">
        <v>41</v>
      </c>
      <c r="D20" s="4" t="s">
        <v>248</v>
      </c>
      <c r="E20" s="4" t="s">
        <v>252</v>
      </c>
      <c r="F20" s="4" t="s">
        <v>260</v>
      </c>
    </row>
    <row r="21" customFormat="false" ht="15" hidden="false" customHeight="true" outlineLevel="0" collapsed="false">
      <c r="A21" s="3" t="s">
        <v>152</v>
      </c>
      <c r="B21" s="12" t="n">
        <f aca="false">UW!B20</f>
        <v>14428525.6</v>
      </c>
      <c r="C21" s="8" t="s">
        <v>76</v>
      </c>
      <c r="D21" s="4" t="s">
        <v>248</v>
      </c>
      <c r="E21" s="4" t="s">
        <v>252</v>
      </c>
      <c r="F21" s="4" t="s">
        <v>261</v>
      </c>
    </row>
    <row r="22" customFormat="false" ht="15" hidden="false" customHeight="true" outlineLevel="0" collapsed="false">
      <c r="A22" s="3" t="s">
        <v>61</v>
      </c>
      <c r="B22" s="15" t="n">
        <f aca="false">Inputs!B15</f>
        <v>0.65</v>
      </c>
      <c r="C22" s="8" t="s">
        <v>41</v>
      </c>
      <c r="D22" s="4" t="s">
        <v>248</v>
      </c>
      <c r="E22" s="4" t="s">
        <v>258</v>
      </c>
      <c r="F22" s="4" t="s">
        <v>262</v>
      </c>
    </row>
    <row r="23" customFormat="false" ht="15" hidden="false" customHeight="true" outlineLevel="0" collapsed="false">
      <c r="A23" s="3" t="s">
        <v>63</v>
      </c>
      <c r="B23" s="13" t="n">
        <f aca="false">Inputs!B16</f>
        <v>1.25</v>
      </c>
      <c r="C23" s="8" t="s">
        <v>64</v>
      </c>
      <c r="D23" s="4" t="s">
        <v>248</v>
      </c>
      <c r="E23" s="4" t="s">
        <v>258</v>
      </c>
      <c r="F23" s="4" t="s">
        <v>263</v>
      </c>
    </row>
    <row r="24" customFormat="false" ht="15" hidden="false" customHeight="true" outlineLevel="0" collapsed="false">
      <c r="A24" s="3" t="s">
        <v>66</v>
      </c>
      <c r="B24" s="15" t="n">
        <f aca="false">Inputs!B17</f>
        <v>0.09</v>
      </c>
      <c r="C24" s="8" t="s">
        <v>41</v>
      </c>
      <c r="D24" s="4" t="s">
        <v>248</v>
      </c>
      <c r="E24" s="4" t="s">
        <v>258</v>
      </c>
      <c r="F24" s="4" t="s">
        <v>264</v>
      </c>
    </row>
    <row r="25" customFormat="false" ht="15" hidden="false" customHeight="true" outlineLevel="0" collapsed="false">
      <c r="A25" s="3" t="s">
        <v>179</v>
      </c>
      <c r="B25" s="12" t="n">
        <f aca="false">Debt!B18</f>
        <v>8171402.49081079</v>
      </c>
      <c r="C25" s="8" t="s">
        <v>76</v>
      </c>
      <c r="D25" s="4" t="s">
        <v>248</v>
      </c>
      <c r="E25" s="4" t="s">
        <v>258</v>
      </c>
      <c r="F25" s="4" t="s">
        <v>265</v>
      </c>
    </row>
    <row r="26" customFormat="false" ht="15" hidden="false" customHeight="true" outlineLevel="0" collapsed="false">
      <c r="A26" s="3" t="s">
        <v>195</v>
      </c>
      <c r="B26" s="12" t="n">
        <f aca="false">Debt!B29</f>
        <v>244688.465902682</v>
      </c>
      <c r="C26" s="8" t="s">
        <v>76</v>
      </c>
      <c r="D26" s="4" t="s">
        <v>248</v>
      </c>
      <c r="E26" s="4" t="s">
        <v>258</v>
      </c>
      <c r="F26" s="4" t="s">
        <v>266</v>
      </c>
    </row>
    <row r="27" customFormat="false" ht="15" hidden="false" customHeight="true" outlineLevel="0" collapsed="false">
      <c r="A27" s="3" t="s">
        <v>267</v>
      </c>
      <c r="B27" s="12" t="n">
        <v>2000000</v>
      </c>
      <c r="C27" s="8" t="s">
        <v>76</v>
      </c>
      <c r="D27" s="4" t="s">
        <v>268</v>
      </c>
      <c r="E27" s="4" t="s">
        <v>269</v>
      </c>
      <c r="F27" s="4" t="s">
        <v>270</v>
      </c>
    </row>
    <row r="28" customFormat="false" ht="15" hidden="false" customHeight="true" outlineLevel="0" collapsed="false">
      <c r="A28" s="3" t="s">
        <v>271</v>
      </c>
      <c r="B28" s="1" t="s">
        <v>8</v>
      </c>
      <c r="C28" s="8" t="s">
        <v>272</v>
      </c>
      <c r="D28" s="4" t="s">
        <v>230</v>
      </c>
      <c r="E28" s="4" t="s">
        <v>273</v>
      </c>
      <c r="F28" s="4" t="s">
        <v>274</v>
      </c>
    </row>
    <row r="29" customFormat="false" ht="15" hidden="false" customHeight="true" outlineLevel="0" collapsed="false">
      <c r="A29" s="3" t="s">
        <v>275</v>
      </c>
      <c r="B29" s="12" t="n">
        <v>869736</v>
      </c>
      <c r="C29" s="8" t="s">
        <v>38</v>
      </c>
      <c r="D29" s="4" t="s">
        <v>276</v>
      </c>
      <c r="E29" s="4" t="s">
        <v>277</v>
      </c>
      <c r="F29" s="4" t="s">
        <v>278</v>
      </c>
    </row>
    <row r="30" customFormat="false" ht="15" hidden="false" customHeight="true" outlineLevel="0" collapsed="false">
      <c r="A30" s="3" t="s">
        <v>279</v>
      </c>
      <c r="B30" s="14" t="n">
        <f aca="false">RentRoll!B28</f>
        <v>3</v>
      </c>
      <c r="C30" s="8" t="s">
        <v>81</v>
      </c>
      <c r="D30" s="4" t="s">
        <v>280</v>
      </c>
      <c r="E30" s="4" t="s">
        <v>281</v>
      </c>
      <c r="F30" s="4" t="s">
        <v>282</v>
      </c>
    </row>
    <row r="31" customFormat="false" ht="15" hidden="false" customHeight="true" outlineLevel="0" collapsed="false">
      <c r="A31" s="3" t="s">
        <v>283</v>
      </c>
      <c r="B31" s="14" t="n">
        <f aca="false">RentRoll!C28</f>
        <v>3</v>
      </c>
      <c r="C31" s="8" t="s">
        <v>81</v>
      </c>
      <c r="D31" s="4" t="s">
        <v>230</v>
      </c>
      <c r="E31" s="4" t="s">
        <v>233</v>
      </c>
      <c r="F31" s="4" t="s">
        <v>284</v>
      </c>
    </row>
    <row r="32" customFormat="false" ht="15" hidden="false" customHeight="true" outlineLevel="0" collapsed="false">
      <c r="A32" s="3" t="s">
        <v>285</v>
      </c>
      <c r="B32" s="14" t="n">
        <f aca="false">RentRoll!B29</f>
        <v>3</v>
      </c>
      <c r="C32" s="8" t="s">
        <v>81</v>
      </c>
      <c r="D32" s="4" t="s">
        <v>280</v>
      </c>
      <c r="E32" s="4" t="s">
        <v>281</v>
      </c>
      <c r="F32" s="4" t="s">
        <v>286</v>
      </c>
    </row>
    <row r="33" customFormat="false" ht="15" hidden="false" customHeight="true" outlineLevel="0" collapsed="false">
      <c r="A33" s="3" t="s">
        <v>287</v>
      </c>
      <c r="B33" s="14" t="n">
        <f aca="false">RentRoll!C29</f>
        <v>2</v>
      </c>
      <c r="C33" s="8" t="s">
        <v>81</v>
      </c>
      <c r="D33" s="4" t="s">
        <v>230</v>
      </c>
      <c r="E33" s="4" t="s">
        <v>233</v>
      </c>
      <c r="F33" s="4" t="s">
        <v>288</v>
      </c>
    </row>
    <row r="34" customFormat="false" ht="15" hidden="false" customHeight="true" outlineLevel="0" collapsed="false">
      <c r="A34" s="3" t="s">
        <v>289</v>
      </c>
      <c r="B34" s="14" t="n">
        <f aca="false">RentRoll!B30</f>
        <v>2</v>
      </c>
      <c r="C34" s="8" t="s">
        <v>81</v>
      </c>
      <c r="D34" s="4" t="s">
        <v>280</v>
      </c>
      <c r="E34" s="4" t="s">
        <v>281</v>
      </c>
      <c r="F34" s="4" t="s">
        <v>290</v>
      </c>
    </row>
    <row r="35" customFormat="false" ht="15" hidden="false" customHeight="true" outlineLevel="0" collapsed="false">
      <c r="A35" s="3" t="s">
        <v>291</v>
      </c>
      <c r="B35" s="14" t="n">
        <f aca="false">RentRoll!C30</f>
        <v>2</v>
      </c>
      <c r="C35" s="8" t="s">
        <v>81</v>
      </c>
      <c r="D35" s="4" t="s">
        <v>230</v>
      </c>
      <c r="E35" s="4" t="s">
        <v>233</v>
      </c>
      <c r="F35" s="4" t="s">
        <v>292</v>
      </c>
    </row>
    <row r="36" customFormat="false" ht="15" hidden="false" customHeight="true" outlineLevel="0" collapsed="false">
      <c r="A36" s="3" t="s">
        <v>293</v>
      </c>
      <c r="B36" s="1" t="s">
        <v>294</v>
      </c>
      <c r="C36" s="8" t="s">
        <v>295</v>
      </c>
      <c r="D36" s="4" t="s">
        <v>296</v>
      </c>
      <c r="E36" s="4" t="s">
        <v>297</v>
      </c>
      <c r="F36" s="4" t="s">
        <v>298</v>
      </c>
    </row>
    <row r="37" customFormat="false" ht="15" hidden="false" customHeight="true" outlineLevel="0" collapsed="false">
      <c r="A37" s="3" t="s">
        <v>299</v>
      </c>
      <c r="B37" s="1" t="s">
        <v>300</v>
      </c>
      <c r="C37" s="8" t="s">
        <v>295</v>
      </c>
      <c r="D37" s="4" t="s">
        <v>230</v>
      </c>
      <c r="E37" s="4" t="s">
        <v>301</v>
      </c>
      <c r="F37" s="4" t="s">
        <v>302</v>
      </c>
    </row>
    <row r="38" customFormat="false" ht="15" hidden="false" customHeight="true" outlineLevel="0" collapsed="false">
      <c r="A38" s="3" t="s">
        <v>303</v>
      </c>
      <c r="B38" s="1" t="s">
        <v>300</v>
      </c>
      <c r="C38" s="8" t="s">
        <v>295</v>
      </c>
      <c r="D38" s="4" t="s">
        <v>268</v>
      </c>
      <c r="E38" s="4" t="s">
        <v>304</v>
      </c>
      <c r="F38" s="4" t="s">
        <v>305</v>
      </c>
    </row>
    <row r="39" customFormat="false" ht="15" hidden="false" customHeight="true" outlineLevel="0" collapsed="false">
      <c r="A39" s="3" t="s">
        <v>306</v>
      </c>
      <c r="B39" s="1" t="s">
        <v>300</v>
      </c>
      <c r="C39" s="8" t="s">
        <v>295</v>
      </c>
      <c r="D39" s="4" t="s">
        <v>276</v>
      </c>
      <c r="E39" s="4" t="s">
        <v>277</v>
      </c>
      <c r="F39" s="4" t="s">
        <v>307</v>
      </c>
    </row>
    <row r="40" customFormat="false" ht="15" hidden="false" customHeight="true" outlineLevel="0" collapsed="false">
      <c r="A40" s="3" t="s">
        <v>308</v>
      </c>
      <c r="B40" s="1" t="s">
        <v>300</v>
      </c>
      <c r="C40" s="8" t="s">
        <v>295</v>
      </c>
      <c r="D40" s="4" t="s">
        <v>309</v>
      </c>
      <c r="E40" s="4" t="s">
        <v>310</v>
      </c>
      <c r="F40" s="4" t="s">
        <v>311</v>
      </c>
    </row>
    <row r="41" customFormat="false" ht="15" hidden="false" customHeight="true" outlineLevel="0" collapsed="false">
      <c r="A41" s="3" t="s">
        <v>312</v>
      </c>
      <c r="B41" s="1" t="s">
        <v>300</v>
      </c>
      <c r="C41" s="8" t="s">
        <v>295</v>
      </c>
      <c r="D41" s="4" t="s">
        <v>313</v>
      </c>
      <c r="E41" s="4" t="s">
        <v>304</v>
      </c>
      <c r="F41" s="4" t="s">
        <v>314</v>
      </c>
    </row>
    <row r="42" customFormat="false" ht="15" hidden="false" customHeight="true" outlineLevel="0" collapsed="false">
      <c r="A42" s="3" t="s">
        <v>315</v>
      </c>
      <c r="B42" s="1" t="s">
        <v>294</v>
      </c>
      <c r="C42" s="8" t="s">
        <v>295</v>
      </c>
      <c r="D42" s="4" t="s">
        <v>248</v>
      </c>
      <c r="E42" s="4" t="s">
        <v>258</v>
      </c>
      <c r="F42" s="4" t="s">
        <v>316</v>
      </c>
    </row>
    <row r="43" customFormat="false" ht="15" hidden="false" customHeight="true" outlineLevel="0" collapsed="false">
      <c r="A43" s="3" t="s">
        <v>317</v>
      </c>
      <c r="B43" s="1" t="s">
        <v>300</v>
      </c>
      <c r="C43" s="8" t="s">
        <v>295</v>
      </c>
      <c r="D43" s="4" t="s">
        <v>318</v>
      </c>
      <c r="E43" s="4" t="s">
        <v>318</v>
      </c>
      <c r="F43" s="4" t="s">
        <v>319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2"/>
    <col collapsed="false" customWidth="true" hidden="false" outlineLevel="0" max="3" min="3" style="1" width="26"/>
    <col collapsed="false" customWidth="true" hidden="false" outlineLevel="0" max="4" min="4" style="1" width="90"/>
  </cols>
  <sheetData>
    <row r="1" customFormat="false" ht="15" hidden="false" customHeight="true" outlineLevel="0" collapsed="false">
      <c r="A1" s="5" t="s">
        <v>320</v>
      </c>
      <c r="B1" s="5"/>
      <c r="C1" s="5"/>
      <c r="D1" s="5"/>
    </row>
    <row r="2" customFormat="false" ht="15" hidden="false" customHeight="true" outlineLevel="0" collapsed="false">
      <c r="A2" s="6" t="s">
        <v>321</v>
      </c>
      <c r="B2" s="6" t="s">
        <v>228</v>
      </c>
      <c r="C2" s="6" t="s">
        <v>322</v>
      </c>
      <c r="D2" s="6" t="s">
        <v>323</v>
      </c>
    </row>
    <row r="3" customFormat="false" ht="15" hidden="false" customHeight="true" outlineLevel="0" collapsed="false">
      <c r="A3" s="3" t="s">
        <v>230</v>
      </c>
      <c r="B3" s="1" t="s">
        <v>273</v>
      </c>
      <c r="C3" s="4" t="s">
        <v>271</v>
      </c>
      <c r="D3" s="4" t="s">
        <v>324</v>
      </c>
    </row>
    <row r="4" customFormat="false" ht="15" hidden="false" customHeight="true" outlineLevel="0" collapsed="false">
      <c r="A4" s="3" t="s">
        <v>230</v>
      </c>
      <c r="B4" s="1" t="s">
        <v>325</v>
      </c>
      <c r="C4" s="4" t="s">
        <v>326</v>
      </c>
      <c r="D4" s="4" t="s">
        <v>327</v>
      </c>
    </row>
    <row r="5" customFormat="false" ht="15" hidden="false" customHeight="true" outlineLevel="0" collapsed="false">
      <c r="A5" s="3" t="s">
        <v>328</v>
      </c>
      <c r="B5" s="1" t="s">
        <v>273</v>
      </c>
      <c r="C5" s="4" t="s">
        <v>329</v>
      </c>
      <c r="D5" s="4" t="s">
        <v>330</v>
      </c>
    </row>
    <row r="6" customFormat="false" ht="15" hidden="false" customHeight="true" outlineLevel="0" collapsed="false">
      <c r="A6" s="3" t="s">
        <v>313</v>
      </c>
      <c r="B6" s="1" t="s">
        <v>304</v>
      </c>
      <c r="C6" s="4" t="s">
        <v>119</v>
      </c>
      <c r="D6" s="4" t="s">
        <v>331</v>
      </c>
    </row>
    <row r="7" customFormat="false" ht="15" hidden="false" customHeight="true" outlineLevel="0" collapsed="false">
      <c r="A7" s="3" t="s">
        <v>332</v>
      </c>
      <c r="B7" s="1" t="s">
        <v>304</v>
      </c>
      <c r="C7" s="4" t="s">
        <v>308</v>
      </c>
      <c r="D7" s="4" t="s">
        <v>333</v>
      </c>
    </row>
    <row r="8" customFormat="false" ht="15" hidden="false" customHeight="true" outlineLevel="0" collapsed="false">
      <c r="A8" s="3" t="s">
        <v>268</v>
      </c>
      <c r="B8" s="1" t="s">
        <v>304</v>
      </c>
      <c r="C8" s="4" t="s">
        <v>334</v>
      </c>
      <c r="D8" s="4" t="s">
        <v>335</v>
      </c>
    </row>
    <row r="9" customFormat="false" ht="15" hidden="false" customHeight="true" outlineLevel="0" collapsed="false">
      <c r="A9" s="3" t="s">
        <v>276</v>
      </c>
      <c r="B9" s="1" t="s">
        <v>277</v>
      </c>
      <c r="C9" s="4" t="s">
        <v>336</v>
      </c>
      <c r="D9" s="4" t="s">
        <v>337</v>
      </c>
    </row>
    <row r="10" customFormat="false" ht="15" hidden="false" customHeight="true" outlineLevel="0" collapsed="false">
      <c r="A10" s="3" t="s">
        <v>338</v>
      </c>
      <c r="B10" s="1" t="s">
        <v>304</v>
      </c>
      <c r="C10" s="4" t="s">
        <v>339</v>
      </c>
      <c r="D10" s="4" t="s">
        <v>340</v>
      </c>
    </row>
    <row r="11" customFormat="false" ht="15" hidden="false" customHeight="true" outlineLevel="0" collapsed="false">
      <c r="A11" s="3" t="s">
        <v>248</v>
      </c>
      <c r="B11" s="1" t="s">
        <v>304</v>
      </c>
      <c r="C11" s="4" t="s">
        <v>341</v>
      </c>
      <c r="D11" s="4" t="s">
        <v>342</v>
      </c>
    </row>
    <row r="12" customFormat="false" ht="15" hidden="false" customHeight="true" outlineLevel="0" collapsed="false">
      <c r="A12" s="3" t="s">
        <v>343</v>
      </c>
      <c r="B12" s="1" t="s">
        <v>304</v>
      </c>
      <c r="C12" s="4" t="s">
        <v>344</v>
      </c>
      <c r="D12" s="4" t="s">
        <v>345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2026-09-07T13:22:50Z</dcterms:created>
  <dc:creator>openpyxl</dc:creator>
  <dc:description/>
  <dc:language>en-US</dc:language>
  <cp:lastModifiedBy/>
  <dcterms:modified xsi:type="dcterms:W3CDTF">2026-09-07T14:06:56Z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