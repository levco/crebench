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<sst xmlns="http://schemas.openxmlformats.org/spreadsheetml/2006/main" count="629" uniqueCount="367">
  <si>
    <t xml:space="preserve">Falcon Distribution — Reconciled Underwriting Workbook (v2, revised)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</si>
  <si>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</si>
  <si>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</si>
  <si>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</si>
  <si>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</si>
  <si>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</si>
  <si>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</si>
  <si>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Version</t>
  </si>
  <si>
    <t xml:space="preserve">v2 — revision applied 2026-09-01 (revision-notice.pdf)</t>
  </si>
  <si>
    <t xml:space="preserve">Analysis as-of date</t>
  </si>
  <si>
    <t xml:space="preserve">2026-09-01 (revised certified roll)</t>
  </si>
  <si>
    <t xml:space="preserve">Prior version</t>
  </si>
  <si>
    <t xml:space="preserve">v1 dated 2026-08-31 preserved in audit archive (Falcon_Distribution_UW.xlsx v1)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</si>
  <si>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</si>
  <si>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</si>
  <si>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</si>
  <si>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</si>
  <si>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</si>
  <si>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</si>
  <si>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 (preserved verbatim)</t>
  </si>
  <si>
    <t xml:space="preserve">Source-backed analysis. Assumptions remain subject to diligence.</t>
  </si>
  <si>
    <t xml:space="preserve">Change log (v1 → v2)</t>
  </si>
  <si>
    <t xml:space="preserve">Suite 002 rent</t>
  </si>
  <si>
    <t xml:space="preserve">$14,600 → $14,825/mo  (+$225)</t>
  </si>
  <si>
    <t xml:space="preserve">Selected roll date</t>
  </si>
  <si>
    <t xml:space="preserve">2026-08-31 → 2026-09-01</t>
  </si>
  <si>
    <t xml:space="preserve">Sizing rate (input)</t>
  </si>
  <si>
    <t xml:space="preserve">7.00% → 7.75%  (+75 bps)</t>
  </si>
  <si>
    <t xml:space="preserve">Cap rate (input)</t>
  </si>
  <si>
    <t xml:space="preserve">6.2500% → 6.5000%  (+25 bps)</t>
  </si>
  <si>
    <t xml:space="preserve">GPR</t>
  </si>
  <si>
    <t xml:space="preserve">$1,401,900 → $1,404,600</t>
  </si>
  <si>
    <t xml:space="preserve">UW EGI</t>
  </si>
  <si>
    <t xml:space="preserve">$1,334,605 → $1,337,170</t>
  </si>
  <si>
    <t xml:space="preserve">UW NOI (pre-reserve)</t>
  </si>
  <si>
    <t xml:space="preserve">$901,782.85 → $904,270.90</t>
  </si>
  <si>
    <t xml:space="preserve">UW NCF</t>
  </si>
  <si>
    <t xml:space="preserve">$899,382.85 → $901,870.90</t>
  </si>
  <si>
    <t xml:space="preserve">Capitalization value</t>
  </si>
  <si>
    <t xml:space="preserve">$14,428,525.60 → $13,911,860.00</t>
  </si>
  <si>
    <t xml:space="preserve">Maximum loan</t>
  </si>
  <si>
    <t xml:space="preserve">$9,012,270 → $8,392,555  (binding: DSCR, unchanged)</t>
  </si>
  <si>
    <t xml:space="preserve">Net cash-out</t>
  </si>
  <si>
    <t xml:space="preserve">$1,077,147 → $463,629  (still positive)</t>
  </si>
  <si>
    <t xml:space="preserve">Unaffected — occupancy</t>
  </si>
  <si>
    <t xml:space="preserve">unit_occupancy 0.8750; area_occupancy 0.8750; total_units 8; occupied 7; total SF 176,060</t>
  </si>
  <si>
    <t xml:space="preserve">Unaffected — Suite 001</t>
  </si>
  <si>
    <t xml:space="preserve">$14,450/mo executed amendment continues to apply</t>
  </si>
  <si>
    <t xml:space="preserve">Unaffected — expenses</t>
  </si>
  <si>
    <t xml:space="preserve">Tax, insurance, other opex, reserves, ltv/dscr/dy limits, note rate, payoff, closing all unchanged</t>
  </si>
  <si>
    <t xml:space="preserve">Unaffected — risks</t>
  </si>
  <si>
    <t xml:space="preserve">All 8 risk flags unchanged in polarity</t>
  </si>
  <si>
    <t xml:space="preserve">Named driver inputs (edit yellow cells) — v2 revised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</si>
  <si>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</si>
  <si>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</si>
  <si>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</si>
  <si>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</si>
  <si>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</si>
  <si>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</si>
  <si>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REVISED: all-suite scheduled monthly rent on 2026-09-01 revised certified roll × 12, before Suite 001 amendment. Was $1,401,900.</t>
  </si>
  <si>
    <t xml:space="preserve">cap_rate</t>
  </si>
  <si>
    <t xml:space="preserve">decimal</t>
  </si>
  <si>
    <t xml:space="preserve">REVISED: prior 6.2500% + 25 bps per revision-notice.pdf.</t>
  </si>
  <si>
    <t xml:space="preserve">sizing_rate</t>
  </si>
  <si>
    <t xml:space="preserve">REVISED: prior 7.0000% + 75 bps per revision-notice.pdf. Floor still binds (&gt; 6.10% note rate).</t>
  </si>
  <si>
    <t xml:space="preserve">Prescribed assumptions (unchanged from v1 except where noted)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</si>
  <si>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</si>
  <si>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</si>
  <si>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</si>
  <si>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</si>
  <si>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</si>
  <si>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</si>
  <si>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</si>
  <si>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</si>
  <si>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</si>
  <si>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</si>
  <si>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</si>
  <si>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</si>
  <si>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</si>
  <si>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</si>
  <si>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</si>
  <si>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</si>
  <si>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</si>
  <si>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</si>
  <si>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</si>
  <si>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</si>
  <si>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</si>
  <si>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</si>
  <si>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</si>
  <si>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</si>
  <si>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</si>
  <si>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</si>
  <si>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</si>
  <si>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</si>
  <si>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</si>
  <si>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</si>
  <si>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</si>
  <si>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</si>
  <si>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</si>
  <si>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</si>
  <si>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</si>
  <si>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</si>
  <si>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</si>
  <si>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Revised certified rent roll as of 2026-09-01 (rent-roll-revised.xlsx)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</si>
  <si>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</si>
  <si>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</si>
  <si>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</si>
  <si>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</si>
  <si>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</si>
  <si>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</si>
  <si>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</si>
  <si>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</si>
  <si>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</si>
  <si>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</si>
  <si>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</si>
  <si>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</si>
  <si>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</si>
  <si>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</si>
  <si>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</si>
  <si>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</si>
  <si>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</si>
  <si>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</si>
  <si>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</si>
  <si>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</si>
  <si>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</si>
  <si>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</si>
  <si>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</si>
  <si>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</si>
  <si>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</si>
  <si>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</si>
  <si>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</si>
  <si>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</si>
  <si>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</si>
  <si>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</si>
  <si>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</si>
  <si>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</si>
  <si>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</si>
  <si>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</si>
  <si>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</si>
  <si>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</si>
  <si>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</si>
  <si>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</si>
  <si>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</si>
  <si>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</si>
  <si>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</si>
  <si>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 (v2)</t>
  </si>
  <si>
    <t xml:space="preserve">Line</t>
  </si>
  <si>
    <t xml:space="preserve">Formula / source</t>
  </si>
  <si>
    <t xml:space="preserve">Named input — REVISED per revision-notice.pdf.</t>
  </si>
  <si>
    <t xml:space="preserve">economic_loss</t>
  </si>
  <si>
    <t xml:space="preserve">5% × GPR.</t>
  </si>
  <si>
    <t xml:space="preserve">other_income</t>
  </si>
  <si>
    <t xml:space="preserve">$350 × total units (unchanged).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</si>
  <si>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</si>
  <si>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</si>
  <si>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</si>
  <si>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 (unchanged).</t>
  </si>
  <si>
    <t xml:space="preserve">uw_other_operating_exp</t>
  </si>
  <si>
    <t xml:space="preserve">Prescribed other recurring (unchanged).</t>
  </si>
  <si>
    <t xml:space="preserve">uw_management_fee</t>
  </si>
  <si>
    <t xml:space="preserve">3% of UW EGI.</t>
  </si>
  <si>
    <t xml:space="preserve">uw_total_operating_exp</t>
  </si>
  <si>
    <t xml:space="preserve">Sum.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</si>
  <si>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</si>
  <si>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</si>
  <si>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</si>
  <si>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</si>
  <si>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</si>
  <si>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</si>
  <si>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</si>
  <si>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 — REVISED to 6.5000%.</t>
  </si>
  <si>
    <t xml:space="preserve">capitalization_value</t>
  </si>
  <si>
    <t xml:space="preserve">NOI (before reserves) ÷ cap rate.</t>
  </si>
  <si>
    <t xml:space="preserve">Debt sizing — LTV, DSCR, Debt Yield; Sources &amp; Uses (v2)</t>
  </si>
  <si>
    <t xml:space="preserve">REVISED to 7.75% (prior 7.00% + 75 bps). Still &gt; note rate → floor binds.</t>
  </si>
  <si>
    <t xml:space="preserve">Contract rate (informational, unchanged).</t>
  </si>
  <si>
    <t xml:space="preserve">30-yr monthly (unchanged).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</si>
  <si>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</si>
  <si>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</si>
  <si>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</si>
  <si>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</si>
  <si>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</si>
  <si>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</si>
  <si>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 (~0.0859692 at 7.75%).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</si>
  <si>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</si>
  <si>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</si>
  <si>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</si>
  <si>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</si>
  <si>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</si>
  <si>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</si>
  <si>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 (unchanged).</t>
  </si>
  <si>
    <t xml:space="preserve">Min DSCR (unchanged).</t>
  </si>
  <si>
    <t xml:space="preserve">Min NCF DY (unchanged).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</si>
  <si>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</si>
  <si>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</si>
  <si>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</si>
  <si>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</si>
  <si>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</si>
  <si>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</si>
  <si>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</si>
  <si>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</si>
  <si>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</si>
  <si>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</si>
  <si>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</si>
  <si>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</si>
  <si>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</si>
  <si>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</si>
  <si>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</si>
  <si>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</si>
  <si>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</si>
  <si>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Existing loan payoff (unchanged).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</si>
  <si>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</si>
  <si>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</si>
  <si>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</si>
  <si>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</si>
  <si>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</si>
  <si>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</si>
  <si>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</si>
  <si>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</si>
  <si>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</si>
  <si>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</si>
  <si>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</si>
  <si>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 (v2)</t>
  </si>
  <si>
    <t xml:space="preserve">Rows: sizing rate; Columns: cap rate. Base case highlighted.</t>
  </si>
  <si>
    <t xml:space="preserve">Sizing rate \ Cap rate</t>
  </si>
  <si>
    <t xml:space="preserve">Historical T12 vs. Underwritten (v2)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</si>
  <si>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</si>
  <si>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</si>
  <si>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</si>
  <si>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</si>
  <si>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</si>
  <si>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on revised roll.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</si>
  <si>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</si>
  <si>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</si>
  <si>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</si>
  <si>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</si>
  <si>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</si>
  <si>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None booked historically; UW = 3% × EGI.</t>
  </si>
  <si>
    <t xml:space="preserve">Reported / underwritten NOI (pre-reserve)</t>
  </si>
  <si>
    <t xml:space="preserve">Different definitions — historical is cash; UW is scheduled per revised roll.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</si>
  <si>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</si>
  <si>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</si>
  <si>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</si>
  <si>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</si>
  <si>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</si>
  <si>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</si>
  <si>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v1 vs. v2 with evidence</t>
  </si>
  <si>
    <t xml:space="preserve">Field id</t>
  </si>
  <si>
    <t xml:space="preserve">v1 value</t>
  </si>
  <si>
    <t xml:space="preserve">v2 value</t>
  </si>
  <si>
    <t xml:space="preserve">Evidence filename</t>
  </si>
  <si>
    <t xml:space="preserve">Page/cell</t>
  </si>
  <si>
    <t xml:space="preserve">Change note</t>
  </si>
  <si>
    <t xml:space="preserve">rent-roll-revised.xlsx</t>
  </si>
  <si>
    <t xml:space="preserve">Rent Roll!A5:A12</t>
  </si>
  <si>
    <t xml:space="preserve">Unchanged.</t>
  </si>
  <si>
    <t xml:space="preserve">Rent Roll!D5:D12</t>
  </si>
  <si>
    <t xml:space="preserve">Unchanged — 008 still vacant.</t>
  </si>
  <si>
    <t xml:space="preserve">Unchanged — no pending on revised roll.</t>
  </si>
  <si>
    <t xml:space="preserve">Rent Roll!C5:C12</t>
  </si>
  <si>
    <t xml:space="preserve">Rent Roll!C5:C12,D5:D12</t>
  </si>
  <si>
    <t xml:space="preserve">Rent Roll!A5:A12,D5:D12</t>
  </si>
  <si>
    <t xml:space="preserve">Rent Roll!E5:E12,D5:D12</t>
  </si>
  <si>
    <t xml:space="preserve">Increased by $2,700/yr — Suite 002 +$225/mo.</t>
  </si>
  <si>
    <t xml:space="preserve">rent-roll-revised.xlsx; lease-001.pdf</t>
  </si>
  <si>
    <t xml:space="preserve">Rent Roll!E5; lease p.1</t>
  </si>
  <si>
    <t xml:space="preserve">Unchanged — Suite 001 amendment still applies.</t>
  </si>
  <si>
    <t xml:space="preserve">underwriting-instructions.pdf; rent-roll-revised.xlsx</t>
  </si>
  <si>
    <t xml:space="preserve">instr. p.1 ¶2; roll E5:E12</t>
  </si>
  <si>
    <t xml:space="preserve">Increased by $2,700/yr (Suite 002 +$225 × 12).</t>
  </si>
  <si>
    <t xml:space="preserve">underwriting-instructions.pdf</t>
  </si>
  <si>
    <t xml:space="preserve">p.1 ¶2</t>
  </si>
  <si>
    <t xml:space="preserve">Follows revised GPR (Δ +$2,565 after 5% loss).</t>
  </si>
  <si>
    <t xml:space="preserve">p.1 ¶3</t>
  </si>
  <si>
    <t xml:space="preserve">uw_operating_expenses</t>
  </si>
  <si>
    <t xml:space="preserve">Δ mgmt fee only (+$76.95 on higher EGI).</t>
  </si>
  <si>
    <t xml:space="preserve">Increased by $2,488.05.</t>
  </si>
  <si>
    <t xml:space="preserve">revision-notice.pdf</t>
  </si>
  <si>
    <t xml:space="preserve">+75 bps → 7.75%. Floor still binding vs 6.10% note rate.</t>
  </si>
  <si>
    <t xml:space="preserve">+25 bps → 6.5000%.</t>
  </si>
  <si>
    <t xml:space="preserve">computed</t>
  </si>
  <si>
    <t xml:space="preserve">UW!B20</t>
  </si>
  <si>
    <t xml:space="preserve">Fell to ~$13.91M — higher cap rate outweighs higher NOI.</t>
  </si>
  <si>
    <t xml:space="preserve">p.1 ¶4</t>
  </si>
  <si>
    <t xml:space="preserve">Debt!B18</t>
  </si>
  <si>
    <t xml:space="preserve">Fell — higher sizing rate raises debt constant → DSCR cap tighter. Still DSCR-binding.</t>
  </si>
  <si>
    <t xml:space="preserve">Debt!B29</t>
  </si>
  <si>
    <t xml:space="preserve">Reduced but still positive → no shortfall.</t>
  </si>
  <si>
    <t xml:space="preserve">insurance_policy_limit</t>
  </si>
  <si>
    <t xml:space="preserve">insurance.pdf</t>
  </si>
  <si>
    <t xml:space="preserve">p.1 ¶1</t>
  </si>
  <si>
    <t xml:space="preserve">selected_roll_date</t>
  </si>
  <si>
    <t xml:space="preserve">2026-08-31</t>
  </si>
  <si>
    <t xml:space="preserve">2026-09-01</t>
  </si>
  <si>
    <t xml:space="preserve">date</t>
  </si>
  <si>
    <t xml:space="preserve">Rent Roll!B2</t>
  </si>
  <si>
    <t xml:space="preserve">Revised roll effective 2026-09-01.</t>
  </si>
  <si>
    <t xml:space="preserve">reported_t12_noi</t>
  </si>
  <si>
    <t xml:space="preserve">operating-statement.pdf</t>
  </si>
  <si>
    <t xml:space="preserve">p.1 table</t>
  </si>
  <si>
    <t xml:space="preserve">Unchanged — historical T12 not restated.</t>
  </si>
  <si>
    <t xml:space="preserve">type_a_units</t>
  </si>
  <si>
    <t xml:space="preserve">rent-roll-revised.xlsx; manager-cover.pdf</t>
  </si>
  <si>
    <t xml:space="preserve">Rent Roll!B5:B12; cover p.1</t>
  </si>
  <si>
    <t xml:space="preserve">type_a_occupied</t>
  </si>
  <si>
    <t xml:space="preserve">type_b_units</t>
  </si>
  <si>
    <t xml:space="preserve">type_b_occupied</t>
  </si>
  <si>
    <t xml:space="preserve">type_c_units</t>
  </si>
  <si>
    <t xml:space="preserve">type_c_occupied</t>
  </si>
  <si>
    <t xml:space="preserve">risk_pending_in_occupancy</t>
  </si>
  <si>
    <t xml:space="preserve">present</t>
  </si>
  <si>
    <t xml:space="preserve">flag</t>
  </si>
  <si>
    <t xml:space="preserve">manager-cover.pdf; rent-roll-revised.xlsx</t>
  </si>
  <si>
    <t xml:space="preserve">cover p.1; Rent Roll!D5:D12</t>
  </si>
  <si>
    <t xml:space="preserve">Same manager headline conflict persists.</t>
  </si>
  <si>
    <t xml:space="preserve">risk_near_term_rollover</t>
  </si>
  <si>
    <t xml:space="preserve">absent</t>
  </si>
  <si>
    <t xml:space="preserve">Rent Roll!F5:F12</t>
  </si>
  <si>
    <t xml:space="preserve">All expirations 2029-08-31, still &gt; 12 months.</t>
  </si>
  <si>
    <t xml:space="preserve">risk_missing_insurance</t>
  </si>
  <si>
    <t xml:space="preserve">p.1</t>
  </si>
  <si>
    <t xml:space="preserve">Policy declaration still present.</t>
  </si>
  <si>
    <t xml:space="preserve">risk_capital_in_opex</t>
  </si>
  <si>
    <t xml:space="preserve">Historical ledger unchanged.</t>
  </si>
  <si>
    <t xml:space="preserve">risk_unsigned_rent_change</t>
  </si>
  <si>
    <t xml:space="preserve">lease-correspondence.pdf; revision-notice.pdf</t>
  </si>
  <si>
    <t xml:space="preserve">corr. p.1; notice p.1</t>
  </si>
  <si>
    <t xml:space="preserve">Suite 002 change delivered via revised certified roll (an executed manager document); no unsigned proposal in packet.</t>
  </si>
  <si>
    <t xml:space="preserve">risk_temporary_free_rent</t>
  </si>
  <si>
    <t xml:space="preserve">lease-001.pdf</t>
  </si>
  <si>
    <t xml:space="preserve">risk_sizing_floor_binding</t>
  </si>
  <si>
    <t xml:space="preserve">revision-notice.pdf; underwriting-instructions.pdf</t>
  </si>
  <si>
    <t xml:space="preserve">notice p.1; instr. p.1 ¶4</t>
  </si>
  <si>
    <t xml:space="preserve">Note 6.10% &lt; revised floor 7.75%; sizing at floor.</t>
  </si>
  <si>
    <t xml:space="preserve">risk_refinance_shortfall</t>
  </si>
  <si>
    <t xml:space="preserve">net_cash_out $463,629 &gt; 0 → surplus, no shortfall.</t>
  </si>
  <si>
    <t xml:space="preserve">Source register (v2) — every fact cited</t>
  </si>
  <si>
    <t xml:space="preserve">Filename</t>
  </si>
  <si>
    <t xml:space="preserve">Field(s) cited</t>
  </si>
  <si>
    <t xml:space="preserve">Note</t>
  </si>
  <si>
    <t xml:space="preserve">sizing_rate, cap_rate, GPR, selected_roll_date</t>
  </si>
  <si>
    <t xml:space="preserve">2026-09-01 revision. +75 bps sizing, +25 bps cap, use revised roll. Preserve approved copy.</t>
  </si>
  <si>
    <t xml:space="preserve">Controlling revised roll effective 2026-09-01. Supersedes 2026-08-31 certified.</t>
  </si>
  <si>
    <t xml:space="preserve">Rent Roll!A5:G12</t>
  </si>
  <si>
    <t xml:space="preserve">unit mix, occupancy, in-place rent, Suite 002 rent</t>
  </si>
  <si>
    <t xml:space="preserve">Suite 002 = $14,825/mo (prior $14,600, +$225). All other lines unchanged.</t>
  </si>
  <si>
    <t xml:space="preserve">rent-roll-certified.xlsx</t>
  </si>
  <si>
    <t xml:space="preserve">(prior version)</t>
  </si>
  <si>
    <t xml:space="preserve">2026-08-31 certified — preserved in v1 audit archive.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</si>
  <si>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</si>
  <si>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</si>
  <si>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</si>
  <si>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 continues to apply (revision notice reaffirms).</t>
  </si>
  <si>
    <t xml:space="preserve">lease-correspondence.pdf</t>
  </si>
  <si>
    <t xml:space="preserve">PM confirms no unsigned amendments/concessions.</t>
  </si>
  <si>
    <t xml:space="preserve">insurance_policy_limit, risk_missing_insurance</t>
  </si>
  <si>
    <t xml:space="preserve">GL aggregate $2,000,000; expense $49,098 separate. Unchanged.</t>
  </si>
  <si>
    <t xml:space="preserve">reported_t12_noi, risk_capital_in_opex</t>
  </si>
  <si>
    <t xml:space="preserve">T12 through 2026-08-31 unchanged; roof capitalized.</t>
  </si>
  <si>
    <t xml:space="preserve">manager-cover.pdf</t>
  </si>
  <si>
    <t xml:space="preserve">group mapping, risk_pending_in_occupancy, approved copy</t>
  </si>
  <si>
    <t xml:space="preserve">A/B/C = Small/Standard/Large; approved copy preserved verbatim.</t>
  </si>
  <si>
    <t xml:space="preserve">opex, mgmt %, reserves, LTV/DSCR/DY, note rate, payoff, closing</t>
  </si>
  <si>
    <t xml:space="preserve">All base rules unchanged by revision.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</si>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</sst>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9.7" hidden="false" customHeight="false" outlineLevel="0" collapsed="false">
      <c r="A1" s="2" t="s">
        <v>0</v>
      </c>
      <c r="B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23.8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4" customFormat="false" ht="15" hidden="false" customHeight="false" outlineLevel="0" collapsed="false">
      <c r="A14" s="3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 t="s">
        <v>30</v>
      </c>
      <c r="B19" s="4" t="s">
        <v>31</v>
      </c>
    </row>
    <row r="20" customFormat="false" ht="15" hidden="false" customHeight="false" outlineLevel="0" collapsed="false">
      <c r="A20" s="3" t="s">
        <v>32</v>
      </c>
      <c r="B20" s="4" t="s">
        <v>33</v>
      </c>
    </row>
    <row r="21" customFormat="false" ht="15" hidden="false" customHeight="false" outlineLevel="0" collapsed="false">
      <c r="A21" s="3" t="s">
        <v>34</v>
      </c>
      <c r="B21" s="4" t="s">
        <v>35</v>
      </c>
    </row>
    <row r="22" customFormat="false" ht="15" hidden="false" customHeight="false" outlineLevel="0" collapsed="false">
      <c r="A22" s="3" t="s">
        <v>36</v>
      </c>
      <c r="B22" s="4" t="s">
        <v>37</v>
      </c>
    </row>
    <row r="23" customFormat="false" ht="15" hidden="false" customHeight="false" outlineLevel="0" collapsed="false">
      <c r="A23" s="3" t="s">
        <v>38</v>
      </c>
      <c r="B23" s="4" t="s">
        <v>39</v>
      </c>
    </row>
    <row r="24" customFormat="false" ht="15" hidden="false" customHeight="false" outlineLevel="0" collapsed="false">
      <c r="A24" s="3" t="s">
        <v>40</v>
      </c>
      <c r="B24" s="4" t="s">
        <v>41</v>
      </c>
    </row>
    <row r="25" customFormat="false" ht="15" hidden="false" customHeight="false" outlineLevel="0" collapsed="false">
      <c r="A25" s="3" t="s">
        <v>42</v>
      </c>
      <c r="B25" s="4" t="s">
        <v>43</v>
      </c>
    </row>
    <row r="26" customFormat="false" ht="23.85" hidden="false" customHeight="false" outlineLevel="0" collapsed="false">
      <c r="A26" s="3" t="s">
        <v>44</v>
      </c>
      <c r="B26" s="4" t="s">
        <v>45</v>
      </c>
    </row>
    <row r="27" customFormat="false" ht="15" hidden="false" customHeight="false" outlineLevel="0" collapsed="false">
      <c r="A27" s="3" t="s">
        <v>46</v>
      </c>
      <c r="B27" s="4" t="s">
        <v>47</v>
      </c>
    </row>
    <row r="28" customFormat="false" ht="23.85" hidden="false" customHeight="false" outlineLevel="0" collapsed="false">
      <c r="A28" s="3" t="s">
        <v>48</v>
      </c>
      <c r="B28" s="4" t="s">
        <v>49</v>
      </c>
    </row>
    <row r="29" customFormat="false" ht="15" hidden="false" customHeight="false" outlineLevel="0" collapsed="false">
      <c r="A29" s="3" t="s">
        <v>50</v>
      </c>
      <c r="B29" s="4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52</v>
      </c>
      <c r="B1" s="5"/>
      <c r="C1" s="5"/>
      <c r="D1" s="5"/>
    </row>
    <row r="2" customFormat="false" ht="15" hidden="false" customHeight="false" outlineLevel="0" collapsed="false">
      <c r="A2" s="6" t="s">
        <v>53</v>
      </c>
      <c r="B2" s="6" t="s">
        <v>54</v>
      </c>
      <c r="C2" s="6" t="s">
        <v>55</v>
      </c>
      <c r="D2" s="6" t="s">
        <v>56</v>
      </c>
    </row>
    <row r="3" customFormat="false" ht="23.85" hidden="false" customHeight="false" outlineLevel="0" collapsed="false">
      <c r="A3" s="3" t="s">
        <v>57</v>
      </c>
      <c r="B3" s="7" t="n">
        <v>1404600</v>
      </c>
      <c r="C3" s="8" t="s">
        <v>58</v>
      </c>
      <c r="D3" s="4" t="s">
        <v>59</v>
      </c>
    </row>
    <row r="4" customFormat="false" ht="15" hidden="false" customHeight="false" outlineLevel="0" collapsed="false">
      <c r="A4" s="3" t="s">
        <v>60</v>
      </c>
      <c r="B4" s="9" t="n">
        <v>0.065</v>
      </c>
      <c r="C4" s="8" t="s">
        <v>61</v>
      </c>
      <c r="D4" s="4" t="s">
        <v>62</v>
      </c>
    </row>
    <row r="5" customFormat="false" ht="23.85" hidden="false" customHeight="false" outlineLevel="0" collapsed="false">
      <c r="A5" s="3" t="s">
        <v>63</v>
      </c>
      <c r="B5" s="9" t="n">
        <v>0.0775</v>
      </c>
      <c r="C5" s="8" t="s">
        <v>61</v>
      </c>
      <c r="D5" s="4" t="s">
        <v>64</v>
      </c>
    </row>
    <row r="7" customFormat="false" ht="15" hidden="false" customHeight="false" outlineLevel="0" collapsed="false">
      <c r="A7" s="10" t="s">
        <v>65</v>
      </c>
      <c r="B7" s="10"/>
      <c r="C7" s="10"/>
      <c r="D7" s="10"/>
    </row>
    <row r="8" customFormat="false" ht="15" hidden="false" customHeight="false" outlineLevel="0" collapsed="false">
      <c r="A8" s="3" t="s">
        <v>66</v>
      </c>
      <c r="B8" s="11" t="n">
        <v>0.05</v>
      </c>
      <c r="C8" s="8" t="s">
        <v>61</v>
      </c>
      <c r="D8" s="4" t="s">
        <v>67</v>
      </c>
    </row>
    <row r="9" customFormat="false" ht="15" hidden="false" customHeight="false" outlineLevel="0" collapsed="false">
      <c r="A9" s="3" t="s">
        <v>68</v>
      </c>
      <c r="B9" s="12" t="n">
        <v>350</v>
      </c>
      <c r="C9" s="8" t="s">
        <v>69</v>
      </c>
      <c r="D9" s="4" t="s">
        <v>70</v>
      </c>
    </row>
    <row r="10" customFormat="false" ht="15" hidden="false" customHeight="false" outlineLevel="0" collapsed="false">
      <c r="A10" s="3" t="s">
        <v>71</v>
      </c>
      <c r="B10" s="11" t="n">
        <v>0.03</v>
      </c>
      <c r="C10" s="8" t="s">
        <v>61</v>
      </c>
      <c r="D10" s="4" t="s">
        <v>72</v>
      </c>
    </row>
    <row r="11" customFormat="false" ht="15" hidden="false" customHeight="false" outlineLevel="0" collapsed="false">
      <c r="A11" s="3" t="s">
        <v>73</v>
      </c>
      <c r="B11" s="12" t="n">
        <v>300</v>
      </c>
      <c r="C11" s="8" t="s">
        <v>69</v>
      </c>
      <c r="D11" s="4" t="s">
        <v>74</v>
      </c>
    </row>
    <row r="12" customFormat="false" ht="15" hidden="false" customHeight="false" outlineLevel="0" collapsed="false">
      <c r="A12" s="3" t="s">
        <v>75</v>
      </c>
      <c r="B12" s="12" t="n">
        <v>147294</v>
      </c>
      <c r="C12" s="8" t="s">
        <v>58</v>
      </c>
      <c r="D12" s="4" t="s">
        <v>76</v>
      </c>
    </row>
    <row r="13" customFormat="false" ht="15" hidden="false" customHeight="false" outlineLevel="0" collapsed="false">
      <c r="A13" s="3" t="s">
        <v>77</v>
      </c>
      <c r="B13" s="12" t="n">
        <v>49098</v>
      </c>
      <c r="C13" s="8" t="s">
        <v>58</v>
      </c>
      <c r="D13" s="4" t="s">
        <v>78</v>
      </c>
    </row>
    <row r="14" customFormat="false" ht="15" hidden="false" customHeight="false" outlineLevel="0" collapsed="false">
      <c r="A14" s="3" t="s">
        <v>79</v>
      </c>
      <c r="B14" s="12" t="n">
        <v>196392</v>
      </c>
      <c r="C14" s="8" t="s">
        <v>58</v>
      </c>
      <c r="D14" s="4" t="s">
        <v>80</v>
      </c>
    </row>
    <row r="15" customFormat="false" ht="15" hidden="false" customHeight="false" outlineLevel="0" collapsed="false">
      <c r="A15" s="3" t="s">
        <v>81</v>
      </c>
      <c r="B15" s="11" t="n">
        <v>0.65</v>
      </c>
      <c r="C15" s="8" t="s">
        <v>61</v>
      </c>
      <c r="D15" s="4" t="s">
        <v>82</v>
      </c>
    </row>
    <row r="16" customFormat="false" ht="15" hidden="false" customHeight="false" outlineLevel="0" collapsed="false">
      <c r="A16" s="3" t="s">
        <v>83</v>
      </c>
      <c r="B16" s="13" t="n">
        <v>1.25</v>
      </c>
      <c r="C16" s="8" t="s">
        <v>84</v>
      </c>
      <c r="D16" s="4" t="s">
        <v>85</v>
      </c>
    </row>
    <row r="17" customFormat="false" ht="15" hidden="false" customHeight="false" outlineLevel="0" collapsed="false">
      <c r="A17" s="3" t="s">
        <v>86</v>
      </c>
      <c r="B17" s="11" t="n">
        <v>0.09</v>
      </c>
      <c r="C17" s="8" t="s">
        <v>61</v>
      </c>
      <c r="D17" s="4" t="s">
        <v>87</v>
      </c>
    </row>
    <row r="18" customFormat="false" ht="15" hidden="false" customHeight="false" outlineLevel="0" collapsed="false">
      <c r="A18" s="3" t="s">
        <v>88</v>
      </c>
      <c r="B18" s="14" t="n">
        <v>30</v>
      </c>
      <c r="C18" s="8" t="s">
        <v>89</v>
      </c>
      <c r="D18" s="4" t="s">
        <v>90</v>
      </c>
    </row>
    <row r="19" customFormat="false" ht="15" hidden="false" customHeight="false" outlineLevel="0" collapsed="false">
      <c r="A19" s="3" t="s">
        <v>91</v>
      </c>
      <c r="B19" s="15" t="n">
        <v>0.061</v>
      </c>
      <c r="C19" s="8" t="s">
        <v>61</v>
      </c>
      <c r="D19" s="4" t="s">
        <v>92</v>
      </c>
    </row>
    <row r="20" customFormat="false" ht="15" hidden="false" customHeight="false" outlineLevel="0" collapsed="false">
      <c r="A20" s="3" t="s">
        <v>93</v>
      </c>
      <c r="B20" s="11" t="n">
        <v>0.01</v>
      </c>
      <c r="C20" s="8" t="s">
        <v>61</v>
      </c>
      <c r="D20" s="4" t="s">
        <v>94</v>
      </c>
    </row>
    <row r="21" customFormat="false" ht="15" hidden="false" customHeight="false" outlineLevel="0" collapsed="false">
      <c r="A21" s="3" t="s">
        <v>95</v>
      </c>
      <c r="B21" s="12" t="n">
        <v>45000</v>
      </c>
      <c r="C21" s="8" t="s">
        <v>96</v>
      </c>
      <c r="D21" s="4" t="s">
        <v>97</v>
      </c>
    </row>
    <row r="22" customFormat="false" ht="15" hidden="false" customHeight="false" outlineLevel="0" collapsed="false">
      <c r="A22" s="3" t="s">
        <v>98</v>
      </c>
      <c r="B22" s="12" t="n">
        <v>7800000</v>
      </c>
      <c r="C22" s="8" t="s">
        <v>96</v>
      </c>
      <c r="D22" s="4" t="s">
        <v>99</v>
      </c>
    </row>
    <row r="23" customFormat="false" ht="15" hidden="false" customHeight="false" outlineLevel="0" collapsed="false">
      <c r="A23" s="3" t="s">
        <v>100</v>
      </c>
      <c r="B23" s="14" t="n">
        <v>8</v>
      </c>
      <c r="C23" s="8" t="s">
        <v>101</v>
      </c>
      <c r="D23" s="4" t="s">
        <v>102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16" t="s">
        <v>104</v>
      </c>
      <c r="B2" s="16" t="s">
        <v>105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110</v>
      </c>
      <c r="H2" s="16" t="s">
        <v>111</v>
      </c>
      <c r="I2" s="16" t="s">
        <v>112</v>
      </c>
    </row>
    <row r="3" customFormat="false" ht="15" hidden="false" customHeight="false" outlineLevel="0" collapsed="false">
      <c r="A3" s="8" t="s">
        <v>113</v>
      </c>
      <c r="B3" s="1" t="s">
        <v>114</v>
      </c>
      <c r="C3" s="8" t="s">
        <v>115</v>
      </c>
      <c r="D3" s="14" t="n">
        <v>21880</v>
      </c>
      <c r="E3" s="8" t="s">
        <v>116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false" outlineLevel="0" collapsed="false">
      <c r="A4" s="17" t="s">
        <v>117</v>
      </c>
      <c r="B4" s="18" t="s">
        <v>118</v>
      </c>
      <c r="C4" s="17" t="s">
        <v>119</v>
      </c>
      <c r="D4" s="19" t="n">
        <v>22000</v>
      </c>
      <c r="E4" s="17" t="s">
        <v>116</v>
      </c>
      <c r="F4" s="20" t="n">
        <v>14825</v>
      </c>
      <c r="G4" s="21" t="n">
        <f aca="false">F4*12</f>
        <v>177900</v>
      </c>
      <c r="H4" s="19" t="n">
        <f aca="false">IF(E4="active",D4,0)</f>
        <v>22000</v>
      </c>
      <c r="I4" s="21" t="n">
        <f aca="false">IF(E4="active",F4,0)</f>
        <v>14825</v>
      </c>
    </row>
    <row r="5" customFormat="false" ht="15" hidden="false" customHeight="false" outlineLevel="0" collapsed="false">
      <c r="A5" s="8" t="s">
        <v>120</v>
      </c>
      <c r="B5" s="1" t="s">
        <v>121</v>
      </c>
      <c r="C5" s="8" t="s">
        <v>122</v>
      </c>
      <c r="D5" s="14" t="n">
        <v>22210</v>
      </c>
      <c r="E5" s="8" t="s">
        <v>116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false" outlineLevel="0" collapsed="false">
      <c r="A6" s="8" t="s">
        <v>123</v>
      </c>
      <c r="B6" s="1" t="s">
        <v>114</v>
      </c>
      <c r="C6" s="8" t="s">
        <v>115</v>
      </c>
      <c r="D6" s="14" t="n">
        <v>21880</v>
      </c>
      <c r="E6" s="8" t="s">
        <v>116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false" outlineLevel="0" collapsed="false">
      <c r="A7" s="8" t="s">
        <v>124</v>
      </c>
      <c r="B7" s="1" t="s">
        <v>118</v>
      </c>
      <c r="C7" s="8" t="s">
        <v>119</v>
      </c>
      <c r="D7" s="14" t="n">
        <v>22000</v>
      </c>
      <c r="E7" s="8" t="s">
        <v>116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false" outlineLevel="0" collapsed="false">
      <c r="A8" s="8" t="s">
        <v>125</v>
      </c>
      <c r="B8" s="1" t="s">
        <v>121</v>
      </c>
      <c r="C8" s="8" t="s">
        <v>122</v>
      </c>
      <c r="D8" s="14" t="n">
        <v>22210</v>
      </c>
      <c r="E8" s="8" t="s">
        <v>116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false" outlineLevel="0" collapsed="false">
      <c r="A9" s="8" t="s">
        <v>126</v>
      </c>
      <c r="B9" s="1" t="s">
        <v>114</v>
      </c>
      <c r="C9" s="8" t="s">
        <v>115</v>
      </c>
      <c r="D9" s="14" t="n">
        <v>21880</v>
      </c>
      <c r="E9" s="8" t="s">
        <v>116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false" outlineLevel="0" collapsed="false">
      <c r="A10" s="8" t="s">
        <v>127</v>
      </c>
      <c r="B10" s="1" t="s">
        <v>118</v>
      </c>
      <c r="C10" s="8" t="s">
        <v>119</v>
      </c>
      <c r="D10" s="14" t="n">
        <v>22000</v>
      </c>
      <c r="E10" s="8" t="s">
        <v>128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false" outlineLevel="0" collapsed="false">
      <c r="A11" s="6" t="s">
        <v>129</v>
      </c>
      <c r="B11" s="6"/>
      <c r="C11" s="6"/>
      <c r="D11" s="22" t="n">
        <f aca="false">SUM(D3:D10)</f>
        <v>176060</v>
      </c>
      <c r="E11" s="6"/>
      <c r="F11" s="23" t="n">
        <f aca="false">SUM(F3:F10)</f>
        <v>117125</v>
      </c>
      <c r="G11" s="23" t="n">
        <f aca="false">SUM(G3:G10)</f>
        <v>1405500</v>
      </c>
      <c r="H11" s="22" t="n">
        <f aca="false">SUM(H3:H10)</f>
        <v>154060</v>
      </c>
      <c r="I11" s="23" t="n">
        <f aca="false">SUM(I3:I10)</f>
        <v>102525</v>
      </c>
    </row>
    <row r="13" customFormat="false" ht="15" hidden="false" customHeight="false" outlineLevel="0" collapsed="false">
      <c r="A13" s="10" t="s">
        <v>130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3" t="s">
        <v>100</v>
      </c>
      <c r="B14" s="24" t="n">
        <f aca="false">COUNTA(A3:A10)</f>
        <v>8</v>
      </c>
      <c r="C14" s="8" t="s">
        <v>101</v>
      </c>
    </row>
    <row r="15" customFormat="false" ht="15" hidden="false" customHeight="false" outlineLevel="0" collapsed="false">
      <c r="A15" s="3" t="s">
        <v>131</v>
      </c>
      <c r="B15" s="24" t="n">
        <f aca="false">COUNTIF(E3:E10,"active")</f>
        <v>7</v>
      </c>
      <c r="C15" s="8" t="s">
        <v>101</v>
      </c>
    </row>
    <row r="16" customFormat="false" ht="15" hidden="false" customHeight="false" outlineLevel="0" collapsed="false">
      <c r="A16" s="3" t="s">
        <v>132</v>
      </c>
      <c r="B16" s="24" t="n">
        <f aca="false">COUNTIF(E3:E10,"pending")</f>
        <v>0</v>
      </c>
      <c r="C16" s="8" t="s">
        <v>101</v>
      </c>
    </row>
    <row r="17" customFormat="false" ht="15" hidden="false" customHeight="false" outlineLevel="0" collapsed="false">
      <c r="A17" s="3" t="s">
        <v>133</v>
      </c>
      <c r="B17" s="24" t="n">
        <f aca="false">COUNTIF(E3:E10,"vacant")</f>
        <v>1</v>
      </c>
      <c r="C17" s="8" t="s">
        <v>101</v>
      </c>
    </row>
    <row r="18" customFormat="false" ht="15" hidden="false" customHeight="false" outlineLevel="0" collapsed="false">
      <c r="A18" s="3" t="s">
        <v>134</v>
      </c>
      <c r="B18" s="24" t="n">
        <f aca="false">SUM(D3:D10)</f>
        <v>176060</v>
      </c>
      <c r="C18" s="8" t="s">
        <v>135</v>
      </c>
    </row>
    <row r="19" customFormat="false" ht="15" hidden="false" customHeight="false" outlineLevel="0" collapsed="false">
      <c r="A19" s="3" t="s">
        <v>136</v>
      </c>
      <c r="B19" s="24" t="n">
        <f aca="false">SUMIF(E3:E10,"active",D3:D10)</f>
        <v>154060</v>
      </c>
      <c r="C19" s="8" t="s">
        <v>135</v>
      </c>
    </row>
    <row r="20" customFormat="false" ht="15" hidden="false" customHeight="false" outlineLevel="0" collapsed="false">
      <c r="A20" s="3" t="s">
        <v>137</v>
      </c>
      <c r="B20" s="25" t="n">
        <f aca="false">B15/B14</f>
        <v>0.875</v>
      </c>
      <c r="C20" s="8" t="s">
        <v>61</v>
      </c>
    </row>
    <row r="21" customFormat="false" ht="15" hidden="false" customHeight="false" outlineLevel="0" collapsed="false">
      <c r="A21" s="3" t="s">
        <v>138</v>
      </c>
      <c r="B21" s="25" t="n">
        <f aca="false">B19/B18</f>
        <v>0.875042599113938</v>
      </c>
      <c r="C21" s="8" t="s">
        <v>61</v>
      </c>
    </row>
    <row r="22" customFormat="false" ht="15" hidden="false" customHeight="false" outlineLevel="0" collapsed="false">
      <c r="A22" s="3" t="s">
        <v>139</v>
      </c>
      <c r="B22" s="26" t="n">
        <f aca="false">F3</f>
        <v>14450</v>
      </c>
      <c r="C22" s="8" t="s">
        <v>140</v>
      </c>
    </row>
    <row r="23" customFormat="false" ht="15" hidden="false" customHeight="false" outlineLevel="0" collapsed="false">
      <c r="A23" s="3" t="s">
        <v>141</v>
      </c>
      <c r="B23" s="27" t="n">
        <f aca="false">SUM(I3:I10)*12</f>
        <v>1230300</v>
      </c>
      <c r="C23" s="8" t="s">
        <v>58</v>
      </c>
    </row>
    <row r="26" customFormat="false" ht="15" hidden="false" customHeight="false" outlineLevel="0" collapsed="false">
      <c r="A26" s="10" t="s">
        <v>142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3" t="s">
        <v>106</v>
      </c>
      <c r="B27" s="3" t="s">
        <v>143</v>
      </c>
      <c r="C27" s="3" t="s">
        <v>144</v>
      </c>
      <c r="D27" s="3" t="s">
        <v>107</v>
      </c>
    </row>
    <row r="28" customFormat="false" ht="15" hidden="false" customHeight="false" outlineLevel="0" collapsed="false">
      <c r="A28" s="28" t="s">
        <v>115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false" outlineLevel="0" collapsed="false">
      <c r="A29" s="28" t="s">
        <v>119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false" outlineLevel="0" collapsed="false">
      <c r="A30" s="28" t="s">
        <v>122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145</v>
      </c>
      <c r="B1" s="5"/>
      <c r="C1" s="5"/>
      <c r="D1" s="5"/>
    </row>
    <row r="2" customFormat="false" ht="15" hidden="false" customHeight="fals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false" outlineLevel="0" collapsed="false">
      <c r="A3" s="3" t="s">
        <v>57</v>
      </c>
      <c r="B3" s="12" t="n">
        <f aca="false">Inputs!B3</f>
        <v>1404600</v>
      </c>
      <c r="C3" s="8" t="s">
        <v>58</v>
      </c>
      <c r="D3" s="4" t="s">
        <v>148</v>
      </c>
    </row>
    <row r="4" customFormat="false" ht="15" hidden="false" customHeight="false" outlineLevel="0" collapsed="false">
      <c r="A4" s="3" t="s">
        <v>149</v>
      </c>
      <c r="B4" s="12" t="n">
        <f aca="false">-Inputs!B8*B3</f>
        <v>-70230</v>
      </c>
      <c r="C4" s="8" t="s">
        <v>58</v>
      </c>
      <c r="D4" s="4" t="s">
        <v>150</v>
      </c>
    </row>
    <row r="5" customFormat="false" ht="15" hidden="false" customHeight="false" outlineLevel="0" collapsed="false">
      <c r="A5" s="3" t="s">
        <v>151</v>
      </c>
      <c r="B5" s="12" t="n">
        <f aca="false">Inputs!B9*Inputs!B23</f>
        <v>2800</v>
      </c>
      <c r="C5" s="8" t="s">
        <v>58</v>
      </c>
      <c r="D5" s="4" t="s">
        <v>152</v>
      </c>
    </row>
    <row r="6" customFormat="false" ht="15" hidden="false" customHeight="false" outlineLevel="0" collapsed="false">
      <c r="A6" s="3" t="s">
        <v>153</v>
      </c>
      <c r="B6" s="29" t="n">
        <f aca="false">B3+B4+B5</f>
        <v>1337170</v>
      </c>
      <c r="C6" s="8" t="s">
        <v>58</v>
      </c>
      <c r="D6" s="4" t="s">
        <v>154</v>
      </c>
    </row>
    <row r="8" customFormat="false" ht="15" hidden="false" customHeight="false" outlineLevel="0" collapsed="false">
      <c r="A8" s="10" t="s">
        <v>155</v>
      </c>
      <c r="B8" s="10"/>
      <c r="C8" s="10"/>
      <c r="D8" s="10"/>
    </row>
    <row r="9" customFormat="false" ht="15" hidden="false" customHeight="false" outlineLevel="0" collapsed="false">
      <c r="A9" s="3" t="s">
        <v>75</v>
      </c>
      <c r="B9" s="12" t="n">
        <f aca="false">Inputs!B12</f>
        <v>147294</v>
      </c>
      <c r="C9" s="8" t="s">
        <v>58</v>
      </c>
      <c r="D9" s="4" t="s">
        <v>156</v>
      </c>
    </row>
    <row r="10" customFormat="false" ht="15" hidden="false" customHeight="false" outlineLevel="0" collapsed="false">
      <c r="A10" s="3" t="s">
        <v>77</v>
      </c>
      <c r="B10" s="12" t="n">
        <f aca="false">Inputs!B13</f>
        <v>49098</v>
      </c>
      <c r="C10" s="8" t="s">
        <v>58</v>
      </c>
      <c r="D10" s="4" t="s">
        <v>156</v>
      </c>
    </row>
    <row r="11" customFormat="false" ht="15" hidden="false" customHeight="false" outlineLevel="0" collapsed="false">
      <c r="A11" s="3" t="s">
        <v>157</v>
      </c>
      <c r="B11" s="12" t="n">
        <f aca="false">Inputs!B14</f>
        <v>196392</v>
      </c>
      <c r="C11" s="8" t="s">
        <v>58</v>
      </c>
      <c r="D11" s="4" t="s">
        <v>158</v>
      </c>
    </row>
    <row r="12" customFormat="false" ht="15" hidden="false" customHeight="false" outlineLevel="0" collapsed="false">
      <c r="A12" s="3" t="s">
        <v>159</v>
      </c>
      <c r="B12" s="12" t="n">
        <f aca="false">Inputs!B10*B6</f>
        <v>40115.1</v>
      </c>
      <c r="C12" s="8" t="s">
        <v>58</v>
      </c>
      <c r="D12" s="4" t="s">
        <v>160</v>
      </c>
    </row>
    <row r="13" customFormat="false" ht="15" hidden="false" customHeight="false" outlineLevel="0" collapsed="false">
      <c r="A13" s="3" t="s">
        <v>161</v>
      </c>
      <c r="B13" s="12" t="n">
        <f aca="false">SUM(B9:B12)</f>
        <v>432899.1</v>
      </c>
      <c r="C13" s="8" t="s">
        <v>58</v>
      </c>
      <c r="D13" s="4" t="s">
        <v>162</v>
      </c>
    </row>
    <row r="15" customFormat="false" ht="15" hidden="false" customHeight="false" outlineLevel="0" collapsed="false">
      <c r="A15" s="10" t="s">
        <v>163</v>
      </c>
      <c r="B15" s="10"/>
      <c r="C15" s="10"/>
      <c r="D15" s="10"/>
    </row>
    <row r="16" customFormat="false" ht="15" hidden="false" customHeight="false" outlineLevel="0" collapsed="false">
      <c r="A16" s="3" t="s">
        <v>164</v>
      </c>
      <c r="B16" s="29" t="n">
        <f aca="false">B6-B13</f>
        <v>904270.9</v>
      </c>
      <c r="C16" s="8" t="s">
        <v>58</v>
      </c>
      <c r="D16" s="4" t="s">
        <v>165</v>
      </c>
    </row>
    <row r="17" customFormat="false" ht="15" hidden="false" customHeight="false" outlineLevel="0" collapsed="false">
      <c r="A17" s="3" t="s">
        <v>166</v>
      </c>
      <c r="B17" s="12" t="n">
        <f aca="false">Inputs!B11*Inputs!B23</f>
        <v>2400</v>
      </c>
      <c r="C17" s="8" t="s">
        <v>58</v>
      </c>
      <c r="D17" s="4" t="s">
        <v>167</v>
      </c>
    </row>
    <row r="18" customFormat="false" ht="15" hidden="false" customHeight="false" outlineLevel="0" collapsed="false">
      <c r="A18" s="3" t="s">
        <v>168</v>
      </c>
      <c r="B18" s="29" t="n">
        <f aca="false">B16-B17</f>
        <v>901870.9</v>
      </c>
      <c r="C18" s="8" t="s">
        <v>58</v>
      </c>
      <c r="D18" s="4" t="s">
        <v>169</v>
      </c>
    </row>
    <row r="19" customFormat="false" ht="15" hidden="false" customHeight="false" outlineLevel="0" collapsed="false">
      <c r="A19" s="3" t="s">
        <v>60</v>
      </c>
      <c r="B19" s="15" t="n">
        <f aca="false">Inputs!B4</f>
        <v>0.065</v>
      </c>
      <c r="C19" s="8" t="s">
        <v>61</v>
      </c>
      <c r="D19" s="4" t="s">
        <v>170</v>
      </c>
    </row>
    <row r="20" customFormat="false" ht="15" hidden="false" customHeight="false" outlineLevel="0" collapsed="false">
      <c r="A20" s="3" t="s">
        <v>171</v>
      </c>
      <c r="B20" s="29" t="n">
        <f aca="false">B16/B19</f>
        <v>13911860</v>
      </c>
      <c r="C20" s="8" t="s">
        <v>96</v>
      </c>
      <c r="D20" s="4" t="s">
        <v>172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173</v>
      </c>
      <c r="B1" s="5"/>
      <c r="C1" s="5"/>
      <c r="D1" s="5"/>
    </row>
    <row r="2" customFormat="false" ht="15" hidden="false" customHeight="fals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false" outlineLevel="0" collapsed="false">
      <c r="A3" s="3" t="s">
        <v>63</v>
      </c>
      <c r="B3" s="15" t="n">
        <f aca="false">Inputs!B5</f>
        <v>0.0775</v>
      </c>
      <c r="C3" s="8" t="s">
        <v>61</v>
      </c>
      <c r="D3" s="4" t="s">
        <v>174</v>
      </c>
    </row>
    <row r="4" customFormat="false" ht="15" hidden="false" customHeight="false" outlineLevel="0" collapsed="false">
      <c r="A4" s="3" t="s">
        <v>91</v>
      </c>
      <c r="B4" s="15" t="n">
        <f aca="false">Inputs!B19</f>
        <v>0.061</v>
      </c>
      <c r="C4" s="8" t="s">
        <v>61</v>
      </c>
      <c r="D4" s="4" t="s">
        <v>175</v>
      </c>
    </row>
    <row r="5" customFormat="false" ht="15" hidden="false" customHeight="false" outlineLevel="0" collapsed="false">
      <c r="A5" s="3" t="s">
        <v>88</v>
      </c>
      <c r="B5" s="14" t="n">
        <f aca="false">Inputs!B18</f>
        <v>30</v>
      </c>
      <c r="C5" s="8" t="s">
        <v>89</v>
      </c>
      <c r="D5" s="4" t="s">
        <v>176</v>
      </c>
    </row>
    <row r="6" customFormat="false" ht="15" hidden="false" customHeight="false" outlineLevel="0" collapsed="false">
      <c r="A6" s="3" t="s">
        <v>177</v>
      </c>
      <c r="B6" s="30" t="n">
        <f aca="false">B3/12</f>
        <v>0.00645833333333333</v>
      </c>
      <c r="C6" s="8" t="s">
        <v>61</v>
      </c>
      <c r="D6" s="4" t="s">
        <v>178</v>
      </c>
    </row>
    <row r="7" customFormat="false" ht="15" hidden="false" customHeight="false" outlineLevel="0" collapsed="false">
      <c r="A7" s="3" t="s">
        <v>179</v>
      </c>
      <c r="B7" s="14" t="n">
        <f aca="false">B5*12</f>
        <v>360</v>
      </c>
      <c r="C7" s="8" t="s">
        <v>180</v>
      </c>
      <c r="D7" s="4" t="s">
        <v>181</v>
      </c>
    </row>
    <row r="8" customFormat="false" ht="15" hidden="false" customHeight="false" outlineLevel="0" collapsed="false">
      <c r="A8" s="3" t="s">
        <v>182</v>
      </c>
      <c r="B8" s="31" t="n">
        <f aca="false">12*(B6*(1+B6)^B7)/((1+B6)^B7-1)</f>
        <v>0.0859694694670855</v>
      </c>
      <c r="C8" s="8" t="s">
        <v>61</v>
      </c>
      <c r="D8" s="4" t="s">
        <v>183</v>
      </c>
    </row>
    <row r="9" customFormat="false" ht="15" hidden="false" customHeight="false" outlineLevel="0" collapsed="false">
      <c r="A9" s="3" t="s">
        <v>184</v>
      </c>
      <c r="B9" s="12" t="n">
        <f aca="false">UW!B18</f>
        <v>901870.9</v>
      </c>
      <c r="C9" s="8" t="s">
        <v>58</v>
      </c>
      <c r="D9" s="4" t="s">
        <v>185</v>
      </c>
    </row>
    <row r="10" customFormat="false" ht="15" hidden="false" customHeight="false" outlineLevel="0" collapsed="false">
      <c r="A10" s="3" t="s">
        <v>186</v>
      </c>
      <c r="B10" s="12" t="n">
        <f aca="false">UW!B16</f>
        <v>904270.9</v>
      </c>
      <c r="C10" s="8" t="s">
        <v>58</v>
      </c>
      <c r="D10" s="4" t="s">
        <v>187</v>
      </c>
    </row>
    <row r="11" customFormat="false" ht="15" hidden="false" customHeight="false" outlineLevel="0" collapsed="false">
      <c r="A11" s="3" t="s">
        <v>188</v>
      </c>
      <c r="B11" s="12" t="n">
        <f aca="false">UW!B20</f>
        <v>13911860</v>
      </c>
      <c r="C11" s="8" t="s">
        <v>96</v>
      </c>
      <c r="D11" s="4" t="s">
        <v>189</v>
      </c>
    </row>
    <row r="12" customFormat="false" ht="15" hidden="false" customHeight="false" outlineLevel="0" collapsed="false">
      <c r="A12" s="3" t="s">
        <v>81</v>
      </c>
      <c r="B12" s="11" t="n">
        <f aca="false">Inputs!B15</f>
        <v>0.65</v>
      </c>
      <c r="C12" s="8" t="s">
        <v>61</v>
      </c>
      <c r="D12" s="4" t="s">
        <v>190</v>
      </c>
    </row>
    <row r="13" customFormat="false" ht="15" hidden="false" customHeight="false" outlineLevel="0" collapsed="false">
      <c r="A13" s="3" t="s">
        <v>83</v>
      </c>
      <c r="B13" s="13" t="n">
        <f aca="false">Inputs!B16</f>
        <v>1.25</v>
      </c>
      <c r="C13" s="8" t="s">
        <v>84</v>
      </c>
      <c r="D13" s="4" t="s">
        <v>191</v>
      </c>
    </row>
    <row r="14" customFormat="false" ht="15" hidden="false" customHeight="false" outlineLevel="0" collapsed="false">
      <c r="A14" s="3" t="s">
        <v>86</v>
      </c>
      <c r="B14" s="11" t="n">
        <f aca="false">Inputs!B17</f>
        <v>0.09</v>
      </c>
      <c r="C14" s="8" t="s">
        <v>61</v>
      </c>
      <c r="D14" s="4" t="s">
        <v>192</v>
      </c>
    </row>
    <row r="15" customFormat="false" ht="15" hidden="false" customHeight="false" outlineLevel="0" collapsed="false">
      <c r="A15" s="3" t="s">
        <v>193</v>
      </c>
      <c r="B15" s="12" t="n">
        <f aca="false">B12*B11</f>
        <v>9042709</v>
      </c>
      <c r="C15" s="8" t="s">
        <v>96</v>
      </c>
      <c r="D15" s="4" t="s">
        <v>194</v>
      </c>
    </row>
    <row r="16" customFormat="false" ht="15" hidden="false" customHeight="false" outlineLevel="0" collapsed="false">
      <c r="A16" s="3" t="s">
        <v>195</v>
      </c>
      <c r="B16" s="12" t="n">
        <f aca="false">B9/(B13*B8)</f>
        <v>8392476.12521599</v>
      </c>
      <c r="C16" s="8" t="s">
        <v>96</v>
      </c>
      <c r="D16" s="4" t="s">
        <v>196</v>
      </c>
    </row>
    <row r="17" customFormat="false" ht="15" hidden="false" customHeight="false" outlineLevel="0" collapsed="false">
      <c r="A17" s="3" t="s">
        <v>197</v>
      </c>
      <c r="B17" s="12" t="n">
        <f aca="false">B9/B14</f>
        <v>10020787.7777778</v>
      </c>
      <c r="C17" s="8" t="s">
        <v>96</v>
      </c>
      <c r="D17" s="4" t="s">
        <v>198</v>
      </c>
    </row>
    <row r="18" customFormat="false" ht="15" hidden="false" customHeight="false" outlineLevel="0" collapsed="false">
      <c r="A18" s="3" t="s">
        <v>199</v>
      </c>
      <c r="B18" s="29" t="n">
        <f aca="false">MIN(B15,B16,B17)</f>
        <v>8392476.12521599</v>
      </c>
      <c r="C18" s="8" t="s">
        <v>96</v>
      </c>
      <c r="D18" s="4" t="s">
        <v>200</v>
      </c>
    </row>
    <row r="19" customFormat="false" ht="15" hidden="false" customHeight="false" outlineLevel="0" collapsed="false">
      <c r="A19" s="3" t="s">
        <v>201</v>
      </c>
      <c r="B19" s="32" t="str">
        <f aca="false">IF(B18=B15,"LTV",IF(B18=B16,"DSCR","Debt Yield"))</f>
        <v>DSCR</v>
      </c>
      <c r="C19" s="8" t="s">
        <v>202</v>
      </c>
      <c r="D19" s="4" t="s">
        <v>203</v>
      </c>
    </row>
    <row r="22" customFormat="false" ht="15" hidden="false" customHeight="false" outlineLevel="0" collapsed="false">
      <c r="A22" s="10" t="s">
        <v>204</v>
      </c>
      <c r="B22" s="10"/>
      <c r="C22" s="10"/>
      <c r="D22" s="10"/>
    </row>
    <row r="23" customFormat="false" ht="15" hidden="false" customHeight="false" outlineLevel="0" collapsed="false">
      <c r="A23" s="3" t="s">
        <v>205</v>
      </c>
      <c r="B23" s="12" t="n">
        <f aca="false">B18</f>
        <v>8392476.12521599</v>
      </c>
      <c r="C23" s="8" t="s">
        <v>96</v>
      </c>
      <c r="D23" s="4" t="s">
        <v>206</v>
      </c>
    </row>
    <row r="24" customFormat="false" ht="15" hidden="false" customHeight="false" outlineLevel="0" collapsed="false">
      <c r="A24" s="3" t="s">
        <v>207</v>
      </c>
      <c r="B24" s="12" t="n">
        <f aca="false">MAX(0,-B29)</f>
        <v>0</v>
      </c>
      <c r="C24" s="8" t="s">
        <v>96</v>
      </c>
      <c r="D24" s="4" t="s">
        <v>208</v>
      </c>
    </row>
    <row r="25" customFormat="false" ht="15" hidden="false" customHeight="false" outlineLevel="0" collapsed="false">
      <c r="A25" s="3" t="s">
        <v>209</v>
      </c>
      <c r="B25" s="12" t="n">
        <f aca="false">Inputs!B22</f>
        <v>7800000</v>
      </c>
      <c r="C25" s="8" t="s">
        <v>96</v>
      </c>
      <c r="D25" s="4" t="s">
        <v>210</v>
      </c>
    </row>
    <row r="26" customFormat="false" ht="15" hidden="false" customHeight="false" outlineLevel="0" collapsed="false">
      <c r="A26" s="3" t="s">
        <v>211</v>
      </c>
      <c r="B26" s="12" t="n">
        <f aca="false">Inputs!B21</f>
        <v>45000</v>
      </c>
      <c r="C26" s="8" t="s">
        <v>96</v>
      </c>
      <c r="D26" s="4" t="s">
        <v>156</v>
      </c>
    </row>
    <row r="27" customFormat="false" ht="15" hidden="false" customHeight="false" outlineLevel="0" collapsed="false">
      <c r="A27" s="3" t="s">
        <v>212</v>
      </c>
      <c r="B27" s="12" t="n">
        <f aca="false">Inputs!B20*B18</f>
        <v>83924.7612521599</v>
      </c>
      <c r="C27" s="8" t="s">
        <v>96</v>
      </c>
      <c r="D27" s="4" t="s">
        <v>213</v>
      </c>
    </row>
    <row r="28" customFormat="false" ht="15" hidden="false" customHeight="false" outlineLevel="0" collapsed="false">
      <c r="A28" s="3" t="s">
        <v>214</v>
      </c>
      <c r="B28" s="12" t="n">
        <f aca="false">MAX(0,B29)</f>
        <v>463551.363963827</v>
      </c>
      <c r="C28" s="8" t="s">
        <v>96</v>
      </c>
      <c r="D28" s="4" t="s">
        <v>215</v>
      </c>
    </row>
    <row r="29" customFormat="false" ht="15" hidden="false" customHeight="false" outlineLevel="0" collapsed="false">
      <c r="A29" s="3" t="s">
        <v>216</v>
      </c>
      <c r="B29" s="29" t="n">
        <f aca="false">B18-Inputs!B22-Inputs!B21-Inputs!B20*B18</f>
        <v>463551.363963827</v>
      </c>
      <c r="C29" s="8" t="s">
        <v>96</v>
      </c>
      <c r="D29" s="4" t="s">
        <v>217</v>
      </c>
    </row>
    <row r="31" customFormat="false" ht="15" hidden="false" customHeight="false" outlineLevel="0" collapsed="false">
      <c r="A31" s="10" t="s">
        <v>218</v>
      </c>
      <c r="B31" s="10"/>
      <c r="C31" s="10"/>
      <c r="D31" s="10"/>
    </row>
    <row r="32" customFormat="false" ht="15" hidden="false" customHeight="false" outlineLevel="0" collapsed="false">
      <c r="A32" s="3" t="s">
        <v>219</v>
      </c>
      <c r="B32" s="13" t="n">
        <f aca="false">B9/(B18*B8)</f>
        <v>1.25</v>
      </c>
    </row>
    <row r="33" customFormat="false" ht="15" hidden="false" customHeight="false" outlineLevel="0" collapsed="false">
      <c r="A33" s="3" t="s">
        <v>220</v>
      </c>
      <c r="B33" s="11" t="n">
        <f aca="false">B18/B11</f>
        <v>0.603260536349272</v>
      </c>
    </row>
    <row r="34" customFormat="false" ht="15" hidden="false" customHeight="false" outlineLevel="0" collapsed="false">
      <c r="A34" s="3" t="s">
        <v>221</v>
      </c>
      <c r="B34" s="11" t="n">
        <f aca="false">B9/B18</f>
        <v>0.107461836833857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222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33" t="s">
        <v>223</v>
      </c>
      <c r="B2" s="33"/>
      <c r="C2" s="33"/>
      <c r="D2" s="33"/>
      <c r="E2" s="33"/>
      <c r="F2" s="33"/>
      <c r="G2" s="33"/>
      <c r="H2" s="33"/>
    </row>
    <row r="4" customFormat="false" ht="15" hidden="false" customHeight="false" outlineLevel="0" collapsed="false">
      <c r="A4" s="6" t="s">
        <v>224</v>
      </c>
      <c r="B4" s="34" t="n">
        <v>0.06</v>
      </c>
      <c r="C4" s="34" t="n">
        <v>0.0625</v>
      </c>
      <c r="D4" s="34" t="n">
        <v>0.065</v>
      </c>
      <c r="E4" s="34" t="n">
        <v>0.0675</v>
      </c>
      <c r="F4" s="34" t="n">
        <v>0.07</v>
      </c>
      <c r="G4" s="34" t="n">
        <v>0.075</v>
      </c>
      <c r="H4" s="34" t="n">
        <v>0.08</v>
      </c>
    </row>
    <row r="5" customFormat="false" ht="15" hidden="false" customHeight="false" outlineLevel="0" collapsed="false">
      <c r="A5" s="35" t="n">
        <v>0.065</v>
      </c>
      <c r="B5" s="36" t="n">
        <f aca="false">MIN(Inputs!$B$15*(UW!$B$16/B$4),UW!$B$18/(Inputs!$B$16*(12*(($A5/12)*(1+$A5/12)^360)/((1+$A5/12)^360-1))),UW!$B$18/Inputs!$B$17)</f>
        <v>9512382.28037585</v>
      </c>
      <c r="C5" s="36" t="n">
        <f aca="false">MIN(Inputs!$B$15*(UW!$B$16/C$4),UW!$B$18/(Inputs!$B$16*(12*(($A5/12)*(1+$A5/12)^360)/((1+$A5/12)^360-1))),UW!$B$18/Inputs!$B$17)</f>
        <v>9404417.36</v>
      </c>
      <c r="D5" s="36" t="n">
        <f aca="false">MIN(Inputs!$B$15*(UW!$B$16/D$4),UW!$B$18/(Inputs!$B$16*(12*(($A5/12)*(1+$A5/12)^360)/((1+$A5/12)^360-1))),UW!$B$18/Inputs!$B$17)</f>
        <v>9042709</v>
      </c>
      <c r="E5" s="36" t="n">
        <f aca="false">MIN(Inputs!$B$15*(UW!$B$16/E$4),UW!$B$18/(Inputs!$B$16*(12*(($A5/12)*(1+$A5/12)^360)/((1+$A5/12)^360-1))),UW!$B$18/Inputs!$B$17)</f>
        <v>8707793.85185185</v>
      </c>
      <c r="F5" s="36" t="n">
        <f aca="false">MIN(Inputs!$B$15*(UW!$B$16/F$4),UW!$B$18/(Inputs!$B$16*(12*(($A5/12)*(1+$A5/12)^360)/((1+$A5/12)^360-1))),UW!$B$18/Inputs!$B$17)</f>
        <v>8396801.21428571</v>
      </c>
      <c r="G5" s="36" t="n">
        <f aca="false">MIN(Inputs!$B$15*(UW!$B$16/G$4),UW!$B$18/(Inputs!$B$16*(12*(($A5/12)*(1+$A5/12)^360)/((1+$A5/12)^360-1))),UW!$B$18/Inputs!$B$17)</f>
        <v>7837014.46666667</v>
      </c>
      <c r="H5" s="36" t="n">
        <f aca="false">MIN(Inputs!$B$15*(UW!$B$16/H$4),UW!$B$18/(Inputs!$B$16*(12*(($A5/12)*(1+$A5/12)^360)/((1+$A5/12)^360-1))),UW!$B$18/Inputs!$B$17)</f>
        <v>7347201.0625</v>
      </c>
    </row>
    <row r="6" customFormat="false" ht="15" hidden="false" customHeight="false" outlineLevel="0" collapsed="false">
      <c r="A6" s="35" t="n">
        <v>0.07</v>
      </c>
      <c r="B6" s="36" t="n">
        <f aca="false">MIN(Inputs!$B$15*(UW!$B$16/B$4),UW!$B$18/(Inputs!$B$16*(12*(($A6/12)*(1+$A6/12)^360)/((1+$A6/12)^360-1))),UW!$B$18/Inputs!$B$17)</f>
        <v>9037201.43879418</v>
      </c>
      <c r="C6" s="36" t="n">
        <f aca="false">MIN(Inputs!$B$15*(UW!$B$16/C$4),UW!$B$18/(Inputs!$B$16*(12*(($A6/12)*(1+$A6/12)^360)/((1+$A6/12)^360-1))),UW!$B$18/Inputs!$B$17)</f>
        <v>9037201.43879418</v>
      </c>
      <c r="D6" s="36" t="n">
        <f aca="false">MIN(Inputs!$B$15*(UW!$B$16/D$4),UW!$B$18/(Inputs!$B$16*(12*(($A6/12)*(1+$A6/12)^360)/((1+$A6/12)^360-1))),UW!$B$18/Inputs!$B$17)</f>
        <v>9037201.43879418</v>
      </c>
      <c r="E6" s="36" t="n">
        <f aca="false">MIN(Inputs!$B$15*(UW!$B$16/E$4),UW!$B$18/(Inputs!$B$16*(12*(($A6/12)*(1+$A6/12)^360)/((1+$A6/12)^360-1))),UW!$B$18/Inputs!$B$17)</f>
        <v>8707793.85185185</v>
      </c>
      <c r="F6" s="36" t="n">
        <f aca="false">MIN(Inputs!$B$15*(UW!$B$16/F$4),UW!$B$18/(Inputs!$B$16*(12*(($A6/12)*(1+$A6/12)^360)/((1+$A6/12)^360-1))),UW!$B$18/Inputs!$B$17)</f>
        <v>8396801.21428571</v>
      </c>
      <c r="G6" s="36" t="n">
        <f aca="false">MIN(Inputs!$B$15*(UW!$B$16/G$4),UW!$B$18/(Inputs!$B$16*(12*(($A6/12)*(1+$A6/12)^360)/((1+$A6/12)^360-1))),UW!$B$18/Inputs!$B$17)</f>
        <v>7837014.46666667</v>
      </c>
      <c r="H6" s="36" t="n">
        <f aca="false">MIN(Inputs!$B$15*(UW!$B$16/H$4),UW!$B$18/(Inputs!$B$16*(12*(($A6/12)*(1+$A6/12)^360)/((1+$A6/12)^360-1))),UW!$B$18/Inputs!$B$17)</f>
        <v>7347201.0625</v>
      </c>
    </row>
    <row r="7" customFormat="false" ht="15" hidden="false" customHeight="false" outlineLevel="0" collapsed="false">
      <c r="A7" s="35" t="n">
        <v>0.075</v>
      </c>
      <c r="B7" s="36" t="n">
        <f aca="false">MIN(Inputs!$B$15*(UW!$B$16/B$4),UW!$B$18/(Inputs!$B$16*(12*(($A7/12)*(1+$A7/12)^360)/((1+$A7/12)^360-1))),UW!$B$18/Inputs!$B$17)</f>
        <v>8598895.75104955</v>
      </c>
      <c r="C7" s="36" t="n">
        <f aca="false">MIN(Inputs!$B$15*(UW!$B$16/C$4),UW!$B$18/(Inputs!$B$16*(12*(($A7/12)*(1+$A7/12)^360)/((1+$A7/12)^360-1))),UW!$B$18/Inputs!$B$17)</f>
        <v>8598895.75104955</v>
      </c>
      <c r="D7" s="36" t="n">
        <f aca="false">MIN(Inputs!$B$15*(UW!$B$16/D$4),UW!$B$18/(Inputs!$B$16*(12*(($A7/12)*(1+$A7/12)^360)/((1+$A7/12)^360-1))),UW!$B$18/Inputs!$B$17)</f>
        <v>8598895.75104955</v>
      </c>
      <c r="E7" s="36" t="n">
        <f aca="false">MIN(Inputs!$B$15*(UW!$B$16/E$4),UW!$B$18/(Inputs!$B$16*(12*(($A7/12)*(1+$A7/12)^360)/((1+$A7/12)^360-1))),UW!$B$18/Inputs!$B$17)</f>
        <v>8598895.75104955</v>
      </c>
      <c r="F7" s="36" t="n">
        <f aca="false">MIN(Inputs!$B$15*(UW!$B$16/F$4),UW!$B$18/(Inputs!$B$16*(12*(($A7/12)*(1+$A7/12)^360)/((1+$A7/12)^360-1))),UW!$B$18/Inputs!$B$17)</f>
        <v>8396801.21428571</v>
      </c>
      <c r="G7" s="36" t="n">
        <f aca="false">MIN(Inputs!$B$15*(UW!$B$16/G$4),UW!$B$18/(Inputs!$B$16*(12*(($A7/12)*(1+$A7/12)^360)/((1+$A7/12)^360-1))),UW!$B$18/Inputs!$B$17)</f>
        <v>7837014.46666667</v>
      </c>
      <c r="H7" s="36" t="n">
        <f aca="false">MIN(Inputs!$B$15*(UW!$B$16/H$4),UW!$B$18/(Inputs!$B$16*(12*(($A7/12)*(1+$A7/12)^360)/((1+$A7/12)^360-1))),UW!$B$18/Inputs!$B$17)</f>
        <v>7347201.0625</v>
      </c>
    </row>
    <row r="8" customFormat="false" ht="15" hidden="false" customHeight="false" outlineLevel="0" collapsed="false">
      <c r="A8" s="35" t="n">
        <v>0.0775</v>
      </c>
      <c r="B8" s="36" t="n">
        <f aca="false">MIN(Inputs!$B$15*(UW!$B$16/B$4),UW!$B$18/(Inputs!$B$16*(12*(($A8/12)*(1+$A8/12)^360)/((1+$A8/12)^360-1))),UW!$B$18/Inputs!$B$17)</f>
        <v>8392476.12521599</v>
      </c>
      <c r="C8" s="36" t="n">
        <f aca="false">MIN(Inputs!$B$15*(UW!$B$16/C$4),UW!$B$18/(Inputs!$B$16*(12*(($A8/12)*(1+$A8/12)^360)/((1+$A8/12)^360-1))),UW!$B$18/Inputs!$B$17)</f>
        <v>8392476.12521599</v>
      </c>
      <c r="D8" s="37" t="n">
        <f aca="false">MIN(Inputs!$B$15*(UW!$B$16/D$4),UW!$B$18/(Inputs!$B$16*(12*(($A8/12)*(1+$A8/12)^360)/((1+$A8/12)^360-1))),UW!$B$18/Inputs!$B$17)</f>
        <v>8392476.12521599</v>
      </c>
      <c r="E8" s="36" t="n">
        <f aca="false">MIN(Inputs!$B$15*(UW!$B$16/E$4),UW!$B$18/(Inputs!$B$16*(12*(($A8/12)*(1+$A8/12)^360)/((1+$A8/12)^360-1))),UW!$B$18/Inputs!$B$17)</f>
        <v>8392476.12521599</v>
      </c>
      <c r="F8" s="36" t="n">
        <f aca="false">MIN(Inputs!$B$15*(UW!$B$16/F$4),UW!$B$18/(Inputs!$B$16*(12*(($A8/12)*(1+$A8/12)^360)/((1+$A8/12)^360-1))),UW!$B$18/Inputs!$B$17)</f>
        <v>8392476.12521599</v>
      </c>
      <c r="G8" s="36" t="n">
        <f aca="false">MIN(Inputs!$B$15*(UW!$B$16/G$4),UW!$B$18/(Inputs!$B$16*(12*(($A8/12)*(1+$A8/12)^360)/((1+$A8/12)^360-1))),UW!$B$18/Inputs!$B$17)</f>
        <v>7837014.46666667</v>
      </c>
      <c r="H8" s="36" t="n">
        <f aca="false">MIN(Inputs!$B$15*(UW!$B$16/H$4),UW!$B$18/(Inputs!$B$16*(12*(($A8/12)*(1+$A8/12)^360)/((1+$A8/12)^360-1))),UW!$B$18/Inputs!$B$17)</f>
        <v>7347201.0625</v>
      </c>
    </row>
    <row r="9" customFormat="false" ht="15" hidden="false" customHeight="false" outlineLevel="0" collapsed="false">
      <c r="A9" s="35" t="n">
        <v>0.08</v>
      </c>
      <c r="B9" s="36" t="n">
        <f aca="false">MIN(Inputs!$B$15*(UW!$B$16/B$4),UW!$B$18/(Inputs!$B$16*(12*(($A9/12)*(1+$A9/12)^360)/((1+$A9/12)^360-1))),UW!$B$18/Inputs!$B$17)</f>
        <v>8194007.83398279</v>
      </c>
      <c r="C9" s="36" t="n">
        <f aca="false">MIN(Inputs!$B$15*(UW!$B$16/C$4),UW!$B$18/(Inputs!$B$16*(12*(($A9/12)*(1+$A9/12)^360)/((1+$A9/12)^360-1))),UW!$B$18/Inputs!$B$17)</f>
        <v>8194007.83398279</v>
      </c>
      <c r="D9" s="36" t="n">
        <f aca="false">MIN(Inputs!$B$15*(UW!$B$16/D$4),UW!$B$18/(Inputs!$B$16*(12*(($A9/12)*(1+$A9/12)^360)/((1+$A9/12)^360-1))),UW!$B$18/Inputs!$B$17)</f>
        <v>8194007.83398279</v>
      </c>
      <c r="E9" s="36" t="n">
        <f aca="false">MIN(Inputs!$B$15*(UW!$B$16/E$4),UW!$B$18/(Inputs!$B$16*(12*(($A9/12)*(1+$A9/12)^360)/((1+$A9/12)^360-1))),UW!$B$18/Inputs!$B$17)</f>
        <v>8194007.83398279</v>
      </c>
      <c r="F9" s="36" t="n">
        <f aca="false">MIN(Inputs!$B$15*(UW!$B$16/F$4),UW!$B$18/(Inputs!$B$16*(12*(($A9/12)*(1+$A9/12)^360)/((1+$A9/12)^360-1))),UW!$B$18/Inputs!$B$17)</f>
        <v>8194007.83398279</v>
      </c>
      <c r="G9" s="36" t="n">
        <f aca="false">MIN(Inputs!$B$15*(UW!$B$16/G$4),UW!$B$18/(Inputs!$B$16*(12*(($A9/12)*(1+$A9/12)^360)/((1+$A9/12)^360-1))),UW!$B$18/Inputs!$B$17)</f>
        <v>7837014.46666667</v>
      </c>
      <c r="H9" s="36" t="n">
        <f aca="false">MIN(Inputs!$B$15*(UW!$B$16/H$4),UW!$B$18/(Inputs!$B$16*(12*(($A9/12)*(1+$A9/12)^360)/((1+$A9/12)^360-1))),UW!$B$18/Inputs!$B$17)</f>
        <v>7347201.0625</v>
      </c>
    </row>
    <row r="10" customFormat="false" ht="15" hidden="false" customHeight="false" outlineLevel="0" collapsed="false">
      <c r="A10" s="35" t="n">
        <v>0.085</v>
      </c>
      <c r="B10" s="36" t="n">
        <f aca="false">MIN(Inputs!$B$15*(UW!$B$16/B$4),UW!$B$18/(Inputs!$B$16*(12*(($A10/12)*(1+$A10/12)^360)/((1+$A10/12)^360-1))),UW!$B$18/Inputs!$B$17)</f>
        <v>7819439.76146599</v>
      </c>
      <c r="C10" s="36" t="n">
        <f aca="false">MIN(Inputs!$B$15*(UW!$B$16/C$4),UW!$B$18/(Inputs!$B$16*(12*(($A10/12)*(1+$A10/12)^360)/((1+$A10/12)^360-1))),UW!$B$18/Inputs!$B$17)</f>
        <v>7819439.76146599</v>
      </c>
      <c r="D10" s="36" t="n">
        <f aca="false">MIN(Inputs!$B$15*(UW!$B$16/D$4),UW!$B$18/(Inputs!$B$16*(12*(($A10/12)*(1+$A10/12)^360)/((1+$A10/12)^360-1))),UW!$B$18/Inputs!$B$17)</f>
        <v>7819439.76146599</v>
      </c>
      <c r="E10" s="36" t="n">
        <f aca="false">MIN(Inputs!$B$15*(UW!$B$16/E$4),UW!$B$18/(Inputs!$B$16*(12*(($A10/12)*(1+$A10/12)^360)/((1+$A10/12)^360-1))),UW!$B$18/Inputs!$B$17)</f>
        <v>7819439.76146599</v>
      </c>
      <c r="F10" s="36" t="n">
        <f aca="false">MIN(Inputs!$B$15*(UW!$B$16/F$4),UW!$B$18/(Inputs!$B$16*(12*(($A10/12)*(1+$A10/12)^360)/((1+$A10/12)^360-1))),UW!$B$18/Inputs!$B$17)</f>
        <v>7819439.76146599</v>
      </c>
      <c r="G10" s="36" t="n">
        <f aca="false">MIN(Inputs!$B$15*(UW!$B$16/G$4),UW!$B$18/(Inputs!$B$16*(12*(($A10/12)*(1+$A10/12)^360)/((1+$A10/12)^360-1))),UW!$B$18/Inputs!$B$17)</f>
        <v>7819439.76146599</v>
      </c>
      <c r="H10" s="36" t="n">
        <f aca="false">MIN(Inputs!$B$15*(UW!$B$16/H$4),UW!$B$18/(Inputs!$B$16*(12*(($A10/12)*(1+$A10/12)^360)/((1+$A10/12)^360-1))),UW!$B$18/Inputs!$B$17)</f>
        <v>7347201.0625</v>
      </c>
    </row>
    <row r="11" customFormat="false" ht="15" hidden="false" customHeight="false" outlineLevel="0" collapsed="false">
      <c r="A11" s="35" t="n">
        <v>0.09</v>
      </c>
      <c r="B11" s="36" t="n">
        <f aca="false">MIN(Inputs!$B$15*(UW!$B$16/B$4),UW!$B$18/(Inputs!$B$16*(12*(($A11/12)*(1+$A11/12)^360)/((1+$A11/12)^360-1))),UW!$B$18/Inputs!$B$17)</f>
        <v>7472413.20346739</v>
      </c>
      <c r="C11" s="36" t="n">
        <f aca="false">MIN(Inputs!$B$15*(UW!$B$16/C$4),UW!$B$18/(Inputs!$B$16*(12*(($A11/12)*(1+$A11/12)^360)/((1+$A11/12)^360-1))),UW!$B$18/Inputs!$B$17)</f>
        <v>7472413.20346739</v>
      </c>
      <c r="D11" s="36" t="n">
        <f aca="false">MIN(Inputs!$B$15*(UW!$B$16/D$4),UW!$B$18/(Inputs!$B$16*(12*(($A11/12)*(1+$A11/12)^360)/((1+$A11/12)^360-1))),UW!$B$18/Inputs!$B$17)</f>
        <v>7472413.20346739</v>
      </c>
      <c r="E11" s="36" t="n">
        <f aca="false">MIN(Inputs!$B$15*(UW!$B$16/E$4),UW!$B$18/(Inputs!$B$16*(12*(($A11/12)*(1+$A11/12)^360)/((1+$A11/12)^360-1))),UW!$B$18/Inputs!$B$17)</f>
        <v>7472413.20346739</v>
      </c>
      <c r="F11" s="36" t="n">
        <f aca="false">MIN(Inputs!$B$15*(UW!$B$16/F$4),UW!$B$18/(Inputs!$B$16*(12*(($A11/12)*(1+$A11/12)^360)/((1+$A11/12)^360-1))),UW!$B$18/Inputs!$B$17)</f>
        <v>7472413.20346739</v>
      </c>
      <c r="G11" s="36" t="n">
        <f aca="false">MIN(Inputs!$B$15*(UW!$B$16/G$4),UW!$B$18/(Inputs!$B$16*(12*(($A11/12)*(1+$A11/12)^360)/((1+$A11/12)^360-1))),UW!$B$18/Inputs!$B$17)</f>
        <v>7472413.20346739</v>
      </c>
      <c r="H11" s="36" t="n">
        <f aca="false">MIN(Inputs!$B$15*(UW!$B$16/H$4),UW!$B$18/(Inputs!$B$16*(12*(($A11/12)*(1+$A11/12)^360)/((1+$A11/12)^360-1))),UW!$B$18/Inputs!$B$17)</f>
        <v>7347201.0625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</row>
    <row r="2" customFormat="false" ht="15" hidden="false" customHeight="false" outlineLevel="0" collapsed="false">
      <c r="A2" s="6" t="s">
        <v>146</v>
      </c>
      <c r="B2" s="6" t="s">
        <v>226</v>
      </c>
      <c r="C2" s="6" t="s">
        <v>227</v>
      </c>
      <c r="D2" s="6" t="s">
        <v>228</v>
      </c>
      <c r="E2" s="6" t="s">
        <v>229</v>
      </c>
    </row>
    <row r="3" customFormat="false" ht="23.85" hidden="false" customHeight="false" outlineLevel="0" collapsed="false">
      <c r="A3" s="3" t="s">
        <v>230</v>
      </c>
      <c r="B3" s="12" t="n">
        <v>1262520</v>
      </c>
      <c r="C3" s="12" t="n">
        <f aca="false">UW!B6</f>
        <v>1337170</v>
      </c>
      <c r="D3" s="12" t="n">
        <f aca="false">C3-B3</f>
        <v>74650</v>
      </c>
      <c r="E3" s="4" t="s">
        <v>231</v>
      </c>
    </row>
    <row r="4" customFormat="false" ht="15" hidden="false" customHeight="false" outlineLevel="0" collapsed="false">
      <c r="A4" s="3" t="s">
        <v>232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233</v>
      </c>
    </row>
    <row r="5" customFormat="false" ht="15" hidden="false" customHeight="false" outlineLevel="0" collapsed="false">
      <c r="A5" s="3" t="s">
        <v>234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233</v>
      </c>
    </row>
    <row r="6" customFormat="false" ht="15" hidden="false" customHeight="false" outlineLevel="0" collapsed="false">
      <c r="A6" s="3" t="s">
        <v>235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233</v>
      </c>
    </row>
    <row r="7" customFormat="false" ht="15" hidden="false" customHeight="false" outlineLevel="0" collapsed="false">
      <c r="A7" s="3" t="s">
        <v>236</v>
      </c>
      <c r="B7" s="12" t="n">
        <v>0</v>
      </c>
      <c r="C7" s="12" t="n">
        <f aca="false">UW!B12</f>
        <v>40115.1</v>
      </c>
      <c r="D7" s="12" t="n">
        <f aca="false">C7-B7</f>
        <v>40115.1</v>
      </c>
      <c r="E7" s="4" t="s">
        <v>237</v>
      </c>
    </row>
    <row r="8" customFormat="false" ht="23.85" hidden="false" customHeight="false" outlineLevel="0" collapsed="false">
      <c r="A8" s="3" t="s">
        <v>238</v>
      </c>
      <c r="B8" s="12" t="n">
        <v>869736</v>
      </c>
      <c r="C8" s="12" t="n">
        <f aca="false">UW!B16</f>
        <v>904270.9</v>
      </c>
      <c r="D8" s="12" t="n">
        <f aca="false">C8-B8</f>
        <v>34534.9</v>
      </c>
      <c r="E8" s="4" t="s">
        <v>239</v>
      </c>
    </row>
    <row r="9" customFormat="false" ht="15" hidden="false" customHeight="false" outlineLevel="0" collapsed="false">
      <c r="A9" s="3" t="s">
        <v>240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241</v>
      </c>
    </row>
    <row r="10" customFormat="false" ht="15" hidden="false" customHeight="false" outlineLevel="0" collapsed="false">
      <c r="A10" s="3" t="s">
        <v>242</v>
      </c>
      <c r="B10" s="1" t="s">
        <v>243</v>
      </c>
      <c r="C10" s="12" t="n">
        <f aca="false">UW!B18</f>
        <v>901870.9</v>
      </c>
      <c r="D10" s="1" t="s">
        <v>244</v>
      </c>
      <c r="E10" s="4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5" hidden="false" customHeight="true" outlineLevel="0" collapsed="false">
      <c r="A1" s="5" t="s">
        <v>246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16" t="s">
        <v>247</v>
      </c>
      <c r="B2" s="16" t="s">
        <v>248</v>
      </c>
      <c r="C2" s="16" t="s">
        <v>249</v>
      </c>
      <c r="D2" s="16" t="s">
        <v>55</v>
      </c>
      <c r="E2" s="16" t="s">
        <v>250</v>
      </c>
      <c r="F2" s="16" t="s">
        <v>251</v>
      </c>
      <c r="G2" s="16" t="s">
        <v>252</v>
      </c>
    </row>
    <row r="3" customFormat="false" ht="15" hidden="false" customHeight="false" outlineLevel="0" collapsed="false">
      <c r="A3" s="3" t="s">
        <v>100</v>
      </c>
      <c r="B3" s="14" t="n">
        <v>8</v>
      </c>
      <c r="C3" s="14" t="n">
        <f aca="false">RentRoll!B14</f>
        <v>8</v>
      </c>
      <c r="D3" s="8" t="s">
        <v>101</v>
      </c>
      <c r="E3" s="4" t="s">
        <v>253</v>
      </c>
      <c r="F3" s="4" t="s">
        <v>254</v>
      </c>
      <c r="G3" s="4" t="s">
        <v>255</v>
      </c>
    </row>
    <row r="4" customFormat="false" ht="15" hidden="false" customHeight="false" outlineLevel="0" collapsed="false">
      <c r="A4" s="3" t="s">
        <v>131</v>
      </c>
      <c r="B4" s="14" t="n">
        <v>7</v>
      </c>
      <c r="C4" s="14" t="n">
        <f aca="false">RentRoll!B15</f>
        <v>7</v>
      </c>
      <c r="D4" s="8" t="s">
        <v>101</v>
      </c>
      <c r="E4" s="4" t="s">
        <v>253</v>
      </c>
      <c r="F4" s="4" t="s">
        <v>256</v>
      </c>
      <c r="G4" s="4" t="s">
        <v>257</v>
      </c>
    </row>
    <row r="5" customFormat="false" ht="15" hidden="false" customHeight="false" outlineLevel="0" collapsed="false">
      <c r="A5" s="3" t="s">
        <v>132</v>
      </c>
      <c r="B5" s="14" t="n">
        <v>0</v>
      </c>
      <c r="C5" s="14" t="n">
        <f aca="false">RentRoll!B16</f>
        <v>0</v>
      </c>
      <c r="D5" s="8" t="s">
        <v>101</v>
      </c>
      <c r="E5" s="4" t="s">
        <v>253</v>
      </c>
      <c r="F5" s="4" t="s">
        <v>256</v>
      </c>
      <c r="G5" s="4" t="s">
        <v>258</v>
      </c>
    </row>
    <row r="6" customFormat="false" ht="15" hidden="false" customHeight="false" outlineLevel="0" collapsed="false">
      <c r="A6" s="3" t="s">
        <v>134</v>
      </c>
      <c r="B6" s="14" t="n">
        <v>176060</v>
      </c>
      <c r="C6" s="14" t="n">
        <f aca="false">RentRoll!B18</f>
        <v>176060</v>
      </c>
      <c r="D6" s="8" t="s">
        <v>135</v>
      </c>
      <c r="E6" s="4" t="s">
        <v>253</v>
      </c>
      <c r="F6" s="4" t="s">
        <v>259</v>
      </c>
      <c r="G6" s="4" t="s">
        <v>255</v>
      </c>
    </row>
    <row r="7" customFormat="false" ht="15" hidden="false" customHeight="false" outlineLevel="0" collapsed="false">
      <c r="A7" s="3" t="s">
        <v>136</v>
      </c>
      <c r="B7" s="14" t="n">
        <v>154060</v>
      </c>
      <c r="C7" s="14" t="n">
        <f aca="false">RentRoll!B19</f>
        <v>154060</v>
      </c>
      <c r="D7" s="8" t="s">
        <v>135</v>
      </c>
      <c r="E7" s="4" t="s">
        <v>253</v>
      </c>
      <c r="F7" s="4" t="s">
        <v>260</v>
      </c>
      <c r="G7" s="4" t="s">
        <v>255</v>
      </c>
    </row>
    <row r="8" customFormat="false" ht="15" hidden="false" customHeight="false" outlineLevel="0" collapsed="false">
      <c r="A8" s="3" t="s">
        <v>137</v>
      </c>
      <c r="B8" s="38" t="n">
        <v>0.875</v>
      </c>
      <c r="C8" s="38" t="n">
        <f aca="false">RentRoll!B20</f>
        <v>0.875</v>
      </c>
      <c r="D8" s="8" t="s">
        <v>61</v>
      </c>
      <c r="E8" s="4" t="s">
        <v>253</v>
      </c>
      <c r="F8" s="4" t="s">
        <v>261</v>
      </c>
      <c r="G8" s="4" t="s">
        <v>255</v>
      </c>
    </row>
    <row r="9" customFormat="false" ht="15" hidden="false" customHeight="false" outlineLevel="0" collapsed="false">
      <c r="A9" s="3" t="s">
        <v>138</v>
      </c>
      <c r="B9" s="38" t="n">
        <v>0.875</v>
      </c>
      <c r="C9" s="38" t="n">
        <f aca="false">RentRoll!B21</f>
        <v>0.875042599113938</v>
      </c>
      <c r="D9" s="8" t="s">
        <v>61</v>
      </c>
      <c r="E9" s="4" t="s">
        <v>253</v>
      </c>
      <c r="F9" s="4" t="s">
        <v>260</v>
      </c>
      <c r="G9" s="4" t="s">
        <v>255</v>
      </c>
    </row>
    <row r="10" customFormat="false" ht="15" hidden="false" customHeight="false" outlineLevel="0" collapsed="false">
      <c r="A10" s="39" t="s">
        <v>141</v>
      </c>
      <c r="B10" s="21" t="n">
        <v>1227600</v>
      </c>
      <c r="C10" s="21" t="n">
        <f aca="false">RentRoll!B23</f>
        <v>1230300</v>
      </c>
      <c r="D10" s="17" t="s">
        <v>58</v>
      </c>
      <c r="E10" s="40" t="s">
        <v>253</v>
      </c>
      <c r="F10" s="40" t="s">
        <v>262</v>
      </c>
      <c r="G10" s="40" t="s">
        <v>263</v>
      </c>
    </row>
    <row r="11" customFormat="false" ht="15" hidden="false" customHeight="false" outlineLevel="0" collapsed="false">
      <c r="A11" s="3" t="s">
        <v>139</v>
      </c>
      <c r="B11" s="12" t="n">
        <v>14450</v>
      </c>
      <c r="C11" s="12" t="n">
        <f aca="false">RentRoll!B22</f>
        <v>14450</v>
      </c>
      <c r="D11" s="8" t="s">
        <v>140</v>
      </c>
      <c r="E11" s="4" t="s">
        <v>264</v>
      </c>
      <c r="F11" s="4" t="s">
        <v>265</v>
      </c>
      <c r="G11" s="4" t="s">
        <v>266</v>
      </c>
    </row>
    <row r="12" customFormat="false" ht="23.85" hidden="false" customHeight="false" outlineLevel="0" collapsed="false">
      <c r="A12" s="39" t="s">
        <v>57</v>
      </c>
      <c r="B12" s="21" t="n">
        <v>1401900</v>
      </c>
      <c r="C12" s="21" t="n">
        <f aca="false">UW!B3</f>
        <v>1404600</v>
      </c>
      <c r="D12" s="17" t="s">
        <v>58</v>
      </c>
      <c r="E12" s="40" t="s">
        <v>267</v>
      </c>
      <c r="F12" s="40" t="s">
        <v>268</v>
      </c>
      <c r="G12" s="40" t="s">
        <v>269</v>
      </c>
    </row>
    <row r="13" customFormat="false" ht="15" hidden="false" customHeight="false" outlineLevel="0" collapsed="false">
      <c r="A13" s="39" t="s">
        <v>153</v>
      </c>
      <c r="B13" s="21" t="n">
        <v>1334605</v>
      </c>
      <c r="C13" s="21" t="n">
        <f aca="false">UW!B6</f>
        <v>1337170</v>
      </c>
      <c r="D13" s="17" t="s">
        <v>58</v>
      </c>
      <c r="E13" s="40" t="s">
        <v>270</v>
      </c>
      <c r="F13" s="40" t="s">
        <v>271</v>
      </c>
      <c r="G13" s="40" t="s">
        <v>272</v>
      </c>
    </row>
    <row r="14" customFormat="false" ht="15" hidden="false" customHeight="false" outlineLevel="0" collapsed="false">
      <c r="A14" s="3" t="s">
        <v>75</v>
      </c>
      <c r="B14" s="12" t="n">
        <v>147294</v>
      </c>
      <c r="C14" s="12" t="n">
        <f aca="false">UW!B9</f>
        <v>147294</v>
      </c>
      <c r="D14" s="8" t="s">
        <v>58</v>
      </c>
      <c r="E14" s="4" t="s">
        <v>270</v>
      </c>
      <c r="F14" s="4" t="s">
        <v>273</v>
      </c>
      <c r="G14" s="4" t="s">
        <v>255</v>
      </c>
    </row>
    <row r="15" customFormat="false" ht="15" hidden="false" customHeight="false" outlineLevel="0" collapsed="false">
      <c r="A15" s="3" t="s">
        <v>77</v>
      </c>
      <c r="B15" s="12" t="n">
        <v>49098</v>
      </c>
      <c r="C15" s="12" t="n">
        <f aca="false">UW!B10</f>
        <v>49098</v>
      </c>
      <c r="D15" s="8" t="s">
        <v>58</v>
      </c>
      <c r="E15" s="4" t="s">
        <v>270</v>
      </c>
      <c r="F15" s="4" t="s">
        <v>273</v>
      </c>
      <c r="G15" s="4" t="s">
        <v>255</v>
      </c>
    </row>
    <row r="16" customFormat="false" ht="15" hidden="false" customHeight="false" outlineLevel="0" collapsed="false">
      <c r="A16" s="39" t="s">
        <v>274</v>
      </c>
      <c r="B16" s="21" t="n">
        <v>432822.15</v>
      </c>
      <c r="C16" s="21" t="n">
        <f aca="false">UW!B13</f>
        <v>432899.1</v>
      </c>
      <c r="D16" s="17" t="s">
        <v>58</v>
      </c>
      <c r="E16" s="40" t="s">
        <v>270</v>
      </c>
      <c r="F16" s="40" t="s">
        <v>273</v>
      </c>
      <c r="G16" s="40" t="s">
        <v>275</v>
      </c>
    </row>
    <row r="17" customFormat="false" ht="15" hidden="false" customHeight="false" outlineLevel="0" collapsed="false">
      <c r="A17" s="39" t="s">
        <v>164</v>
      </c>
      <c r="B17" s="21" t="n">
        <v>901782.85</v>
      </c>
      <c r="C17" s="21" t="n">
        <f aca="false">UW!B16</f>
        <v>904270.9</v>
      </c>
      <c r="D17" s="17" t="s">
        <v>58</v>
      </c>
      <c r="E17" s="40" t="s">
        <v>270</v>
      </c>
      <c r="F17" s="40" t="s">
        <v>273</v>
      </c>
      <c r="G17" s="40" t="s">
        <v>276</v>
      </c>
    </row>
    <row r="18" customFormat="false" ht="15" hidden="false" customHeight="false" outlineLevel="0" collapsed="false">
      <c r="A18" s="39" t="s">
        <v>168</v>
      </c>
      <c r="B18" s="21" t="n">
        <v>899382.85</v>
      </c>
      <c r="C18" s="21" t="n">
        <f aca="false">UW!B18</f>
        <v>901870.9</v>
      </c>
      <c r="D18" s="17" t="s">
        <v>58</v>
      </c>
      <c r="E18" s="40" t="s">
        <v>270</v>
      </c>
      <c r="F18" s="40" t="s">
        <v>273</v>
      </c>
      <c r="G18" s="40" t="s">
        <v>276</v>
      </c>
    </row>
    <row r="19" customFormat="false" ht="15" hidden="false" customHeight="false" outlineLevel="0" collapsed="false">
      <c r="A19" s="39" t="s">
        <v>63</v>
      </c>
      <c r="B19" s="41" t="n">
        <v>0.07</v>
      </c>
      <c r="C19" s="41" t="n">
        <f aca="false">Inputs!B5</f>
        <v>0.0775</v>
      </c>
      <c r="D19" s="17" t="s">
        <v>61</v>
      </c>
      <c r="E19" s="40" t="s">
        <v>277</v>
      </c>
      <c r="F19" s="40" t="s">
        <v>271</v>
      </c>
      <c r="G19" s="40" t="s">
        <v>278</v>
      </c>
    </row>
    <row r="20" customFormat="false" ht="15" hidden="false" customHeight="false" outlineLevel="0" collapsed="false">
      <c r="A20" s="39" t="s">
        <v>60</v>
      </c>
      <c r="B20" s="41" t="n">
        <v>0.0625</v>
      </c>
      <c r="C20" s="41" t="n">
        <f aca="false">Inputs!B4</f>
        <v>0.065</v>
      </c>
      <c r="D20" s="17" t="s">
        <v>61</v>
      </c>
      <c r="E20" s="40" t="s">
        <v>277</v>
      </c>
      <c r="F20" s="40" t="s">
        <v>271</v>
      </c>
      <c r="G20" s="40" t="s">
        <v>279</v>
      </c>
    </row>
    <row r="21" customFormat="false" ht="15" hidden="false" customHeight="false" outlineLevel="0" collapsed="false">
      <c r="A21" s="39" t="s">
        <v>171</v>
      </c>
      <c r="B21" s="21" t="n">
        <v>14428525.6</v>
      </c>
      <c r="C21" s="21" t="n">
        <f aca="false">UW!B20</f>
        <v>13911860</v>
      </c>
      <c r="D21" s="17" t="s">
        <v>96</v>
      </c>
      <c r="E21" s="40" t="s">
        <v>280</v>
      </c>
      <c r="F21" s="40" t="s">
        <v>281</v>
      </c>
      <c r="G21" s="40" t="s">
        <v>282</v>
      </c>
    </row>
    <row r="22" customFormat="false" ht="15" hidden="false" customHeight="false" outlineLevel="0" collapsed="false">
      <c r="A22" s="3" t="s">
        <v>81</v>
      </c>
      <c r="B22" s="15" t="n">
        <v>0.65</v>
      </c>
      <c r="C22" s="15" t="n">
        <f aca="false">Inputs!B15</f>
        <v>0.65</v>
      </c>
      <c r="D22" s="8" t="s">
        <v>61</v>
      </c>
      <c r="E22" s="4" t="s">
        <v>270</v>
      </c>
      <c r="F22" s="4" t="s">
        <v>283</v>
      </c>
      <c r="G22" s="4" t="s">
        <v>255</v>
      </c>
    </row>
    <row r="23" customFormat="false" ht="15" hidden="false" customHeight="false" outlineLevel="0" collapsed="false">
      <c r="A23" s="3" t="s">
        <v>83</v>
      </c>
      <c r="B23" s="13" t="n">
        <v>1.25</v>
      </c>
      <c r="C23" s="13" t="n">
        <f aca="false">Inputs!B16</f>
        <v>1.25</v>
      </c>
      <c r="D23" s="8" t="s">
        <v>84</v>
      </c>
      <c r="E23" s="4" t="s">
        <v>270</v>
      </c>
      <c r="F23" s="4" t="s">
        <v>283</v>
      </c>
      <c r="G23" s="4" t="s">
        <v>255</v>
      </c>
    </row>
    <row r="24" customFormat="false" ht="15" hidden="false" customHeight="false" outlineLevel="0" collapsed="false">
      <c r="A24" s="3" t="s">
        <v>86</v>
      </c>
      <c r="B24" s="15" t="n">
        <v>0.09</v>
      </c>
      <c r="C24" s="15" t="n">
        <f aca="false">Inputs!B17</f>
        <v>0.09</v>
      </c>
      <c r="D24" s="8" t="s">
        <v>61</v>
      </c>
      <c r="E24" s="4" t="s">
        <v>270</v>
      </c>
      <c r="F24" s="4" t="s">
        <v>283</v>
      </c>
      <c r="G24" s="4" t="s">
        <v>255</v>
      </c>
    </row>
    <row r="25" customFormat="false" ht="23.85" hidden="false" customHeight="false" outlineLevel="0" collapsed="false">
      <c r="A25" s="39" t="s">
        <v>199</v>
      </c>
      <c r="B25" s="21" t="n">
        <v>9012269.92</v>
      </c>
      <c r="C25" s="21" t="n">
        <f aca="false">Debt!B18</f>
        <v>8392476.12521599</v>
      </c>
      <c r="D25" s="17" t="s">
        <v>96</v>
      </c>
      <c r="E25" s="40" t="s">
        <v>280</v>
      </c>
      <c r="F25" s="40" t="s">
        <v>284</v>
      </c>
      <c r="G25" s="40" t="s">
        <v>285</v>
      </c>
    </row>
    <row r="26" customFormat="false" ht="15" hidden="false" customHeight="false" outlineLevel="0" collapsed="false">
      <c r="A26" s="39" t="s">
        <v>216</v>
      </c>
      <c r="B26" s="21" t="n">
        <v>1077147.22</v>
      </c>
      <c r="C26" s="21" t="n">
        <f aca="false">Debt!B29</f>
        <v>463551.363963827</v>
      </c>
      <c r="D26" s="17" t="s">
        <v>96</v>
      </c>
      <c r="E26" s="40" t="s">
        <v>280</v>
      </c>
      <c r="F26" s="40" t="s">
        <v>286</v>
      </c>
      <c r="G26" s="40" t="s">
        <v>287</v>
      </c>
    </row>
    <row r="27" customFormat="false" ht="15" hidden="false" customHeight="false" outlineLevel="0" collapsed="false">
      <c r="A27" s="3" t="s">
        <v>288</v>
      </c>
      <c r="B27" s="12" t="n">
        <v>2000000</v>
      </c>
      <c r="C27" s="12" t="n">
        <v>2000000</v>
      </c>
      <c r="D27" s="8" t="s">
        <v>96</v>
      </c>
      <c r="E27" s="4" t="s">
        <v>289</v>
      </c>
      <c r="F27" s="4" t="s">
        <v>290</v>
      </c>
      <c r="G27" s="4" t="s">
        <v>255</v>
      </c>
    </row>
    <row r="28" customFormat="false" ht="15" hidden="false" customHeight="false" outlineLevel="0" collapsed="false">
      <c r="A28" s="39" t="s">
        <v>291</v>
      </c>
      <c r="B28" s="18" t="s">
        <v>292</v>
      </c>
      <c r="C28" s="18" t="s">
        <v>293</v>
      </c>
      <c r="D28" s="17" t="s">
        <v>294</v>
      </c>
      <c r="E28" s="40" t="s">
        <v>253</v>
      </c>
      <c r="F28" s="40" t="s">
        <v>295</v>
      </c>
      <c r="G28" s="40" t="s">
        <v>296</v>
      </c>
    </row>
    <row r="29" customFormat="false" ht="15" hidden="false" customHeight="false" outlineLevel="0" collapsed="false">
      <c r="A29" s="3" t="s">
        <v>297</v>
      </c>
      <c r="B29" s="12" t="n">
        <v>869736</v>
      </c>
      <c r="C29" s="12" t="n">
        <v>869736</v>
      </c>
      <c r="D29" s="8" t="s">
        <v>58</v>
      </c>
      <c r="E29" s="4" t="s">
        <v>298</v>
      </c>
      <c r="F29" s="4" t="s">
        <v>299</v>
      </c>
      <c r="G29" s="4" t="s">
        <v>300</v>
      </c>
    </row>
    <row r="30" customFormat="false" ht="23.85" hidden="false" customHeight="false" outlineLevel="0" collapsed="false">
      <c r="A30" s="3" t="s">
        <v>301</v>
      </c>
      <c r="B30" s="14" t="n">
        <v>3</v>
      </c>
      <c r="C30" s="14" t="n">
        <f aca="false">RentRoll!B28</f>
        <v>3</v>
      </c>
      <c r="D30" s="8" t="s">
        <v>101</v>
      </c>
      <c r="E30" s="4" t="s">
        <v>302</v>
      </c>
      <c r="F30" s="4" t="s">
        <v>303</v>
      </c>
      <c r="G30" s="4" t="s">
        <v>255</v>
      </c>
    </row>
    <row r="31" customFormat="false" ht="15" hidden="false" customHeight="false" outlineLevel="0" collapsed="false">
      <c r="A31" s="3" t="s">
        <v>304</v>
      </c>
      <c r="B31" s="14" t="n">
        <v>3</v>
      </c>
      <c r="C31" s="14" t="n">
        <f aca="false">RentRoll!C28</f>
        <v>3</v>
      </c>
      <c r="D31" s="8" t="s">
        <v>101</v>
      </c>
      <c r="E31" s="4" t="s">
        <v>253</v>
      </c>
      <c r="F31" s="4" t="s">
        <v>256</v>
      </c>
      <c r="G31" s="4" t="s">
        <v>255</v>
      </c>
    </row>
    <row r="32" customFormat="false" ht="23.85" hidden="false" customHeight="false" outlineLevel="0" collapsed="false">
      <c r="A32" s="3" t="s">
        <v>305</v>
      </c>
      <c r="B32" s="14" t="n">
        <v>3</v>
      </c>
      <c r="C32" s="14" t="n">
        <f aca="false">RentRoll!B29</f>
        <v>3</v>
      </c>
      <c r="D32" s="8" t="s">
        <v>101</v>
      </c>
      <c r="E32" s="4" t="s">
        <v>302</v>
      </c>
      <c r="F32" s="4" t="s">
        <v>303</v>
      </c>
      <c r="G32" s="4" t="s">
        <v>255</v>
      </c>
    </row>
    <row r="33" customFormat="false" ht="15" hidden="false" customHeight="false" outlineLevel="0" collapsed="false">
      <c r="A33" s="3" t="s">
        <v>306</v>
      </c>
      <c r="B33" s="14" t="n">
        <v>2</v>
      </c>
      <c r="C33" s="14" t="n">
        <f aca="false">RentRoll!C29</f>
        <v>2</v>
      </c>
      <c r="D33" s="8" t="s">
        <v>101</v>
      </c>
      <c r="E33" s="4" t="s">
        <v>253</v>
      </c>
      <c r="F33" s="4" t="s">
        <v>256</v>
      </c>
      <c r="G33" s="4" t="s">
        <v>255</v>
      </c>
    </row>
    <row r="34" customFormat="false" ht="23.85" hidden="false" customHeight="false" outlineLevel="0" collapsed="false">
      <c r="A34" s="3" t="s">
        <v>307</v>
      </c>
      <c r="B34" s="14" t="n">
        <v>2</v>
      </c>
      <c r="C34" s="14" t="n">
        <f aca="false">RentRoll!B30</f>
        <v>2</v>
      </c>
      <c r="D34" s="8" t="s">
        <v>101</v>
      </c>
      <c r="E34" s="4" t="s">
        <v>302</v>
      </c>
      <c r="F34" s="4" t="s">
        <v>303</v>
      </c>
      <c r="G34" s="4" t="s">
        <v>255</v>
      </c>
    </row>
    <row r="35" customFormat="false" ht="15" hidden="false" customHeight="false" outlineLevel="0" collapsed="false">
      <c r="A35" s="3" t="s">
        <v>308</v>
      </c>
      <c r="B35" s="14" t="n">
        <v>2</v>
      </c>
      <c r="C35" s="14" t="n">
        <f aca="false">RentRoll!C30</f>
        <v>2</v>
      </c>
      <c r="D35" s="8" t="s">
        <v>101</v>
      </c>
      <c r="E35" s="4" t="s">
        <v>253</v>
      </c>
      <c r="F35" s="4" t="s">
        <v>256</v>
      </c>
      <c r="G35" s="4" t="s">
        <v>255</v>
      </c>
    </row>
    <row r="36" customFormat="false" ht="23.85" hidden="false" customHeight="false" outlineLevel="0" collapsed="false">
      <c r="A36" s="3" t="s">
        <v>309</v>
      </c>
      <c r="B36" s="1" t="s">
        <v>310</v>
      </c>
      <c r="C36" s="1" t="s">
        <v>310</v>
      </c>
      <c r="D36" s="8" t="s">
        <v>311</v>
      </c>
      <c r="E36" s="4" t="s">
        <v>312</v>
      </c>
      <c r="F36" s="4" t="s">
        <v>313</v>
      </c>
      <c r="G36" s="4" t="s">
        <v>314</v>
      </c>
    </row>
    <row r="37" customFormat="false" ht="15" hidden="false" customHeight="false" outlineLevel="0" collapsed="false">
      <c r="A37" s="3" t="s">
        <v>315</v>
      </c>
      <c r="B37" s="1" t="s">
        <v>316</v>
      </c>
      <c r="C37" s="1" t="s">
        <v>316</v>
      </c>
      <c r="D37" s="8" t="s">
        <v>311</v>
      </c>
      <c r="E37" s="4" t="s">
        <v>253</v>
      </c>
      <c r="F37" s="4" t="s">
        <v>317</v>
      </c>
      <c r="G37" s="4" t="s">
        <v>318</v>
      </c>
    </row>
    <row r="38" customFormat="false" ht="15" hidden="false" customHeight="false" outlineLevel="0" collapsed="false">
      <c r="A38" s="3" t="s">
        <v>319</v>
      </c>
      <c r="B38" s="1" t="s">
        <v>316</v>
      </c>
      <c r="C38" s="1" t="s">
        <v>316</v>
      </c>
      <c r="D38" s="8" t="s">
        <v>311</v>
      </c>
      <c r="E38" s="4" t="s">
        <v>289</v>
      </c>
      <c r="F38" s="4" t="s">
        <v>320</v>
      </c>
      <c r="G38" s="4" t="s">
        <v>321</v>
      </c>
    </row>
    <row r="39" customFormat="false" ht="15" hidden="false" customHeight="false" outlineLevel="0" collapsed="false">
      <c r="A39" s="3" t="s">
        <v>322</v>
      </c>
      <c r="B39" s="1" t="s">
        <v>316</v>
      </c>
      <c r="C39" s="1" t="s">
        <v>316</v>
      </c>
      <c r="D39" s="8" t="s">
        <v>311</v>
      </c>
      <c r="E39" s="4" t="s">
        <v>298</v>
      </c>
      <c r="F39" s="4" t="s">
        <v>299</v>
      </c>
      <c r="G39" s="4" t="s">
        <v>323</v>
      </c>
    </row>
    <row r="40" customFormat="false" ht="35.05" hidden="false" customHeight="false" outlineLevel="0" collapsed="false">
      <c r="A40" s="3" t="s">
        <v>324</v>
      </c>
      <c r="B40" s="1" t="s">
        <v>316</v>
      </c>
      <c r="C40" s="1" t="s">
        <v>316</v>
      </c>
      <c r="D40" s="8" t="s">
        <v>311</v>
      </c>
      <c r="E40" s="4" t="s">
        <v>325</v>
      </c>
      <c r="F40" s="4" t="s">
        <v>326</v>
      </c>
      <c r="G40" s="4" t="s">
        <v>327</v>
      </c>
    </row>
    <row r="41" customFormat="false" ht="15" hidden="false" customHeight="false" outlineLevel="0" collapsed="false">
      <c r="A41" s="3" t="s">
        <v>328</v>
      </c>
      <c r="B41" s="1" t="s">
        <v>316</v>
      </c>
      <c r="C41" s="1" t="s">
        <v>316</v>
      </c>
      <c r="D41" s="8" t="s">
        <v>311</v>
      </c>
      <c r="E41" s="4" t="s">
        <v>329</v>
      </c>
      <c r="F41" s="4" t="s">
        <v>320</v>
      </c>
      <c r="G41" s="4" t="s">
        <v>255</v>
      </c>
    </row>
    <row r="42" customFormat="false" ht="23.85" hidden="false" customHeight="false" outlineLevel="0" collapsed="false">
      <c r="A42" s="3" t="s">
        <v>330</v>
      </c>
      <c r="B42" s="1" t="s">
        <v>310</v>
      </c>
      <c r="C42" s="1" t="s">
        <v>310</v>
      </c>
      <c r="D42" s="8" t="s">
        <v>311</v>
      </c>
      <c r="E42" s="4" t="s">
        <v>331</v>
      </c>
      <c r="F42" s="4" t="s">
        <v>332</v>
      </c>
      <c r="G42" s="4" t="s">
        <v>333</v>
      </c>
    </row>
    <row r="43" customFormat="false" ht="15" hidden="false" customHeight="false" outlineLevel="0" collapsed="false">
      <c r="A43" s="3" t="s">
        <v>334</v>
      </c>
      <c r="B43" s="1" t="s">
        <v>316</v>
      </c>
      <c r="C43" s="1" t="s">
        <v>316</v>
      </c>
      <c r="D43" s="8" t="s">
        <v>311</v>
      </c>
      <c r="E43" s="4" t="s">
        <v>280</v>
      </c>
      <c r="F43" s="4" t="s">
        <v>286</v>
      </c>
      <c r="G43" s="4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336</v>
      </c>
      <c r="B1" s="5"/>
      <c r="C1" s="5"/>
      <c r="D1" s="5"/>
    </row>
    <row r="2" customFormat="false" ht="15" hidden="false" customHeight="false" outlineLevel="0" collapsed="false">
      <c r="A2" s="6" t="s">
        <v>337</v>
      </c>
      <c r="B2" s="6" t="s">
        <v>251</v>
      </c>
      <c r="C2" s="6" t="s">
        <v>338</v>
      </c>
      <c r="D2" s="6" t="s">
        <v>339</v>
      </c>
    </row>
    <row r="3" customFormat="false" ht="23.85" hidden="false" customHeight="false" outlineLevel="0" collapsed="false">
      <c r="A3" s="3" t="s">
        <v>277</v>
      </c>
      <c r="B3" s="1" t="s">
        <v>320</v>
      </c>
      <c r="C3" s="4" t="s">
        <v>340</v>
      </c>
      <c r="D3" s="4" t="s">
        <v>341</v>
      </c>
    </row>
    <row r="4" customFormat="false" ht="15" hidden="false" customHeight="false" outlineLevel="0" collapsed="false">
      <c r="A4" s="3" t="s">
        <v>253</v>
      </c>
      <c r="B4" s="1" t="s">
        <v>295</v>
      </c>
      <c r="C4" s="4" t="s">
        <v>291</v>
      </c>
      <c r="D4" s="4" t="s">
        <v>342</v>
      </c>
    </row>
    <row r="5" customFormat="false" ht="23.85" hidden="false" customHeight="false" outlineLevel="0" collapsed="false">
      <c r="A5" s="3" t="s">
        <v>253</v>
      </c>
      <c r="B5" s="1" t="s">
        <v>343</v>
      </c>
      <c r="C5" s="4" t="s">
        <v>344</v>
      </c>
      <c r="D5" s="4" t="s">
        <v>345</v>
      </c>
    </row>
    <row r="6" customFormat="false" ht="15" hidden="false" customHeight="false" outlineLevel="0" collapsed="false">
      <c r="A6" s="3" t="s">
        <v>346</v>
      </c>
      <c r="B6" s="1" t="s">
        <v>295</v>
      </c>
      <c r="C6" s="4" t="s">
        <v>347</v>
      </c>
      <c r="D6" s="4" t="s">
        <v>348</v>
      </c>
    </row>
    <row r="7" customFormat="false" ht="15" hidden="false" customHeight="false" outlineLevel="0" collapsed="false">
      <c r="A7" s="3" t="s">
        <v>349</v>
      </c>
      <c r="B7" s="1" t="s">
        <v>295</v>
      </c>
      <c r="C7" s="4" t="s">
        <v>350</v>
      </c>
      <c r="D7" s="4" t="s">
        <v>351</v>
      </c>
    </row>
    <row r="8" customFormat="false" ht="15" hidden="false" customHeight="false" outlineLevel="0" collapsed="false">
      <c r="A8" s="3" t="s">
        <v>329</v>
      </c>
      <c r="B8" s="1" t="s">
        <v>320</v>
      </c>
      <c r="C8" s="4" t="s">
        <v>139</v>
      </c>
      <c r="D8" s="4" t="s">
        <v>352</v>
      </c>
    </row>
    <row r="9" customFormat="false" ht="15" hidden="false" customHeight="false" outlineLevel="0" collapsed="false">
      <c r="A9" s="3" t="s">
        <v>353</v>
      </c>
      <c r="B9" s="1" t="s">
        <v>320</v>
      </c>
      <c r="C9" s="4" t="s">
        <v>324</v>
      </c>
      <c r="D9" s="4" t="s">
        <v>354</v>
      </c>
    </row>
    <row r="10" customFormat="false" ht="23.85" hidden="false" customHeight="false" outlineLevel="0" collapsed="false">
      <c r="A10" s="3" t="s">
        <v>289</v>
      </c>
      <c r="B10" s="1" t="s">
        <v>320</v>
      </c>
      <c r="C10" s="4" t="s">
        <v>355</v>
      </c>
      <c r="D10" s="4" t="s">
        <v>356</v>
      </c>
    </row>
    <row r="11" customFormat="false" ht="23.85" hidden="false" customHeight="false" outlineLevel="0" collapsed="false">
      <c r="A11" s="3" t="s">
        <v>298</v>
      </c>
      <c r="B11" s="1" t="s">
        <v>299</v>
      </c>
      <c r="C11" s="4" t="s">
        <v>357</v>
      </c>
      <c r="D11" s="4" t="s">
        <v>358</v>
      </c>
    </row>
    <row r="12" customFormat="false" ht="35.05" hidden="false" customHeight="false" outlineLevel="0" collapsed="false">
      <c r="A12" s="3" t="s">
        <v>359</v>
      </c>
      <c r="B12" s="1" t="s">
        <v>320</v>
      </c>
      <c r="C12" s="4" t="s">
        <v>360</v>
      </c>
      <c r="D12" s="4" t="s">
        <v>361</v>
      </c>
    </row>
    <row r="13" customFormat="false" ht="35.05" hidden="false" customHeight="false" outlineLevel="0" collapsed="false">
      <c r="A13" s="3" t="s">
        <v>270</v>
      </c>
      <c r="B13" s="1" t="s">
        <v>320</v>
      </c>
      <c r="C13" s="4" t="s">
        <v>362</v>
      </c>
      <c r="D13" s="4" t="s">
        <v>363</v>
      </c>
    </row>
    <row r="14" customFormat="false" ht="15" hidden="false" customHeight="false" outlineLevel="0" collapsed="false">
      <c r="A14" s="3" t="s">
        <v>364</v>
      </c>
      <c r="B14" s="1" t="s">
        <v>320</v>
      </c>
      <c r="C14" s="4" t="s">
        <v>365</v>
      </c>
      <c r="D14" s="4" t="s">
        <v>366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2026-09-07T13:46:15Z</dcterms:created>
  <dc:creator>openpyxl</dc:creator>
  <dc:description/>
  <dc:language>en-US</dc:language>
  <cp:lastModifiedBy/>
  <dcterms:modified xsi:type="dcterms:W3CDTF">2026-09-07T13:46:15Z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