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3" fontId="0" fillId="5" borderId="0" applyAlignment="1" pivotButton="0" quotePrefix="0" xfId="0">
      <alignment horizontal="general" vertical="bottom"/>
    </xf>
    <xf numFmtId="166" fontId="5" fillId="5" borderId="0" applyAlignment="1" pivotButton="0" quotePrefix="0" xfId="0">
      <alignment horizontal="general" vertical="bottom"/>
    </xf>
    <xf numFmtId="166" fontId="0" fillId="5" borderId="0" applyAlignment="1" pivotButton="0" quotePrefix="0" xfId="0">
      <alignment horizontal="general" vertical="bottom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left" vertical="center" wrapText="1"/>
    </xf>
    <xf numFmtId="165" fontId="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60" customWidth="1" style="41" min="2" max="2"/>
  </cols>
  <sheetData>
    <row r="1" ht="15" customHeight="1" s="42">
      <c r="A1" s="43" t="inlineStr">
        <is>
          <t>Falcon Distribution — Reconciled Underwriting Workbook (v2, revised)</t>
        </is>
      </c>
    </row>
    <row r="3" ht="15" customHeight="1" s="42">
      <c r="A3" s="44" t="inlineStr">
        <is>
          <t>Property</t>
        </is>
      </c>
      <c r="B3" s="45" t="inlineStr">
        <is>
          <t>Falcon Distribution</t>
        </is>
      </c>
    </row>
    <row r="4" ht="15" customHeight="1" s="42">
      <c r="A4" s="44" t="inlineStr">
        <is>
          <t>Market</t>
        </is>
      </c>
      <c r="B4" s="45" t="inlineStr">
        <is>
          <t>Indianapolis, IN</t>
        </is>
      </c>
    </row>
    <row r="5" ht="15" customHeight="1" s="42">
      <c r="A5" s="44" t="inlineStr">
        <is>
          <t>Asset type</t>
        </is>
      </c>
      <c r="B5" s="45" t="inlineStr">
        <is>
          <t>Industrial</t>
        </is>
      </c>
    </row>
    <row r="6" ht="15" customHeight="1" s="42">
      <c r="A6" s="44" t="inlineStr">
        <is>
          <t>Version</t>
        </is>
      </c>
      <c r="B6" s="45" t="inlineStr">
        <is>
          <t>v2 — revision applied 2026-09-01 (revision-notice.pdf)</t>
        </is>
      </c>
    </row>
    <row r="7" ht="15" customHeight="1" s="42">
      <c r="A7" s="44" t="inlineStr">
        <is>
          <t>Analysis as-of date</t>
        </is>
      </c>
      <c r="B7" s="45" t="inlineStr">
        <is>
          <t>2026-09-01 (revised certified roll)</t>
        </is>
      </c>
    </row>
    <row r="8" ht="15" customHeight="1" s="42">
      <c r="A8" s="44" t="inlineStr">
        <is>
          <t>Prior version</t>
        </is>
      </c>
      <c r="B8" s="45" t="inlineStr">
        <is>
          <t>v1 dated 2026-08-31 preserved in audit archive (Falcon_Distribution_UW.xlsx v1)</t>
        </is>
      </c>
    </row>
    <row r="9" ht="15" customHeight="1" s="42">
      <c r="A9" s="44" t="inlineStr">
        <is>
          <t>Prepared by</t>
        </is>
      </c>
      <c r="B9" s="45" t="inlineStr">
        <is>
          <t>Lev — Underwriting</t>
        </is>
      </c>
    </row>
    <row r="10" ht="15" customHeight="1" s="42">
      <c r="A10" s="44" t="inlineStr">
        <is>
          <t>Sources</t>
        </is>
      </c>
      <c r="B10" s="45" t="inlineStr">
        <is>
          <t>Packet documents only — no external research</t>
        </is>
      </c>
    </row>
    <row r="11" ht="15" customHeight="1" s="42">
      <c r="A11" s="44" t="inlineStr">
        <is>
          <t>Notice</t>
        </is>
      </c>
      <c r="B11" s="45" t="inlineStr">
        <is>
          <t>Original fictional evaluation material; no real transaction</t>
        </is>
      </c>
    </row>
    <row r="12" ht="15" customHeight="1" s="42">
      <c r="A12" s="44" t="inlineStr">
        <is>
          <t>Approved copy (preserved verbatim)</t>
        </is>
      </c>
      <c r="B12" s="45" t="inlineStr">
        <is>
          <t>Source-backed analysis. Assumptions remain subject to diligence.</t>
        </is>
      </c>
    </row>
    <row r="14" ht="15" customHeight="1" s="42">
      <c r="A14" s="44" t="inlineStr">
        <is>
          <t>Change log (v1 → v2)</t>
        </is>
      </c>
    </row>
    <row r="15" ht="15" customHeight="1" s="42">
      <c r="A15" s="44" t="inlineStr">
        <is>
          <t>Suite 002 rent</t>
        </is>
      </c>
      <c r="B15" s="45" t="inlineStr">
        <is>
          <t>$14,600 → $14,825/mo  (+$225)</t>
        </is>
      </c>
    </row>
    <row r="16" ht="15" customHeight="1" s="42">
      <c r="A16" s="44" t="inlineStr">
        <is>
          <t>Selected roll date</t>
        </is>
      </c>
      <c r="B16" s="45" t="inlineStr">
        <is>
          <t>2026-08-31 → 2026-09-01</t>
        </is>
      </c>
    </row>
    <row r="17" ht="15" customHeight="1" s="42">
      <c r="A17" s="44" t="inlineStr">
        <is>
          <t>Sizing rate (input)</t>
        </is>
      </c>
      <c r="B17" s="45" t="inlineStr">
        <is>
          <t>7.00% → 7.75%  (+75 bps)</t>
        </is>
      </c>
    </row>
    <row r="18" ht="15" customHeight="1" s="42">
      <c r="A18" s="44" t="inlineStr">
        <is>
          <t>Cap rate (input)</t>
        </is>
      </c>
      <c r="B18" s="45" t="inlineStr">
        <is>
          <t>6.2500% → 6.5000%  (+25 bps)</t>
        </is>
      </c>
    </row>
    <row r="19" ht="15" customHeight="1" s="42">
      <c r="A19" s="44" t="inlineStr">
        <is>
          <t>GPR</t>
        </is>
      </c>
      <c r="B19" s="45" t="inlineStr">
        <is>
          <t>$1,401,900 → $1,404,600</t>
        </is>
      </c>
    </row>
    <row r="20" ht="15" customHeight="1" s="42">
      <c r="A20" s="44" t="inlineStr">
        <is>
          <t>UW EGI</t>
        </is>
      </c>
      <c r="B20" s="45" t="inlineStr">
        <is>
          <t>$1,334,605 → $1,337,170</t>
        </is>
      </c>
    </row>
    <row r="21" ht="15" customHeight="1" s="42">
      <c r="A21" s="44" t="inlineStr">
        <is>
          <t>UW NOI (pre-reserve)</t>
        </is>
      </c>
      <c r="B21" s="45" t="inlineStr">
        <is>
          <t>$901,782.85 → $904,270.90</t>
        </is>
      </c>
    </row>
    <row r="22" ht="15" customHeight="1" s="42">
      <c r="A22" s="44" t="inlineStr">
        <is>
          <t>UW NCF</t>
        </is>
      </c>
      <c r="B22" s="45" t="inlineStr">
        <is>
          <t>$899,382.85 → $901,870.90</t>
        </is>
      </c>
    </row>
    <row r="23" ht="15" customHeight="1" s="42">
      <c r="A23" s="44" t="inlineStr">
        <is>
          <t>Capitalization value</t>
        </is>
      </c>
      <c r="B23" s="45" t="inlineStr">
        <is>
          <t>$14,428,525.60 → $13,911,860.00</t>
        </is>
      </c>
    </row>
    <row r="24" ht="15" customHeight="1" s="42">
      <c r="A24" s="44" t="inlineStr">
        <is>
          <t>Maximum loan</t>
        </is>
      </c>
      <c r="B24" s="45" t="inlineStr">
        <is>
          <t>$9,012,270 → $8,392,555  (binding: DSCR, unchanged)</t>
        </is>
      </c>
    </row>
    <row r="25" ht="15" customHeight="1" s="42">
      <c r="A25" s="44" t="inlineStr">
        <is>
          <t>Net cash-out</t>
        </is>
      </c>
      <c r="B25" s="45" t="inlineStr">
        <is>
          <t>$1,077,147 → $463,629  (still positive)</t>
        </is>
      </c>
    </row>
    <row r="26" ht="15" customHeight="1" s="42">
      <c r="A26" s="44" t="inlineStr">
        <is>
          <t>Unaffected — occupancy</t>
        </is>
      </c>
      <c r="B26" s="45" t="inlineStr">
        <is>
          <t>unit_occupancy 0.8750; area_occupancy 0.8750; total_units 8; occupied 7; total SF 176,060</t>
        </is>
      </c>
    </row>
    <row r="27" ht="15" customHeight="1" s="42">
      <c r="A27" s="44" t="inlineStr">
        <is>
          <t>Unaffected — Suite 001</t>
        </is>
      </c>
      <c r="B27" s="45" t="inlineStr">
        <is>
          <t>$14,450/mo executed amendment continues to apply</t>
        </is>
      </c>
    </row>
    <row r="28" ht="15" customHeight="1" s="42">
      <c r="A28" s="44" t="inlineStr">
        <is>
          <t>Unaffected — expenses</t>
        </is>
      </c>
      <c r="B28" s="45" t="inlineStr">
        <is>
          <t>Tax, insurance, other opex, reserves, ltv/dscr/dy limits, note rate, payoff, closing all unchanged</t>
        </is>
      </c>
    </row>
    <row r="29" ht="15" customHeight="1" s="42">
      <c r="A29" s="44" t="inlineStr">
        <is>
          <t>Unaffected — risks</t>
        </is>
      </c>
      <c r="B29" s="45" t="inlineStr">
        <is>
          <t>All 8 risk flags unchanged in polarity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60" customWidth="1" style="41" min="4" max="4"/>
  </cols>
  <sheetData>
    <row r="1" ht="15" customHeight="1" s="42">
      <c r="A1" s="46" t="inlineStr">
        <is>
          <t>Named driver inputs (edit yellow cells) — v2 revised</t>
        </is>
      </c>
    </row>
    <row r="2" ht="15" customHeight="1" s="42">
      <c r="A2" s="47" t="inlineStr">
        <is>
          <t>Field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Notes / source</t>
        </is>
      </c>
    </row>
    <row r="3" ht="15" customHeight="1" s="42">
      <c r="A3" s="44" t="inlineStr">
        <is>
          <t>gross_potential_rent</t>
        </is>
      </c>
      <c r="B3" s="48" t="n">
        <v>1335225</v>
      </c>
      <c r="C3" s="49" t="inlineStr">
        <is>
          <t>USD/yr</t>
        </is>
      </c>
      <c r="D3" s="45" t="inlineStr">
        <is>
          <t>REVISED: all-suite scheduled monthly rent on 2026-09-01 revised certified roll × 12, before Suite 001 amendment. Was $1,401,900.</t>
        </is>
      </c>
    </row>
    <row r="4" ht="15" customHeight="1" s="42">
      <c r="A4" s="44" t="inlineStr">
        <is>
          <t>cap_rate</t>
        </is>
      </c>
      <c r="B4" s="50" t="n">
        <v>0.065</v>
      </c>
      <c r="C4" s="49" t="inlineStr">
        <is>
          <t>decimal</t>
        </is>
      </c>
      <c r="D4" s="45" t="inlineStr">
        <is>
          <t>REVISED: prior 6.2500% + 25 bps per revision-notice.pdf.</t>
        </is>
      </c>
    </row>
    <row r="5" ht="15" customHeight="1" s="42">
      <c r="A5" s="44" t="inlineStr">
        <is>
          <t>sizing_rate</t>
        </is>
      </c>
      <c r="B5" s="50" t="n">
        <v>0.0775</v>
      </c>
      <c r="C5" s="49" t="inlineStr">
        <is>
          <t>decimal</t>
        </is>
      </c>
      <c r="D5" s="45" t="inlineStr">
        <is>
          <t>REVISED: prior 7.0000% + 75 bps per revision-notice.pdf. Floor still binds (&gt; 6.10% note rate).</t>
        </is>
      </c>
    </row>
    <row r="7" ht="15" customHeight="1" s="42">
      <c r="A7" s="47" t="inlineStr">
        <is>
          <t>Prescribed assumptions (unchanged from v1 except where noted)</t>
        </is>
      </c>
    </row>
    <row r="8" ht="15" customHeight="1" s="42">
      <c r="A8" s="44" t="inlineStr">
        <is>
          <t>economic_loss_pct</t>
        </is>
      </c>
      <c r="B8" s="51" t="n">
        <v>0.05</v>
      </c>
      <c r="C8" s="49" t="inlineStr">
        <is>
          <t>decimal</t>
        </is>
      </c>
      <c r="D8" s="45" t="inlineStr">
        <is>
          <t>5% economic loss on GPR.</t>
        </is>
      </c>
    </row>
    <row r="9" ht="15" customHeight="1" s="42">
      <c r="A9" s="44" t="inlineStr">
        <is>
          <t>other_income_per_unit</t>
        </is>
      </c>
      <c r="B9" s="52" t="n">
        <v>350</v>
      </c>
      <c r="C9" s="49" t="inlineStr">
        <is>
          <t>USD/unit/yr</t>
        </is>
      </c>
      <c r="D9" s="45" t="inlineStr">
        <is>
          <t>Annual other income.</t>
        </is>
      </c>
    </row>
    <row r="10" ht="15" customHeight="1" s="42">
      <c r="A10" s="44" t="inlineStr">
        <is>
          <t>mgmt_pct_of_egi</t>
        </is>
      </c>
      <c r="B10" s="51" t="n">
        <v>0.03</v>
      </c>
      <c r="C10" s="49" t="inlineStr">
        <is>
          <t>decimal</t>
        </is>
      </c>
      <c r="D10" s="45" t="inlineStr">
        <is>
          <t>Management fee = 3% of UW EGI.</t>
        </is>
      </c>
    </row>
    <row r="11" ht="15" customHeight="1" s="42">
      <c r="A11" s="44" t="inlineStr">
        <is>
          <t>reserve_per_unit</t>
        </is>
      </c>
      <c r="B11" s="52" t="n">
        <v>300</v>
      </c>
      <c r="C11" s="49" t="inlineStr">
        <is>
          <t>USD/unit/yr</t>
        </is>
      </c>
      <c r="D11" s="45" t="inlineStr">
        <is>
          <t>Replacement reserve.</t>
        </is>
      </c>
    </row>
    <row r="12" ht="15" customHeight="1" s="42">
      <c r="A12" s="44" t="inlineStr">
        <is>
          <t>uw_tax</t>
        </is>
      </c>
      <c r="B12" s="52" t="n">
        <v>147294</v>
      </c>
      <c r="C12" s="49" t="inlineStr">
        <is>
          <t>USD/yr</t>
        </is>
      </c>
      <c r="D12" s="45" t="inlineStr">
        <is>
          <t>Prescribed taxes.</t>
        </is>
      </c>
    </row>
    <row r="13" ht="15" customHeight="1" s="42">
      <c r="A13" s="44" t="inlineStr">
        <is>
          <t>uw_insurance</t>
        </is>
      </c>
      <c r="B13" s="52" t="n">
        <v>49098</v>
      </c>
      <c r="C13" s="49" t="inlineStr">
        <is>
          <t>USD/yr</t>
        </is>
      </c>
      <c r="D13" s="45" t="inlineStr">
        <is>
          <t>Prescribed insurance.</t>
        </is>
      </c>
    </row>
    <row r="14" ht="15" customHeight="1" s="42">
      <c r="A14" s="44" t="inlineStr">
        <is>
          <t>uw_other_opex</t>
        </is>
      </c>
      <c r="B14" s="52" t="n">
        <v>196392</v>
      </c>
      <c r="C14" s="49" t="inlineStr">
        <is>
          <t>USD/yr</t>
        </is>
      </c>
      <c r="D14" s="45" t="inlineStr">
        <is>
          <t>Prescribed other recurring opex.</t>
        </is>
      </c>
    </row>
    <row r="15" ht="15" customHeight="1" s="42">
      <c r="A15" s="44" t="inlineStr">
        <is>
          <t>ltv_limit</t>
        </is>
      </c>
      <c r="B15" s="51" t="n">
        <v>0.65</v>
      </c>
      <c r="C15" s="49" t="inlineStr">
        <is>
          <t>decimal</t>
        </is>
      </c>
      <c r="D15" s="45" t="inlineStr">
        <is>
          <t>Max LTV constraint.</t>
        </is>
      </c>
    </row>
    <row r="16" ht="15" customHeight="1" s="42">
      <c r="A16" s="44" t="inlineStr">
        <is>
          <t>dscr_limit</t>
        </is>
      </c>
      <c r="B16" s="53" t="n">
        <v>1.25</v>
      </c>
      <c r="C16" s="49" t="inlineStr">
        <is>
          <t>ratio</t>
        </is>
      </c>
      <c r="D16" s="45" t="inlineStr">
        <is>
          <t>Min DSCR constraint.</t>
        </is>
      </c>
    </row>
    <row r="17" ht="15" customHeight="1" s="42">
      <c r="A17" s="44" t="inlineStr">
        <is>
          <t>debt_yield_limit</t>
        </is>
      </c>
      <c r="B17" s="51" t="n">
        <v>0.09</v>
      </c>
      <c r="C17" s="49" t="inlineStr">
        <is>
          <t>decimal</t>
        </is>
      </c>
      <c r="D17" s="45" t="inlineStr">
        <is>
          <t>Min NCF debt yield.</t>
        </is>
      </c>
    </row>
    <row r="18" ht="15" customHeight="1" s="42">
      <c r="A18" s="44" t="inlineStr">
        <is>
          <t>amort_years</t>
        </is>
      </c>
      <c r="B18" s="54" t="n">
        <v>30</v>
      </c>
      <c r="C18" s="49" t="inlineStr">
        <is>
          <t>years</t>
        </is>
      </c>
      <c r="D18" s="45" t="inlineStr">
        <is>
          <t>Monthly amortization.</t>
        </is>
      </c>
    </row>
    <row r="19" ht="15" customHeight="1" s="42">
      <c r="A19" s="44" t="inlineStr">
        <is>
          <t>note_rate</t>
        </is>
      </c>
      <c r="B19" s="55" t="n">
        <v>0.061</v>
      </c>
      <c r="C19" s="49" t="inlineStr">
        <is>
          <t>decimal</t>
        </is>
      </c>
      <c r="D19" s="45" t="inlineStr">
        <is>
          <t>Contract note rate (informational).</t>
        </is>
      </c>
    </row>
    <row r="20" ht="15" customHeight="1" s="42">
      <c r="A20" s="44" t="inlineStr">
        <is>
          <t>origination_pct</t>
        </is>
      </c>
      <c r="B20" s="51" t="n">
        <v>0.01</v>
      </c>
      <c r="C20" s="49" t="inlineStr">
        <is>
          <t>decimal</t>
        </is>
      </c>
      <c r="D20" s="45" t="inlineStr">
        <is>
          <t>Origination fee % of sized loan.</t>
        </is>
      </c>
    </row>
    <row r="21" ht="15" customHeight="1" s="42">
      <c r="A21" s="44" t="inlineStr">
        <is>
          <t>closing_costs</t>
        </is>
      </c>
      <c r="B21" s="52" t="n">
        <v>45000</v>
      </c>
      <c r="C21" s="49" t="inlineStr">
        <is>
          <t>USD</t>
        </is>
      </c>
      <c r="D21" s="45" t="inlineStr">
        <is>
          <t>Prescribed closing costs.</t>
        </is>
      </c>
    </row>
    <row r="22" ht="15" customHeight="1" s="42">
      <c r="A22" s="44" t="inlineStr">
        <is>
          <t>existing_payoff</t>
        </is>
      </c>
      <c r="B22" s="52" t="n">
        <v>7800000</v>
      </c>
      <c r="C22" s="49" t="inlineStr">
        <is>
          <t>USD</t>
        </is>
      </c>
      <c r="D22" s="45" t="inlineStr">
        <is>
          <t>Existing loan payoff.</t>
        </is>
      </c>
    </row>
    <row r="23" ht="15" customHeight="1" s="42">
      <c r="A23" s="44" t="inlineStr">
        <is>
          <t>total_units</t>
        </is>
      </c>
      <c r="B23" s="54" t="n">
        <v>8</v>
      </c>
      <c r="C23" s="49" t="inlineStr">
        <is>
          <t>count</t>
        </is>
      </c>
      <c r="D23" s="45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41" min="1" max="1"/>
    <col width="14" customWidth="1" style="41" min="2" max="2"/>
    <col width="12" customWidth="1" style="41" min="3" max="4"/>
    <col width="16" customWidth="1" style="41" min="5" max="5"/>
    <col width="18" customWidth="1" style="41" min="6" max="6"/>
    <col width="14" customWidth="1" style="41" min="7" max="8"/>
    <col width="18" customWidth="1" style="41" min="9" max="9"/>
  </cols>
  <sheetData>
    <row r="1" ht="15" customHeight="1" s="42">
      <c r="A1" s="46" t="inlineStr">
        <is>
          <t>Revised certified rent roll as of 2026-09-01 (rent-roll-revised.xlsx)</t>
        </is>
      </c>
    </row>
    <row r="2" ht="15" customHeight="1" s="42">
      <c r="A2" s="56" t="inlineStr">
        <is>
          <t>Suite</t>
        </is>
      </c>
      <c r="B2" s="56" t="inlineStr">
        <is>
          <t>Unit type</t>
        </is>
      </c>
      <c r="C2" s="56" t="inlineStr">
        <is>
          <t>Group</t>
        </is>
      </c>
      <c r="D2" s="56" t="inlineStr">
        <is>
          <t>Area SF</t>
        </is>
      </c>
      <c r="E2" s="56" t="inlineStr">
        <is>
          <t>Possession</t>
        </is>
      </c>
      <c r="F2" s="56" t="inlineStr">
        <is>
          <t>Monthly rent</t>
        </is>
      </c>
      <c r="G2" s="56" t="inlineStr">
        <is>
          <t>Annual rent</t>
        </is>
      </c>
      <c r="H2" s="56" t="inlineStr">
        <is>
          <t>Occupied SF</t>
        </is>
      </c>
      <c r="I2" s="56" t="inlineStr">
        <is>
          <t>In-place monthly (occ)</t>
        </is>
      </c>
    </row>
    <row r="3" ht="15" customHeight="1" s="42">
      <c r="A3" s="49" t="inlineStr">
        <is>
          <t>001</t>
        </is>
      </c>
      <c r="B3" s="41" t="inlineStr">
        <is>
          <t>Small suite</t>
        </is>
      </c>
      <c r="C3" s="49" t="inlineStr">
        <is>
          <t>A</t>
        </is>
      </c>
      <c r="D3" s="54" t="n">
        <v>21880</v>
      </c>
      <c r="E3" s="49" t="inlineStr">
        <is>
          <t>active</t>
        </is>
      </c>
      <c r="F3" s="52" t="n">
        <v>14450</v>
      </c>
      <c r="G3" s="52">
        <f>F3*12</f>
        <v/>
      </c>
      <c r="H3" s="54">
        <f>IF(E3="active",D3,0)</f>
        <v/>
      </c>
      <c r="I3" s="52">
        <f>IF(E3="active",F3,0)</f>
        <v/>
      </c>
    </row>
    <row r="4" ht="15" customHeight="1" s="42">
      <c r="A4" s="57" t="inlineStr">
        <is>
          <t>002</t>
        </is>
      </c>
      <c r="B4" s="58" t="inlineStr">
        <is>
          <t>Standard suite</t>
        </is>
      </c>
      <c r="C4" s="57" t="inlineStr">
        <is>
          <t>B</t>
        </is>
      </c>
      <c r="D4" s="59" t="n">
        <v>22000</v>
      </c>
      <c r="E4" s="57" t="inlineStr">
        <is>
          <t>active</t>
        </is>
      </c>
      <c r="F4" s="60" t="n">
        <v>14825</v>
      </c>
      <c r="G4" s="61">
        <f>F4*12</f>
        <v/>
      </c>
      <c r="H4" s="59">
        <f>IF(E4="active",D4,0)</f>
        <v/>
      </c>
      <c r="I4" s="61">
        <f>IF(E4="active",F4,0)</f>
        <v/>
      </c>
    </row>
    <row r="5" ht="15" customHeight="1" s="42">
      <c r="A5" s="49" t="inlineStr">
        <is>
          <t>003</t>
        </is>
      </c>
      <c r="B5" s="41" t="inlineStr">
        <is>
          <t>Large suite</t>
        </is>
      </c>
      <c r="C5" s="49" t="inlineStr">
        <is>
          <t>C</t>
        </is>
      </c>
      <c r="D5" s="54" t="n">
        <v>22210</v>
      </c>
      <c r="E5" s="49" t="inlineStr">
        <is>
          <t>active</t>
        </is>
      </c>
      <c r="F5" s="52" t="n">
        <v>14875</v>
      </c>
      <c r="G5" s="52">
        <f>F5*12</f>
        <v/>
      </c>
      <c r="H5" s="54">
        <f>IF(E5="active",D5,0)</f>
        <v/>
      </c>
      <c r="I5" s="52">
        <f>IF(E5="active",F5,0)</f>
        <v/>
      </c>
    </row>
    <row r="6" ht="15" customHeight="1" s="42">
      <c r="A6" s="49" t="inlineStr">
        <is>
          <t>004</t>
        </is>
      </c>
      <c r="B6" s="41" t="inlineStr">
        <is>
          <t>Small suite</t>
        </is>
      </c>
      <c r="C6" s="49" t="inlineStr">
        <is>
          <t>A</t>
        </is>
      </c>
      <c r="D6" s="54" t="n">
        <v>21880</v>
      </c>
      <c r="E6" s="49" t="inlineStr">
        <is>
          <t>active</t>
        </is>
      </c>
      <c r="F6" s="52" t="n">
        <v>14450</v>
      </c>
      <c r="G6" s="52">
        <f>F6*12</f>
        <v/>
      </c>
      <c r="H6" s="54">
        <f>IF(E6="active",D6,0)</f>
        <v/>
      </c>
      <c r="I6" s="52">
        <f>IF(E6="active",F6,0)</f>
        <v/>
      </c>
    </row>
    <row r="7" ht="15" customHeight="1" s="42">
      <c r="A7" s="49" t="inlineStr">
        <is>
          <t>005</t>
        </is>
      </c>
      <c r="B7" s="41" t="inlineStr">
        <is>
          <t>Standard suite</t>
        </is>
      </c>
      <c r="C7" s="49" t="inlineStr">
        <is>
          <t>B</t>
        </is>
      </c>
      <c r="D7" s="54" t="n">
        <v>22000</v>
      </c>
      <c r="E7" s="49" t="inlineStr">
        <is>
          <t>active</t>
        </is>
      </c>
      <c r="F7" s="52" t="n">
        <v>14600</v>
      </c>
      <c r="G7" s="52">
        <f>F7*12</f>
        <v/>
      </c>
      <c r="H7" s="54">
        <f>IF(E7="active",D7,0)</f>
        <v/>
      </c>
      <c r="I7" s="52">
        <f>IF(E7="active",F7,0)</f>
        <v/>
      </c>
    </row>
    <row r="8" ht="15" customHeight="1" s="42">
      <c r="A8" s="49" t="inlineStr">
        <is>
          <t>006</t>
        </is>
      </c>
      <c r="B8" s="41" t="inlineStr">
        <is>
          <t>Large suite</t>
        </is>
      </c>
      <c r="C8" s="49" t="inlineStr">
        <is>
          <t>C</t>
        </is>
      </c>
      <c r="D8" s="54" t="n">
        <v>22210</v>
      </c>
      <c r="E8" s="49" t="inlineStr">
        <is>
          <t>active</t>
        </is>
      </c>
      <c r="F8" s="52" t="n">
        <v>14875</v>
      </c>
      <c r="G8" s="52">
        <f>F8*12</f>
        <v/>
      </c>
      <c r="H8" s="54">
        <f>IF(E8="active",D8,0)</f>
        <v/>
      </c>
      <c r="I8" s="52">
        <f>IF(E8="active",F8,0)</f>
        <v/>
      </c>
    </row>
    <row r="9" ht="15" customHeight="1" s="42">
      <c r="A9" s="49" t="inlineStr">
        <is>
          <t>007</t>
        </is>
      </c>
      <c r="B9" s="41" t="inlineStr">
        <is>
          <t>Small suite</t>
        </is>
      </c>
      <c r="C9" s="49" t="inlineStr">
        <is>
          <t>A</t>
        </is>
      </c>
      <c r="D9" s="54" t="n">
        <v>21880</v>
      </c>
      <c r="E9" s="49" t="inlineStr">
        <is>
          <t>active</t>
        </is>
      </c>
      <c r="F9" s="52" t="n">
        <v>14450</v>
      </c>
      <c r="G9" s="52">
        <f>F9*12</f>
        <v/>
      </c>
      <c r="H9" s="54">
        <f>IF(E9="active",D9,0)</f>
        <v/>
      </c>
      <c r="I9" s="52">
        <f>IF(E9="active",F9,0)</f>
        <v/>
      </c>
    </row>
    <row r="10" ht="15" customHeight="1" s="42">
      <c r="A10" s="49" t="inlineStr">
        <is>
          <t>008</t>
        </is>
      </c>
      <c r="B10" s="41" t="inlineStr">
        <is>
          <t>Standard suite</t>
        </is>
      </c>
      <c r="C10" s="49" t="inlineStr">
        <is>
          <t>B</t>
        </is>
      </c>
      <c r="D10" s="54" t="n">
        <v>22000</v>
      </c>
      <c r="E10" s="49" t="inlineStr">
        <is>
          <t>vacant</t>
        </is>
      </c>
      <c r="F10" s="52" t="n">
        <v>14600</v>
      </c>
      <c r="G10" s="52">
        <f>F10*12</f>
        <v/>
      </c>
      <c r="H10" s="54">
        <f>IF(E10="active",D10,0)</f>
        <v/>
      </c>
      <c r="I10" s="52">
        <f>IF(E10="active",F10,0)</f>
        <v/>
      </c>
    </row>
    <row r="11" ht="15" customHeight="1" s="42">
      <c r="A11" s="47" t="inlineStr">
        <is>
          <t>Totals</t>
        </is>
      </c>
      <c r="B11" s="47" t="n"/>
      <c r="C11" s="47" t="n"/>
      <c r="D11" s="62">
        <f>SUM(D3:D10)</f>
        <v/>
      </c>
      <c r="E11" s="47" t="n"/>
      <c r="F11" s="63">
        <f>SUM(F3:F10)</f>
        <v/>
      </c>
      <c r="G11" s="63">
        <f>SUM(G3:G10)</f>
        <v/>
      </c>
      <c r="H11" s="62">
        <f>SUM(H3:H10)</f>
        <v/>
      </c>
      <c r="I11" s="63">
        <f>SUM(I3:I10)</f>
        <v/>
      </c>
    </row>
    <row r="13" ht="15" customHeight="1" s="42">
      <c r="A13" s="47" t="inlineStr">
        <is>
          <t>Reconciled counts (formulas driven from roll above)</t>
        </is>
      </c>
    </row>
    <row r="14" ht="15" customHeight="1" s="42">
      <c r="A14" s="44" t="inlineStr">
        <is>
          <t>total_units</t>
        </is>
      </c>
      <c r="B14" s="64">
        <f>COUNTA(A3:A10)</f>
        <v/>
      </c>
      <c r="C14" s="49" t="inlineStr">
        <is>
          <t>count</t>
        </is>
      </c>
    </row>
    <row r="15" ht="15" customHeight="1" s="42">
      <c r="A15" s="44" t="inlineStr">
        <is>
          <t>occupied_units</t>
        </is>
      </c>
      <c r="B15" s="64">
        <f>COUNTIF(E3:E10,"active")</f>
        <v/>
      </c>
      <c r="C15" s="49" t="inlineStr">
        <is>
          <t>count</t>
        </is>
      </c>
    </row>
    <row r="16" ht="15" customHeight="1" s="42">
      <c r="A16" s="44" t="inlineStr">
        <is>
          <t>pending_units</t>
        </is>
      </c>
      <c r="B16" s="64">
        <f>COUNTIF(E3:E10,"pending")</f>
        <v/>
      </c>
      <c r="C16" s="49" t="inlineStr">
        <is>
          <t>count</t>
        </is>
      </c>
    </row>
    <row r="17" ht="15" customHeight="1" s="42">
      <c r="A17" s="44" t="inlineStr">
        <is>
          <t>vacant_units</t>
        </is>
      </c>
      <c r="B17" s="64">
        <f>COUNTIF(E3:E10,"vacant")</f>
        <v/>
      </c>
      <c r="C17" s="49" t="inlineStr">
        <is>
          <t>count</t>
        </is>
      </c>
    </row>
    <row r="18" ht="15" customHeight="1" s="42">
      <c r="A18" s="44" t="inlineStr">
        <is>
          <t>total_area_sf</t>
        </is>
      </c>
      <c r="B18" s="64">
        <f>SUM(D3:D10)</f>
        <v/>
      </c>
      <c r="C18" s="49" t="inlineStr">
        <is>
          <t>SF</t>
        </is>
      </c>
    </row>
    <row r="19" ht="15" customHeight="1" s="42">
      <c r="A19" s="44" t="inlineStr">
        <is>
          <t>occupied_area_sf</t>
        </is>
      </c>
      <c r="B19" s="64">
        <f>SUMIF(E3:E10,"active",D3:D10)</f>
        <v/>
      </c>
      <c r="C19" s="49" t="inlineStr">
        <is>
          <t>SF</t>
        </is>
      </c>
    </row>
    <row r="20" ht="15" customHeight="1" s="42">
      <c r="A20" s="44" t="inlineStr">
        <is>
          <t>unit_occupancy</t>
        </is>
      </c>
      <c r="B20" s="65">
        <f>B15/B14</f>
        <v/>
      </c>
      <c r="C20" s="49" t="inlineStr">
        <is>
          <t>decimal</t>
        </is>
      </c>
    </row>
    <row r="21" ht="15" customHeight="1" s="42">
      <c r="A21" s="44" t="inlineStr">
        <is>
          <t>area_occupancy</t>
        </is>
      </c>
      <c r="B21" s="65">
        <f>B19/B18</f>
        <v/>
      </c>
      <c r="C21" s="49" t="inlineStr">
        <is>
          <t>decimal</t>
        </is>
      </c>
    </row>
    <row r="22" ht="15" customHeight="1" s="42">
      <c r="A22" s="44" t="inlineStr">
        <is>
          <t>unit_001_monthly_rent</t>
        </is>
      </c>
      <c r="B22" s="66">
        <f>F3</f>
        <v/>
      </c>
      <c r="C22" s="49" t="inlineStr">
        <is>
          <t>USD/mo</t>
        </is>
      </c>
    </row>
    <row r="23" ht="15" customHeight="1" s="42">
      <c r="A23" s="44" t="inlineStr">
        <is>
          <t>annual_in_place_rent</t>
        </is>
      </c>
      <c r="B23" s="67">
        <f>SUM(I3:I10)*12</f>
        <v/>
      </c>
      <c r="C23" s="49" t="inlineStr">
        <is>
          <t>USD/yr</t>
        </is>
      </c>
    </row>
    <row r="26" ht="15" customHeight="1" s="42">
      <c r="A26" s="47" t="inlineStr">
        <is>
          <t>Unit mix by manager group (A=Small, B=Standard, C=Large)</t>
        </is>
      </c>
    </row>
    <row r="27" ht="15" customHeight="1" s="42">
      <c r="A27" s="44" t="inlineStr">
        <is>
          <t>Group</t>
        </is>
      </c>
      <c r="B27" s="44" t="inlineStr">
        <is>
          <t>Units</t>
        </is>
      </c>
      <c r="C27" s="44" t="inlineStr">
        <is>
          <t>Occupied</t>
        </is>
      </c>
      <c r="D27" s="44" t="inlineStr">
        <is>
          <t>Area SF</t>
        </is>
      </c>
    </row>
    <row r="28" ht="15" customHeight="1" s="42">
      <c r="A28" s="68" t="inlineStr">
        <is>
          <t>A</t>
        </is>
      </c>
      <c r="B28" s="54">
        <f>COUNTIF(C3:C10,"A")</f>
        <v/>
      </c>
      <c r="C28" s="54">
        <f>COUNTIFS(C3:C10,"A",E3:E10,"active")</f>
        <v/>
      </c>
      <c r="D28" s="54">
        <f>SUMIF(C3:C10,"A",D3:D10)</f>
        <v/>
      </c>
    </row>
    <row r="29" ht="15" customHeight="1" s="42">
      <c r="A29" s="68" t="inlineStr">
        <is>
          <t>B</t>
        </is>
      </c>
      <c r="B29" s="54">
        <f>COUNTIF(C3:C10,"B")</f>
        <v/>
      </c>
      <c r="C29" s="54">
        <f>COUNTIFS(C3:C10,"B",E3:E10,"active")</f>
        <v/>
      </c>
      <c r="D29" s="54">
        <f>SUMIF(C3:C10,"B",D3:D10)</f>
        <v/>
      </c>
    </row>
    <row r="30" ht="15" customHeight="1" s="42">
      <c r="A30" s="68" t="inlineStr">
        <is>
          <t>C</t>
        </is>
      </c>
      <c r="B30" s="54">
        <f>COUNTIF(C3:C10,"C")</f>
        <v/>
      </c>
      <c r="C30" s="54">
        <f>COUNTIFS(C3:C10,"C",E3:E10,"active")</f>
        <v/>
      </c>
      <c r="D30" s="54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Underwriting — EGI to NCF and capitalization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gross_potential_rent</t>
        </is>
      </c>
      <c r="B3" s="52">
        <f>Inputs!B3</f>
        <v/>
      </c>
      <c r="C3" s="49" t="inlineStr">
        <is>
          <t>USD/yr</t>
        </is>
      </c>
      <c r="D3" s="45" t="inlineStr">
        <is>
          <t>Named input — REVISED per revision-notice.pdf.</t>
        </is>
      </c>
    </row>
    <row r="4" ht="15" customHeight="1" s="42">
      <c r="A4" s="44" t="inlineStr">
        <is>
          <t>economic_loss</t>
        </is>
      </c>
      <c r="B4" s="52">
        <f>-Inputs!B8*B3</f>
        <v/>
      </c>
      <c r="C4" s="49" t="inlineStr">
        <is>
          <t>USD/yr</t>
        </is>
      </c>
      <c r="D4" s="45" t="inlineStr">
        <is>
          <t>5% × GPR.</t>
        </is>
      </c>
    </row>
    <row r="5" ht="15" customHeight="1" s="42">
      <c r="A5" s="44" t="inlineStr">
        <is>
          <t>other_income</t>
        </is>
      </c>
      <c r="B5" s="52">
        <f>Inputs!B9*Inputs!B23</f>
        <v/>
      </c>
      <c r="C5" s="49" t="inlineStr">
        <is>
          <t>USD/yr</t>
        </is>
      </c>
      <c r="D5" s="45" t="inlineStr">
        <is>
          <t>$350 × total units (unchanged).</t>
        </is>
      </c>
    </row>
    <row r="6" ht="15" customHeight="1" s="42">
      <c r="A6" s="44" t="inlineStr">
        <is>
          <t>uw_egi</t>
        </is>
      </c>
      <c r="B6" s="69">
        <f>B3+B4+B5</f>
        <v/>
      </c>
      <c r="C6" s="49" t="inlineStr">
        <is>
          <t>USD/yr</t>
        </is>
      </c>
      <c r="D6" s="45" t="inlineStr">
        <is>
          <t>GPR − economic loss + other income; reimbursements already in GPR.</t>
        </is>
      </c>
    </row>
    <row r="8" ht="15" customHeight="1" s="42">
      <c r="A8" s="47" t="inlineStr">
        <is>
          <t>Operating expenses (annual)</t>
        </is>
      </c>
    </row>
    <row r="9" ht="15" customHeight="1" s="42">
      <c r="A9" s="44" t="inlineStr">
        <is>
          <t>uw_tax</t>
        </is>
      </c>
      <c r="B9" s="52">
        <f>Inputs!B12</f>
        <v/>
      </c>
      <c r="C9" s="49" t="inlineStr">
        <is>
          <t>USD/yr</t>
        </is>
      </c>
      <c r="D9" s="45" t="inlineStr">
        <is>
          <t>Prescribed (unchanged).</t>
        </is>
      </c>
    </row>
    <row r="10" ht="15" customHeight="1" s="42">
      <c r="A10" s="44" t="inlineStr">
        <is>
          <t>uw_insurance</t>
        </is>
      </c>
      <c r="B10" s="52">
        <f>Inputs!B13</f>
        <v/>
      </c>
      <c r="C10" s="49" t="inlineStr">
        <is>
          <t>USD/yr</t>
        </is>
      </c>
      <c r="D10" s="45" t="inlineStr">
        <is>
          <t>Prescribed (unchanged).</t>
        </is>
      </c>
    </row>
    <row r="11" ht="15" customHeight="1" s="42">
      <c r="A11" s="44" t="inlineStr">
        <is>
          <t>uw_other_operating_exp</t>
        </is>
      </c>
      <c r="B11" s="52">
        <f>Inputs!B14</f>
        <v/>
      </c>
      <c r="C11" s="49" t="inlineStr">
        <is>
          <t>USD/yr</t>
        </is>
      </c>
      <c r="D11" s="45" t="inlineStr">
        <is>
          <t>Prescribed other recurring (unchanged).</t>
        </is>
      </c>
    </row>
    <row r="12" ht="15" customHeight="1" s="42">
      <c r="A12" s="44" t="inlineStr">
        <is>
          <t>uw_management_fee</t>
        </is>
      </c>
      <c r="B12" s="52">
        <f>Inputs!B10*B6</f>
        <v/>
      </c>
      <c r="C12" s="49" t="inlineStr">
        <is>
          <t>USD/yr</t>
        </is>
      </c>
      <c r="D12" s="45" t="inlineStr">
        <is>
          <t>3% of UW EGI.</t>
        </is>
      </c>
    </row>
    <row r="13" ht="15" customHeight="1" s="42">
      <c r="A13" s="44" t="inlineStr">
        <is>
          <t>uw_total_operating_exp</t>
        </is>
      </c>
      <c r="B13" s="52">
        <f>SUM(B9:B12)</f>
        <v/>
      </c>
      <c r="C13" s="49" t="inlineStr">
        <is>
          <t>USD/yr</t>
        </is>
      </c>
      <c r="D13" s="45" t="inlineStr">
        <is>
          <t>Sum.</t>
        </is>
      </c>
    </row>
    <row r="15" ht="15" customHeight="1" s="42">
      <c r="A15" s="47" t="inlineStr">
        <is>
          <t>NOI, reserves, NCF, capitalization</t>
        </is>
      </c>
    </row>
    <row r="16" ht="15" customHeight="1" s="42">
      <c r="A16" s="44" t="inlineStr">
        <is>
          <t>uw_noi</t>
        </is>
      </c>
      <c r="B16" s="69">
        <f>B6-B13</f>
        <v/>
      </c>
      <c r="C16" s="49" t="inlineStr">
        <is>
          <t>USD/yr</t>
        </is>
      </c>
      <c r="D16" s="45" t="inlineStr">
        <is>
          <t>EGI − total opex (before reserves).</t>
        </is>
      </c>
    </row>
    <row r="17" ht="15" customHeight="1" s="42">
      <c r="A17" s="44" t="inlineStr">
        <is>
          <t>replacement_reserves</t>
        </is>
      </c>
      <c r="B17" s="52">
        <f>Inputs!B11*Inputs!B23</f>
        <v/>
      </c>
      <c r="C17" s="49" t="inlineStr">
        <is>
          <t>USD/yr</t>
        </is>
      </c>
      <c r="D17" s="45" t="inlineStr">
        <is>
          <t>$300 × total units.</t>
        </is>
      </c>
    </row>
    <row r="18" ht="15" customHeight="1" s="42">
      <c r="A18" s="44" t="inlineStr">
        <is>
          <t>uw_ncf</t>
        </is>
      </c>
      <c r="B18" s="69">
        <f>B16-B17</f>
        <v/>
      </c>
      <c r="C18" s="49" t="inlineStr">
        <is>
          <t>USD/yr</t>
        </is>
      </c>
      <c r="D18" s="45" t="inlineStr">
        <is>
          <t>NOI − reserves.</t>
        </is>
      </c>
    </row>
    <row r="19" ht="15" customHeight="1" s="42">
      <c r="A19" s="44" t="inlineStr">
        <is>
          <t>cap_rate</t>
        </is>
      </c>
      <c r="B19" s="55">
        <f>Inputs!B4</f>
        <v/>
      </c>
      <c r="C19" s="49" t="inlineStr">
        <is>
          <t>decimal</t>
        </is>
      </c>
      <c r="D19" s="45" t="inlineStr">
        <is>
          <t>Named input — REVISED to 6.5000%.</t>
        </is>
      </c>
    </row>
    <row r="20" ht="15" customHeight="1" s="42">
      <c r="A20" s="44" t="inlineStr">
        <is>
          <t>capitalization_value</t>
        </is>
      </c>
      <c r="B20" s="69">
        <f>B16/B19</f>
        <v/>
      </c>
      <c r="C20" s="49" t="inlineStr">
        <is>
          <t>USD</t>
        </is>
      </c>
      <c r="D20" s="45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2"/>
    <col width="14" customWidth="1" style="41" min="3" max="3"/>
    <col width="70" customWidth="1" style="41" min="4" max="4"/>
  </cols>
  <sheetData>
    <row r="1" ht="15" customHeight="1" s="42">
      <c r="A1" s="46" t="inlineStr">
        <is>
          <t>Debt sizing — LTV, DSCR, Debt Yield; Sources &amp; Uses (v2)</t>
        </is>
      </c>
    </row>
    <row r="2" ht="15" customHeight="1" s="42">
      <c r="A2" s="47" t="inlineStr">
        <is>
          <t>Line</t>
        </is>
      </c>
      <c r="B2" s="47" t="inlineStr">
        <is>
          <t>Value</t>
        </is>
      </c>
      <c r="C2" s="47" t="inlineStr">
        <is>
          <t>Unit</t>
        </is>
      </c>
      <c r="D2" s="47" t="inlineStr">
        <is>
          <t>Formula / source</t>
        </is>
      </c>
    </row>
    <row r="3" ht="15" customHeight="1" s="42">
      <c r="A3" s="44" t="inlineStr">
        <is>
          <t>sizing_rate</t>
        </is>
      </c>
      <c r="B3" s="55">
        <f>Inputs!B5</f>
        <v/>
      </c>
      <c r="C3" s="49" t="inlineStr">
        <is>
          <t>decimal</t>
        </is>
      </c>
      <c r="D3" s="45" t="inlineStr">
        <is>
          <t>REVISED to 7.75% (prior 7.00% + 75 bps). Still &gt; note rate → floor binds.</t>
        </is>
      </c>
    </row>
    <row r="4" ht="15" customHeight="1" s="42">
      <c r="A4" s="44" t="inlineStr">
        <is>
          <t>note_rate</t>
        </is>
      </c>
      <c r="B4" s="55">
        <f>Inputs!B19</f>
        <v/>
      </c>
      <c r="C4" s="49" t="inlineStr">
        <is>
          <t>decimal</t>
        </is>
      </c>
      <c r="D4" s="45" t="inlineStr">
        <is>
          <t>Contract rate (informational, unchanged).</t>
        </is>
      </c>
    </row>
    <row r="5" ht="15" customHeight="1" s="42">
      <c r="A5" s="44" t="inlineStr">
        <is>
          <t>amort_years</t>
        </is>
      </c>
      <c r="B5" s="54">
        <f>Inputs!B18</f>
        <v/>
      </c>
      <c r="C5" s="49" t="inlineStr">
        <is>
          <t>years</t>
        </is>
      </c>
      <c r="D5" s="45" t="inlineStr">
        <is>
          <t>30-yr monthly (unchanged).</t>
        </is>
      </c>
    </row>
    <row r="6" ht="15" customHeight="1" s="42">
      <c r="A6" s="44" t="inlineStr">
        <is>
          <t>monthly_rate</t>
        </is>
      </c>
      <c r="B6" s="70">
        <f>B3/12</f>
        <v/>
      </c>
      <c r="C6" s="49" t="inlineStr">
        <is>
          <t>decimal</t>
        </is>
      </c>
      <c r="D6" s="45" t="inlineStr">
        <is>
          <t>Sizing rate ÷ 12.</t>
        </is>
      </c>
    </row>
    <row r="7" ht="15" customHeight="1" s="42">
      <c r="A7" s="44" t="inlineStr">
        <is>
          <t>n_periods</t>
        </is>
      </c>
      <c r="B7" s="54">
        <f>B5*12</f>
        <v/>
      </c>
      <c r="C7" s="49" t="inlineStr">
        <is>
          <t>months</t>
        </is>
      </c>
      <c r="D7" s="45" t="inlineStr">
        <is>
          <t>Amort years × 12.</t>
        </is>
      </c>
    </row>
    <row r="8" ht="15" customHeight="1" s="42">
      <c r="A8" s="44" t="inlineStr">
        <is>
          <t>annual_debt_constant</t>
        </is>
      </c>
      <c r="B8" s="71">
        <f>12*(B6*(1+B6)^B7)/((1+B6)^B7-1)</f>
        <v/>
      </c>
      <c r="C8" s="49" t="inlineStr">
        <is>
          <t>decimal</t>
        </is>
      </c>
      <c r="D8" s="45" t="inlineStr">
        <is>
          <t>Annualized level-payment constant per $1 loan (~0.0859692 at 7.75%).</t>
        </is>
      </c>
    </row>
    <row r="9" ht="15" customHeight="1" s="42">
      <c r="A9" s="44" t="inlineStr">
        <is>
          <t>ncf_for_sizing</t>
        </is>
      </c>
      <c r="B9" s="52">
        <f>UW!B18</f>
        <v/>
      </c>
      <c r="C9" s="49" t="inlineStr">
        <is>
          <t>USD/yr</t>
        </is>
      </c>
      <c r="D9" s="45" t="inlineStr">
        <is>
          <t>NCF after reserves.</t>
        </is>
      </c>
    </row>
    <row r="10" ht="15" customHeight="1" s="42">
      <c r="A10" s="44" t="inlineStr">
        <is>
          <t>noi_for_sizing</t>
        </is>
      </c>
      <c r="B10" s="52">
        <f>UW!B16</f>
        <v/>
      </c>
      <c r="C10" s="49" t="inlineStr">
        <is>
          <t>USD/yr</t>
        </is>
      </c>
      <c r="D10" s="45" t="inlineStr">
        <is>
          <t>NOI before reserves.</t>
        </is>
      </c>
    </row>
    <row r="11" ht="15" customHeight="1" s="42">
      <c r="A11" s="44" t="inlineStr">
        <is>
          <t>cap_value</t>
        </is>
      </c>
      <c r="B11" s="52">
        <f>UW!B20</f>
        <v/>
      </c>
      <c r="C11" s="49" t="inlineStr">
        <is>
          <t>USD</t>
        </is>
      </c>
      <c r="D11" s="45" t="inlineStr">
        <is>
          <t>Capitalization value.</t>
        </is>
      </c>
    </row>
    <row r="12" ht="15" customHeight="1" s="42">
      <c r="A12" s="44" t="inlineStr">
        <is>
          <t>ltv_limit</t>
        </is>
      </c>
      <c r="B12" s="51">
        <f>Inputs!B15</f>
        <v/>
      </c>
      <c r="C12" s="49" t="inlineStr">
        <is>
          <t>decimal</t>
        </is>
      </c>
      <c r="D12" s="45" t="inlineStr">
        <is>
          <t>Max LTV (unchanged).</t>
        </is>
      </c>
    </row>
    <row r="13" ht="15" customHeight="1" s="42">
      <c r="A13" s="44" t="inlineStr">
        <is>
          <t>dscr_limit</t>
        </is>
      </c>
      <c r="B13" s="53">
        <f>Inputs!B16</f>
        <v/>
      </c>
      <c r="C13" s="49" t="inlineStr">
        <is>
          <t>ratio</t>
        </is>
      </c>
      <c r="D13" s="45" t="inlineStr">
        <is>
          <t>Min DSCR (unchanged).</t>
        </is>
      </c>
    </row>
    <row r="14" ht="15" customHeight="1" s="42">
      <c r="A14" s="44" t="inlineStr">
        <is>
          <t>debt_yield_limit</t>
        </is>
      </c>
      <c r="B14" s="51">
        <f>Inputs!B17</f>
        <v/>
      </c>
      <c r="C14" s="49" t="inlineStr">
        <is>
          <t>decimal</t>
        </is>
      </c>
      <c r="D14" s="45" t="inlineStr">
        <is>
          <t>Min NCF DY (unchanged).</t>
        </is>
      </c>
    </row>
    <row r="15" ht="15" customHeight="1" s="42">
      <c r="A15" s="44" t="inlineStr">
        <is>
          <t>max_loan_ltv</t>
        </is>
      </c>
      <c r="B15" s="52">
        <f>B12*B11</f>
        <v/>
      </c>
      <c r="C15" s="49" t="inlineStr">
        <is>
          <t>USD</t>
        </is>
      </c>
      <c r="D15" s="45" t="inlineStr">
        <is>
          <t>LTV × cap value.</t>
        </is>
      </c>
    </row>
    <row r="16" ht="15" customHeight="1" s="42">
      <c r="A16" s="44" t="inlineStr">
        <is>
          <t>max_loan_dscr</t>
        </is>
      </c>
      <c r="B16" s="52">
        <f>B9/(B13*B8)</f>
        <v/>
      </c>
      <c r="C16" s="49" t="inlineStr">
        <is>
          <t>USD</t>
        </is>
      </c>
      <c r="D16" s="45" t="inlineStr">
        <is>
          <t>NCF ÷ (DSCR × annual constant).</t>
        </is>
      </c>
    </row>
    <row r="17" ht="15" customHeight="1" s="42">
      <c r="A17" s="44" t="inlineStr">
        <is>
          <t>max_loan_debt_yield</t>
        </is>
      </c>
      <c r="B17" s="52">
        <f>B9/B14</f>
        <v/>
      </c>
      <c r="C17" s="49" t="inlineStr">
        <is>
          <t>USD</t>
        </is>
      </c>
      <c r="D17" s="45" t="inlineStr">
        <is>
          <t>NCF ÷ DY.</t>
        </is>
      </c>
    </row>
    <row r="18" ht="15" customHeight="1" s="42">
      <c r="A18" s="44" t="inlineStr">
        <is>
          <t>maximum_loan</t>
        </is>
      </c>
      <c r="B18" s="69">
        <f>MIN(B15,B16,B17)</f>
        <v/>
      </c>
      <c r="C18" s="49" t="inlineStr">
        <is>
          <t>USD</t>
        </is>
      </c>
      <c r="D18" s="45" t="inlineStr">
        <is>
          <t>Minimum of the three.</t>
        </is>
      </c>
    </row>
    <row r="19" ht="15" customHeight="1" s="42">
      <c r="A19" s="44" t="inlineStr">
        <is>
          <t>binding_constraint</t>
        </is>
      </c>
      <c r="B19" s="72">
        <f>IF(B18=B15,"LTV",IF(B18=B16,"DSCR","Debt Yield"))</f>
        <v/>
      </c>
      <c r="C19" s="49" t="inlineStr">
        <is>
          <t>text</t>
        </is>
      </c>
      <c r="D19" s="45" t="inlineStr">
        <is>
          <t>Which test is binding.</t>
        </is>
      </c>
    </row>
    <row r="22" ht="15" customHeight="1" s="42">
      <c r="A22" s="47" t="inlineStr">
        <is>
          <t>Sources &amp; Uses</t>
        </is>
      </c>
    </row>
    <row r="23" ht="15" customHeight="1" s="42">
      <c r="A23" s="44" t="inlineStr">
        <is>
          <t>Sources: sized loan</t>
        </is>
      </c>
      <c r="B23" s="52">
        <f>B18</f>
        <v/>
      </c>
      <c r="C23" s="49" t="inlineStr">
        <is>
          <t>USD</t>
        </is>
      </c>
      <c r="D23" s="45" t="inlineStr">
        <is>
          <t>Constrained maximum loan.</t>
        </is>
      </c>
    </row>
    <row r="24" ht="15" customHeight="1" s="42">
      <c r="A24" s="44" t="inlineStr">
        <is>
          <t>Sources: sponsor equity</t>
        </is>
      </c>
      <c r="B24" s="52">
        <f>MAX(0,-B29)</f>
        <v/>
      </c>
      <c r="C24" s="49" t="inlineStr">
        <is>
          <t>USD</t>
        </is>
      </c>
      <c r="D24" s="45" t="inlineStr">
        <is>
          <t>Additional equity if net cash-out is negative.</t>
        </is>
      </c>
    </row>
    <row r="25" ht="15" customHeight="1" s="42">
      <c r="A25" s="44" t="inlineStr">
        <is>
          <t>Uses: existing payoff</t>
        </is>
      </c>
      <c r="B25" s="52">
        <f>Inputs!B22</f>
        <v/>
      </c>
      <c r="C25" s="49" t="inlineStr">
        <is>
          <t>USD</t>
        </is>
      </c>
      <c r="D25" s="45" t="inlineStr">
        <is>
          <t>Existing loan payoff (unchanged).</t>
        </is>
      </c>
    </row>
    <row r="26" ht="15" customHeight="1" s="42">
      <c r="A26" s="44" t="inlineStr">
        <is>
          <t>Uses: closing costs</t>
        </is>
      </c>
      <c r="B26" s="52">
        <f>Inputs!B21</f>
        <v/>
      </c>
      <c r="C26" s="49" t="inlineStr">
        <is>
          <t>USD</t>
        </is>
      </c>
      <c r="D26" s="45" t="inlineStr">
        <is>
          <t>Prescribed (unchanged).</t>
        </is>
      </c>
    </row>
    <row r="27" ht="15" customHeight="1" s="42">
      <c r="A27" s="44" t="inlineStr">
        <is>
          <t>Uses: origination fee</t>
        </is>
      </c>
      <c r="B27" s="52">
        <f>Inputs!B20*B18</f>
        <v/>
      </c>
      <c r="C27" s="49" t="inlineStr">
        <is>
          <t>USD</t>
        </is>
      </c>
      <c r="D27" s="45" t="inlineStr">
        <is>
          <t>1% × sized loan.</t>
        </is>
      </c>
    </row>
    <row r="28" ht="15" customHeight="1" s="42">
      <c r="A28" s="44" t="inlineStr">
        <is>
          <t>Uses: cash to sponsor</t>
        </is>
      </c>
      <c r="B28" s="52">
        <f>MAX(0,B29)</f>
        <v/>
      </c>
      <c r="C28" s="49" t="inlineStr">
        <is>
          <t>USD</t>
        </is>
      </c>
      <c r="D28" s="45" t="inlineStr">
        <is>
          <t>Positive net cash-out returned to sponsor.</t>
        </is>
      </c>
    </row>
    <row r="29" ht="15" customHeight="1" s="42">
      <c r="A29" s="44" t="inlineStr">
        <is>
          <t>net_cash_out</t>
        </is>
      </c>
      <c r="B29" s="69">
        <f>B18-Inputs!B22-Inputs!B21-Inputs!B20*B18</f>
        <v/>
      </c>
      <c r="C29" s="49" t="inlineStr">
        <is>
          <t>USD</t>
        </is>
      </c>
      <c r="D29" s="45" t="inlineStr">
        <is>
          <t>Loan − payoff − closing − origination. Negative = additional equity required.</t>
        </is>
      </c>
    </row>
    <row r="31" ht="15" customHeight="1" s="42">
      <c r="A31" s="47" t="inlineStr">
        <is>
          <t>Sizing diagnostics</t>
        </is>
      </c>
    </row>
    <row r="32" ht="15" customHeight="1" s="42">
      <c r="A32" s="44" t="inlineStr">
        <is>
          <t>DSCR at sized loan</t>
        </is>
      </c>
      <c r="B32" s="53">
        <f>B9/(B18*B8)</f>
        <v/>
      </c>
    </row>
    <row r="33" ht="15" customHeight="1" s="42">
      <c r="A33" s="44" t="inlineStr">
        <is>
          <t>LTV at sized loan</t>
        </is>
      </c>
      <c r="B33" s="51">
        <f>B18/B11</f>
        <v/>
      </c>
    </row>
    <row r="34" ht="15" customHeight="1" s="42">
      <c r="A34" s="44" t="inlineStr">
        <is>
          <t>Debt yield at sized loan</t>
        </is>
      </c>
      <c r="B34" s="51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41" min="1" max="1"/>
    <col width="16" customWidth="1" style="41" min="2" max="9"/>
  </cols>
  <sheetData>
    <row r="1" ht="15" customHeight="1" s="42">
      <c r="A1" s="46" t="inlineStr">
        <is>
          <t>Two-way sensitivity — Maximum loan ($) by sizing rate × cap rate (v2)</t>
        </is>
      </c>
    </row>
    <row r="2" ht="15" customHeight="1" s="42">
      <c r="A2" s="73" t="inlineStr">
        <is>
          <t>Rows: sizing rate; Columns: cap rate. Base case highlighted.</t>
        </is>
      </c>
    </row>
    <row r="4" ht="15" customHeight="1" s="42">
      <c r="A4" s="47" t="inlineStr">
        <is>
          <t>Sizing rate \ Cap rate</t>
        </is>
      </c>
      <c r="B4" s="74" t="n">
        <v>0.06</v>
      </c>
      <c r="C4" s="74" t="n">
        <v>0.0625</v>
      </c>
      <c r="D4" s="74" t="n">
        <v>0.065</v>
      </c>
      <c r="E4" s="74" t="n">
        <v>0.0675</v>
      </c>
      <c r="F4" s="74" t="n">
        <v>0.07000000000000001</v>
      </c>
      <c r="G4" s="74" t="n">
        <v>0.075</v>
      </c>
      <c r="H4" s="74" t="n">
        <v>0.08</v>
      </c>
    </row>
    <row r="5" ht="15" customHeight="1" s="42">
      <c r="A5" s="75" t="n">
        <v>0.065</v>
      </c>
      <c r="B5" s="76">
        <f>MIN(Inputs!$B$15*(UW!$B$16/B$4),UW!$B$18/(Inputs!$B$16*(12*(($A5/12)*(1+$A5/12)^360)/((1+$A5/12)^360-1))),UW!$B$18/Inputs!$B$17)</f>
        <v/>
      </c>
      <c r="C5" s="76">
        <f>MIN(Inputs!$B$15*(UW!$B$16/C$4),UW!$B$18/(Inputs!$B$16*(12*(($A5/12)*(1+$A5/12)^360)/((1+$A5/12)^360-1))),UW!$B$18/Inputs!$B$17)</f>
        <v/>
      </c>
      <c r="D5" s="76">
        <f>MIN(Inputs!$B$15*(UW!$B$16/D$4),UW!$B$18/(Inputs!$B$16*(12*(($A5/12)*(1+$A5/12)^360)/((1+$A5/12)^360-1))),UW!$B$18/Inputs!$B$17)</f>
        <v/>
      </c>
      <c r="E5" s="76">
        <f>MIN(Inputs!$B$15*(UW!$B$16/E$4),UW!$B$18/(Inputs!$B$16*(12*(($A5/12)*(1+$A5/12)^360)/((1+$A5/12)^360-1))),UW!$B$18/Inputs!$B$17)</f>
        <v/>
      </c>
      <c r="F5" s="76">
        <f>MIN(Inputs!$B$15*(UW!$B$16/F$4),UW!$B$18/(Inputs!$B$16*(12*(($A5/12)*(1+$A5/12)^360)/((1+$A5/12)^360-1))),UW!$B$18/Inputs!$B$17)</f>
        <v/>
      </c>
      <c r="G5" s="76">
        <f>MIN(Inputs!$B$15*(UW!$B$16/G$4),UW!$B$18/(Inputs!$B$16*(12*(($A5/12)*(1+$A5/12)^360)/((1+$A5/12)^360-1))),UW!$B$18/Inputs!$B$17)</f>
        <v/>
      </c>
      <c r="H5" s="76">
        <f>MIN(Inputs!$B$15*(UW!$B$16/H$4),UW!$B$18/(Inputs!$B$16*(12*(($A5/12)*(1+$A5/12)^360)/((1+$A5/12)^360-1))),UW!$B$18/Inputs!$B$17)</f>
        <v/>
      </c>
    </row>
    <row r="6" ht="15" customHeight="1" s="42">
      <c r="A6" s="75" t="n">
        <v>0.07000000000000001</v>
      </c>
      <c r="B6" s="76">
        <f>MIN(Inputs!$B$15*(UW!$B$16/B$4),UW!$B$18/(Inputs!$B$16*(12*(($A6/12)*(1+$A6/12)^360)/((1+$A6/12)^360-1))),UW!$B$18/Inputs!$B$17)</f>
        <v/>
      </c>
      <c r="C6" s="76">
        <f>MIN(Inputs!$B$15*(UW!$B$16/C$4),UW!$B$18/(Inputs!$B$16*(12*(($A6/12)*(1+$A6/12)^360)/((1+$A6/12)^360-1))),UW!$B$18/Inputs!$B$17)</f>
        <v/>
      </c>
      <c r="D6" s="76">
        <f>MIN(Inputs!$B$15*(UW!$B$16/D$4),UW!$B$18/(Inputs!$B$16*(12*(($A6/12)*(1+$A6/12)^360)/((1+$A6/12)^360-1))),UW!$B$18/Inputs!$B$17)</f>
        <v/>
      </c>
      <c r="E6" s="76">
        <f>MIN(Inputs!$B$15*(UW!$B$16/E$4),UW!$B$18/(Inputs!$B$16*(12*(($A6/12)*(1+$A6/12)^360)/((1+$A6/12)^360-1))),UW!$B$18/Inputs!$B$17)</f>
        <v/>
      </c>
      <c r="F6" s="76">
        <f>MIN(Inputs!$B$15*(UW!$B$16/F$4),UW!$B$18/(Inputs!$B$16*(12*(($A6/12)*(1+$A6/12)^360)/((1+$A6/12)^360-1))),UW!$B$18/Inputs!$B$17)</f>
        <v/>
      </c>
      <c r="G6" s="76">
        <f>MIN(Inputs!$B$15*(UW!$B$16/G$4),UW!$B$18/(Inputs!$B$16*(12*(($A6/12)*(1+$A6/12)^360)/((1+$A6/12)^360-1))),UW!$B$18/Inputs!$B$17)</f>
        <v/>
      </c>
      <c r="H6" s="76">
        <f>MIN(Inputs!$B$15*(UW!$B$16/H$4),UW!$B$18/(Inputs!$B$16*(12*(($A6/12)*(1+$A6/12)^360)/((1+$A6/12)^360-1))),UW!$B$18/Inputs!$B$17)</f>
        <v/>
      </c>
    </row>
    <row r="7" ht="15" customHeight="1" s="42">
      <c r="A7" s="75" t="n">
        <v>0.075</v>
      </c>
      <c r="B7" s="76">
        <f>MIN(Inputs!$B$15*(UW!$B$16/B$4),UW!$B$18/(Inputs!$B$16*(12*(($A7/12)*(1+$A7/12)^360)/((1+$A7/12)^360-1))),UW!$B$18/Inputs!$B$17)</f>
        <v/>
      </c>
      <c r="C7" s="76">
        <f>MIN(Inputs!$B$15*(UW!$B$16/C$4),UW!$B$18/(Inputs!$B$16*(12*(($A7/12)*(1+$A7/12)^360)/((1+$A7/12)^360-1))),UW!$B$18/Inputs!$B$17)</f>
        <v/>
      </c>
      <c r="D7" s="76">
        <f>MIN(Inputs!$B$15*(UW!$B$16/D$4),UW!$B$18/(Inputs!$B$16*(12*(($A7/12)*(1+$A7/12)^360)/((1+$A7/12)^360-1))),UW!$B$18/Inputs!$B$17)</f>
        <v/>
      </c>
      <c r="E7" s="76">
        <f>MIN(Inputs!$B$15*(UW!$B$16/E$4),UW!$B$18/(Inputs!$B$16*(12*(($A7/12)*(1+$A7/12)^360)/((1+$A7/12)^360-1))),UW!$B$18/Inputs!$B$17)</f>
        <v/>
      </c>
      <c r="F7" s="76">
        <f>MIN(Inputs!$B$15*(UW!$B$16/F$4),UW!$B$18/(Inputs!$B$16*(12*(($A7/12)*(1+$A7/12)^360)/((1+$A7/12)^360-1))),UW!$B$18/Inputs!$B$17)</f>
        <v/>
      </c>
      <c r="G7" s="76">
        <f>MIN(Inputs!$B$15*(UW!$B$16/G$4),UW!$B$18/(Inputs!$B$16*(12*(($A7/12)*(1+$A7/12)^360)/((1+$A7/12)^360-1))),UW!$B$18/Inputs!$B$17)</f>
        <v/>
      </c>
      <c r="H7" s="76">
        <f>MIN(Inputs!$B$15*(UW!$B$16/H$4),UW!$B$18/(Inputs!$B$16*(12*(($A7/12)*(1+$A7/12)^360)/((1+$A7/12)^360-1))),UW!$B$18/Inputs!$B$17)</f>
        <v/>
      </c>
    </row>
    <row r="8" ht="15" customHeight="1" s="42">
      <c r="A8" s="75" t="n">
        <v>0.0775</v>
      </c>
      <c r="B8" s="76">
        <f>MIN(Inputs!$B$15*(UW!$B$16/B$4),UW!$B$18/(Inputs!$B$16*(12*(($A8/12)*(1+$A8/12)^360)/((1+$A8/12)^360-1))),UW!$B$18/Inputs!$B$17)</f>
        <v/>
      </c>
      <c r="C8" s="76">
        <f>MIN(Inputs!$B$15*(UW!$B$16/C$4),UW!$B$18/(Inputs!$B$16*(12*(($A8/12)*(1+$A8/12)^360)/((1+$A8/12)^360-1))),UW!$B$18/Inputs!$B$17)</f>
        <v/>
      </c>
      <c r="D8" s="77">
        <f>MIN(Inputs!$B$15*(UW!$B$16/D$4),UW!$B$18/(Inputs!$B$16*(12*(($A8/12)*(1+$A8/12)^360)/((1+$A8/12)^360-1))),UW!$B$18/Inputs!$B$17)</f>
        <v/>
      </c>
      <c r="E8" s="76">
        <f>MIN(Inputs!$B$15*(UW!$B$16/E$4),UW!$B$18/(Inputs!$B$16*(12*(($A8/12)*(1+$A8/12)^360)/((1+$A8/12)^360-1))),UW!$B$18/Inputs!$B$17)</f>
        <v/>
      </c>
      <c r="F8" s="76">
        <f>MIN(Inputs!$B$15*(UW!$B$16/F$4),UW!$B$18/(Inputs!$B$16*(12*(($A8/12)*(1+$A8/12)^360)/((1+$A8/12)^360-1))),UW!$B$18/Inputs!$B$17)</f>
        <v/>
      </c>
      <c r="G8" s="76">
        <f>MIN(Inputs!$B$15*(UW!$B$16/G$4),UW!$B$18/(Inputs!$B$16*(12*(($A8/12)*(1+$A8/12)^360)/((1+$A8/12)^360-1))),UW!$B$18/Inputs!$B$17)</f>
        <v/>
      </c>
      <c r="H8" s="76">
        <f>MIN(Inputs!$B$15*(UW!$B$16/H$4),UW!$B$18/(Inputs!$B$16*(12*(($A8/12)*(1+$A8/12)^360)/((1+$A8/12)^360-1))),UW!$B$18/Inputs!$B$17)</f>
        <v/>
      </c>
    </row>
    <row r="9" ht="15" customHeight="1" s="42">
      <c r="A9" s="75" t="n">
        <v>0.08</v>
      </c>
      <c r="B9" s="76">
        <f>MIN(Inputs!$B$15*(UW!$B$16/B$4),UW!$B$18/(Inputs!$B$16*(12*(($A9/12)*(1+$A9/12)^360)/((1+$A9/12)^360-1))),UW!$B$18/Inputs!$B$17)</f>
        <v/>
      </c>
      <c r="C9" s="76">
        <f>MIN(Inputs!$B$15*(UW!$B$16/C$4),UW!$B$18/(Inputs!$B$16*(12*(($A9/12)*(1+$A9/12)^360)/((1+$A9/12)^360-1))),UW!$B$18/Inputs!$B$17)</f>
        <v/>
      </c>
      <c r="D9" s="76">
        <f>MIN(Inputs!$B$15*(UW!$B$16/D$4),UW!$B$18/(Inputs!$B$16*(12*(($A9/12)*(1+$A9/12)^360)/((1+$A9/12)^360-1))),UW!$B$18/Inputs!$B$17)</f>
        <v/>
      </c>
      <c r="E9" s="76">
        <f>MIN(Inputs!$B$15*(UW!$B$16/E$4),UW!$B$18/(Inputs!$B$16*(12*(($A9/12)*(1+$A9/12)^360)/((1+$A9/12)^360-1))),UW!$B$18/Inputs!$B$17)</f>
        <v/>
      </c>
      <c r="F9" s="76">
        <f>MIN(Inputs!$B$15*(UW!$B$16/F$4),UW!$B$18/(Inputs!$B$16*(12*(($A9/12)*(1+$A9/12)^360)/((1+$A9/12)^360-1))),UW!$B$18/Inputs!$B$17)</f>
        <v/>
      </c>
      <c r="G9" s="76">
        <f>MIN(Inputs!$B$15*(UW!$B$16/G$4),UW!$B$18/(Inputs!$B$16*(12*(($A9/12)*(1+$A9/12)^360)/((1+$A9/12)^360-1))),UW!$B$18/Inputs!$B$17)</f>
        <v/>
      </c>
      <c r="H9" s="76">
        <f>MIN(Inputs!$B$15*(UW!$B$16/H$4),UW!$B$18/(Inputs!$B$16*(12*(($A9/12)*(1+$A9/12)^360)/((1+$A9/12)^360-1))),UW!$B$18/Inputs!$B$17)</f>
        <v/>
      </c>
    </row>
    <row r="10" ht="15" customHeight="1" s="42">
      <c r="A10" s="75" t="n">
        <v>0.08500000000000001</v>
      </c>
      <c r="B10" s="76">
        <f>MIN(Inputs!$B$15*(UW!$B$16/B$4),UW!$B$18/(Inputs!$B$16*(12*(($A10/12)*(1+$A10/12)^360)/((1+$A10/12)^360-1))),UW!$B$18/Inputs!$B$17)</f>
        <v/>
      </c>
      <c r="C10" s="76">
        <f>MIN(Inputs!$B$15*(UW!$B$16/C$4),UW!$B$18/(Inputs!$B$16*(12*(($A10/12)*(1+$A10/12)^360)/((1+$A10/12)^360-1))),UW!$B$18/Inputs!$B$17)</f>
        <v/>
      </c>
      <c r="D10" s="76">
        <f>MIN(Inputs!$B$15*(UW!$B$16/D$4),UW!$B$18/(Inputs!$B$16*(12*(($A10/12)*(1+$A10/12)^360)/((1+$A10/12)^360-1))),UW!$B$18/Inputs!$B$17)</f>
        <v/>
      </c>
      <c r="E10" s="76">
        <f>MIN(Inputs!$B$15*(UW!$B$16/E$4),UW!$B$18/(Inputs!$B$16*(12*(($A10/12)*(1+$A10/12)^360)/((1+$A10/12)^360-1))),UW!$B$18/Inputs!$B$17)</f>
        <v/>
      </c>
      <c r="F10" s="76">
        <f>MIN(Inputs!$B$15*(UW!$B$16/F$4),UW!$B$18/(Inputs!$B$16*(12*(($A10/12)*(1+$A10/12)^360)/((1+$A10/12)^360-1))),UW!$B$18/Inputs!$B$17)</f>
        <v/>
      </c>
      <c r="G10" s="76">
        <f>MIN(Inputs!$B$15*(UW!$B$16/G$4),UW!$B$18/(Inputs!$B$16*(12*(($A10/12)*(1+$A10/12)^360)/((1+$A10/12)^360-1))),UW!$B$18/Inputs!$B$17)</f>
        <v/>
      </c>
      <c r="H10" s="76">
        <f>MIN(Inputs!$B$15*(UW!$B$16/H$4),UW!$B$18/(Inputs!$B$16*(12*(($A10/12)*(1+$A10/12)^360)/((1+$A10/12)^360-1))),UW!$B$18/Inputs!$B$17)</f>
        <v/>
      </c>
    </row>
    <row r="11" ht="15" customHeight="1" s="42">
      <c r="A11" s="75" t="n">
        <v>0.09</v>
      </c>
      <c r="B11" s="76">
        <f>MIN(Inputs!$B$15*(UW!$B$16/B$4),UW!$B$18/(Inputs!$B$16*(12*(($A11/12)*(1+$A11/12)^360)/((1+$A11/12)^360-1))),UW!$B$18/Inputs!$B$17)</f>
        <v/>
      </c>
      <c r="C11" s="76">
        <f>MIN(Inputs!$B$15*(UW!$B$16/C$4),UW!$B$18/(Inputs!$B$16*(12*(($A11/12)*(1+$A11/12)^360)/((1+$A11/12)^360-1))),UW!$B$18/Inputs!$B$17)</f>
        <v/>
      </c>
      <c r="D11" s="76">
        <f>MIN(Inputs!$B$15*(UW!$B$16/D$4),UW!$B$18/(Inputs!$B$16*(12*(($A11/12)*(1+$A11/12)^360)/((1+$A11/12)^360-1))),UW!$B$18/Inputs!$B$17)</f>
        <v/>
      </c>
      <c r="E11" s="76">
        <f>MIN(Inputs!$B$15*(UW!$B$16/E$4),UW!$B$18/(Inputs!$B$16*(12*(($A11/12)*(1+$A11/12)^360)/((1+$A11/12)^360-1))),UW!$B$18/Inputs!$B$17)</f>
        <v/>
      </c>
      <c r="F11" s="76">
        <f>MIN(Inputs!$B$15*(UW!$B$16/F$4),UW!$B$18/(Inputs!$B$16*(12*(($A11/12)*(1+$A11/12)^360)/((1+$A11/12)^360-1))),UW!$B$18/Inputs!$B$17)</f>
        <v/>
      </c>
      <c r="G11" s="76">
        <f>MIN(Inputs!$B$15*(UW!$B$16/G$4),UW!$B$18/(Inputs!$B$16*(12*(($A11/12)*(1+$A11/12)^360)/((1+$A11/12)^360-1))),UW!$B$18/Inputs!$B$17)</f>
        <v/>
      </c>
      <c r="H11" s="76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41" min="1" max="1"/>
    <col width="20" customWidth="1" style="41" min="2" max="4"/>
    <col width="60" customWidth="1" style="41" min="5" max="5"/>
  </cols>
  <sheetData>
    <row r="1" ht="15" customHeight="1" s="42">
      <c r="A1" s="46" t="inlineStr">
        <is>
          <t>Historical T12 vs. Underwritten (v2) — with definitions</t>
        </is>
      </c>
    </row>
    <row r="2" ht="15" customHeight="1" s="42">
      <c r="A2" s="47" t="inlineStr">
        <is>
          <t>Line</t>
        </is>
      </c>
      <c r="B2" s="47" t="inlineStr">
        <is>
          <t>Historical T12</t>
        </is>
      </c>
      <c r="C2" s="47" t="inlineStr">
        <is>
          <t>Underwritten</t>
        </is>
      </c>
      <c r="D2" s="47" t="inlineStr">
        <is>
          <t>Delta</t>
        </is>
      </c>
      <c r="E2" s="47" t="inlineStr">
        <is>
          <t>Definition / note</t>
        </is>
      </c>
    </row>
    <row r="3" ht="15" customHeight="1" s="42">
      <c r="A3" s="44" t="inlineStr">
        <is>
          <t>Rental &amp; ancillary collections (T12)</t>
        </is>
      </c>
      <c r="B3" s="52" t="n">
        <v>1262520</v>
      </c>
      <c r="C3" s="52">
        <f>UW!B6</f>
        <v/>
      </c>
      <c r="D3" s="52">
        <f>C3-B3</f>
        <v/>
      </c>
      <c r="E3" s="45" t="inlineStr">
        <is>
          <t>Historical is cash collections (incl. reimbursements). UW is EGI on revised roll.</t>
        </is>
      </c>
    </row>
    <row r="4" ht="15" customHeight="1" s="42">
      <c r="A4" s="44" t="inlineStr">
        <is>
          <t>Real estate tax expense</t>
        </is>
      </c>
      <c r="B4" s="52" t="n">
        <v>147294</v>
      </c>
      <c r="C4" s="52">
        <f>UW!B9</f>
        <v/>
      </c>
      <c r="D4" s="52">
        <f>C4-B4</f>
        <v/>
      </c>
      <c r="E4" s="45" t="inlineStr">
        <is>
          <t>Prescribed = historical.</t>
        </is>
      </c>
    </row>
    <row r="5" ht="15" customHeight="1" s="42">
      <c r="A5" s="44" t="inlineStr">
        <is>
          <t>Insurance expense</t>
        </is>
      </c>
      <c r="B5" s="52" t="n">
        <v>49098</v>
      </c>
      <c r="C5" s="52">
        <f>UW!B10</f>
        <v/>
      </c>
      <c r="D5" s="52">
        <f>C5-B5</f>
        <v/>
      </c>
      <c r="E5" s="45" t="inlineStr">
        <is>
          <t>Prescribed = historical.</t>
        </is>
      </c>
    </row>
    <row r="6" ht="15" customHeight="1" s="42">
      <c r="A6" s="44" t="inlineStr">
        <is>
          <t>Other recurring operating expenses</t>
        </is>
      </c>
      <c r="B6" s="52" t="n">
        <v>196392</v>
      </c>
      <c r="C6" s="52">
        <f>UW!B11</f>
        <v/>
      </c>
      <c r="D6" s="52">
        <f>C6-B6</f>
        <v/>
      </c>
      <c r="E6" s="45" t="inlineStr">
        <is>
          <t>Prescribed = historical.</t>
        </is>
      </c>
    </row>
    <row r="7" ht="15" customHeight="1" s="42">
      <c r="A7" s="44" t="inlineStr">
        <is>
          <t>Management fee</t>
        </is>
      </c>
      <c r="B7" s="52" t="n">
        <v>0</v>
      </c>
      <c r="C7" s="52">
        <f>UW!B12</f>
        <v/>
      </c>
      <c r="D7" s="52">
        <f>C7-B7</f>
        <v/>
      </c>
      <c r="E7" s="45" t="inlineStr">
        <is>
          <t>None booked historically; UW = 3% × EGI.</t>
        </is>
      </c>
    </row>
    <row r="8" ht="15" customHeight="1" s="42">
      <c r="A8" s="44" t="inlineStr">
        <is>
          <t>Reported / underwritten NOI (pre-reserve)</t>
        </is>
      </c>
      <c r="B8" s="52" t="n">
        <v>869736</v>
      </c>
      <c r="C8" s="52">
        <f>UW!B16</f>
        <v/>
      </c>
      <c r="D8" s="52">
        <f>C8-B8</f>
        <v/>
      </c>
      <c r="E8" s="45" t="inlineStr">
        <is>
          <t>Different definitions — historical is cash; UW is scheduled per revised roll.</t>
        </is>
      </c>
    </row>
    <row r="9" ht="15" customHeight="1" s="42">
      <c r="A9" s="44" t="inlineStr">
        <is>
          <t>Replacement reserves</t>
        </is>
      </c>
      <c r="B9" s="52" t="n">
        <v>0</v>
      </c>
      <c r="C9" s="52">
        <f>UW!B17</f>
        <v/>
      </c>
      <c r="D9" s="52">
        <f>C9-B9</f>
        <v/>
      </c>
      <c r="E9" s="45" t="inlineStr">
        <is>
          <t>Not booked historically; UW = $300/unit.</t>
        </is>
      </c>
    </row>
    <row r="10" ht="15" customHeight="1" s="42">
      <c r="A10" s="44" t="inlineStr">
        <is>
          <t>Net Cash Flow (NCF) after reserves</t>
        </is>
      </c>
      <c r="B10" s="41" t="inlineStr">
        <is>
          <t>unknown (not reported historically)</t>
        </is>
      </c>
      <c r="C10" s="52">
        <f>UW!B18</f>
        <v/>
      </c>
      <c r="D10" s="41" t="inlineStr">
        <is>
          <t>n/a</t>
        </is>
      </c>
      <c r="E10" s="45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20" customWidth="1" style="41" min="2" max="3"/>
    <col width="12" customWidth="1" style="41" min="4" max="4"/>
    <col width="34" customWidth="1" style="41" min="5" max="5"/>
    <col width="22" customWidth="1" style="41" min="6" max="6"/>
    <col width="50" customWidth="1" style="41" min="7" max="7"/>
  </cols>
  <sheetData>
    <row r="1" ht="15" customHeight="1" s="42">
      <c r="A1" s="46" t="inlineStr">
        <is>
          <t>Reported fields — v1 vs. v2 with evidence</t>
        </is>
      </c>
    </row>
    <row r="2" ht="15" customHeight="1" s="42">
      <c r="A2" s="56" t="inlineStr">
        <is>
          <t>Field id</t>
        </is>
      </c>
      <c r="B2" s="56" t="inlineStr">
        <is>
          <t>v1 value</t>
        </is>
      </c>
      <c r="C2" s="56" t="inlineStr">
        <is>
          <t>v2 value</t>
        </is>
      </c>
      <c r="D2" s="56" t="inlineStr">
        <is>
          <t>Unit</t>
        </is>
      </c>
      <c r="E2" s="56" t="inlineStr">
        <is>
          <t>Evidence filename</t>
        </is>
      </c>
      <c r="F2" s="56" t="inlineStr">
        <is>
          <t>Page/cell</t>
        </is>
      </c>
      <c r="G2" s="56" t="inlineStr">
        <is>
          <t>Change note</t>
        </is>
      </c>
    </row>
    <row r="3" ht="15" customHeight="1" s="42">
      <c r="A3" s="44" t="inlineStr">
        <is>
          <t>total_units</t>
        </is>
      </c>
      <c r="B3" s="54" t="n">
        <v>8</v>
      </c>
      <c r="C3" s="54">
        <f>RentRoll!B14</f>
        <v/>
      </c>
      <c r="D3" s="49" t="inlineStr">
        <is>
          <t>count</t>
        </is>
      </c>
      <c r="E3" s="45" t="inlineStr">
        <is>
          <t>rent-roll-revised.xlsx</t>
        </is>
      </c>
      <c r="F3" s="45" t="inlineStr">
        <is>
          <t>Rent Roll!A5:A12</t>
        </is>
      </c>
      <c r="G3" s="45" t="inlineStr">
        <is>
          <t>Unchanged.</t>
        </is>
      </c>
    </row>
    <row r="4" ht="15" customHeight="1" s="42">
      <c r="A4" s="44" t="inlineStr">
        <is>
          <t>occupied_units</t>
        </is>
      </c>
      <c r="B4" s="54" t="n">
        <v>7</v>
      </c>
      <c r="C4" s="54">
        <f>RentRoll!B15</f>
        <v/>
      </c>
      <c r="D4" s="49" t="inlineStr">
        <is>
          <t>count</t>
        </is>
      </c>
      <c r="E4" s="45" t="inlineStr">
        <is>
          <t>rent-roll-revised.xlsx</t>
        </is>
      </c>
      <c r="F4" s="45" t="inlineStr">
        <is>
          <t>Rent Roll!D5:D12</t>
        </is>
      </c>
      <c r="G4" s="45" t="inlineStr">
        <is>
          <t>Unchanged — 008 still vacant.</t>
        </is>
      </c>
    </row>
    <row r="5" ht="15" customHeight="1" s="42">
      <c r="A5" s="44" t="inlineStr">
        <is>
          <t>pending_units</t>
        </is>
      </c>
      <c r="B5" s="54" t="n">
        <v>0</v>
      </c>
      <c r="C5" s="54">
        <f>RentRoll!B16</f>
        <v/>
      </c>
      <c r="D5" s="49" t="inlineStr">
        <is>
          <t>count</t>
        </is>
      </c>
      <c r="E5" s="45" t="inlineStr">
        <is>
          <t>rent-roll-revised.xlsx</t>
        </is>
      </c>
      <c r="F5" s="45" t="inlineStr">
        <is>
          <t>Rent Roll!D5:D12</t>
        </is>
      </c>
      <c r="G5" s="45" t="inlineStr">
        <is>
          <t>Unchanged — no pending on revised roll.</t>
        </is>
      </c>
    </row>
    <row r="6" ht="15" customHeight="1" s="42">
      <c r="A6" s="44" t="inlineStr">
        <is>
          <t>total_area_sf</t>
        </is>
      </c>
      <c r="B6" s="54" t="n">
        <v>176060</v>
      </c>
      <c r="C6" s="54">
        <f>RentRoll!B18</f>
        <v/>
      </c>
      <c r="D6" s="49" t="inlineStr">
        <is>
          <t>SF</t>
        </is>
      </c>
      <c r="E6" s="45" t="inlineStr">
        <is>
          <t>rent-roll-revised.xlsx</t>
        </is>
      </c>
      <c r="F6" s="45" t="inlineStr">
        <is>
          <t>Rent Roll!C5:C12</t>
        </is>
      </c>
      <c r="G6" s="45" t="inlineStr">
        <is>
          <t>Unchanged.</t>
        </is>
      </c>
    </row>
    <row r="7" ht="15" customHeight="1" s="42">
      <c r="A7" s="44" t="inlineStr">
        <is>
          <t>occupied_area_sf</t>
        </is>
      </c>
      <c r="B7" s="54" t="n">
        <v>154060</v>
      </c>
      <c r="C7" s="54">
        <f>RentRoll!B19</f>
        <v/>
      </c>
      <c r="D7" s="49" t="inlineStr">
        <is>
          <t>SF</t>
        </is>
      </c>
      <c r="E7" s="45" t="inlineStr">
        <is>
          <t>rent-roll-revised.xlsx</t>
        </is>
      </c>
      <c r="F7" s="45" t="inlineStr">
        <is>
          <t>Rent Roll!C5:C12,D5:D12</t>
        </is>
      </c>
      <c r="G7" s="45" t="inlineStr">
        <is>
          <t>Unchanged.</t>
        </is>
      </c>
    </row>
    <row r="8" ht="15" customHeight="1" s="42">
      <c r="A8" s="44" t="inlineStr">
        <is>
          <t>unit_occupancy</t>
        </is>
      </c>
      <c r="B8" s="78" t="n">
        <v>0.875</v>
      </c>
      <c r="C8" s="78">
        <f>RentRoll!B20</f>
        <v/>
      </c>
      <c r="D8" s="49" t="inlineStr">
        <is>
          <t>decimal</t>
        </is>
      </c>
      <c r="E8" s="45" t="inlineStr">
        <is>
          <t>rent-roll-revised.xlsx</t>
        </is>
      </c>
      <c r="F8" s="45" t="inlineStr">
        <is>
          <t>Rent Roll!A5:A12,D5:D12</t>
        </is>
      </c>
      <c r="G8" s="45" t="inlineStr">
        <is>
          <t>Unchanged.</t>
        </is>
      </c>
    </row>
    <row r="9" ht="15" customHeight="1" s="42">
      <c r="A9" s="44" t="inlineStr">
        <is>
          <t>area_occupancy</t>
        </is>
      </c>
      <c r="B9" s="78" t="n">
        <v>0.875</v>
      </c>
      <c r="C9" s="78">
        <f>RentRoll!B21</f>
        <v/>
      </c>
      <c r="D9" s="49" t="inlineStr">
        <is>
          <t>decimal</t>
        </is>
      </c>
      <c r="E9" s="45" t="inlineStr">
        <is>
          <t>rent-roll-revised.xlsx</t>
        </is>
      </c>
      <c r="F9" s="45" t="inlineStr">
        <is>
          <t>Rent Roll!C5:C12,D5:D12</t>
        </is>
      </c>
      <c r="G9" s="45" t="inlineStr">
        <is>
          <t>Unchanged.</t>
        </is>
      </c>
    </row>
    <row r="10" ht="15" customHeight="1" s="42">
      <c r="A10" s="79" t="inlineStr">
        <is>
          <t>annual_in_place_rent</t>
        </is>
      </c>
      <c r="B10" s="61" t="n">
        <v>1227600</v>
      </c>
      <c r="C10" s="61">
        <f>RentRoll!B23</f>
        <v/>
      </c>
      <c r="D10" s="57" t="inlineStr">
        <is>
          <t>USD/yr</t>
        </is>
      </c>
      <c r="E10" s="80" t="inlineStr">
        <is>
          <t>rent-roll-revised.xlsx</t>
        </is>
      </c>
      <c r="F10" s="80" t="inlineStr">
        <is>
          <t>Rent Roll!E5:E12,D5:D12</t>
        </is>
      </c>
      <c r="G10" s="80" t="inlineStr">
        <is>
          <t>Increased by $2,700/yr — Suite 002 +$225/mo.</t>
        </is>
      </c>
    </row>
    <row r="11" ht="15" customHeight="1" s="42">
      <c r="A11" s="44" t="inlineStr">
        <is>
          <t>unit_001_monthly_rent</t>
        </is>
      </c>
      <c r="B11" s="52" t="n">
        <v>14450</v>
      </c>
      <c r="C11" s="52">
        <f>RentRoll!B22</f>
        <v/>
      </c>
      <c r="D11" s="49" t="inlineStr">
        <is>
          <t>USD/mo</t>
        </is>
      </c>
      <c r="E11" s="45" t="inlineStr">
        <is>
          <t>rent-roll-revised.xlsx; lease-001.pdf</t>
        </is>
      </c>
      <c r="F11" s="45" t="inlineStr">
        <is>
          <t>Rent Roll!E5; lease p.1</t>
        </is>
      </c>
      <c r="G11" s="45" t="inlineStr">
        <is>
          <t>Unchanged — Suite 001 amendment still applies.</t>
        </is>
      </c>
    </row>
    <row r="12" ht="15" customHeight="1" s="42">
      <c r="A12" s="79" t="inlineStr">
        <is>
          <t>gross_potential_rent</t>
        </is>
      </c>
      <c r="B12" s="61" t="n">
        <v>1401900</v>
      </c>
      <c r="C12" s="61">
        <f>UW!B3</f>
        <v/>
      </c>
      <c r="D12" s="57" t="inlineStr">
        <is>
          <t>USD/yr</t>
        </is>
      </c>
      <c r="E12" s="80" t="inlineStr">
        <is>
          <t>underwriting-instructions.pdf; rent-roll-revised.xlsx</t>
        </is>
      </c>
      <c r="F12" s="80" t="inlineStr">
        <is>
          <t>instr. p.1 ¶2; roll E5:E12</t>
        </is>
      </c>
      <c r="G12" s="80" t="inlineStr">
        <is>
          <t>Increased by $2,700/yr (Suite 002 +$225 × 12).</t>
        </is>
      </c>
    </row>
    <row r="13" ht="15" customHeight="1" s="42">
      <c r="A13" s="79" t="inlineStr">
        <is>
          <t>uw_egi</t>
        </is>
      </c>
      <c r="B13" s="61" t="n">
        <v>1334605</v>
      </c>
      <c r="C13" s="61">
        <f>UW!B6</f>
        <v/>
      </c>
      <c r="D13" s="57" t="inlineStr">
        <is>
          <t>USD/yr</t>
        </is>
      </c>
      <c r="E13" s="80" t="inlineStr">
        <is>
          <t>underwriting-instructions.pdf</t>
        </is>
      </c>
      <c r="F13" s="80" t="inlineStr">
        <is>
          <t>p.1 ¶2</t>
        </is>
      </c>
      <c r="G13" s="80" t="inlineStr">
        <is>
          <t>Follows revised GPR (Δ +$2,565 after 5% loss).</t>
        </is>
      </c>
    </row>
    <row r="14" ht="15" customHeight="1" s="42">
      <c r="A14" s="44" t="inlineStr">
        <is>
          <t>uw_tax</t>
        </is>
      </c>
      <c r="B14" s="52" t="n">
        <v>147294</v>
      </c>
      <c r="C14" s="52">
        <f>UW!B9</f>
        <v/>
      </c>
      <c r="D14" s="49" t="inlineStr">
        <is>
          <t>USD/yr</t>
        </is>
      </c>
      <c r="E14" s="45" t="inlineStr">
        <is>
          <t>underwriting-instructions.pdf</t>
        </is>
      </c>
      <c r="F14" s="45" t="inlineStr">
        <is>
          <t>p.1 ¶3</t>
        </is>
      </c>
      <c r="G14" s="45" t="inlineStr">
        <is>
          <t>Unchanged.</t>
        </is>
      </c>
    </row>
    <row r="15" ht="15" customHeight="1" s="42">
      <c r="A15" s="44" t="inlineStr">
        <is>
          <t>uw_insurance</t>
        </is>
      </c>
      <c r="B15" s="52" t="n">
        <v>49098</v>
      </c>
      <c r="C15" s="52">
        <f>UW!B10</f>
        <v/>
      </c>
      <c r="D15" s="49" t="inlineStr">
        <is>
          <t>USD/yr</t>
        </is>
      </c>
      <c r="E15" s="45" t="inlineStr">
        <is>
          <t>underwriting-instructions.pdf</t>
        </is>
      </c>
      <c r="F15" s="45" t="inlineStr">
        <is>
          <t>p.1 ¶3</t>
        </is>
      </c>
      <c r="G15" s="45" t="inlineStr">
        <is>
          <t>Unchanged.</t>
        </is>
      </c>
    </row>
    <row r="16" ht="15" customHeight="1" s="42">
      <c r="A16" s="79" t="inlineStr">
        <is>
          <t>uw_operating_expenses</t>
        </is>
      </c>
      <c r="B16" s="61" t="n">
        <v>432822.15</v>
      </c>
      <c r="C16" s="61">
        <f>UW!B13</f>
        <v/>
      </c>
      <c r="D16" s="57" t="inlineStr">
        <is>
          <t>USD/yr</t>
        </is>
      </c>
      <c r="E16" s="80" t="inlineStr">
        <is>
          <t>underwriting-instructions.pdf</t>
        </is>
      </c>
      <c r="F16" s="80" t="inlineStr">
        <is>
          <t>p.1 ¶3</t>
        </is>
      </c>
      <c r="G16" s="80" t="inlineStr">
        <is>
          <t>Δ mgmt fee only (+$76.95 on higher EGI).</t>
        </is>
      </c>
    </row>
    <row r="17" ht="15" customHeight="1" s="42">
      <c r="A17" s="79" t="inlineStr">
        <is>
          <t>uw_noi</t>
        </is>
      </c>
      <c r="B17" s="61" t="n">
        <v>901782.85</v>
      </c>
      <c r="C17" s="61">
        <f>UW!B16</f>
        <v/>
      </c>
      <c r="D17" s="57" t="inlineStr">
        <is>
          <t>USD/yr</t>
        </is>
      </c>
      <c r="E17" s="80" t="inlineStr">
        <is>
          <t>underwriting-instructions.pdf</t>
        </is>
      </c>
      <c r="F17" s="80" t="inlineStr">
        <is>
          <t>p.1 ¶3</t>
        </is>
      </c>
      <c r="G17" s="80" t="inlineStr">
        <is>
          <t>Increased by $2,488.05.</t>
        </is>
      </c>
    </row>
    <row r="18" ht="15" customHeight="1" s="42">
      <c r="A18" s="79" t="inlineStr">
        <is>
          <t>uw_ncf</t>
        </is>
      </c>
      <c r="B18" s="61" t="n">
        <v>899382.85</v>
      </c>
      <c r="C18" s="61">
        <f>UW!B18</f>
        <v/>
      </c>
      <c r="D18" s="57" t="inlineStr">
        <is>
          <t>USD/yr</t>
        </is>
      </c>
      <c r="E18" s="80" t="inlineStr">
        <is>
          <t>underwriting-instructions.pdf</t>
        </is>
      </c>
      <c r="F18" s="80" t="inlineStr">
        <is>
          <t>p.1 ¶3</t>
        </is>
      </c>
      <c r="G18" s="80" t="inlineStr">
        <is>
          <t>Increased by $2,488.05.</t>
        </is>
      </c>
    </row>
    <row r="19" ht="15" customHeight="1" s="42">
      <c r="A19" s="79" t="inlineStr">
        <is>
          <t>sizing_rate</t>
        </is>
      </c>
      <c r="B19" s="81" t="n">
        <v>0.07000000000000001</v>
      </c>
      <c r="C19" s="81">
        <f>Inputs!B5</f>
        <v/>
      </c>
      <c r="D19" s="57" t="inlineStr">
        <is>
          <t>decimal</t>
        </is>
      </c>
      <c r="E19" s="80" t="inlineStr">
        <is>
          <t>revision-notice.pdf</t>
        </is>
      </c>
      <c r="F19" s="80" t="inlineStr">
        <is>
          <t>p.1 ¶2</t>
        </is>
      </c>
      <c r="G19" s="80" t="inlineStr">
        <is>
          <t>+75 bps → 7.75%. Floor still binding vs 6.10% note rate.</t>
        </is>
      </c>
    </row>
    <row r="20" ht="15" customHeight="1" s="42">
      <c r="A20" s="79" t="inlineStr">
        <is>
          <t>cap_rate</t>
        </is>
      </c>
      <c r="B20" s="81" t="n">
        <v>0.0625</v>
      </c>
      <c r="C20" s="81">
        <f>Inputs!B4</f>
        <v/>
      </c>
      <c r="D20" s="57" t="inlineStr">
        <is>
          <t>decimal</t>
        </is>
      </c>
      <c r="E20" s="80" t="inlineStr">
        <is>
          <t>revision-notice.pdf</t>
        </is>
      </c>
      <c r="F20" s="80" t="inlineStr">
        <is>
          <t>p.1 ¶2</t>
        </is>
      </c>
      <c r="G20" s="80" t="inlineStr">
        <is>
          <t>+25 bps → 6.5000%.</t>
        </is>
      </c>
    </row>
    <row r="21" ht="15" customHeight="1" s="42">
      <c r="A21" s="79" t="inlineStr">
        <is>
          <t>capitalization_value</t>
        </is>
      </c>
      <c r="B21" s="61" t="n">
        <v>14428525.6</v>
      </c>
      <c r="C21" s="61">
        <f>UW!B20</f>
        <v/>
      </c>
      <c r="D21" s="57" t="inlineStr">
        <is>
          <t>USD</t>
        </is>
      </c>
      <c r="E21" s="80" t="inlineStr">
        <is>
          <t>computed</t>
        </is>
      </c>
      <c r="F21" s="80" t="inlineStr">
        <is>
          <t>UW!B20</t>
        </is>
      </c>
      <c r="G21" s="80" t="inlineStr">
        <is>
          <t>Fell to ~$13.91M — higher cap rate outweighs higher NOI.</t>
        </is>
      </c>
    </row>
    <row r="22" ht="15" customHeight="1" s="42">
      <c r="A22" s="44" t="inlineStr">
        <is>
          <t>ltv_limit</t>
        </is>
      </c>
      <c r="B22" s="55" t="n">
        <v>0.65</v>
      </c>
      <c r="C22" s="55">
        <f>Inputs!B15</f>
        <v/>
      </c>
      <c r="D22" s="49" t="inlineStr">
        <is>
          <t>decimal</t>
        </is>
      </c>
      <c r="E22" s="45" t="inlineStr">
        <is>
          <t>underwriting-instructions.pdf</t>
        </is>
      </c>
      <c r="F22" s="45" t="inlineStr">
        <is>
          <t>p.1 ¶4</t>
        </is>
      </c>
      <c r="G22" s="45" t="inlineStr">
        <is>
          <t>Unchanged.</t>
        </is>
      </c>
    </row>
    <row r="23" ht="15" customHeight="1" s="42">
      <c r="A23" s="44" t="inlineStr">
        <is>
          <t>dscr_limit</t>
        </is>
      </c>
      <c r="B23" s="53" t="n">
        <v>1.25</v>
      </c>
      <c r="C23" s="53">
        <f>Inputs!B16</f>
        <v/>
      </c>
      <c r="D23" s="49" t="inlineStr">
        <is>
          <t>ratio</t>
        </is>
      </c>
      <c r="E23" s="45" t="inlineStr">
        <is>
          <t>underwriting-instructions.pdf</t>
        </is>
      </c>
      <c r="F23" s="45" t="inlineStr">
        <is>
          <t>p.1 ¶4</t>
        </is>
      </c>
      <c r="G23" s="45" t="inlineStr">
        <is>
          <t>Unchanged.</t>
        </is>
      </c>
    </row>
    <row r="24" ht="15" customHeight="1" s="42">
      <c r="A24" s="44" t="inlineStr">
        <is>
          <t>debt_yield_limit</t>
        </is>
      </c>
      <c r="B24" s="55" t="n">
        <v>0.09</v>
      </c>
      <c r="C24" s="55">
        <f>Inputs!B17</f>
        <v/>
      </c>
      <c r="D24" s="49" t="inlineStr">
        <is>
          <t>decimal</t>
        </is>
      </c>
      <c r="E24" s="45" t="inlineStr">
        <is>
          <t>underwriting-instructions.pdf</t>
        </is>
      </c>
      <c r="F24" s="45" t="inlineStr">
        <is>
          <t>p.1 ¶4</t>
        </is>
      </c>
      <c r="G24" s="45" t="inlineStr">
        <is>
          <t>Unchanged.</t>
        </is>
      </c>
    </row>
    <row r="25" ht="15" customHeight="1" s="42">
      <c r="A25" s="79" t="inlineStr">
        <is>
          <t>maximum_loan</t>
        </is>
      </c>
      <c r="B25" s="61" t="n">
        <v>9012269.92</v>
      </c>
      <c r="C25" s="61">
        <f>Debt!B18</f>
        <v/>
      </c>
      <c r="D25" s="57" t="inlineStr">
        <is>
          <t>USD</t>
        </is>
      </c>
      <c r="E25" s="80" t="inlineStr">
        <is>
          <t>computed</t>
        </is>
      </c>
      <c r="F25" s="80" t="inlineStr">
        <is>
          <t>Debt!B18</t>
        </is>
      </c>
      <c r="G25" s="80" t="inlineStr">
        <is>
          <t>Fell — higher sizing rate raises debt constant → DSCR cap tighter. Still DSCR-binding.</t>
        </is>
      </c>
    </row>
    <row r="26" ht="15" customHeight="1" s="42">
      <c r="A26" s="79" t="inlineStr">
        <is>
          <t>net_cash_out</t>
        </is>
      </c>
      <c r="B26" s="61" t="n">
        <v>1077147.22</v>
      </c>
      <c r="C26" s="61">
        <f>Debt!B29</f>
        <v/>
      </c>
      <c r="D26" s="57" t="inlineStr">
        <is>
          <t>USD</t>
        </is>
      </c>
      <c r="E26" s="80" t="inlineStr">
        <is>
          <t>computed</t>
        </is>
      </c>
      <c r="F26" s="80" t="inlineStr">
        <is>
          <t>Debt!B29</t>
        </is>
      </c>
      <c r="G26" s="80" t="inlineStr">
        <is>
          <t>Reduced but still positive → no shortfall.</t>
        </is>
      </c>
    </row>
    <row r="27" ht="15" customHeight="1" s="42">
      <c r="A27" s="44" t="inlineStr">
        <is>
          <t>insurance_policy_limit</t>
        </is>
      </c>
      <c r="B27" s="52" t="n">
        <v>2000000</v>
      </c>
      <c r="C27" s="52" t="n">
        <v>2000000</v>
      </c>
      <c r="D27" s="49" t="inlineStr">
        <is>
          <t>USD</t>
        </is>
      </c>
      <c r="E27" s="45" t="inlineStr">
        <is>
          <t>insurance.pdf</t>
        </is>
      </c>
      <c r="F27" s="45" t="inlineStr">
        <is>
          <t>p.1 ¶1</t>
        </is>
      </c>
      <c r="G27" s="45" t="inlineStr">
        <is>
          <t>Unchanged.</t>
        </is>
      </c>
    </row>
    <row r="28" ht="15" customHeight="1" s="42">
      <c r="A28" s="79" t="inlineStr">
        <is>
          <t>selected_roll_date</t>
        </is>
      </c>
      <c r="B28" s="58" t="inlineStr">
        <is>
          <t>2026-08-31</t>
        </is>
      </c>
      <c r="C28" s="58" t="inlineStr">
        <is>
          <t>2026-09-01</t>
        </is>
      </c>
      <c r="D28" s="57" t="inlineStr">
        <is>
          <t>date</t>
        </is>
      </c>
      <c r="E28" s="80" t="inlineStr">
        <is>
          <t>rent-roll-revised.xlsx</t>
        </is>
      </c>
      <c r="F28" s="80" t="inlineStr">
        <is>
          <t>Rent Roll!B2</t>
        </is>
      </c>
      <c r="G28" s="80" t="inlineStr">
        <is>
          <t>Revised roll effective 2026-09-01.</t>
        </is>
      </c>
    </row>
    <row r="29" ht="15" customHeight="1" s="42">
      <c r="A29" s="44" t="inlineStr">
        <is>
          <t>reported_t12_noi</t>
        </is>
      </c>
      <c r="B29" s="52" t="n">
        <v>869736</v>
      </c>
      <c r="C29" s="52" t="n">
        <v>869736</v>
      </c>
      <c r="D29" s="49" t="inlineStr">
        <is>
          <t>USD/yr</t>
        </is>
      </c>
      <c r="E29" s="45" t="inlineStr">
        <is>
          <t>operating-statement.pdf</t>
        </is>
      </c>
      <c r="F29" s="45" t="inlineStr">
        <is>
          <t>p.1 table</t>
        </is>
      </c>
      <c r="G29" s="45" t="inlineStr">
        <is>
          <t>Unchanged — historical T12 not restated.</t>
        </is>
      </c>
    </row>
    <row r="30" ht="15" customHeight="1" s="42">
      <c r="A30" s="44" t="inlineStr">
        <is>
          <t>type_a_units</t>
        </is>
      </c>
      <c r="B30" s="54" t="n">
        <v>3</v>
      </c>
      <c r="C30" s="54">
        <f>RentRoll!B28</f>
        <v/>
      </c>
      <c r="D30" s="49" t="inlineStr">
        <is>
          <t>count</t>
        </is>
      </c>
      <c r="E30" s="45" t="inlineStr">
        <is>
          <t>rent-roll-revised.xlsx; manager-cover.pdf</t>
        </is>
      </c>
      <c r="F30" s="45" t="inlineStr">
        <is>
          <t>Rent Roll!B5:B12; cover p.1</t>
        </is>
      </c>
      <c r="G30" s="45" t="inlineStr">
        <is>
          <t>Unchanged.</t>
        </is>
      </c>
    </row>
    <row r="31" ht="15" customHeight="1" s="42">
      <c r="A31" s="44" t="inlineStr">
        <is>
          <t>type_a_occupied</t>
        </is>
      </c>
      <c r="B31" s="54" t="n">
        <v>3</v>
      </c>
      <c r="C31" s="54">
        <f>RentRoll!C28</f>
        <v/>
      </c>
      <c r="D31" s="49" t="inlineStr">
        <is>
          <t>count</t>
        </is>
      </c>
      <c r="E31" s="45" t="inlineStr">
        <is>
          <t>rent-roll-revised.xlsx</t>
        </is>
      </c>
      <c r="F31" s="45" t="inlineStr">
        <is>
          <t>Rent Roll!D5:D12</t>
        </is>
      </c>
      <c r="G31" s="45" t="inlineStr">
        <is>
          <t>Unchanged.</t>
        </is>
      </c>
    </row>
    <row r="32" ht="15" customHeight="1" s="42">
      <c r="A32" s="44" t="inlineStr">
        <is>
          <t>type_b_units</t>
        </is>
      </c>
      <c r="B32" s="54" t="n">
        <v>3</v>
      </c>
      <c r="C32" s="54">
        <f>RentRoll!B29</f>
        <v/>
      </c>
      <c r="D32" s="49" t="inlineStr">
        <is>
          <t>count</t>
        </is>
      </c>
      <c r="E32" s="45" t="inlineStr">
        <is>
          <t>rent-roll-revised.xlsx; manager-cover.pdf</t>
        </is>
      </c>
      <c r="F32" s="45" t="inlineStr">
        <is>
          <t>Rent Roll!B5:B12; cover p.1</t>
        </is>
      </c>
      <c r="G32" s="45" t="inlineStr">
        <is>
          <t>Unchanged.</t>
        </is>
      </c>
    </row>
    <row r="33" ht="15" customHeight="1" s="42">
      <c r="A33" s="44" t="inlineStr">
        <is>
          <t>type_b_occupied</t>
        </is>
      </c>
      <c r="B33" s="54" t="n">
        <v>2</v>
      </c>
      <c r="C33" s="54">
        <f>RentRoll!C29</f>
        <v/>
      </c>
      <c r="D33" s="49" t="inlineStr">
        <is>
          <t>count</t>
        </is>
      </c>
      <c r="E33" s="45" t="inlineStr">
        <is>
          <t>rent-roll-revised.xlsx</t>
        </is>
      </c>
      <c r="F33" s="45" t="inlineStr">
        <is>
          <t>Rent Roll!D5:D12</t>
        </is>
      </c>
      <c r="G33" s="45" t="inlineStr">
        <is>
          <t>Unchanged.</t>
        </is>
      </c>
    </row>
    <row r="34" ht="15" customHeight="1" s="42">
      <c r="A34" s="44" t="inlineStr">
        <is>
          <t>type_c_units</t>
        </is>
      </c>
      <c r="B34" s="54" t="n">
        <v>2</v>
      </c>
      <c r="C34" s="54">
        <f>RentRoll!B30</f>
        <v/>
      </c>
      <c r="D34" s="49" t="inlineStr">
        <is>
          <t>count</t>
        </is>
      </c>
      <c r="E34" s="45" t="inlineStr">
        <is>
          <t>rent-roll-revised.xlsx; manager-cover.pdf</t>
        </is>
      </c>
      <c r="F34" s="45" t="inlineStr">
        <is>
          <t>Rent Roll!B5:B12; cover p.1</t>
        </is>
      </c>
      <c r="G34" s="45" t="inlineStr">
        <is>
          <t>Unchanged.</t>
        </is>
      </c>
    </row>
    <row r="35" ht="15" customHeight="1" s="42">
      <c r="A35" s="44" t="inlineStr">
        <is>
          <t>type_c_occupied</t>
        </is>
      </c>
      <c r="B35" s="54" t="n">
        <v>2</v>
      </c>
      <c r="C35" s="54">
        <f>RentRoll!C30</f>
        <v/>
      </c>
      <c r="D35" s="49" t="inlineStr">
        <is>
          <t>count</t>
        </is>
      </c>
      <c r="E35" s="45" t="inlineStr">
        <is>
          <t>rent-roll-revised.xlsx</t>
        </is>
      </c>
      <c r="F35" s="45" t="inlineStr">
        <is>
          <t>Rent Roll!D5:D12</t>
        </is>
      </c>
      <c r="G35" s="45" t="inlineStr">
        <is>
          <t>Unchanged.</t>
        </is>
      </c>
    </row>
    <row r="36" ht="15" customHeight="1" s="42">
      <c r="A36" s="44" t="inlineStr">
        <is>
          <t>risk_pending_in_occupancy</t>
        </is>
      </c>
      <c r="B36" s="41" t="inlineStr">
        <is>
          <t>present</t>
        </is>
      </c>
      <c r="C36" s="41" t="inlineStr">
        <is>
          <t>present</t>
        </is>
      </c>
      <c r="D36" s="49" t="inlineStr">
        <is>
          <t>flag</t>
        </is>
      </c>
      <c r="E36" s="45" t="inlineStr">
        <is>
          <t>manager-cover.pdf; rent-roll-revised.xlsx</t>
        </is>
      </c>
      <c r="F36" s="45" t="inlineStr">
        <is>
          <t>cover p.1; Rent Roll!D5:D12</t>
        </is>
      </c>
      <c r="G36" s="45" t="inlineStr">
        <is>
          <t>Same manager headline conflict persists.</t>
        </is>
      </c>
    </row>
    <row r="37" ht="15" customHeight="1" s="42">
      <c r="A37" s="44" t="inlineStr">
        <is>
          <t>risk_near_term_rollover</t>
        </is>
      </c>
      <c r="B37" s="41" t="inlineStr">
        <is>
          <t>absent</t>
        </is>
      </c>
      <c r="C37" s="41" t="inlineStr">
        <is>
          <t>absent</t>
        </is>
      </c>
      <c r="D37" s="49" t="inlineStr">
        <is>
          <t>flag</t>
        </is>
      </c>
      <c r="E37" s="45" t="inlineStr">
        <is>
          <t>rent-roll-revised.xlsx</t>
        </is>
      </c>
      <c r="F37" s="45" t="inlineStr">
        <is>
          <t>Rent Roll!F5:F12</t>
        </is>
      </c>
      <c r="G37" s="45" t="inlineStr">
        <is>
          <t>All expirations 2029-08-31, still &gt; 12 months.</t>
        </is>
      </c>
    </row>
    <row r="38" ht="15" customHeight="1" s="42">
      <c r="A38" s="44" t="inlineStr">
        <is>
          <t>risk_missing_insurance</t>
        </is>
      </c>
      <c r="B38" s="41" t="inlineStr">
        <is>
          <t>absent</t>
        </is>
      </c>
      <c r="C38" s="41" t="inlineStr">
        <is>
          <t>absent</t>
        </is>
      </c>
      <c r="D38" s="49" t="inlineStr">
        <is>
          <t>flag</t>
        </is>
      </c>
      <c r="E38" s="45" t="inlineStr">
        <is>
          <t>insurance.pdf</t>
        </is>
      </c>
      <c r="F38" s="45" t="inlineStr">
        <is>
          <t>p.1</t>
        </is>
      </c>
      <c r="G38" s="45" t="inlineStr">
        <is>
          <t>Policy declaration still present.</t>
        </is>
      </c>
    </row>
    <row r="39" ht="15" customHeight="1" s="42">
      <c r="A39" s="44" t="inlineStr">
        <is>
          <t>risk_capital_in_opex</t>
        </is>
      </c>
      <c r="B39" s="41" t="inlineStr">
        <is>
          <t>absent</t>
        </is>
      </c>
      <c r="C39" s="41" t="inlineStr">
        <is>
          <t>absent</t>
        </is>
      </c>
      <c r="D39" s="49" t="inlineStr">
        <is>
          <t>flag</t>
        </is>
      </c>
      <c r="E39" s="45" t="inlineStr">
        <is>
          <t>operating-statement.pdf</t>
        </is>
      </c>
      <c r="F39" s="45" t="inlineStr">
        <is>
          <t>p.1 table</t>
        </is>
      </c>
      <c r="G39" s="45" t="inlineStr">
        <is>
          <t>Historical ledger unchanged.</t>
        </is>
      </c>
    </row>
    <row r="40" ht="15" customHeight="1" s="42">
      <c r="A40" s="44" t="inlineStr">
        <is>
          <t>risk_unsigned_rent_change</t>
        </is>
      </c>
      <c r="B40" s="41" t="inlineStr">
        <is>
          <t>absent</t>
        </is>
      </c>
      <c r="C40" s="41" t="inlineStr">
        <is>
          <t>absent</t>
        </is>
      </c>
      <c r="D40" s="49" t="inlineStr">
        <is>
          <t>flag</t>
        </is>
      </c>
      <c r="E40" s="45" t="inlineStr">
        <is>
          <t>lease-correspondence.pdf; revision-notice.pdf</t>
        </is>
      </c>
      <c r="F40" s="45" t="inlineStr">
        <is>
          <t>corr. p.1; notice p.1</t>
        </is>
      </c>
      <c r="G40" s="45" t="inlineStr">
        <is>
          <t>Suite 002 change delivered via revised certified roll (an executed manager document); no unsigned proposal in packet.</t>
        </is>
      </c>
    </row>
    <row r="41" ht="15" customHeight="1" s="42">
      <c r="A41" s="44" t="inlineStr">
        <is>
          <t>risk_temporary_free_rent</t>
        </is>
      </c>
      <c r="B41" s="41" t="inlineStr">
        <is>
          <t>absent</t>
        </is>
      </c>
      <c r="C41" s="41" t="inlineStr">
        <is>
          <t>absent</t>
        </is>
      </c>
      <c r="D41" s="49" t="inlineStr">
        <is>
          <t>flag</t>
        </is>
      </c>
      <c r="E41" s="45" t="inlineStr">
        <is>
          <t>lease-001.pdf</t>
        </is>
      </c>
      <c r="F41" s="45" t="inlineStr">
        <is>
          <t>p.1</t>
        </is>
      </c>
      <c r="G41" s="45" t="inlineStr">
        <is>
          <t>Unchanged.</t>
        </is>
      </c>
    </row>
    <row r="42" ht="15" customHeight="1" s="42">
      <c r="A42" s="44" t="inlineStr">
        <is>
          <t>risk_sizing_floor_binding</t>
        </is>
      </c>
      <c r="B42" s="41" t="inlineStr">
        <is>
          <t>present</t>
        </is>
      </c>
      <c r="C42" s="41" t="inlineStr">
        <is>
          <t>present</t>
        </is>
      </c>
      <c r="D42" s="49" t="inlineStr">
        <is>
          <t>flag</t>
        </is>
      </c>
      <c r="E42" s="45" t="inlineStr">
        <is>
          <t>revision-notice.pdf; underwriting-instructions.pdf</t>
        </is>
      </c>
      <c r="F42" s="45" t="inlineStr">
        <is>
          <t>notice p.1; instr. p.1 ¶4</t>
        </is>
      </c>
      <c r="G42" s="45" t="inlineStr">
        <is>
          <t>Note 6.10% &lt; revised floor 7.75%; sizing at floor.</t>
        </is>
      </c>
    </row>
    <row r="43" ht="15" customHeight="1" s="42">
      <c r="A43" s="44" t="inlineStr">
        <is>
          <t>risk_refinance_shortfall</t>
        </is>
      </c>
      <c r="B43" s="41" t="inlineStr">
        <is>
          <t>absent</t>
        </is>
      </c>
      <c r="C43" s="41" t="inlineStr">
        <is>
          <t>absent</t>
        </is>
      </c>
      <c r="D43" s="49" t="inlineStr">
        <is>
          <t>flag</t>
        </is>
      </c>
      <c r="E43" s="45" t="inlineStr">
        <is>
          <t>computed</t>
        </is>
      </c>
      <c r="F43" s="45" t="inlineStr">
        <is>
          <t>Debt!B29</t>
        </is>
      </c>
      <c r="G43" s="45" t="inlineStr">
        <is>
          <t>net_cash_out $463,629 &gt; 0 → surplus, no shortfall.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41" min="1" max="1"/>
    <col width="14" customWidth="1" style="41" min="2" max="2"/>
    <col width="26" customWidth="1" style="41" min="3" max="3"/>
    <col width="90" customWidth="1" style="41" min="4" max="4"/>
  </cols>
  <sheetData>
    <row r="1" ht="15" customHeight="1" s="42">
      <c r="A1" s="46" t="inlineStr">
        <is>
          <t>Source register (v2) — every fact cited</t>
        </is>
      </c>
    </row>
    <row r="2" ht="15" customHeight="1" s="42">
      <c r="A2" s="47" t="inlineStr">
        <is>
          <t>Filename</t>
        </is>
      </c>
      <c r="B2" s="47" t="inlineStr">
        <is>
          <t>Page/cell</t>
        </is>
      </c>
      <c r="C2" s="47" t="inlineStr">
        <is>
          <t>Field(s) cited</t>
        </is>
      </c>
      <c r="D2" s="47" t="inlineStr">
        <is>
          <t>Note</t>
        </is>
      </c>
    </row>
    <row r="3" ht="15" customHeight="1" s="42">
      <c r="A3" s="44" t="inlineStr">
        <is>
          <t>revision-notice.pdf</t>
        </is>
      </c>
      <c r="B3" s="41" t="inlineStr">
        <is>
          <t>p.1</t>
        </is>
      </c>
      <c r="C3" s="45" t="inlineStr">
        <is>
          <t>sizing_rate, cap_rate, GPR, selected_roll_date</t>
        </is>
      </c>
      <c r="D3" s="45" t="inlineStr">
        <is>
          <t>2026-09-01 revision. +75 bps sizing, +25 bps cap, use revised roll. Preserve approved copy.</t>
        </is>
      </c>
    </row>
    <row r="4" ht="15" customHeight="1" s="42">
      <c r="A4" s="44" t="inlineStr">
        <is>
          <t>rent-roll-revised.xlsx</t>
        </is>
      </c>
      <c r="B4" s="41" t="inlineStr">
        <is>
          <t>Rent Roll!B2</t>
        </is>
      </c>
      <c r="C4" s="45" t="inlineStr">
        <is>
          <t>selected_roll_date</t>
        </is>
      </c>
      <c r="D4" s="45" t="inlineStr">
        <is>
          <t>Controlling revised roll effective 2026-09-01. Supersedes 2026-08-31 certified.</t>
        </is>
      </c>
    </row>
    <row r="5" ht="15" customHeight="1" s="42">
      <c r="A5" s="44" t="inlineStr">
        <is>
          <t>rent-roll-revised.xlsx</t>
        </is>
      </c>
      <c r="B5" s="41" t="inlineStr">
        <is>
          <t>Rent Roll!A5:G12</t>
        </is>
      </c>
      <c r="C5" s="45" t="inlineStr">
        <is>
          <t>unit mix, occupancy, in-place rent, Suite 002 rent</t>
        </is>
      </c>
      <c r="D5" s="45" t="inlineStr">
        <is>
          <t>Suite 002 = $14,825/mo (prior $14,600, +$225). All other lines unchanged.</t>
        </is>
      </c>
    </row>
    <row r="6" ht="15" customHeight="1" s="42">
      <c r="A6" s="44" t="inlineStr">
        <is>
          <t>rent-roll-certified.xlsx</t>
        </is>
      </c>
      <c r="B6" s="41" t="inlineStr">
        <is>
          <t>Rent Roll!B2</t>
        </is>
      </c>
      <c r="C6" s="45" t="inlineStr">
        <is>
          <t>(prior version)</t>
        </is>
      </c>
      <c r="D6" s="45" t="inlineStr">
        <is>
          <t>2026-08-31 certified — preserved in v1 audit archive.</t>
        </is>
      </c>
    </row>
    <row r="7" ht="15" customHeight="1" s="42">
      <c r="A7" s="44" t="inlineStr">
        <is>
          <t>rent-roll-archive.xlsx</t>
        </is>
      </c>
      <c r="B7" s="41" t="inlineStr">
        <is>
          <t>Rent Roll!B2</t>
        </is>
      </c>
      <c r="C7" s="45" t="inlineStr">
        <is>
          <t>(archive)</t>
        </is>
      </c>
      <c r="D7" s="45" t="inlineStr">
        <is>
          <t>2026-06-30 stale — not used.</t>
        </is>
      </c>
    </row>
    <row r="8" ht="15" customHeight="1" s="42">
      <c r="A8" s="44" t="inlineStr">
        <is>
          <t>lease-001.pdf</t>
        </is>
      </c>
      <c r="B8" s="41" t="inlineStr">
        <is>
          <t>p.1</t>
        </is>
      </c>
      <c r="C8" s="45" t="inlineStr">
        <is>
          <t>unit_001_monthly_rent</t>
        </is>
      </c>
      <c r="D8" s="45" t="inlineStr">
        <is>
          <t>Executed amendment: $14,450/mo continues to apply (revision notice reaffirms).</t>
        </is>
      </c>
    </row>
    <row r="9" ht="15" customHeight="1" s="42">
      <c r="A9" s="44" t="inlineStr">
        <is>
          <t>lease-correspondence.pdf</t>
        </is>
      </c>
      <c r="B9" s="41" t="inlineStr">
        <is>
          <t>p.1</t>
        </is>
      </c>
      <c r="C9" s="45" t="inlineStr">
        <is>
          <t>risk_unsigned_rent_change</t>
        </is>
      </c>
      <c r="D9" s="45" t="inlineStr">
        <is>
          <t>PM confirms no unsigned amendments/concessions.</t>
        </is>
      </c>
    </row>
    <row r="10" ht="15" customHeight="1" s="42">
      <c r="A10" s="44" t="inlineStr">
        <is>
          <t>insurance.pdf</t>
        </is>
      </c>
      <c r="B10" s="41" t="inlineStr">
        <is>
          <t>p.1</t>
        </is>
      </c>
      <c r="C10" s="45" t="inlineStr">
        <is>
          <t>insurance_policy_limit, risk_missing_insurance</t>
        </is>
      </c>
      <c r="D10" s="45" t="inlineStr">
        <is>
          <t>GL aggregate $2,000,000; expense $49,098 separate. Unchanged.</t>
        </is>
      </c>
    </row>
    <row r="11" ht="15" customHeight="1" s="42">
      <c r="A11" s="44" t="inlineStr">
        <is>
          <t>operating-statement.pdf</t>
        </is>
      </c>
      <c r="B11" s="41" t="inlineStr">
        <is>
          <t>p.1 table</t>
        </is>
      </c>
      <c r="C11" s="45" t="inlineStr">
        <is>
          <t>reported_t12_noi, risk_capital_in_opex</t>
        </is>
      </c>
      <c r="D11" s="45" t="inlineStr">
        <is>
          <t>T12 through 2026-08-31 unchanged; roof capitalized.</t>
        </is>
      </c>
    </row>
    <row r="12" ht="15" customHeight="1" s="42">
      <c r="A12" s="44" t="inlineStr">
        <is>
          <t>manager-cover.pdf</t>
        </is>
      </c>
      <c r="B12" s="41" t="inlineStr">
        <is>
          <t>p.1</t>
        </is>
      </c>
      <c r="C12" s="45" t="inlineStr">
        <is>
          <t>group mapping, risk_pending_in_occupancy, approved copy</t>
        </is>
      </c>
      <c r="D12" s="45" t="inlineStr">
        <is>
          <t>A/B/C = Small/Standard/Large; approved copy preserved verbatim.</t>
        </is>
      </c>
    </row>
    <row r="13" ht="15" customHeight="1" s="42">
      <c r="A13" s="44" t="inlineStr">
        <is>
          <t>underwriting-instructions.pdf</t>
        </is>
      </c>
      <c r="B13" s="41" t="inlineStr">
        <is>
          <t>p.1</t>
        </is>
      </c>
      <c r="C13" s="45" t="inlineStr">
        <is>
          <t>opex, mgmt %, reserves, LTV/DSCR/DY, note rate, payoff, closing</t>
        </is>
      </c>
      <c r="D13" s="45" t="inlineStr">
        <is>
          <t>All base rules unchanged by revision.</t>
        </is>
      </c>
    </row>
    <row r="14" ht="15" customHeight="1" s="42">
      <c r="A14" s="44" t="inlineStr">
        <is>
          <t>diligence-status.pdf</t>
        </is>
      </c>
      <c r="B14" s="41" t="inlineStr">
        <is>
          <t>p.1</t>
        </is>
      </c>
      <c r="C14" s="45" t="inlineStr">
        <is>
          <t>(qualifications)</t>
        </is>
      </c>
      <c r="D14" s="45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2026-09-07T13:46:15Z</dcterms:created>
  <dcterms:modified xmlns:dcterms="http://purl.org/dc/terms/" xmlns:xsi="http://www.w3.org/2001/XMLSchema-instance" xsi:type="dcterms:W3CDTF">2026-09-07T14:06:59Z</dcterms:modified>
  <cp:revision>0</cp:revision>
</cp:coreProperties>
</file>