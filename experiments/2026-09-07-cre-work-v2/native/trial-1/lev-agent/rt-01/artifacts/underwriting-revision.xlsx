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W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Fie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000%"/>
    <numFmt numFmtId="166" formatCode="0.000000%"/>
    <numFmt numFmtId="167" formatCode="0.00000000"/>
    <numFmt numFmtId="168" formatCode="0.0000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1F4E78"/>
      <sz val="12"/>
    </font>
    <font>
      <b val="1"/>
      <color rgb="00FFFFFF"/>
      <sz val="11"/>
    </font>
    <font>
      <b val="1"/>
      <color rgb="001F4E78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center" vertical="center"/>
    </xf>
    <xf numFmtId="164" fontId="0" fillId="4" borderId="1" pivotButton="0" quotePrefix="0" xfId="0"/>
    <xf numFmtId="164" fontId="0" fillId="3" borderId="1" pivotButton="0" quotePrefix="0" xfId="0"/>
    <xf numFmtId="10" fontId="0" fillId="3" borderId="1" pivotButton="0" quotePrefix="0" xfId="0"/>
    <xf numFmtId="165" fontId="0" fillId="4" borderId="1" pivotButton="0" quotePrefix="0" xfId="0"/>
    <xf numFmtId="165" fontId="0" fillId="3" borderId="1" pivotButton="0" quotePrefix="0" xfId="0"/>
    <xf numFmtId="2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3" fontId="0" fillId="5" borderId="1" pivotButton="0" quotePrefix="0" xfId="0"/>
    <xf numFmtId="10" fontId="0" fillId="5" borderId="1" pivotButton="0" quotePrefix="0" xfId="0"/>
    <xf numFmtId="164" fontId="0" fillId="5" borderId="1" pivotButton="0" quotePrefix="0" xfId="0"/>
    <xf numFmtId="164" fontId="0" fillId="0" borderId="0" pivotButton="0" quotePrefix="0" xfId="0"/>
    <xf numFmtId="10" fontId="0" fillId="0" borderId="0" pivotButton="0" quotePrefix="0" xfId="0"/>
    <xf numFmtId="164" fontId="2" fillId="5" borderId="1" pivotButton="0" quotePrefix="0" xfId="0"/>
    <xf numFmtId="165" fontId="0" fillId="0" borderId="0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2" fillId="0" borderId="1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4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168" fontId="0" fillId="0" borderId="1" pivotButton="0" quotePrefix="0" xfId="0"/>
    <xf numFmtId="168" fontId="0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65" customWidth="1" min="3" max="3"/>
  </cols>
  <sheetData>
    <row r="1">
      <c r="A1" s="1" t="inlineStr">
        <is>
          <t>Maple Crossing — Underwriting Workbook (Revision 2)</t>
        </is>
      </c>
    </row>
    <row r="3">
      <c r="A3" s="2" t="inlineStr">
        <is>
          <t>Revision:</t>
        </is>
      </c>
      <c r="B3" t="inlineStr">
        <is>
          <t>Rev 2 — applies revision-notice.pdf and rent-roll-revised.xlsx (as-of 2026-09-01)</t>
        </is>
      </c>
    </row>
    <row r="4">
      <c r="A4" s="2" t="inlineStr">
        <is>
          <t>Prior version:</t>
        </is>
      </c>
      <c r="B4" t="inlineStr">
        <is>
          <t>Rev 1 (2026-08-31) preserved in audit archive; not replaced</t>
        </is>
      </c>
    </row>
    <row r="5">
      <c r="A5" s="2" t="inlineStr">
        <is>
          <t>Source packet:</t>
        </is>
      </c>
      <c r="B5" t="inlineStr">
        <is>
          <t>CRE Bench — original fictional evaluation material</t>
        </is>
      </c>
    </row>
    <row r="6">
      <c r="A6" s="2" t="inlineStr">
        <is>
          <t>Prepared per:</t>
        </is>
      </c>
      <c r="B6" t="inlineStr">
        <is>
          <t>underwriting-instructions.pdf + revision-notice.pdf</t>
        </is>
      </c>
    </row>
    <row r="8">
      <c r="A8" s="3" t="inlineStr">
        <is>
          <t>CHANGES vs. Rev 1</t>
        </is>
      </c>
    </row>
    <row r="9">
      <c r="A9" s="2" t="inlineStr">
        <is>
          <t>• Rent roll:</t>
        </is>
      </c>
      <c r="B9" t="inlineStr">
        <is>
          <t>Superseded by rent-roll-revised.xlsx (as-of 2026-09-01)</t>
        </is>
      </c>
    </row>
    <row r="10">
      <c r="A10" s="2" t="inlineStr">
        <is>
          <t>• Suite 002:</t>
        </is>
      </c>
      <c r="B10" t="inlineStr">
        <is>
          <t>Scheduled monthly rent +$225 → $7,025 (status active on both rolls)</t>
        </is>
      </c>
    </row>
    <row r="11">
      <c r="A11" s="2" t="inlineStr">
        <is>
          <t>• Cap rate:</t>
        </is>
      </c>
      <c r="B11" t="inlineStr">
        <is>
          <t>6.7500% → 7.0000% (+25 bps)</t>
        </is>
      </c>
    </row>
    <row r="12">
      <c r="A12" s="2" t="inlineStr">
        <is>
          <t>• Sizing rate:</t>
        </is>
      </c>
      <c r="B12" t="inlineStr">
        <is>
          <t>6.5000% → 7.2500% (initial sizing rate +75 bps; floor 6.00% unchanged)</t>
        </is>
      </c>
    </row>
    <row r="13">
      <c r="A13" s="2" t="inlineStr">
        <is>
          <t>• Suite 001 amendment:</t>
        </is>
      </c>
      <c r="B13" t="inlineStr">
        <is>
          <t>Continues to apply — GPR method unchanged (S001 pre-amendment)</t>
        </is>
      </c>
    </row>
    <row r="14">
      <c r="A14" s="2" t="inlineStr">
        <is>
          <t>• Payoff, fees, opex, loss, other income, reserves, LTV/DSCR/DY limits:</t>
        </is>
      </c>
      <c r="B14" t="inlineStr">
        <is>
          <t>Unchanged</t>
        </is>
      </c>
    </row>
    <row r="15">
      <c r="A15" s="2" t="inlineStr">
        <is>
          <t>• Correction to Rev 1 arithmetic:</t>
        </is>
      </c>
      <c r="B15" t="inlineStr">
        <is>
          <t>total_area_sf 32,150 (was 31,150 in Rev 1 memo — arithmetic error; source cells unchanged)</t>
        </is>
      </c>
    </row>
    <row r="17">
      <c r="A17" s="3" t="inlineStr">
        <is>
          <t>Input cells (yellow = editable; orange = changed by revision)</t>
        </is>
      </c>
    </row>
    <row r="18">
      <c r="A18" s="4" t="inlineStr">
        <is>
          <t>Field</t>
        </is>
      </c>
      <c r="B18" s="4" t="inlineStr">
        <is>
          <t>Location</t>
        </is>
      </c>
      <c r="C18" s="4" t="inlineStr">
        <is>
          <t>Purpose</t>
        </is>
      </c>
    </row>
    <row r="19">
      <c r="A19" s="2" t="inlineStr">
        <is>
          <t>gross_potential_rent</t>
        </is>
      </c>
      <c r="B19" t="inlineStr">
        <is>
          <t>Inputs!B7</t>
        </is>
      </c>
      <c r="C19" s="5" t="inlineStr">
        <is>
          <t>All-suite scheduled monthly rent × 12, per revised certified roll (Suite 001 pre-amendment)</t>
        </is>
      </c>
    </row>
    <row r="20">
      <c r="A20" s="2" t="inlineStr">
        <is>
          <t>cap_rate</t>
        </is>
      </c>
      <c r="B20" t="inlineStr">
        <is>
          <t>Inputs!B22</t>
        </is>
      </c>
      <c r="C20" s="5" t="inlineStr">
        <is>
          <t>Direct cap rate applied to NOI before reserves (revised +25 bps)</t>
        </is>
      </c>
    </row>
    <row r="21">
      <c r="A21" s="2" t="inlineStr">
        <is>
          <t>sizing_rate</t>
        </is>
      </c>
      <c r="B21" t="inlineStr">
        <is>
          <t>Inputs!B27</t>
        </is>
      </c>
      <c r="C21" s="5" t="inlineStr">
        <is>
          <t>Loan sizing rate = MAX(note rate, floor); note rate revised +75 bps</t>
        </is>
      </c>
    </row>
    <row r="23">
      <c r="A23" s="3" t="inlineStr">
        <is>
          <t>Output cells (formula-driven)</t>
        </is>
      </c>
    </row>
    <row r="24">
      <c r="A24" s="4" t="inlineStr">
        <is>
          <t>Field</t>
        </is>
      </c>
      <c r="B24" s="4" t="inlineStr">
        <is>
          <t>Location</t>
        </is>
      </c>
      <c r="C24" s="4" t="inlineStr">
        <is>
          <t>Definition</t>
        </is>
      </c>
    </row>
    <row r="25">
      <c r="A25" s="2" t="inlineStr">
        <is>
          <t>uw_egi</t>
        </is>
      </c>
      <c r="B25" t="inlineStr">
        <is>
          <t>UW!B10</t>
        </is>
      </c>
      <c r="C25" s="5" t="inlineStr">
        <is>
          <t>GPR × (1 − economic loss) + other income</t>
        </is>
      </c>
    </row>
    <row r="26">
      <c r="A26" s="2" t="inlineStr">
        <is>
          <t>uw_noi</t>
        </is>
      </c>
      <c r="B26" t="inlineStr">
        <is>
          <t>UW!B22</t>
        </is>
      </c>
      <c r="C26" s="5" t="inlineStr">
        <is>
          <t>EGI − operating expenses (before replacement reserves)</t>
        </is>
      </c>
    </row>
    <row r="27">
      <c r="A27" s="2" t="inlineStr">
        <is>
          <t>uw_ncf</t>
        </is>
      </c>
      <c r="B27" t="inlineStr">
        <is>
          <t>UW!B25</t>
        </is>
      </c>
      <c r="C27" s="5" t="inlineStr">
        <is>
          <t>NOI − replacement reserves</t>
        </is>
      </c>
    </row>
    <row r="28">
      <c r="A28" s="2" t="inlineStr">
        <is>
          <t>capitalization_value</t>
        </is>
      </c>
      <c r="B28" t="inlineStr">
        <is>
          <t>UW!B32</t>
        </is>
      </c>
      <c r="C28" s="5" t="inlineStr">
        <is>
          <t>UW NOI ÷ cap rate</t>
        </is>
      </c>
    </row>
    <row r="29">
      <c r="A29" s="2" t="inlineStr">
        <is>
          <t>maximum_loan</t>
        </is>
      </c>
      <c r="B29" t="inlineStr">
        <is>
          <t>Debt!B24</t>
        </is>
      </c>
      <c r="C29" s="5" t="inlineStr">
        <is>
          <t>MIN(LTV, DSCR, Debt Yield constraints)</t>
        </is>
      </c>
    </row>
    <row r="30">
      <c r="A30" s="2" t="inlineStr">
        <is>
          <t>net_cash_out</t>
        </is>
      </c>
      <c r="B30" t="inlineStr">
        <is>
          <t>Debt!B32</t>
        </is>
      </c>
      <c r="C30" s="5" t="inlineStr">
        <is>
          <t>Maximum loan − payoff − origination fee − closing costs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  <col width="50" customWidth="1" min="4" max="4"/>
  </cols>
  <sheetData>
    <row r="1">
      <c r="A1" s="6" t="inlineStr">
        <is>
          <t>Underwriting Inputs (Rev 2)</t>
        </is>
      </c>
    </row>
    <row r="3">
      <c r="A3" s="3" t="inlineStr">
        <is>
          <t>INCOME</t>
        </is>
      </c>
    </row>
    <row r="4">
      <c r="A4" s="2" t="inlineStr">
        <is>
          <t>Suite count (all)</t>
        </is>
      </c>
      <c r="B4" s="7" t="n">
        <v>10</v>
      </c>
      <c r="C4" s="8" t="inlineStr">
        <is>
          <t>count</t>
        </is>
      </c>
      <c r="D4" s="5" t="inlineStr">
        <is>
          <t>RentRoll</t>
        </is>
      </c>
    </row>
    <row r="5">
      <c r="A5" s="2" t="inlineStr">
        <is>
          <t>Economic loss</t>
        </is>
      </c>
      <c r="B5" s="7" t="n">
        <v>0.05</v>
      </c>
      <c r="C5" s="8" t="inlineStr">
        <is>
          <t>ratio</t>
        </is>
      </c>
      <c r="D5" s="5" t="inlineStr">
        <is>
          <t>underwriting-instructions.pdf</t>
        </is>
      </c>
    </row>
    <row r="6">
      <c r="A6" s="2" t="inlineStr">
        <is>
          <t>Other income per suite (annual)</t>
        </is>
      </c>
      <c r="B6" s="7" t="n">
        <v>350</v>
      </c>
      <c r="C6" s="8" t="inlineStr">
        <is>
          <t>USD</t>
        </is>
      </c>
      <c r="D6" s="5" t="inlineStr">
        <is>
          <t>underwriting-instructions.pdf</t>
        </is>
      </c>
    </row>
    <row r="7">
      <c r="A7" s="2" t="inlineStr">
        <is>
          <t>gross_potential_rent (annual)</t>
        </is>
      </c>
      <c r="B7" s="9" t="n">
        <v>817200</v>
      </c>
      <c r="C7" s="8" t="inlineStr">
        <is>
          <t>USD</t>
        </is>
      </c>
      <c r="D7" t="inlineStr">
        <is>
          <t>revised roll ×12, S001 pre-amendment [CHANGED from 814,500]</t>
        </is>
      </c>
    </row>
    <row r="9">
      <c r="A9" s="3" t="inlineStr">
        <is>
          <t>EXPENSES</t>
        </is>
      </c>
    </row>
    <row r="10">
      <c r="A10" s="2" t="inlineStr">
        <is>
          <t>uw_tax</t>
        </is>
      </c>
      <c r="B10" s="10" t="n">
        <v>85964</v>
      </c>
      <c r="C10" s="8" t="inlineStr">
        <is>
          <t>USD</t>
        </is>
      </c>
      <c r="D10" s="5" t="inlineStr">
        <is>
          <t>underwriting-instructions.pdf</t>
        </is>
      </c>
    </row>
    <row r="11">
      <c r="A11" s="2" t="inlineStr">
        <is>
          <t>uw_insurance</t>
        </is>
      </c>
      <c r="B11" s="10" t="n">
        <v>28655</v>
      </c>
      <c r="C11" s="8" t="inlineStr">
        <is>
          <t>USD</t>
        </is>
      </c>
      <c r="D11" s="5" t="inlineStr">
        <is>
          <t>underwriting-instructions.pdf</t>
        </is>
      </c>
    </row>
    <row r="12">
      <c r="A12" s="2" t="inlineStr">
        <is>
          <t>uw_other_operating_expenses</t>
        </is>
      </c>
      <c r="B12" s="10" t="n">
        <v>114618</v>
      </c>
      <c r="C12" s="8" t="inlineStr">
        <is>
          <t>USD</t>
        </is>
      </c>
      <c r="D12" s="5" t="inlineStr">
        <is>
          <t>underwriting-instructions.pdf</t>
        </is>
      </c>
    </row>
    <row r="13">
      <c r="A13" s="2" t="inlineStr">
        <is>
          <t>management_fee_pct</t>
        </is>
      </c>
      <c r="B13" s="11" t="n">
        <v>0.03</v>
      </c>
      <c r="C13" s="8" t="inlineStr">
        <is>
          <t>ratio</t>
        </is>
      </c>
      <c r="D13" s="5" t="inlineStr">
        <is>
          <t>underwriting-instructions.pdf</t>
        </is>
      </c>
    </row>
    <row r="14">
      <c r="A14" s="2" t="inlineStr">
        <is>
          <t>replacement_reserve_per_suite</t>
        </is>
      </c>
      <c r="B14" s="10" t="n">
        <v>300</v>
      </c>
      <c r="C14" s="8" t="inlineStr">
        <is>
          <t>USD</t>
        </is>
      </c>
      <c r="D14" s="5" t="inlineStr">
        <is>
          <t>underwriting-instructions.pdf</t>
        </is>
      </c>
    </row>
    <row r="17">
      <c r="A17" s="3" t="inlineStr">
        <is>
          <t>VALUATION &amp; DEBT</t>
        </is>
      </c>
    </row>
    <row r="19">
      <c r="A19" s="2" t="inlineStr">
        <is>
          <t>note_rate</t>
        </is>
      </c>
      <c r="B19" s="12" t="n">
        <v>0.0725</v>
      </c>
      <c r="C19" t="inlineStr">
        <is>
          <t>ratio</t>
        </is>
      </c>
      <c r="D19" t="inlineStr">
        <is>
          <t>revised +75 bps [was 6.5000%]</t>
        </is>
      </c>
    </row>
    <row r="20">
      <c r="A20" s="2" t="inlineStr">
        <is>
          <t>floor_rate</t>
        </is>
      </c>
      <c r="B20" s="13" t="n">
        <v>0.06</v>
      </c>
      <c r="C20" t="inlineStr">
        <is>
          <t>ratio</t>
        </is>
      </c>
      <c r="D20" t="inlineStr">
        <is>
          <t>underwriting-instructions.pdf (unchanged)</t>
        </is>
      </c>
    </row>
    <row r="22">
      <c r="A22" s="2" t="inlineStr">
        <is>
          <t>cap_rate</t>
        </is>
      </c>
      <c r="B22" s="12" t="n">
        <v>0.07000000000000001</v>
      </c>
      <c r="C22" t="inlineStr">
        <is>
          <t>ratio</t>
        </is>
      </c>
      <c r="D22" t="inlineStr">
        <is>
          <t>revised +25 bps [was 6.7500%]</t>
        </is>
      </c>
    </row>
    <row r="24">
      <c r="A24" s="2" t="inlineStr">
        <is>
          <t>ltv_limit</t>
        </is>
      </c>
      <c r="B24" s="11" t="n">
        <v>0.65</v>
      </c>
      <c r="C24" t="inlineStr">
        <is>
          <t>ratio</t>
        </is>
      </c>
    </row>
    <row r="25">
      <c r="A25" s="2" t="inlineStr">
        <is>
          <t>dscr_limit</t>
        </is>
      </c>
      <c r="B25" s="14" t="n">
        <v>1.25</v>
      </c>
      <c r="C25" t="inlineStr">
        <is>
          <t>ratio</t>
        </is>
      </c>
    </row>
    <row r="26">
      <c r="A26" s="2" t="inlineStr">
        <is>
          <t>debt_yield_limit</t>
        </is>
      </c>
      <c r="B26" s="11" t="n">
        <v>0.09</v>
      </c>
      <c r="C26" t="inlineStr">
        <is>
          <t>ratio</t>
        </is>
      </c>
    </row>
    <row r="27">
      <c r="A27" s="2" t="inlineStr">
        <is>
          <t>sizing_rate</t>
        </is>
      </c>
      <c r="B27" s="12">
        <f>MAX(B19,B20)</f>
        <v/>
      </c>
      <c r="C27" t="inlineStr">
        <is>
          <t>ratio</t>
        </is>
      </c>
      <c r="D27" t="inlineStr">
        <is>
          <t>MAX(note_rate, floor_rate) — evaluates to 7.2500%</t>
        </is>
      </c>
    </row>
    <row r="28">
      <c r="A28" s="2" t="inlineStr">
        <is>
          <t>amortization_years</t>
        </is>
      </c>
      <c r="B28" s="7" t="n">
        <v>30</v>
      </c>
      <c r="C28" t="inlineStr">
        <is>
          <t>years</t>
        </is>
      </c>
    </row>
    <row r="29">
      <c r="A29" s="2" t="inlineStr">
        <is>
          <t>origination_fee_pct</t>
        </is>
      </c>
      <c r="B29" s="11" t="n">
        <v>0.01</v>
      </c>
      <c r="C29" t="inlineStr">
        <is>
          <t>ratio</t>
        </is>
      </c>
    </row>
    <row r="30">
      <c r="A30" s="2" t="inlineStr">
        <is>
          <t>closing_costs</t>
        </is>
      </c>
      <c r="B30" s="10" t="n">
        <v>45000</v>
      </c>
      <c r="C30" t="inlineStr">
        <is>
          <t>USD</t>
        </is>
      </c>
    </row>
    <row r="31">
      <c r="A31" s="2" t="inlineStr">
        <is>
          <t>existing_payoff</t>
        </is>
      </c>
      <c r="B31" s="10" t="n">
        <v>4300000</v>
      </c>
      <c r="C31" t="inlineStr">
        <is>
          <t>USD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Certified Rent Roll (REVISED) — as of 2026-09-01</t>
        </is>
      </c>
    </row>
    <row r="2">
      <c r="A2" t="inlineStr">
        <is>
          <t>Source: rent-roll-revised.xlsx (supersedes 2026-08-31 roll per revision-notice.pdf). Suite 002 rent +$225 to $7,025; all other terms unchanged.</t>
        </is>
      </c>
    </row>
    <row r="4">
      <c r="A4" s="4" t="inlineStr">
        <is>
          <t>Suite</t>
        </is>
      </c>
      <c r="B4" s="4" t="inlineStr">
        <is>
          <t>Unit type</t>
        </is>
      </c>
      <c r="C4" s="4" t="inlineStr">
        <is>
          <t>Type group</t>
        </is>
      </c>
      <c r="D4" s="4" t="inlineStr">
        <is>
          <t>Area SF</t>
        </is>
      </c>
      <c r="E4" s="4" t="inlineStr">
        <is>
          <t>Possession</t>
        </is>
      </c>
      <c r="F4" s="4" t="inlineStr">
        <is>
          <t>Monthly rent</t>
        </is>
      </c>
      <c r="G4" s="4" t="inlineStr">
        <is>
          <t>Lease expiry</t>
        </is>
      </c>
    </row>
    <row r="5">
      <c r="A5" s="15" t="inlineStr">
        <is>
          <t>001</t>
        </is>
      </c>
      <c r="B5" s="15" t="inlineStr">
        <is>
          <t>Small suite</t>
        </is>
      </c>
      <c r="C5" s="15" t="inlineStr">
        <is>
          <t>A</t>
        </is>
      </c>
      <c r="D5" s="15" t="n">
        <v>3080</v>
      </c>
      <c r="E5" s="15" t="inlineStr">
        <is>
          <t>active</t>
        </is>
      </c>
      <c r="F5" s="16" t="n">
        <v>6650</v>
      </c>
      <c r="G5" s="15" t="inlineStr">
        <is>
          <t>2029-08-31</t>
        </is>
      </c>
    </row>
    <row r="6">
      <c r="A6" s="15" t="inlineStr">
        <is>
          <t>002</t>
        </is>
      </c>
      <c r="B6" s="15" t="inlineStr">
        <is>
          <t>Standard suite</t>
        </is>
      </c>
      <c r="C6" s="15" t="inlineStr">
        <is>
          <t>B</t>
        </is>
      </c>
      <c r="D6" s="15" t="n">
        <v>3200</v>
      </c>
      <c r="E6" s="15" t="inlineStr">
        <is>
          <t>active</t>
        </is>
      </c>
      <c r="F6" s="9" t="n">
        <v>7025</v>
      </c>
      <c r="G6" s="15" t="inlineStr">
        <is>
          <t>2029-08-31</t>
        </is>
      </c>
    </row>
    <row r="7">
      <c r="A7" s="15" t="inlineStr">
        <is>
          <t>003</t>
        </is>
      </c>
      <c r="B7" s="15" t="inlineStr">
        <is>
          <t>Large suite</t>
        </is>
      </c>
      <c r="C7" s="15" t="inlineStr">
        <is>
          <t>C</t>
        </is>
      </c>
      <c r="D7" s="15" t="n">
        <v>3410</v>
      </c>
      <c r="E7" s="15" t="inlineStr">
        <is>
          <t>active</t>
        </is>
      </c>
      <c r="F7" s="16" t="n">
        <v>7075</v>
      </c>
      <c r="G7" s="15" t="inlineStr">
        <is>
          <t>2029-08-31</t>
        </is>
      </c>
    </row>
    <row r="8">
      <c r="A8" s="15" t="inlineStr">
        <is>
          <t>004</t>
        </is>
      </c>
      <c r="B8" s="15" t="inlineStr">
        <is>
          <t>Small suite</t>
        </is>
      </c>
      <c r="C8" s="15" t="inlineStr">
        <is>
          <t>A</t>
        </is>
      </c>
      <c r="D8" s="15" t="n">
        <v>3080</v>
      </c>
      <c r="E8" s="15" t="inlineStr">
        <is>
          <t>active</t>
        </is>
      </c>
      <c r="F8" s="16" t="n">
        <v>6650</v>
      </c>
      <c r="G8" s="15" t="inlineStr">
        <is>
          <t>2029-08-31</t>
        </is>
      </c>
    </row>
    <row r="9">
      <c r="A9" s="15" t="inlineStr">
        <is>
          <t>005</t>
        </is>
      </c>
      <c r="B9" s="15" t="inlineStr">
        <is>
          <t>Standard suite</t>
        </is>
      </c>
      <c r="C9" s="15" t="inlineStr">
        <is>
          <t>B</t>
        </is>
      </c>
      <c r="D9" s="15" t="n">
        <v>3200</v>
      </c>
      <c r="E9" s="15" t="inlineStr">
        <is>
          <t>active</t>
        </is>
      </c>
      <c r="F9" s="16" t="n">
        <v>6800</v>
      </c>
      <c r="G9" s="15" t="inlineStr">
        <is>
          <t>2029-08-31</t>
        </is>
      </c>
    </row>
    <row r="10">
      <c r="A10" s="15" t="inlineStr">
        <is>
          <t>006</t>
        </is>
      </c>
      <c r="B10" s="15" t="inlineStr">
        <is>
          <t>Large suite</t>
        </is>
      </c>
      <c r="C10" s="15" t="inlineStr">
        <is>
          <t>C</t>
        </is>
      </c>
      <c r="D10" s="15" t="n">
        <v>3410</v>
      </c>
      <c r="E10" s="15" t="inlineStr">
        <is>
          <t>active</t>
        </is>
      </c>
      <c r="F10" s="16" t="n">
        <v>7075</v>
      </c>
      <c r="G10" s="15" t="inlineStr">
        <is>
          <t>2029-08-31</t>
        </is>
      </c>
    </row>
    <row r="11">
      <c r="A11" s="15" t="inlineStr">
        <is>
          <t>007</t>
        </is>
      </c>
      <c r="B11" s="15" t="inlineStr">
        <is>
          <t>Small suite</t>
        </is>
      </c>
      <c r="C11" s="15" t="inlineStr">
        <is>
          <t>A</t>
        </is>
      </c>
      <c r="D11" s="15" t="n">
        <v>3080</v>
      </c>
      <c r="E11" s="15" t="inlineStr">
        <is>
          <t>active</t>
        </is>
      </c>
      <c r="F11" s="16" t="n">
        <v>6650</v>
      </c>
      <c r="G11" s="15" t="inlineStr">
        <is>
          <t>2029-08-31</t>
        </is>
      </c>
    </row>
    <row r="12">
      <c r="A12" s="15" t="inlineStr">
        <is>
          <t>008</t>
        </is>
      </c>
      <c r="B12" s="15" t="inlineStr">
        <is>
          <t>Standard suite</t>
        </is>
      </c>
      <c r="C12" s="15" t="inlineStr">
        <is>
          <t>B</t>
        </is>
      </c>
      <c r="D12" s="15" t="n">
        <v>3200</v>
      </c>
      <c r="E12" s="15" t="inlineStr">
        <is>
          <t>active</t>
        </is>
      </c>
      <c r="F12" s="16" t="n">
        <v>6800</v>
      </c>
      <c r="G12" s="15" t="inlineStr">
        <is>
          <t>2029-08-31</t>
        </is>
      </c>
    </row>
    <row r="13">
      <c r="A13" s="15" t="inlineStr">
        <is>
          <t>009</t>
        </is>
      </c>
      <c r="B13" s="15" t="inlineStr">
        <is>
          <t>Large suite</t>
        </is>
      </c>
      <c r="C13" s="15" t="inlineStr">
        <is>
          <t>C</t>
        </is>
      </c>
      <c r="D13" s="15" t="n">
        <v>3410</v>
      </c>
      <c r="E13" s="15" t="inlineStr">
        <is>
          <t>active</t>
        </is>
      </c>
      <c r="F13" s="16" t="n">
        <v>7075</v>
      </c>
      <c r="G13" s="15" t="inlineStr">
        <is>
          <t>2029-08-31</t>
        </is>
      </c>
    </row>
    <row r="14">
      <c r="A14" s="15" t="inlineStr">
        <is>
          <t>010</t>
        </is>
      </c>
      <c r="B14" s="15" t="inlineStr">
        <is>
          <t>Small suite</t>
        </is>
      </c>
      <c r="C14" s="15" t="inlineStr">
        <is>
          <t>A</t>
        </is>
      </c>
      <c r="D14" s="15" t="n">
        <v>3080</v>
      </c>
      <c r="E14" s="15" t="inlineStr">
        <is>
          <t>vacant</t>
        </is>
      </c>
      <c r="F14" s="16" t="n">
        <v>6650</v>
      </c>
      <c r="G14" s="15" t="inlineStr">
        <is>
          <t>2029-08-31</t>
        </is>
      </c>
    </row>
    <row r="16">
      <c r="A16" s="3" t="inlineStr">
        <is>
          <t>TOTALS / DERIVED</t>
        </is>
      </c>
    </row>
    <row r="17">
      <c r="A17" s="2" t="inlineStr">
        <is>
          <t>total_units</t>
        </is>
      </c>
      <c r="B17" s="17">
        <f>COUNTA(A5:A14)</f>
        <v/>
      </c>
    </row>
    <row r="18">
      <c r="A18" s="2" t="inlineStr">
        <is>
          <t>occupied_units (active)</t>
        </is>
      </c>
      <c r="B18" s="17">
        <f>COUNTIF(E5:E14,"active")</f>
        <v/>
      </c>
    </row>
    <row r="19">
      <c r="A19" s="2" t="inlineStr">
        <is>
          <t>pending_units</t>
        </is>
      </c>
      <c r="B19" s="17" t="n">
        <v>0</v>
      </c>
    </row>
    <row r="20">
      <c r="A20" s="2" t="inlineStr">
        <is>
          <t>total_area_sf</t>
        </is>
      </c>
      <c r="B20" s="18">
        <f>SUM(D5:D14)</f>
        <v/>
      </c>
    </row>
    <row r="21">
      <c r="A21" s="2" t="inlineStr">
        <is>
          <t>occupied_area_sf</t>
        </is>
      </c>
      <c r="B21" s="18">
        <f>SUMIF(E5:E14,"active",D5:D14)</f>
        <v/>
      </c>
    </row>
    <row r="22">
      <c r="A22" s="2" t="inlineStr">
        <is>
          <t>unit_occupancy</t>
        </is>
      </c>
      <c r="B22" s="19">
        <f>B18/B17</f>
        <v/>
      </c>
    </row>
    <row r="23">
      <c r="A23" s="2" t="inlineStr">
        <is>
          <t>area_occupancy</t>
        </is>
      </c>
      <c r="B23" s="19">
        <f>B21/B20</f>
        <v/>
      </c>
    </row>
    <row r="24">
      <c r="A24" s="2" t="inlineStr">
        <is>
          <t>annual_in_place_rent</t>
        </is>
      </c>
      <c r="B24" s="20">
        <f>SUMIF(E5:E14,"active",F5:F14)*12</f>
        <v/>
      </c>
    </row>
    <row r="27">
      <c r="A27" s="3" t="inlineStr">
        <is>
          <t>TYPE MAPPING (per manager cover)</t>
        </is>
      </c>
    </row>
    <row r="28">
      <c r="A28" s="2" t="inlineStr">
        <is>
          <t>Type</t>
        </is>
      </c>
      <c r="B28" s="2" t="inlineStr">
        <is>
          <t>Units</t>
        </is>
      </c>
      <c r="C28" s="2" t="inlineStr">
        <is>
          <t>Occupied</t>
        </is>
      </c>
    </row>
    <row r="29">
      <c r="A29" s="15" t="inlineStr">
        <is>
          <t>A (Small)</t>
        </is>
      </c>
      <c r="B29" s="17">
        <f>COUNTIF(C5:C14,"A")</f>
        <v/>
      </c>
      <c r="C29" s="17">
        <f>COUNTIFS(C5:C14,"A",E5:E14,"active")</f>
        <v/>
      </c>
    </row>
    <row r="30">
      <c r="A30" s="15" t="inlineStr">
        <is>
          <t>B (Standard)</t>
        </is>
      </c>
      <c r="B30" s="17">
        <f>COUNTIF(C5:C14,"B")</f>
        <v/>
      </c>
      <c r="C30" s="17">
        <f>COUNTIFS(C5:C14,"B",E5:E14,"active")</f>
        <v/>
      </c>
    </row>
    <row r="31">
      <c r="A31" s="15" t="inlineStr">
        <is>
          <t>C (Large)</t>
        </is>
      </c>
      <c r="B31" s="17">
        <f>COUNTIF(C5:C14,"C")</f>
        <v/>
      </c>
      <c r="C31" s="17">
        <f>COUNTIFS(C5:C14,"C",E5:E14,"active")</f>
        <v/>
      </c>
    </row>
    <row r="34">
      <c r="A34" s="3" t="inlineStr">
        <is>
          <t>GPR RECONCILIATION</t>
        </is>
      </c>
    </row>
    <row r="35">
      <c r="A35" s="2" t="inlineStr">
        <is>
          <t>All-suite monthly rent (revised)</t>
        </is>
      </c>
      <c r="B35" s="16">
        <f>SUM(F5:F14)</f>
        <v/>
      </c>
    </row>
    <row r="36">
      <c r="A36" s="2" t="inlineStr">
        <is>
          <t>Less: Suite 001 amendment ($350/mo)</t>
        </is>
      </c>
      <c r="B36" s="16" t="n">
        <v>-350</v>
      </c>
    </row>
    <row r="37">
      <c r="A37" s="2" t="inlineStr">
        <is>
          <t>Adjusted monthly (pre-amendment S001)</t>
        </is>
      </c>
      <c r="B37" s="16">
        <f>B35+B36</f>
        <v/>
      </c>
    </row>
    <row r="38">
      <c r="A38" s="2" t="inlineStr">
        <is>
          <t>GPR annual (×12)</t>
        </is>
      </c>
      <c r="B38" s="20">
        <f>B37*12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Underwritten Cash Flow (Rev 2)</t>
        </is>
      </c>
    </row>
    <row r="2">
      <c r="A2" t="inlineStr">
        <is>
          <t>Applies revised roll (2026-09-01). Suite 001 GPR method (pre-amendment) preserved per revision notice.</t>
        </is>
      </c>
    </row>
    <row r="4">
      <c r="A4" s="3" t="inlineStr">
        <is>
          <t>INCOME</t>
        </is>
      </c>
    </row>
    <row r="5">
      <c r="A5" t="inlineStr">
        <is>
          <t>gross_potential_rent</t>
        </is>
      </c>
      <c r="B5" s="21">
        <f>Inputs!B7</f>
        <v/>
      </c>
    </row>
    <row r="6">
      <c r="A6" t="inlineStr">
        <is>
          <t>economic_loss (%)</t>
        </is>
      </c>
      <c r="B6" s="22">
        <f>Inputs!B5</f>
        <v/>
      </c>
    </row>
    <row r="7">
      <c r="A7" t="inlineStr">
        <is>
          <t>effective_rent</t>
        </is>
      </c>
      <c r="B7" s="21">
        <f>B5*(1-B6)</f>
        <v/>
      </c>
    </row>
    <row r="8">
      <c r="A8" t="inlineStr">
        <is>
          <t>other_income (annual, $350 × suites)</t>
        </is>
      </c>
      <c r="B8" s="21">
        <f>Inputs!B6*Inputs!B4</f>
        <v/>
      </c>
    </row>
    <row r="10">
      <c r="A10" s="2" t="inlineStr">
        <is>
          <t>uw_egi</t>
        </is>
      </c>
      <c r="B10" s="23">
        <f>B7+B8</f>
        <v/>
      </c>
    </row>
    <row r="12">
      <c r="A12" s="3" t="inlineStr">
        <is>
          <t>EXPENSES</t>
        </is>
      </c>
    </row>
    <row r="13">
      <c r="A13" t="inlineStr">
        <is>
          <t>uw_tax</t>
        </is>
      </c>
      <c r="B13" s="21">
        <f>Inputs!B10</f>
        <v/>
      </c>
    </row>
    <row r="14">
      <c r="A14" t="inlineStr">
        <is>
          <t>uw_insurance</t>
        </is>
      </c>
      <c r="B14" s="21">
        <f>Inputs!B11</f>
        <v/>
      </c>
    </row>
    <row r="15">
      <c r="A15" t="inlineStr">
        <is>
          <t>uw_other_operating_expenses</t>
        </is>
      </c>
      <c r="B15" s="21">
        <f>Inputs!B12</f>
        <v/>
      </c>
    </row>
    <row r="16">
      <c r="A16" t="inlineStr">
        <is>
          <t>management_fee (3% of EGI)</t>
        </is>
      </c>
      <c r="B16" s="21">
        <f>Inputs!B13*B10</f>
        <v/>
      </c>
    </row>
    <row r="17">
      <c r="A17" s="2" t="inlineStr">
        <is>
          <t>uw_operating_expenses (total)</t>
        </is>
      </c>
      <c r="B17" s="23">
        <f>SUM(B13:B16)</f>
        <v/>
      </c>
    </row>
    <row r="19">
      <c r="A19" s="3" t="inlineStr">
        <is>
          <t>NOI &amp; NCF</t>
        </is>
      </c>
    </row>
    <row r="22">
      <c r="A22" s="2" t="inlineStr">
        <is>
          <t>uw_noi (before reserves)</t>
        </is>
      </c>
      <c r="B22" s="23">
        <f>B10-B17</f>
        <v/>
      </c>
    </row>
    <row r="23">
      <c r="A23" t="inlineStr">
        <is>
          <t>replacement_reserves ($300/suite)</t>
        </is>
      </c>
      <c r="B23" s="21">
        <f>Inputs!B14*Inputs!B4</f>
        <v/>
      </c>
    </row>
    <row r="25">
      <c r="A25" s="2" t="inlineStr">
        <is>
          <t>uw_ncf</t>
        </is>
      </c>
      <c r="B25" s="23">
        <f>B22-B23</f>
        <v/>
      </c>
    </row>
    <row r="28">
      <c r="A28" s="3" t="inlineStr">
        <is>
          <t>VALUATION</t>
        </is>
      </c>
    </row>
    <row r="30">
      <c r="A30" t="inlineStr">
        <is>
          <t>cap_rate</t>
        </is>
      </c>
      <c r="B30" s="24">
        <f>Inputs!B22</f>
        <v/>
      </c>
    </row>
    <row r="31">
      <c r="A31" t="inlineStr">
        <is>
          <t>NOI (before reserves) used for cap</t>
        </is>
      </c>
      <c r="B31" s="21">
        <f>B22</f>
        <v/>
      </c>
    </row>
    <row r="32">
      <c r="A32" s="2" t="inlineStr">
        <is>
          <t>capitalization_value</t>
        </is>
      </c>
      <c r="B32" s="23">
        <f>B31/B30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Debt Sizing &amp; Sources / Uses (Rev 2)</t>
        </is>
      </c>
    </row>
    <row r="2">
      <c r="A2" t="inlineStr">
        <is>
          <t>Sizing rate = MAX(note 7.25%, floor 6.00%) per revision. DSCR &amp; DY on NCF after reserves.</t>
        </is>
      </c>
    </row>
    <row r="4">
      <c r="A4" s="3" t="inlineStr">
        <is>
          <t>ASSUMPTIONS</t>
        </is>
      </c>
    </row>
    <row r="5">
      <c r="A5" s="2" t="inlineStr">
        <is>
          <t>sizing_rate</t>
        </is>
      </c>
      <c r="B5" s="25">
        <f>Inputs!B27</f>
        <v/>
      </c>
    </row>
    <row r="6">
      <c r="A6" s="2" t="inlineStr">
        <is>
          <t>amortization_years</t>
        </is>
      </c>
      <c r="B6" s="26">
        <f>Inputs!B28</f>
        <v/>
      </c>
    </row>
    <row r="7">
      <c r="A7" s="2" t="inlineStr">
        <is>
          <t>monthly_rate</t>
        </is>
      </c>
      <c r="B7" s="27">
        <f>Inputs!B27/12</f>
        <v/>
      </c>
    </row>
    <row r="8">
      <c r="A8" s="2" t="inlineStr">
        <is>
          <t>n_months</t>
        </is>
      </c>
      <c r="B8" s="26">
        <f>Inputs!B28*12</f>
        <v/>
      </c>
    </row>
    <row r="9">
      <c r="A9" s="2" t="inlineStr">
        <is>
          <t>PMT per $1 loan (monthly)</t>
        </is>
      </c>
      <c r="B9" s="28">
        <f>B7*(1+B7)^B8/((1+B7)^B8-1)</f>
        <v/>
      </c>
    </row>
    <row r="10">
      <c r="A10" s="2" t="inlineStr">
        <is>
          <t>Annual DS per $1 loan</t>
        </is>
      </c>
      <c r="B10" s="28">
        <f>B9*12</f>
        <v/>
      </c>
    </row>
    <row r="11">
      <c r="A11" s="2" t="inlineStr">
        <is>
          <t>ltv_limit</t>
        </is>
      </c>
      <c r="B11" s="29">
        <f>Inputs!B24</f>
        <v/>
      </c>
    </row>
    <row r="12">
      <c r="A12" s="2" t="inlineStr">
        <is>
          <t>dscr_limit</t>
        </is>
      </c>
      <c r="B12" s="30">
        <f>Inputs!B25</f>
        <v/>
      </c>
    </row>
    <row r="13">
      <c r="A13" s="2" t="inlineStr">
        <is>
          <t>debt_yield_limit</t>
        </is>
      </c>
      <c r="B13" s="29">
        <f>Inputs!B26</f>
        <v/>
      </c>
    </row>
    <row r="16">
      <c r="A16" s="3" t="inlineStr">
        <is>
          <t>CONSTRAINTS</t>
        </is>
      </c>
    </row>
    <row r="17">
      <c r="A17" t="inlineStr">
        <is>
          <t>Loan by LTV = ltv × value</t>
        </is>
      </c>
      <c r="B17" s="21">
        <f>B11*UW!B32</f>
        <v/>
      </c>
    </row>
    <row r="18">
      <c r="A18" t="inlineStr">
        <is>
          <t>Loan by DSCR = (NCF / dscr) / annual DS per $</t>
        </is>
      </c>
      <c r="B18" s="21">
        <f>(UW!B25/B12)/B10</f>
        <v/>
      </c>
    </row>
    <row r="19">
      <c r="A19" t="inlineStr">
        <is>
          <t>Loan by DY = NCF / debt yield</t>
        </is>
      </c>
      <c r="B19" s="21">
        <f>UW!B25/B13</f>
        <v/>
      </c>
    </row>
    <row r="21">
      <c r="A21" t="inlineStr">
        <is>
          <t>Binding constraint</t>
        </is>
      </c>
      <c r="B21">
        <f>IF(B24=B17,"LTV",IF(B24=B18,"DSCR","Debt Yield"))</f>
        <v/>
      </c>
    </row>
    <row r="24">
      <c r="A24" s="2" t="inlineStr">
        <is>
          <t>maximum_loan</t>
        </is>
      </c>
      <c r="B24" s="23">
        <f>MIN(B17,B18,B19)</f>
        <v/>
      </c>
    </row>
    <row r="27">
      <c r="A27" s="3" t="inlineStr">
        <is>
          <t>SOURCES &amp; USES (net cash-out)</t>
        </is>
      </c>
    </row>
    <row r="28">
      <c r="A28" t="inlineStr">
        <is>
          <t>existing_payoff</t>
        </is>
      </c>
      <c r="B28" s="21">
        <f>Inputs!B31</f>
        <v/>
      </c>
    </row>
    <row r="29">
      <c r="A29" t="inlineStr">
        <is>
          <t>origination_fee (1% of loan)</t>
        </is>
      </c>
      <c r="B29" s="21">
        <f>Inputs!B29*B24</f>
        <v/>
      </c>
    </row>
    <row r="30">
      <c r="A30" t="inlineStr">
        <is>
          <t>closing_costs</t>
        </is>
      </c>
      <c r="B30" s="21">
        <f>Inputs!B30</f>
        <v/>
      </c>
    </row>
    <row r="31">
      <c r="A31" t="inlineStr">
        <is>
          <t>Total uses</t>
        </is>
      </c>
      <c r="B31" s="21">
        <f>SUM(B28:B30)</f>
        <v/>
      </c>
    </row>
    <row r="32">
      <c r="A32" s="2" t="inlineStr">
        <is>
          <t>net_cash_out (negative = additional equity)</t>
        </is>
      </c>
      <c r="B32" s="23">
        <f>B24-B31</f>
        <v/>
      </c>
    </row>
    <row r="35">
      <c r="A35" s="3" t="inlineStr">
        <is>
          <t>IMPLIED METRICS AT MAX LOAN</t>
        </is>
      </c>
    </row>
    <row r="36">
      <c r="A36" t="inlineStr">
        <is>
          <t>LTV realized</t>
        </is>
      </c>
      <c r="B36" s="22">
        <f>B24/UW!B32</f>
        <v/>
      </c>
    </row>
    <row r="37">
      <c r="A37" t="inlineStr">
        <is>
          <t>Annual DS at sizing rate</t>
        </is>
      </c>
      <c r="B37" s="21">
        <f>B24*B10</f>
        <v/>
      </c>
    </row>
    <row r="38">
      <c r="A38" t="inlineStr">
        <is>
          <t>DSCR realized (on NCF)</t>
        </is>
      </c>
      <c r="B38" s="31">
        <f>UW!B25/B37</f>
        <v/>
      </c>
    </row>
    <row r="39">
      <c r="A39" t="inlineStr">
        <is>
          <t>Debt yield realized (on NCF)</t>
        </is>
      </c>
      <c r="B39" s="22">
        <f>UW!B25/B24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Sensitivity — Cap Rate × Sizing Rate (Rev 2)</t>
        </is>
      </c>
    </row>
    <row r="2">
      <c r="A2" t="inlineStr">
        <is>
          <t>Table A: Capitalization value = UW NOI / cap_rate. Table B: Maximum loan by binding constraint at given cap and sizing rate. Base case highlighted (7.00% cap / 7.25% sizing).</t>
        </is>
      </c>
    </row>
    <row r="4">
      <c r="A4" s="3" t="inlineStr">
        <is>
          <t>Table A — Capitalization value at NOI</t>
        </is>
      </c>
      <c r="D4" s="3" t="inlineStr">
        <is>
          <t>Table B — Maximum loan (LTV 65%, DSCR 1.25, DY 9%)</t>
        </is>
      </c>
    </row>
    <row r="5">
      <c r="A5" s="2" t="inlineStr">
        <is>
          <t>cap_rate ↓</t>
        </is>
      </c>
      <c r="B5" s="2" t="inlineStr">
        <is>
          <t>value</t>
        </is>
      </c>
      <c r="D5" s="2" t="inlineStr">
        <is>
          <t>sizing_rate ↓  /  cap_rate →</t>
        </is>
      </c>
      <c r="E5" s="32" t="n">
        <v>0.0625</v>
      </c>
      <c r="F5" s="32" t="n">
        <v>0.065</v>
      </c>
      <c r="G5" s="32" t="n">
        <v>0.0675</v>
      </c>
      <c r="H5" s="32" t="n">
        <v>0.07000000000000001</v>
      </c>
      <c r="I5" s="32" t="n">
        <v>0.0725</v>
      </c>
      <c r="J5" s="32" t="n">
        <v>0.075</v>
      </c>
      <c r="K5" s="32" t="n">
        <v>0.0775</v>
      </c>
    </row>
    <row r="6">
      <c r="A6" s="25" t="n">
        <v>0.0625</v>
      </c>
      <c r="B6" s="16">
        <f>UW!$B$22/A6</f>
        <v/>
      </c>
      <c r="D6" s="32" t="n">
        <v>0.065</v>
      </c>
      <c r="E6" s="16">
        <f>MIN(Debt!$B$11*(UW!$B$22/E$5),(UW!$B$25/Debt!$B$12)/(((0.065/12)*(1+0.065/12)^(Debt!$B$8))/((1+0.065/12)^(Debt!$B$8)-1)*12),UW!$B$25/Debt!$B$13)</f>
        <v/>
      </c>
      <c r="F6" s="16">
        <f>MIN(Debt!$B$11*(UW!$B$22/F$5),(UW!$B$25/Debt!$B$12)/(((0.065/12)*(1+0.065/12)^(Debt!$B$8))/((1+0.065/12)^(Debt!$B$8)-1)*12),UW!$B$25/Debt!$B$13)</f>
        <v/>
      </c>
      <c r="G6" s="16">
        <f>MIN(Debt!$B$11*(UW!$B$22/G$5),(UW!$B$25/Debt!$B$12)/(((0.065/12)*(1+0.065/12)^(Debt!$B$8))/((1+0.065/12)^(Debt!$B$8)-1)*12),UW!$B$25/Debt!$B$13)</f>
        <v/>
      </c>
      <c r="H6" s="16">
        <f>MIN(Debt!$B$11*(UW!$B$22/H$5),(UW!$B$25/Debt!$B$12)/(((0.065/12)*(1+0.065/12)^(Debt!$B$8))/((1+0.065/12)^(Debt!$B$8)-1)*12),UW!$B$25/Debt!$B$13)</f>
        <v/>
      </c>
      <c r="I6" s="16">
        <f>MIN(Debt!$B$11*(UW!$B$22/I$5),(UW!$B$25/Debt!$B$12)/(((0.065/12)*(1+0.065/12)^(Debt!$B$8))/((1+0.065/12)^(Debt!$B$8)-1)*12),UW!$B$25/Debt!$B$13)</f>
        <v/>
      </c>
      <c r="J6" s="16">
        <f>MIN(Debt!$B$11*(UW!$B$22/J$5),(UW!$B$25/Debt!$B$12)/(((0.065/12)*(1+0.065/12)^(Debt!$B$8))/((1+0.065/12)^(Debt!$B$8)-1)*12),UW!$B$25/Debt!$B$13)</f>
        <v/>
      </c>
      <c r="K6" s="16">
        <f>MIN(Debt!$B$11*(UW!$B$22/K$5),(UW!$B$25/Debt!$B$12)/(((0.065/12)*(1+0.065/12)^(Debt!$B$8))/((1+0.065/12)^(Debt!$B$8)-1)*12),UW!$B$25/Debt!$B$13)</f>
        <v/>
      </c>
    </row>
    <row r="7">
      <c r="A7" s="25" t="n">
        <v>0.065</v>
      </c>
      <c r="B7" s="16">
        <f>UW!$B$22/A7</f>
        <v/>
      </c>
      <c r="D7" s="32" t="n">
        <v>0.0675</v>
      </c>
      <c r="E7" s="16">
        <f>MIN(Debt!$B$11*(UW!$B$22/E$5),(UW!$B$25/Debt!$B$12)/(((0.0675/12)*(1+0.0675/12)^(Debt!$B$8))/((1+0.0675/12)^(Debt!$B$8)-1)*12),UW!$B$25/Debt!$B$13)</f>
        <v/>
      </c>
      <c r="F7" s="16">
        <f>MIN(Debt!$B$11*(UW!$B$22/F$5),(UW!$B$25/Debt!$B$12)/(((0.0675/12)*(1+0.0675/12)^(Debt!$B$8))/((1+0.0675/12)^(Debt!$B$8)-1)*12),UW!$B$25/Debt!$B$13)</f>
        <v/>
      </c>
      <c r="G7" s="16">
        <f>MIN(Debt!$B$11*(UW!$B$22/G$5),(UW!$B$25/Debt!$B$12)/(((0.0675/12)*(1+0.0675/12)^(Debt!$B$8))/((1+0.0675/12)^(Debt!$B$8)-1)*12),UW!$B$25/Debt!$B$13)</f>
        <v/>
      </c>
      <c r="H7" s="16">
        <f>MIN(Debt!$B$11*(UW!$B$22/H$5),(UW!$B$25/Debt!$B$12)/(((0.0675/12)*(1+0.0675/12)^(Debt!$B$8))/((1+0.0675/12)^(Debt!$B$8)-1)*12),UW!$B$25/Debt!$B$13)</f>
        <v/>
      </c>
      <c r="I7" s="16">
        <f>MIN(Debt!$B$11*(UW!$B$22/I$5),(UW!$B$25/Debt!$B$12)/(((0.0675/12)*(1+0.0675/12)^(Debt!$B$8))/((1+0.0675/12)^(Debt!$B$8)-1)*12),UW!$B$25/Debt!$B$13)</f>
        <v/>
      </c>
      <c r="J7" s="16">
        <f>MIN(Debt!$B$11*(UW!$B$22/J$5),(UW!$B$25/Debt!$B$12)/(((0.0675/12)*(1+0.0675/12)^(Debt!$B$8))/((1+0.0675/12)^(Debt!$B$8)-1)*12),UW!$B$25/Debt!$B$13)</f>
        <v/>
      </c>
      <c r="K7" s="16">
        <f>MIN(Debt!$B$11*(UW!$B$22/K$5),(UW!$B$25/Debt!$B$12)/(((0.0675/12)*(1+0.0675/12)^(Debt!$B$8))/((1+0.0675/12)^(Debt!$B$8)-1)*12),UW!$B$25/Debt!$B$13)</f>
        <v/>
      </c>
    </row>
    <row r="8">
      <c r="A8" s="25" t="n">
        <v>0.0675</v>
      </c>
      <c r="B8" s="16">
        <f>UW!$B$22/A8</f>
        <v/>
      </c>
      <c r="D8" s="32" t="n">
        <v>0.07000000000000001</v>
      </c>
      <c r="E8" s="16">
        <f>MIN(Debt!$B$11*(UW!$B$22/E$5),(UW!$B$25/Debt!$B$12)/(((0.07/12)*(1+0.07/12)^(Debt!$B$8))/((1+0.07/12)^(Debt!$B$8)-1)*12),UW!$B$25/Debt!$B$13)</f>
        <v/>
      </c>
      <c r="F8" s="16">
        <f>MIN(Debt!$B$11*(UW!$B$22/F$5),(UW!$B$25/Debt!$B$12)/(((0.07/12)*(1+0.07/12)^(Debt!$B$8))/((1+0.07/12)^(Debt!$B$8)-1)*12),UW!$B$25/Debt!$B$13)</f>
        <v/>
      </c>
      <c r="G8" s="16">
        <f>MIN(Debt!$B$11*(UW!$B$22/G$5),(UW!$B$25/Debt!$B$12)/(((0.07/12)*(1+0.07/12)^(Debt!$B$8))/((1+0.07/12)^(Debt!$B$8)-1)*12),UW!$B$25/Debt!$B$13)</f>
        <v/>
      </c>
      <c r="H8" s="16">
        <f>MIN(Debt!$B$11*(UW!$B$22/H$5),(UW!$B$25/Debt!$B$12)/(((0.07/12)*(1+0.07/12)^(Debt!$B$8))/((1+0.07/12)^(Debt!$B$8)-1)*12),UW!$B$25/Debt!$B$13)</f>
        <v/>
      </c>
      <c r="I8" s="16">
        <f>MIN(Debt!$B$11*(UW!$B$22/I$5),(UW!$B$25/Debt!$B$12)/(((0.07/12)*(1+0.07/12)^(Debt!$B$8))/((1+0.07/12)^(Debt!$B$8)-1)*12),UW!$B$25/Debt!$B$13)</f>
        <v/>
      </c>
      <c r="J8" s="16">
        <f>MIN(Debt!$B$11*(UW!$B$22/J$5),(UW!$B$25/Debt!$B$12)/(((0.07/12)*(1+0.07/12)^(Debt!$B$8))/((1+0.07/12)^(Debt!$B$8)-1)*12),UW!$B$25/Debt!$B$13)</f>
        <v/>
      </c>
      <c r="K8" s="16">
        <f>MIN(Debt!$B$11*(UW!$B$22/K$5),(UW!$B$25/Debt!$B$12)/(((0.07/12)*(1+0.07/12)^(Debt!$B$8))/((1+0.07/12)^(Debt!$B$8)-1)*12),UW!$B$25/Debt!$B$13)</f>
        <v/>
      </c>
    </row>
    <row r="9">
      <c r="A9" s="25" t="n">
        <v>0.07000000000000001</v>
      </c>
      <c r="B9" s="20">
        <f>UW!$B$22/A9</f>
        <v/>
      </c>
      <c r="D9" s="32" t="n">
        <v>0.0725</v>
      </c>
      <c r="E9" s="16">
        <f>MIN(Debt!$B$11*(UW!$B$22/E$5),(UW!$B$25/Debt!$B$12)/(((0.0725/12)*(1+0.0725/12)^(Debt!$B$8))/((1+0.0725/12)^(Debt!$B$8)-1)*12),UW!$B$25/Debt!$B$13)</f>
        <v/>
      </c>
      <c r="F9" s="16">
        <f>MIN(Debt!$B$11*(UW!$B$22/F$5),(UW!$B$25/Debt!$B$12)/(((0.0725/12)*(1+0.0725/12)^(Debt!$B$8))/((1+0.0725/12)^(Debt!$B$8)-1)*12),UW!$B$25/Debt!$B$13)</f>
        <v/>
      </c>
      <c r="G9" s="16">
        <f>MIN(Debt!$B$11*(UW!$B$22/G$5),(UW!$B$25/Debt!$B$12)/(((0.0725/12)*(1+0.0725/12)^(Debt!$B$8))/((1+0.0725/12)^(Debt!$B$8)-1)*12),UW!$B$25/Debt!$B$13)</f>
        <v/>
      </c>
      <c r="H9" s="20">
        <f>MIN(Debt!$B$11*(UW!$B$22/H$5),(UW!$B$25/Debt!$B$12)/(((0.0725/12)*(1+0.0725/12)^(Debt!$B$8))/((1+0.0725/12)^(Debt!$B$8)-1)*12),UW!$B$25/Debt!$B$13)</f>
        <v/>
      </c>
      <c r="I9" s="16">
        <f>MIN(Debt!$B$11*(UW!$B$22/I$5),(UW!$B$25/Debt!$B$12)/(((0.0725/12)*(1+0.0725/12)^(Debt!$B$8))/((1+0.0725/12)^(Debt!$B$8)-1)*12),UW!$B$25/Debt!$B$13)</f>
        <v/>
      </c>
      <c r="J9" s="16">
        <f>MIN(Debt!$B$11*(UW!$B$22/J$5),(UW!$B$25/Debt!$B$12)/(((0.0725/12)*(1+0.0725/12)^(Debt!$B$8))/((1+0.0725/12)^(Debt!$B$8)-1)*12),UW!$B$25/Debt!$B$13)</f>
        <v/>
      </c>
      <c r="K9" s="16">
        <f>MIN(Debt!$B$11*(UW!$B$22/K$5),(UW!$B$25/Debt!$B$12)/(((0.0725/12)*(1+0.0725/12)^(Debt!$B$8))/((1+0.0725/12)^(Debt!$B$8)-1)*12),UW!$B$25/Debt!$B$13)</f>
        <v/>
      </c>
    </row>
    <row r="10">
      <c r="A10" s="25" t="n">
        <v>0.0725</v>
      </c>
      <c r="B10" s="16">
        <f>UW!$B$22/A10</f>
        <v/>
      </c>
      <c r="D10" s="32" t="n">
        <v>0.075</v>
      </c>
      <c r="E10" s="16">
        <f>MIN(Debt!$B$11*(UW!$B$22/E$5),(UW!$B$25/Debt!$B$12)/(((0.075/12)*(1+0.075/12)^(Debt!$B$8))/((1+0.075/12)^(Debt!$B$8)-1)*12),UW!$B$25/Debt!$B$13)</f>
        <v/>
      </c>
      <c r="F10" s="16">
        <f>MIN(Debt!$B$11*(UW!$B$22/F$5),(UW!$B$25/Debt!$B$12)/(((0.075/12)*(1+0.075/12)^(Debt!$B$8))/((1+0.075/12)^(Debt!$B$8)-1)*12),UW!$B$25/Debt!$B$13)</f>
        <v/>
      </c>
      <c r="G10" s="16">
        <f>MIN(Debt!$B$11*(UW!$B$22/G$5),(UW!$B$25/Debt!$B$12)/(((0.075/12)*(1+0.075/12)^(Debt!$B$8))/((1+0.075/12)^(Debt!$B$8)-1)*12),UW!$B$25/Debt!$B$13)</f>
        <v/>
      </c>
      <c r="H10" s="16">
        <f>MIN(Debt!$B$11*(UW!$B$22/H$5),(UW!$B$25/Debt!$B$12)/(((0.075/12)*(1+0.075/12)^(Debt!$B$8))/((1+0.075/12)^(Debt!$B$8)-1)*12),UW!$B$25/Debt!$B$13)</f>
        <v/>
      </c>
      <c r="I10" s="16">
        <f>MIN(Debt!$B$11*(UW!$B$22/I$5),(UW!$B$25/Debt!$B$12)/(((0.075/12)*(1+0.075/12)^(Debt!$B$8))/((1+0.075/12)^(Debt!$B$8)-1)*12),UW!$B$25/Debt!$B$13)</f>
        <v/>
      </c>
      <c r="J10" s="16">
        <f>MIN(Debt!$B$11*(UW!$B$22/J$5),(UW!$B$25/Debt!$B$12)/(((0.075/12)*(1+0.075/12)^(Debt!$B$8))/((1+0.075/12)^(Debt!$B$8)-1)*12),UW!$B$25/Debt!$B$13)</f>
        <v/>
      </c>
      <c r="K10" s="16">
        <f>MIN(Debt!$B$11*(UW!$B$22/K$5),(UW!$B$25/Debt!$B$12)/(((0.075/12)*(1+0.075/12)^(Debt!$B$8))/((1+0.075/12)^(Debt!$B$8)-1)*12),UW!$B$25/Debt!$B$13)</f>
        <v/>
      </c>
    </row>
    <row r="11">
      <c r="A11" s="25" t="n">
        <v>0.075</v>
      </c>
      <c r="B11" s="16">
        <f>UW!$B$22/A11</f>
        <v/>
      </c>
    </row>
    <row r="12">
      <c r="A12" s="25" t="n">
        <v>0.0775</v>
      </c>
      <c r="B12" s="16">
        <f>UW!$B$22/A12</f>
        <v/>
      </c>
    </row>
    <row r="15">
      <c r="A15" s="33" t="inlineStr">
        <is>
          <t>Highlighted cells = Rev 2 base case (cap 7.00%, sizing rate 7.25%).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55" customWidth="1" min="4" max="4"/>
  </cols>
  <sheetData>
    <row r="1">
      <c r="A1" s="6" t="inlineStr">
        <is>
          <t>Historical T12 vs Underwriting (Rev 2)</t>
        </is>
      </c>
    </row>
    <row r="2">
      <c r="A2" t="inlineStr">
        <is>
          <t>T12 period: 2025-09-01 through 2026-08-31 (source: operating-statement.pdf). Underwriting reflects revised roll &amp; rates.</t>
        </is>
      </c>
    </row>
    <row r="3">
      <c r="A3" s="33" t="inlineStr">
        <is>
          <t>Historical NOI, underwritten NOI, and NCF have different definitions and are labeled distinctly.</t>
        </is>
      </c>
    </row>
    <row r="5">
      <c r="A5" s="4" t="inlineStr">
        <is>
          <t>Line item</t>
        </is>
      </c>
      <c r="B5" s="4" t="inlineStr">
        <is>
          <t>T12 Actual</t>
        </is>
      </c>
      <c r="C5" s="4" t="inlineStr">
        <is>
          <t>Underwritten</t>
        </is>
      </c>
      <c r="D5" s="4" t="inlineStr">
        <is>
          <t>Delta / Note</t>
        </is>
      </c>
    </row>
    <row r="6">
      <c r="A6" s="15" t="inlineStr">
        <is>
          <t>Rental &amp; ancillary collections</t>
        </is>
      </c>
      <c r="B6" s="16" t="n">
        <v>736830</v>
      </c>
      <c r="C6" s="16">
        <f>Inputs!B7</f>
        <v/>
      </c>
      <c r="D6" s="34" t="inlineStr">
        <is>
          <t>UW GPR pre-loss/other; not directly comparable</t>
        </is>
      </c>
    </row>
    <row r="7">
      <c r="A7" s="15" t="inlineStr">
        <is>
          <t>Economic loss (UW only)</t>
        </is>
      </c>
      <c r="B7" s="15" t="n"/>
      <c r="C7" s="16">
        <f>-UW!B5*UW!B6</f>
        <v/>
      </c>
      <c r="D7" s="34" t="inlineStr">
        <is>
          <t>Applied to UW GPR at 5%</t>
        </is>
      </c>
    </row>
    <row r="8">
      <c r="A8" s="15" t="inlineStr">
        <is>
          <t>Other income (UW only, $350/suite)</t>
        </is>
      </c>
      <c r="B8" s="15" t="n"/>
      <c r="C8" s="16">
        <f>UW!B8</f>
        <v/>
      </c>
      <c r="D8" s="34" t="inlineStr">
        <is>
          <t>Instructions</t>
        </is>
      </c>
    </row>
    <row r="9">
      <c r="A9" s="15" t="inlineStr">
        <is>
          <t>Effective / Underwritten EGI</t>
        </is>
      </c>
      <c r="B9" s="16" t="n">
        <v>736830</v>
      </c>
      <c r="C9" s="16">
        <f>UW!B10</f>
        <v/>
      </c>
      <c r="D9" s="34" t="inlineStr">
        <is>
          <t>Historical shown as collections; UW = GPR×(1−loss)+OI</t>
        </is>
      </c>
    </row>
    <row r="10">
      <c r="A10" s="15" t="inlineStr">
        <is>
          <t>Real estate tax</t>
        </is>
      </c>
      <c r="B10" s="16" t="n">
        <v>-85964</v>
      </c>
      <c r="C10" s="16">
        <f>-UW!B13</f>
        <v/>
      </c>
      <c r="D10" s="34" t="inlineStr">
        <is>
          <t>Same source figure</t>
        </is>
      </c>
    </row>
    <row r="11">
      <c r="A11" s="15" t="inlineStr">
        <is>
          <t>Insurance expense</t>
        </is>
      </c>
      <c r="B11" s="16" t="n">
        <v>-28655</v>
      </c>
      <c r="C11" s="16">
        <f>-UW!B14</f>
        <v/>
      </c>
      <c r="D11" s="34" t="inlineStr">
        <is>
          <t>Same source figure</t>
        </is>
      </c>
    </row>
    <row r="12">
      <c r="A12" s="15" t="inlineStr">
        <is>
          <t>Other recurring operating expenses</t>
        </is>
      </c>
      <c r="B12" s="16" t="n">
        <v>-114618</v>
      </c>
      <c r="C12" s="16">
        <f>-UW!B15</f>
        <v/>
      </c>
      <c r="D12" s="34" t="inlineStr">
        <is>
          <t>Same source figure</t>
        </is>
      </c>
    </row>
    <row r="13">
      <c r="A13" s="15" t="inlineStr">
        <is>
          <t>Management fee</t>
        </is>
      </c>
      <c r="B13" s="16" t="n">
        <v>0</v>
      </c>
      <c r="C13" s="16">
        <f>-UW!B16</f>
        <v/>
      </c>
      <c r="D13" s="34" t="inlineStr">
        <is>
          <t>Not in T12 ledger; underwritten at 3% of EGI</t>
        </is>
      </c>
    </row>
    <row r="14">
      <c r="A14" s="15" t="inlineStr">
        <is>
          <t>Roof replacement (capex)</t>
        </is>
      </c>
      <c r="B14" s="16" t="n">
        <v>0</v>
      </c>
      <c r="C14" s="16" t="n">
        <v>0</v>
      </c>
      <c r="D14" s="34" t="inlineStr">
        <is>
          <t>Capital improvement; not in recurring OpEx per T12</t>
        </is>
      </c>
    </row>
    <row r="15">
      <c r="A15" s="15" t="inlineStr">
        <is>
          <t>Reported / Underwritten NOI</t>
        </is>
      </c>
      <c r="B15" s="16" t="n">
        <v>507593</v>
      </c>
      <c r="C15" s="16">
        <f>UW!B22</f>
        <v/>
      </c>
      <c r="D15" s="34" t="inlineStr">
        <is>
          <t>T12 reported NOI vs UW NOI (before reserves)</t>
        </is>
      </c>
    </row>
    <row r="16">
      <c r="A16" s="15" t="inlineStr">
        <is>
          <t>Replacement reserves</t>
        </is>
      </c>
      <c r="B16" s="15" t="n"/>
      <c r="C16" s="16">
        <f>-UW!B23</f>
        <v/>
      </c>
      <c r="D16" s="34" t="inlineStr">
        <is>
          <t>UW only ($300/suite)</t>
        </is>
      </c>
    </row>
    <row r="17">
      <c r="A17" s="15" t="inlineStr">
        <is>
          <t>Underwritten NCF</t>
        </is>
      </c>
      <c r="B17" s="15" t="n"/>
      <c r="C17" s="16">
        <f>UW!B25</f>
        <v/>
      </c>
      <c r="D17" s="34" t="inlineStr">
        <is>
          <t>For DSCR &amp; debt yield sizing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60" customWidth="1" min="4" max="4"/>
  </cols>
  <sheetData>
    <row r="1">
      <c r="A1" s="6" t="inlineStr">
        <is>
          <t>Source Register (Rev 2)</t>
        </is>
      </c>
    </row>
    <row r="3">
      <c r="A3" s="4" t="inlineStr">
        <is>
          <t>#</t>
        </is>
      </c>
      <c r="B3" s="4" t="inlineStr">
        <is>
          <t>Field / Assumption</t>
        </is>
      </c>
      <c r="C3" s="4" t="inlineStr">
        <is>
          <t>Value</t>
        </is>
      </c>
      <c r="D3" s="4" t="inlineStr">
        <is>
          <t>Evidence (file — page/cell)</t>
        </is>
      </c>
    </row>
    <row r="4">
      <c r="A4" s="15" t="n">
        <v>1</v>
      </c>
      <c r="B4" s="34" t="inlineStr">
        <is>
          <t>Revised certified rent roll (as-of date)</t>
        </is>
      </c>
      <c r="C4" s="15" t="inlineStr">
        <is>
          <t>2026-09-01</t>
        </is>
      </c>
      <c r="D4" s="34" t="inlineStr">
        <is>
          <t>rent-roll-revised.xlsx — Sheet Rent Roll, B2</t>
        </is>
      </c>
    </row>
    <row r="5">
      <c r="A5" s="15" t="n">
        <v>2</v>
      </c>
      <c r="B5" s="34" t="inlineStr">
        <is>
          <t>Superseded certified roll</t>
        </is>
      </c>
      <c r="C5" s="15" t="inlineStr">
        <is>
          <t>as-of 2026-08-31</t>
        </is>
      </c>
      <c r="D5" s="34" t="inlineStr">
        <is>
          <t>rent-roll-certified.xlsx — B2 (superseded)</t>
        </is>
      </c>
    </row>
    <row r="6">
      <c r="A6" s="15" t="n">
        <v>3</v>
      </c>
      <c r="B6" s="34" t="inlineStr">
        <is>
          <t>Revised roll suite count / status</t>
        </is>
      </c>
      <c r="C6" s="15" t="inlineStr">
        <is>
          <t>10 total; 9 active, 1 vacant</t>
        </is>
      </c>
      <c r="D6" s="34" t="inlineStr">
        <is>
          <t>rent-roll-revised.xlsx — Rent Roll, A5:E14</t>
        </is>
      </c>
    </row>
    <row r="7">
      <c r="A7" s="15" t="n">
        <v>4</v>
      </c>
      <c r="B7" s="34" t="inlineStr">
        <is>
          <t>Suite 002 revised monthly rent</t>
        </is>
      </c>
      <c r="C7" s="15" t="inlineStr">
        <is>
          <t>$7,025 (+$225 vs prior)</t>
        </is>
      </c>
      <c r="D7" s="34" t="inlineStr">
        <is>
          <t>rent-roll-revised.xlsx — E6; revision-notice.pdf — page 1</t>
        </is>
      </c>
    </row>
    <row r="8">
      <c r="A8" s="15" t="n">
        <v>5</v>
      </c>
      <c r="B8" s="34" t="inlineStr">
        <is>
          <t>Suite 001 monthly rent (post-amendment)</t>
        </is>
      </c>
      <c r="C8" s="15" t="inlineStr">
        <is>
          <t>$6,650 (unchanged)</t>
        </is>
      </c>
      <c r="D8" s="34" t="inlineStr">
        <is>
          <t>rent-roll-revised.xlsx — E5</t>
        </is>
      </c>
    </row>
    <row r="9">
      <c r="A9" s="15" t="n">
        <v>6</v>
      </c>
      <c r="B9" s="34" t="inlineStr">
        <is>
          <t>Suite 001 amendment (+$350/mo, eff. 2026-08-01)</t>
        </is>
      </c>
      <c r="C9" s="15" t="inlineStr">
        <is>
          <t>+$350 continues to apply</t>
        </is>
      </c>
      <c r="D9" s="34" t="inlineStr">
        <is>
          <t>lease-correspondence.pdf — page 1; revision-notice.pdf — page 1</t>
        </is>
      </c>
    </row>
    <row r="10">
      <c r="A10" s="15" t="n">
        <v>7</v>
      </c>
      <c r="B10" s="34" t="inlineStr">
        <is>
          <t>Suite 001 executed base rent (pre-amendment)</t>
        </is>
      </c>
      <c r="C10" s="15" t="inlineStr">
        <is>
          <t>$6,650 (lease excerpt)</t>
        </is>
      </c>
      <c r="D10" s="34" t="inlineStr">
        <is>
          <t>lease-001.pdf — page 1</t>
        </is>
      </c>
    </row>
    <row r="11">
      <c r="A11" s="15" t="n">
        <v>8</v>
      </c>
      <c r="B11" s="34" t="inlineStr">
        <is>
          <t>Archive roll (2026-06-30) Suite 001 rent</t>
        </is>
      </c>
      <c r="C11" s="15" t="inlineStr">
        <is>
          <t>$6,575</t>
        </is>
      </c>
      <c r="D11" s="34" t="inlineStr">
        <is>
          <t>rent-roll-archive.xlsx — E5 (superseded)</t>
        </is>
      </c>
    </row>
    <row r="12">
      <c r="A12" s="15" t="n">
        <v>9</v>
      </c>
      <c r="B12" s="34" t="inlineStr">
        <is>
          <t>Type mapping (A=Small, B=Standard, C=Large)</t>
        </is>
      </c>
      <c r="C12" s="15" t="inlineStr">
        <is>
          <t>Manager methodology</t>
        </is>
      </c>
      <c r="D12" s="34" t="inlineStr">
        <is>
          <t>manager-cover.pdf — page 1</t>
        </is>
      </c>
    </row>
    <row r="13">
      <c r="A13" s="15" t="n">
        <v>10</v>
      </c>
      <c r="B13" s="34" t="inlineStr">
        <is>
          <t>Manager headline occupancy claim</t>
        </is>
      </c>
      <c r="C13" s="15" t="inlineStr">
        <is>
          <t>9 of 10 (occupied + pending as leased)</t>
        </is>
      </c>
      <c r="D13" s="34" t="inlineStr">
        <is>
          <t>manager-cover.pdf — page 1</t>
        </is>
      </c>
    </row>
    <row r="14">
      <c r="A14" s="15" t="n">
        <v>11</v>
      </c>
      <c r="B14" s="34" t="inlineStr">
        <is>
          <t>T12 collections</t>
        </is>
      </c>
      <c r="C14" s="15" t="inlineStr">
        <is>
          <t>$736,830</t>
        </is>
      </c>
      <c r="D14" s="34" t="inlineStr">
        <is>
          <t>operating-statement.pdf — page 1 (table)</t>
        </is>
      </c>
    </row>
    <row r="15">
      <c r="A15" s="15" t="n">
        <v>12</v>
      </c>
      <c r="B15" s="34" t="inlineStr">
        <is>
          <t>T12 real estate tax</t>
        </is>
      </c>
      <c r="C15" s="15" t="inlineStr">
        <is>
          <t>$85,964</t>
        </is>
      </c>
      <c r="D15" s="34" t="inlineStr">
        <is>
          <t>operating-statement.pdf — page 1</t>
        </is>
      </c>
    </row>
    <row r="16">
      <c r="A16" s="15" t="n">
        <v>13</v>
      </c>
      <c r="B16" s="34" t="inlineStr">
        <is>
          <t>T12 insurance expense</t>
        </is>
      </c>
      <c r="C16" s="15" t="inlineStr">
        <is>
          <t>$28,655</t>
        </is>
      </c>
      <c r="D16" s="34" t="inlineStr">
        <is>
          <t>operating-statement.pdf — page 1</t>
        </is>
      </c>
    </row>
    <row r="17">
      <c r="A17" s="15" t="n">
        <v>14</v>
      </c>
      <c r="B17" s="34" t="inlineStr">
        <is>
          <t>T12 other recurring opex</t>
        </is>
      </c>
      <c r="C17" s="15" t="inlineStr">
        <is>
          <t>$114,618</t>
        </is>
      </c>
      <c r="D17" s="34" t="inlineStr">
        <is>
          <t>operating-statement.pdf — page 1</t>
        </is>
      </c>
    </row>
    <row r="18">
      <c r="A18" s="15" t="n">
        <v>15</v>
      </c>
      <c r="B18" s="34" t="inlineStr">
        <is>
          <t>T12 reported NOI</t>
        </is>
      </c>
      <c r="C18" s="15" t="inlineStr">
        <is>
          <t>$507,593</t>
        </is>
      </c>
      <c r="D18" s="34" t="inlineStr">
        <is>
          <t>operating-statement.pdf — page 1</t>
        </is>
      </c>
    </row>
    <row r="19">
      <c r="A19" s="15" t="n">
        <v>16</v>
      </c>
      <c r="B19" s="34" t="inlineStr">
        <is>
          <t>Roof replacement booked in repairs</t>
        </is>
      </c>
      <c r="C19" s="15" t="inlineStr">
        <is>
          <t>$0 (classified as capex)</t>
        </is>
      </c>
      <c r="D19" s="34" t="inlineStr">
        <is>
          <t>operating-statement.pdf — page 1</t>
        </is>
      </c>
    </row>
    <row r="20">
      <c r="A20" s="15" t="n">
        <v>17</v>
      </c>
      <c r="B20" s="34" t="inlineStr">
        <is>
          <t>Insurance policy aggregate limit</t>
        </is>
      </c>
      <c r="C20" s="15" t="inlineStr">
        <is>
          <t>$2,000,000 (GL — not expense)</t>
        </is>
      </c>
      <c r="D20" s="34" t="inlineStr">
        <is>
          <t>insurance.pdf — page 1</t>
        </is>
      </c>
    </row>
    <row r="21">
      <c r="A21" s="15" t="n">
        <v>18</v>
      </c>
      <c r="B21" s="34" t="inlineStr">
        <is>
          <t>Insurance policy period</t>
        </is>
      </c>
      <c r="C21" s="15" t="inlineStr">
        <is>
          <t>2026-07-01 to 2027-06-30</t>
        </is>
      </c>
      <c r="D21" s="34" t="inlineStr">
        <is>
          <t>insurance.pdf — page 1</t>
        </is>
      </c>
    </row>
    <row r="22">
      <c r="A22" s="15" t="n">
        <v>19</v>
      </c>
      <c r="B22" s="34" t="inlineStr">
        <is>
          <t>UW GPR method</t>
        </is>
      </c>
      <c r="C22" s="15" t="inlineStr">
        <is>
          <t>All-suite revised ×12, S001 pre-amendment</t>
        </is>
      </c>
      <c r="D22" s="34" t="inlineStr">
        <is>
          <t>underwriting-instructions.pdf; revision-notice.pdf — page 1</t>
        </is>
      </c>
    </row>
    <row r="23">
      <c r="A23" s="15" t="n">
        <v>20</v>
      </c>
      <c r="B23" s="34" t="inlineStr">
        <is>
          <t>UW economic loss</t>
        </is>
      </c>
      <c r="C23" s="15" t="inlineStr">
        <is>
          <t>5% (unchanged)</t>
        </is>
      </c>
      <c r="D23" s="34" t="inlineStr">
        <is>
          <t>underwriting-instructions.pdf — page 1</t>
        </is>
      </c>
    </row>
    <row r="24">
      <c r="A24" s="15" t="n">
        <v>21</v>
      </c>
      <c r="B24" s="34" t="inlineStr">
        <is>
          <t>UW other income</t>
        </is>
      </c>
      <c r="C24" s="15" t="inlineStr">
        <is>
          <t>$350/suite/year (unchanged)</t>
        </is>
      </c>
      <c r="D24" s="34" t="inlineStr">
        <is>
          <t>underwriting-instructions.pdf — page 1</t>
        </is>
      </c>
    </row>
    <row r="25">
      <c r="A25" s="15" t="n">
        <v>22</v>
      </c>
      <c r="B25" s="34" t="inlineStr">
        <is>
          <t>UW management fee</t>
        </is>
      </c>
      <c r="C25" s="15" t="inlineStr">
        <is>
          <t>3% of EGI (unchanged)</t>
        </is>
      </c>
      <c r="D25" s="34" t="inlineStr">
        <is>
          <t>underwriting-instructions.pdf — page 1</t>
        </is>
      </c>
    </row>
    <row r="26">
      <c r="A26" s="15" t="n">
        <v>23</v>
      </c>
      <c r="B26" s="34" t="inlineStr">
        <is>
          <t>UW replacement reserve</t>
        </is>
      </c>
      <c r="C26" s="15" t="inlineStr">
        <is>
          <t>$300/suite/year (unchanged)</t>
        </is>
      </c>
      <c r="D26" s="34" t="inlineStr">
        <is>
          <t>underwriting-instructions.pdf — page 1</t>
        </is>
      </c>
    </row>
    <row r="27">
      <c r="A27" s="15" t="n">
        <v>24</v>
      </c>
      <c r="B27" s="34" t="inlineStr">
        <is>
          <t>Cap rate (Rev 2)</t>
        </is>
      </c>
      <c r="C27" s="15" t="inlineStr">
        <is>
          <t>7.0000% (was 6.7500%)</t>
        </is>
      </c>
      <c r="D27" s="34" t="inlineStr">
        <is>
          <t>revision-notice.pdf — page 1</t>
        </is>
      </c>
    </row>
    <row r="28">
      <c r="A28" s="15" t="n">
        <v>25</v>
      </c>
      <c r="B28" s="34" t="inlineStr">
        <is>
          <t>LTV / DSCR / DY limits</t>
        </is>
      </c>
      <c r="C28" s="15" t="inlineStr">
        <is>
          <t>65% / 1.25× / 9.0% (unchanged)</t>
        </is>
      </c>
      <c r="D28" s="34" t="inlineStr">
        <is>
          <t>underwriting-instructions.pdf — page 1</t>
        </is>
      </c>
    </row>
    <row r="29">
      <c r="A29" s="15" t="n">
        <v>26</v>
      </c>
      <c r="B29" s="34" t="inlineStr">
        <is>
          <t>Note rate (Rev 2) / Floor rate</t>
        </is>
      </c>
      <c r="C29" s="15" t="inlineStr">
        <is>
          <t>7.2500% (was 6.5000%) / 6.0000% (unchanged)</t>
        </is>
      </c>
      <c r="D29" s="34" t="inlineStr">
        <is>
          <t>revision-notice.pdf — page 1; underwriting-instructions.pdf — page 1</t>
        </is>
      </c>
    </row>
    <row r="30">
      <c r="A30" s="15" t="n">
        <v>27</v>
      </c>
      <c r="B30" s="34" t="inlineStr">
        <is>
          <t>Sizing on greater of note &amp; floor</t>
        </is>
      </c>
      <c r="C30" s="15" t="inlineStr">
        <is>
          <t>MAX(7.25%, 6.00%) = 7.25%</t>
        </is>
      </c>
      <c r="D30" s="34" t="inlineStr">
        <is>
          <t>underwriting-instructions.pdf — page 1</t>
        </is>
      </c>
    </row>
    <row r="31">
      <c r="A31" s="15" t="n">
        <v>28</v>
      </c>
      <c r="B31" s="34" t="inlineStr">
        <is>
          <t>Amortization</t>
        </is>
      </c>
      <c r="C31" s="15" t="inlineStr">
        <is>
          <t>30 years, monthly (unchanged)</t>
        </is>
      </c>
      <c r="D31" s="34" t="inlineStr">
        <is>
          <t>underwriting-instructions.pdf — page 1</t>
        </is>
      </c>
    </row>
    <row r="32">
      <c r="A32" s="15" t="n">
        <v>29</v>
      </c>
      <c r="B32" s="34" t="inlineStr">
        <is>
          <t>Origination / Closing / Payoff</t>
        </is>
      </c>
      <c r="C32" s="15" t="inlineStr">
        <is>
          <t>1% / $45,000 / $4,300,000 (unchanged)</t>
        </is>
      </c>
      <c r="D32" s="34" t="inlineStr">
        <is>
          <t>underwriting-instructions.pdf; revision-notice.pdf</t>
        </is>
      </c>
    </row>
    <row r="33">
      <c r="A33" s="15" t="n">
        <v>30</v>
      </c>
      <c r="B33" s="34" t="inlineStr">
        <is>
          <t>Diligence status — legal/env/PCA/title</t>
        </is>
      </c>
      <c r="C33" s="15" t="inlineStr">
        <is>
          <t>Pending, no findings</t>
        </is>
      </c>
      <c r="D33" s="34" t="inlineStr">
        <is>
          <t>diligence-status.pdf — page 1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8" customWidth="1" min="4" max="4"/>
    <col width="34" customWidth="1" min="5" max="5"/>
    <col width="54" customWidth="1" min="6" max="6"/>
  </cols>
  <sheetData>
    <row r="1">
      <c r="A1" s="6" t="inlineStr">
        <is>
          <t>Reported Named Fields — Values, Units, Evidence (Rev 2)</t>
        </is>
      </c>
    </row>
    <row r="3">
      <c r="A3" s="4" t="inlineStr">
        <is>
          <t>Field</t>
        </is>
      </c>
      <c r="B3" s="4" t="inlineStr">
        <is>
          <t>Value (Rev 2)</t>
        </is>
      </c>
      <c r="C3" s="4" t="inlineStr">
        <is>
          <t>Prior (Rev 1)</t>
        </is>
      </c>
      <c r="D3" s="4" t="inlineStr">
        <is>
          <t>Unit</t>
        </is>
      </c>
      <c r="E3" s="4" t="inlineStr">
        <is>
          <t>Evidence</t>
        </is>
      </c>
      <c r="F3" s="4" t="inlineStr">
        <is>
          <t>Location</t>
        </is>
      </c>
    </row>
    <row r="4">
      <c r="A4" s="35" t="inlineStr">
        <is>
          <t>total_units</t>
        </is>
      </c>
      <c r="B4" s="36" t="n">
        <v>10</v>
      </c>
      <c r="C4" s="36" t="n">
        <v>10</v>
      </c>
      <c r="D4" s="37" t="inlineStr">
        <is>
          <t>count</t>
        </is>
      </c>
      <c r="E4" s="34" t="inlineStr">
        <is>
          <t>rent-roll-revised.xlsx</t>
        </is>
      </c>
      <c r="F4" s="34" t="inlineStr">
        <is>
          <t>Rent Roll A5:A14</t>
        </is>
      </c>
    </row>
    <row r="5">
      <c r="A5" s="35" t="inlineStr">
        <is>
          <t>occupied_units</t>
        </is>
      </c>
      <c r="B5" s="36" t="n">
        <v>9</v>
      </c>
      <c r="C5" s="36" t="n">
        <v>9</v>
      </c>
      <c r="D5" s="37" t="inlineStr">
        <is>
          <t>count</t>
        </is>
      </c>
      <c r="E5" s="34" t="inlineStr">
        <is>
          <t>rent-roll-revised.xlsx</t>
        </is>
      </c>
      <c r="F5" s="34" t="inlineStr">
        <is>
          <t>Rent Roll D5:D14 (=active)</t>
        </is>
      </c>
    </row>
    <row r="6">
      <c r="A6" s="35" t="inlineStr">
        <is>
          <t>pending_units</t>
        </is>
      </c>
      <c r="B6" s="36" t="n">
        <v>0</v>
      </c>
      <c r="C6" s="36" t="n">
        <v>0</v>
      </c>
      <c r="D6" s="37" t="inlineStr">
        <is>
          <t>count</t>
        </is>
      </c>
      <c r="E6" s="34" t="inlineStr">
        <is>
          <t>rent-roll-revised.xlsx</t>
        </is>
      </c>
      <c r="F6" s="34" t="inlineStr">
        <is>
          <t>no "pending" status on roll</t>
        </is>
      </c>
    </row>
    <row r="7">
      <c r="A7" s="38" t="inlineStr">
        <is>
          <t>total_area_sf</t>
        </is>
      </c>
      <c r="B7" s="39" t="n">
        <v>32150</v>
      </c>
      <c r="C7" s="39" t="n">
        <v>31150</v>
      </c>
      <c r="D7" s="40" t="inlineStr">
        <is>
          <t>SF</t>
        </is>
      </c>
      <c r="E7" s="41" t="inlineStr">
        <is>
          <t>rent-roll-revised.xlsx</t>
        </is>
      </c>
      <c r="F7" s="41" t="inlineStr">
        <is>
          <t>Rent Roll C5:C14 (Rev 1 memo had arithmetic error)</t>
        </is>
      </c>
    </row>
    <row r="8">
      <c r="A8" s="38" t="inlineStr">
        <is>
          <t>occupied_area_sf</t>
        </is>
      </c>
      <c r="B8" s="39" t="n">
        <v>29070</v>
      </c>
      <c r="C8" s="39" t="n">
        <v>28170</v>
      </c>
      <c r="D8" s="40" t="inlineStr">
        <is>
          <t>SF</t>
        </is>
      </c>
      <c r="E8" s="41" t="inlineStr">
        <is>
          <t>rent-roll-revised.xlsx</t>
        </is>
      </c>
      <c r="F8" s="41" t="inlineStr">
        <is>
          <t>Rent Roll C5:C14 where D=active (Rev 1 memo had arithmetic error)</t>
        </is>
      </c>
    </row>
    <row r="9">
      <c r="A9" s="35" t="inlineStr">
        <is>
          <t>unit_occupancy</t>
        </is>
      </c>
      <c r="B9" s="42" t="n">
        <v>0.9</v>
      </c>
      <c r="C9" s="42" t="n">
        <v>0.9</v>
      </c>
      <c r="D9" s="37" t="inlineStr">
        <is>
          <t>ratio</t>
        </is>
      </c>
      <c r="E9" s="34" t="inlineStr">
        <is>
          <t>rent-roll-revised.xlsx</t>
        </is>
      </c>
      <c r="F9" s="34" t="inlineStr">
        <is>
          <t>derived: 9/10</t>
        </is>
      </c>
    </row>
    <row r="10">
      <c r="A10" s="35" t="inlineStr">
        <is>
          <t>area_occupancy</t>
        </is>
      </c>
      <c r="B10" s="42" t="n">
        <v>0.9042</v>
      </c>
      <c r="C10" s="42" t="n">
        <v>0.9042</v>
      </c>
      <c r="D10" s="37" t="inlineStr">
        <is>
          <t>ratio</t>
        </is>
      </c>
      <c r="E10" s="34" t="inlineStr">
        <is>
          <t>rent-roll-revised.xlsx</t>
        </is>
      </c>
      <c r="F10" s="34" t="inlineStr">
        <is>
          <t>derived: 29,070/32,150</t>
        </is>
      </c>
    </row>
    <row r="11">
      <c r="A11" s="38" t="inlineStr">
        <is>
          <t>annual_in_place_rent</t>
        </is>
      </c>
      <c r="B11" s="9" t="n">
        <v>741600</v>
      </c>
      <c r="C11" s="9" t="n">
        <v>735300</v>
      </c>
      <c r="D11" s="40" t="inlineStr">
        <is>
          <t>USD</t>
        </is>
      </c>
      <c r="E11" s="41" t="inlineStr">
        <is>
          <t>rent-roll-revised.xlsx</t>
        </is>
      </c>
      <c r="F11" s="41" t="inlineStr">
        <is>
          <t>sum active × 12 = 61,800 × 12</t>
        </is>
      </c>
    </row>
    <row r="12">
      <c r="A12" s="35" t="inlineStr">
        <is>
          <t>unit_001_monthly_rent</t>
        </is>
      </c>
      <c r="B12" s="16" t="n">
        <v>6650</v>
      </c>
      <c r="C12" s="16" t="n">
        <v>6650</v>
      </c>
      <c r="D12" s="37" t="inlineStr">
        <is>
          <t>USD</t>
        </is>
      </c>
      <c r="E12" s="34" t="inlineStr">
        <is>
          <t>rent-roll-revised.xlsx</t>
        </is>
      </c>
      <c r="F12" s="34" t="inlineStr">
        <is>
          <t>Rent Roll E5 (post-amendment)</t>
        </is>
      </c>
    </row>
    <row r="13">
      <c r="A13" s="38" t="inlineStr">
        <is>
          <t>gross_potential_rent</t>
        </is>
      </c>
      <c r="B13" s="9" t="n">
        <v>817200</v>
      </c>
      <c r="C13" s="9" t="n">
        <v>814500</v>
      </c>
      <c r="D13" s="40" t="inlineStr">
        <is>
          <t>USD</t>
        </is>
      </c>
      <c r="E13" s="41" t="inlineStr">
        <is>
          <t>underwriting-instructions.pdf + revision-notice.pdf</t>
        </is>
      </c>
      <c r="F13" s="41" t="inlineStr">
        <is>
          <t>revised sum − S001 amend ×12 = 68,100 × 12</t>
        </is>
      </c>
    </row>
    <row r="14">
      <c r="A14" s="38" t="inlineStr">
        <is>
          <t>uw_egi</t>
        </is>
      </c>
      <c r="B14" s="9" t="n">
        <v>779840</v>
      </c>
      <c r="C14" s="9" t="n">
        <v>777275</v>
      </c>
      <c r="D14" s="40" t="inlineStr">
        <is>
          <t>USD</t>
        </is>
      </c>
      <c r="E14" s="41" t="inlineStr">
        <is>
          <t>model</t>
        </is>
      </c>
      <c r="F14" s="41" t="inlineStr">
        <is>
          <t>UW!B10</t>
        </is>
      </c>
    </row>
    <row r="15">
      <c r="A15" s="35" t="inlineStr">
        <is>
          <t>uw_tax</t>
        </is>
      </c>
      <c r="B15" s="16" t="n">
        <v>85964</v>
      </c>
      <c r="C15" s="16" t="n">
        <v>85964</v>
      </c>
      <c r="D15" s="37" t="inlineStr">
        <is>
          <t>USD</t>
        </is>
      </c>
      <c r="E15" s="34" t="inlineStr">
        <is>
          <t>underwriting-instructions.pdf</t>
        </is>
      </c>
      <c r="F15" s="34" t="inlineStr">
        <is>
          <t>Inputs!B10</t>
        </is>
      </c>
    </row>
    <row r="16">
      <c r="A16" s="35" t="inlineStr">
        <is>
          <t>uw_insurance</t>
        </is>
      </c>
      <c r="B16" s="16" t="n">
        <v>28655</v>
      </c>
      <c r="C16" s="16" t="n">
        <v>28655</v>
      </c>
      <c r="D16" s="37" t="inlineStr">
        <is>
          <t>USD</t>
        </is>
      </c>
      <c r="E16" s="34" t="inlineStr">
        <is>
          <t>underwriting-instructions.pdf</t>
        </is>
      </c>
      <c r="F16" s="34" t="inlineStr">
        <is>
          <t>Inputs!B11</t>
        </is>
      </c>
    </row>
    <row r="17">
      <c r="A17" s="38" t="inlineStr">
        <is>
          <t>uw_operating_expenses</t>
        </is>
      </c>
      <c r="B17" s="9" t="n">
        <v>252632</v>
      </c>
      <c r="C17" s="9" t="n">
        <v>252555</v>
      </c>
      <c r="D17" s="40" t="inlineStr">
        <is>
          <t>USD</t>
        </is>
      </c>
      <c r="E17" s="41" t="inlineStr">
        <is>
          <t>model</t>
        </is>
      </c>
      <c r="F17" s="41" t="inlineStr">
        <is>
          <t>UW!B17 (3% mgmt on EGI updates)</t>
        </is>
      </c>
    </row>
    <row r="18">
      <c r="A18" s="38" t="inlineStr">
        <is>
          <t>uw_noi</t>
        </is>
      </c>
      <c r="B18" s="9" t="n">
        <v>527208</v>
      </c>
      <c r="C18" s="9" t="n">
        <v>524720</v>
      </c>
      <c r="D18" s="40" t="inlineStr">
        <is>
          <t>USD</t>
        </is>
      </c>
      <c r="E18" s="41" t="inlineStr">
        <is>
          <t>model</t>
        </is>
      </c>
      <c r="F18" s="41" t="inlineStr">
        <is>
          <t>UW!B22 (before reserves)</t>
        </is>
      </c>
    </row>
    <row r="19">
      <c r="A19" s="38" t="inlineStr">
        <is>
          <t>uw_ncf</t>
        </is>
      </c>
      <c r="B19" s="9" t="n">
        <v>524208</v>
      </c>
      <c r="C19" s="9" t="n">
        <v>521720</v>
      </c>
      <c r="D19" s="40" t="inlineStr">
        <is>
          <t>USD</t>
        </is>
      </c>
      <c r="E19" s="41" t="inlineStr">
        <is>
          <t>model</t>
        </is>
      </c>
      <c r="F19" s="41" t="inlineStr">
        <is>
          <t>UW!B25</t>
        </is>
      </c>
    </row>
    <row r="20">
      <c r="A20" s="38" t="inlineStr">
        <is>
          <t>sizing_rate</t>
        </is>
      </c>
      <c r="B20" s="43" t="n">
        <v>0.0725</v>
      </c>
      <c r="C20" s="43" t="n">
        <v>0.065</v>
      </c>
      <c r="D20" s="40" t="inlineStr">
        <is>
          <t>ratio</t>
        </is>
      </c>
      <c r="E20" s="41" t="inlineStr">
        <is>
          <t>revision-notice.pdf</t>
        </is>
      </c>
      <c r="F20" s="41" t="inlineStr">
        <is>
          <t>MAX(7.25%, 6.00%)</t>
        </is>
      </c>
    </row>
    <row r="21">
      <c r="A21" s="38" t="inlineStr">
        <is>
          <t>cap_rate</t>
        </is>
      </c>
      <c r="B21" s="43" t="n">
        <v>0.07000000000000001</v>
      </c>
      <c r="C21" s="43" t="n">
        <v>0.0675</v>
      </c>
      <c r="D21" s="40" t="inlineStr">
        <is>
          <t>ratio</t>
        </is>
      </c>
      <c r="E21" s="41" t="inlineStr">
        <is>
          <t>revision-notice.pdf</t>
        </is>
      </c>
      <c r="F21" s="41" t="inlineStr">
        <is>
          <t>Inputs!B22 (+25 bps)</t>
        </is>
      </c>
    </row>
    <row r="22">
      <c r="A22" s="38" t="inlineStr">
        <is>
          <t>capitalization_value</t>
        </is>
      </c>
      <c r="B22" s="9" t="n">
        <v>7531540</v>
      </c>
      <c r="C22" s="9" t="n">
        <v>7773626</v>
      </c>
      <c r="D22" s="40" t="inlineStr">
        <is>
          <t>USD</t>
        </is>
      </c>
      <c r="E22" s="41" t="inlineStr">
        <is>
          <t>model</t>
        </is>
      </c>
      <c r="F22" s="41" t="inlineStr">
        <is>
          <t>UW!B32</t>
        </is>
      </c>
    </row>
    <row r="23">
      <c r="A23" s="35" t="inlineStr">
        <is>
          <t>ltv_limit</t>
        </is>
      </c>
      <c r="B23" s="42" t="n">
        <v>0.65</v>
      </c>
      <c r="C23" s="42" t="n">
        <v>0.65</v>
      </c>
      <c r="D23" s="37" t="inlineStr">
        <is>
          <t>ratio</t>
        </is>
      </c>
      <c r="E23" s="34" t="inlineStr">
        <is>
          <t>underwriting-instructions.pdf</t>
        </is>
      </c>
      <c r="F23" s="34" t="inlineStr">
        <is>
          <t>Inputs!B24</t>
        </is>
      </c>
    </row>
    <row r="24">
      <c r="A24" s="35" t="inlineStr">
        <is>
          <t>dscr_limit</t>
        </is>
      </c>
      <c r="B24" s="42" t="n">
        <v>1.25</v>
      </c>
      <c r="C24" s="42" t="n">
        <v>1.25</v>
      </c>
      <c r="D24" s="37" t="inlineStr">
        <is>
          <t>ratio</t>
        </is>
      </c>
      <c r="E24" s="34" t="inlineStr">
        <is>
          <t>underwriting-instructions.pdf</t>
        </is>
      </c>
      <c r="F24" s="34" t="inlineStr">
        <is>
          <t>Inputs!B25</t>
        </is>
      </c>
    </row>
    <row r="25">
      <c r="A25" s="35" t="inlineStr">
        <is>
          <t>debt_yield_limit</t>
        </is>
      </c>
      <c r="B25" s="42" t="n">
        <v>0.09</v>
      </c>
      <c r="C25" s="42" t="n">
        <v>0.09</v>
      </c>
      <c r="D25" s="37" t="inlineStr">
        <is>
          <t>ratio</t>
        </is>
      </c>
      <c r="E25" s="34" t="inlineStr">
        <is>
          <t>underwriting-instructions.pdf</t>
        </is>
      </c>
      <c r="F25" s="34" t="inlineStr">
        <is>
          <t>Inputs!B26</t>
        </is>
      </c>
    </row>
    <row r="26">
      <c r="A26" s="38" t="inlineStr">
        <is>
          <t>maximum_loan</t>
        </is>
      </c>
      <c r="B26" s="9" t="n">
        <v>4895501</v>
      </c>
      <c r="C26" s="9" t="n">
        <v>5052857</v>
      </c>
      <c r="D26" s="40" t="inlineStr">
        <is>
          <t>USD</t>
        </is>
      </c>
      <c r="E26" s="41" t="inlineStr">
        <is>
          <t>model</t>
        </is>
      </c>
      <c r="F26" s="41" t="inlineStr">
        <is>
          <t>Debt!B24 (LTV binding)</t>
        </is>
      </c>
    </row>
    <row r="27">
      <c r="A27" s="38" t="inlineStr">
        <is>
          <t>net_cash_out</t>
        </is>
      </c>
      <c r="B27" s="9" t="n">
        <v>501546</v>
      </c>
      <c r="C27" s="9" t="n">
        <v>657328</v>
      </c>
      <c r="D27" s="40" t="inlineStr">
        <is>
          <t>USD</t>
        </is>
      </c>
      <c r="E27" s="41" t="inlineStr">
        <is>
          <t>model</t>
        </is>
      </c>
      <c r="F27" s="41" t="inlineStr">
        <is>
          <t>Debt!B32</t>
        </is>
      </c>
    </row>
    <row r="28">
      <c r="A28" s="35" t="inlineStr">
        <is>
          <t>insurance_policy_limit</t>
        </is>
      </c>
      <c r="B28" s="16" t="n">
        <v>2000000</v>
      </c>
      <c r="C28" s="16" t="n">
        <v>2000000</v>
      </c>
      <c r="D28" s="37" t="inlineStr">
        <is>
          <t>USD</t>
        </is>
      </c>
      <c r="E28" s="34" t="inlineStr">
        <is>
          <t>insurance.pdf</t>
        </is>
      </c>
      <c r="F28" s="34" t="inlineStr">
        <is>
          <t>page 1 — GL aggregate (not an expense)</t>
        </is>
      </c>
    </row>
    <row r="29">
      <c r="A29" s="38" t="inlineStr">
        <is>
          <t>selected_roll_date</t>
        </is>
      </c>
      <c r="B29" s="44" t="inlineStr">
        <is>
          <t>2026-09-01</t>
        </is>
      </c>
      <c r="C29" s="44" t="inlineStr">
        <is>
          <t>2026-08-31</t>
        </is>
      </c>
      <c r="D29" s="40" t="inlineStr">
        <is>
          <t>date</t>
        </is>
      </c>
      <c r="E29" s="41" t="inlineStr">
        <is>
          <t>rent-roll-revised.xlsx</t>
        </is>
      </c>
      <c r="F29" s="41" t="inlineStr">
        <is>
          <t>B2</t>
        </is>
      </c>
    </row>
    <row r="30">
      <c r="A30" s="35" t="inlineStr">
        <is>
          <t>reported_t12_noi</t>
        </is>
      </c>
      <c r="B30" s="16" t="n">
        <v>507593</v>
      </c>
      <c r="C30" s="16" t="n">
        <v>507593</v>
      </c>
      <c r="D30" s="37" t="inlineStr">
        <is>
          <t>USD</t>
        </is>
      </c>
      <c r="E30" s="34" t="inlineStr">
        <is>
          <t>operating-statement.pdf</t>
        </is>
      </c>
      <c r="F30" s="34" t="inlineStr">
        <is>
          <t>page 1 — table</t>
        </is>
      </c>
    </row>
    <row r="31">
      <c r="A31" s="35" t="inlineStr">
        <is>
          <t>type_a_units</t>
        </is>
      </c>
      <c r="B31" s="36" t="n">
        <v>4</v>
      </c>
      <c r="C31" s="36" t="n">
        <v>4</v>
      </c>
      <c r="D31" s="37" t="inlineStr">
        <is>
          <t>count</t>
        </is>
      </c>
      <c r="E31" s="34" t="inlineStr">
        <is>
          <t>rent-roll-revised.xlsx + manager-cover.pdf</t>
        </is>
      </c>
      <c r="F31" s="34" t="inlineStr">
        <is>
          <t>Small suites</t>
        </is>
      </c>
    </row>
    <row r="32">
      <c r="A32" s="35" t="inlineStr">
        <is>
          <t>type_a_occupied</t>
        </is>
      </c>
      <c r="B32" s="36" t="n">
        <v>3</v>
      </c>
      <c r="C32" s="36" t="n">
        <v>3</v>
      </c>
      <c r="D32" s="37" t="inlineStr">
        <is>
          <t>count</t>
        </is>
      </c>
      <c r="E32" s="34" t="inlineStr">
        <is>
          <t>rent-roll-revised.xlsx</t>
        </is>
      </c>
      <c r="F32" s="34" t="inlineStr">
        <is>
          <t>active Small suites</t>
        </is>
      </c>
    </row>
    <row r="33">
      <c r="A33" s="35" t="inlineStr">
        <is>
          <t>type_b_units</t>
        </is>
      </c>
      <c r="B33" s="36" t="n">
        <v>3</v>
      </c>
      <c r="C33" s="36" t="n">
        <v>3</v>
      </c>
      <c r="D33" s="37" t="inlineStr">
        <is>
          <t>count</t>
        </is>
      </c>
      <c r="E33" s="34" t="inlineStr">
        <is>
          <t>rent-roll-revised.xlsx + manager-cover.pdf</t>
        </is>
      </c>
      <c r="F33" s="34" t="inlineStr">
        <is>
          <t>Standard suites</t>
        </is>
      </c>
    </row>
    <row r="34">
      <c r="A34" s="35" t="inlineStr">
        <is>
          <t>type_b_occupied</t>
        </is>
      </c>
      <c r="B34" s="36" t="n">
        <v>3</v>
      </c>
      <c r="C34" s="36" t="n">
        <v>3</v>
      </c>
      <c r="D34" s="37" t="inlineStr">
        <is>
          <t>count</t>
        </is>
      </c>
      <c r="E34" s="34" t="inlineStr">
        <is>
          <t>rent-roll-revised.xlsx</t>
        </is>
      </c>
      <c r="F34" s="34" t="inlineStr">
        <is>
          <t>active Standard suites</t>
        </is>
      </c>
    </row>
    <row r="35">
      <c r="A35" s="35" t="inlineStr">
        <is>
          <t>type_c_units</t>
        </is>
      </c>
      <c r="B35" s="36" t="n">
        <v>3</v>
      </c>
      <c r="C35" s="36" t="n">
        <v>3</v>
      </c>
      <c r="D35" s="37" t="inlineStr">
        <is>
          <t>count</t>
        </is>
      </c>
      <c r="E35" s="34" t="inlineStr">
        <is>
          <t>rent-roll-revised.xlsx + manager-cover.pdf</t>
        </is>
      </c>
      <c r="F35" s="34" t="inlineStr">
        <is>
          <t>Large suites</t>
        </is>
      </c>
    </row>
    <row r="36">
      <c r="A36" s="35" t="inlineStr">
        <is>
          <t>type_c_occupied</t>
        </is>
      </c>
      <c r="B36" s="36" t="n">
        <v>3</v>
      </c>
      <c r="C36" s="36" t="n">
        <v>3</v>
      </c>
      <c r="D36" s="37" t="inlineStr">
        <is>
          <t>count</t>
        </is>
      </c>
      <c r="E36" s="34" t="inlineStr">
        <is>
          <t>rent-roll-revised.xlsx</t>
        </is>
      </c>
      <c r="F36" s="34" t="inlineStr">
        <is>
          <t>active Large suites</t>
        </is>
      </c>
    </row>
    <row r="37">
      <c r="A37" s="35" t="inlineStr">
        <is>
          <t>risk_pending_in_occupancy</t>
        </is>
      </c>
      <c r="B37" s="15" t="inlineStr">
        <is>
          <t>present</t>
        </is>
      </c>
      <c r="C37" s="15" t="inlineStr">
        <is>
          <t>present</t>
        </is>
      </c>
      <c r="D37" s="37" t="inlineStr">
        <is>
          <t>flag</t>
        </is>
      </c>
      <c r="E37" s="34" t="inlineStr">
        <is>
          <t>manager-cover.pdf</t>
        </is>
      </c>
      <c r="F37" s="34" t="inlineStr">
        <is>
          <t>headline conflates occupied+pending as leased</t>
        </is>
      </c>
    </row>
    <row r="38">
      <c r="A38" s="35" t="inlineStr">
        <is>
          <t>risk_near_term_rollover</t>
        </is>
      </c>
      <c r="B38" s="15" t="inlineStr">
        <is>
          <t>absent</t>
        </is>
      </c>
      <c r="C38" s="15" t="inlineStr">
        <is>
          <t>absent</t>
        </is>
      </c>
      <c r="D38" s="37" t="inlineStr">
        <is>
          <t>flag</t>
        </is>
      </c>
      <c r="E38" s="34" t="inlineStr">
        <is>
          <t>rent-roll-revised.xlsx</t>
        </is>
      </c>
      <c r="F38" s="34" t="inlineStr">
        <is>
          <t>all expiries 2029-08-31 — &gt;12 months out</t>
        </is>
      </c>
    </row>
    <row r="39">
      <c r="A39" s="35" t="inlineStr">
        <is>
          <t>risk_missing_insurance</t>
        </is>
      </c>
      <c r="B39" s="15" t="inlineStr">
        <is>
          <t>absent</t>
        </is>
      </c>
      <c r="C39" s="15" t="inlineStr">
        <is>
          <t>absent</t>
        </is>
      </c>
      <c r="D39" s="37" t="inlineStr">
        <is>
          <t>flag</t>
        </is>
      </c>
      <c r="E39" s="34" t="inlineStr">
        <is>
          <t>insurance.pdf + operating-statement.pdf</t>
        </is>
      </c>
      <c r="F39" s="34" t="inlineStr">
        <is>
          <t>policy in force; T12 insurance expense present</t>
        </is>
      </c>
    </row>
    <row r="40">
      <c r="A40" s="35" t="inlineStr">
        <is>
          <t>risk_capital_in_opex</t>
        </is>
      </c>
      <c r="B40" s="15" t="inlineStr">
        <is>
          <t>absent</t>
        </is>
      </c>
      <c r="C40" s="15" t="inlineStr">
        <is>
          <t>absent</t>
        </is>
      </c>
      <c r="D40" s="37" t="inlineStr">
        <is>
          <t>flag</t>
        </is>
      </c>
      <c r="E40" s="34" t="inlineStr">
        <is>
          <t>operating-statement.pdf</t>
        </is>
      </c>
      <c r="F40" s="34" t="inlineStr">
        <is>
          <t>roof replacement is $0 in repairs — properly capitalized</t>
        </is>
      </c>
    </row>
    <row r="41">
      <c r="A41" s="35" t="inlineStr">
        <is>
          <t>risk_unsigned_rent_change</t>
        </is>
      </c>
      <c r="B41" s="15" t="inlineStr">
        <is>
          <t>absent</t>
        </is>
      </c>
      <c r="C41" s="15" t="inlineStr">
        <is>
          <t>absent</t>
        </is>
      </c>
      <c r="D41" s="37" t="inlineStr">
        <is>
          <t>flag</t>
        </is>
      </c>
      <c r="E41" s="34" t="inlineStr">
        <is>
          <t>packet review</t>
        </is>
      </c>
      <c r="F41" s="34" t="inlineStr">
        <is>
          <t>no unsigned rent proposal; revision instructs +$225 as authorized revision</t>
        </is>
      </c>
    </row>
    <row r="42">
      <c r="A42" s="35" t="inlineStr">
        <is>
          <t>risk_temporary_free_rent</t>
        </is>
      </c>
      <c r="B42" s="15" t="inlineStr">
        <is>
          <t>absent</t>
        </is>
      </c>
      <c r="C42" s="15" t="inlineStr">
        <is>
          <t>absent</t>
        </is>
      </c>
      <c r="D42" s="37" t="inlineStr">
        <is>
          <t>flag</t>
        </is>
      </c>
      <c r="E42" s="34" t="inlineStr">
        <is>
          <t>lease-001.pdf</t>
        </is>
      </c>
      <c r="F42" s="34" t="inlineStr">
        <is>
          <t>no free-rent concession applies as of evaluation date</t>
        </is>
      </c>
    </row>
    <row r="43">
      <c r="A43" s="35" t="inlineStr">
        <is>
          <t>risk_sizing_floor_binding</t>
        </is>
      </c>
      <c r="B43" s="15" t="inlineStr">
        <is>
          <t>absent</t>
        </is>
      </c>
      <c r="C43" s="15" t="inlineStr">
        <is>
          <t>absent</t>
        </is>
      </c>
      <c r="D43" s="37" t="inlineStr">
        <is>
          <t>flag</t>
        </is>
      </c>
      <c r="E43" s="34" t="inlineStr">
        <is>
          <t>revision-notice.pdf + underwriting-instructions.pdf</t>
        </is>
      </c>
      <c r="F43" s="34" t="inlineStr">
        <is>
          <t>note rate 7.25% &gt; floor 6.00%; note binds</t>
        </is>
      </c>
    </row>
    <row r="44">
      <c r="A44" s="35" t="inlineStr">
        <is>
          <t>risk_refinance_shortfall</t>
        </is>
      </c>
      <c r="B44" s="15" t="inlineStr">
        <is>
          <t>absent</t>
        </is>
      </c>
      <c r="C44" s="15" t="inlineStr">
        <is>
          <t>absent</t>
        </is>
      </c>
      <c r="D44" s="37" t="inlineStr">
        <is>
          <t>flag</t>
        </is>
      </c>
      <c r="E44" s="34" t="inlineStr">
        <is>
          <t>model</t>
        </is>
      </c>
      <c r="F44" s="34" t="inlineStr">
        <is>
          <t>net cash-out positive: $501,546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2026-09-07T13:43:11Z</dcterms:created>
  <dcterms:modified xmlns:dcterms="http://purl.org/dc/terms/" xmlns:xsi="http://www.w3.org/2001/XMLSchema-instance" xsi:type="dcterms:W3CDTF">2026-09-07T13:43:12Z</dcterms:modified>
</cp:coreProperties>
</file>