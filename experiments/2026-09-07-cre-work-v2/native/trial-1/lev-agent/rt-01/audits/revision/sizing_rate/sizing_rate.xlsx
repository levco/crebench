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<sst xmlns="http://schemas.openxmlformats.org/spreadsheetml/2006/main" count="570" uniqueCount="371">
  <si>
    <t xml:space="preserve">Maple Crossing — Underwriting Workbook (Revision 2)</t>
  </si>
  <si>
    <t xml:space="preserve">Revision:</t>
  </si>
  <si>
    <t xml:space="preserve">Rev 2 — applies revision-notice.pdf and rent-roll-revised.xlsx (as-of 2026-09-01)</t>
  </si>
  <si>
    <t xml:space="preserve">Prior version:</t>
  </si>
  <si>
    <t xml:space="preserve">Rev 1 (2026-08-31) preserved in audit archive; not replaced</t>
  </si>
  <si>
    <t xml:space="preserve">Source packet:</t>
  </si>
  <si>
    <t xml:space="preserve">CRE Bench — original fictional evaluation material</t>
  </si>
  <si>
    <t xml:space="preserve">Prepared per:</t>
  </si>
  <si>
    <t xml:space="preserve">underwriting-instructions.pdf + revision-notice.pdf</t>
  </si>
  <si>
    <t xml:space="preserve">CHANGES vs. Rev 1</t>
  </si>
  <si>
    <t xml:space="preserve">• Rent roll:</t>
  </si>
  <si>
    <t xml:space="preserve">Superseded by rent-roll-revised.xlsx (as-of 2026-09-01)</t>
  </si>
  <si>
    <t xml:space="preserve">• Suite 002:</t>
  </si>
  <si>
    <t xml:space="preserve">Scheduled monthly rent +$225 → $7,025 (status active on both rolls)</t>
  </si>
  <si>
    <t xml:space="preserve">• Cap rate:</t>
  </si>
  <si>
    <t xml:space="preserve">6.7500% → 7.0000% (+25 bps)</t>
  </si>
  <si>
    <t xml:space="preserve">• Sizing rate:</t>
  </si>
  <si>
    <t xml:space="preserve">6.5000% → 7.2500% (initial sizing rate +75 bps; floor 6.00% unchanged)</t>
  </si>
  <si>
    <t xml:space="preserve">• Suite 001 amendment:</t>
  </si>
  <si>
    <t xml:space="preserve">Continues to apply — GPR method unchanged (S001 pre-amendment)</t>
  </si>
  <si>
    <t xml:space="preserve">• Payoff, fees, opex, loss, other income, reserves, LTV/DSCR/DY limits:</t>
  </si>
  <si>
    <t xml:space="preserve">Unchanged</t>
  </si>
  <si>
    <t xml:space="preserve">• Correction to Rev 1 arithmetic:</t>
  </si>
  <si>
    <t xml:space="preserve">total_area_sf 32,150 (was 31,150 in Rev 1 memo — arithmetic error; source cells unchanged)</t>
  </si>
  <si>
    <t xml:space="preserve">Input cells (yellow = editable; orange = changed by revision)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</si>
  <si>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</si>
  <si>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</si>
  <si>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</si>
  <si>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</si>
  <si>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</si>
  <si>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revised certified roll (Suite 001 pre-amendment)</t>
  </si>
  <si>
    <t xml:space="preserve">cap_rate</t>
  </si>
  <si>
    <t xml:space="preserve">Inputs!B22</t>
  </si>
  <si>
    <t xml:space="preserve">Direct cap rate applied to NOI before reserves (revised +25 bps)</t>
  </si>
  <si>
    <t xml:space="preserve">sizing_rate</t>
  </si>
  <si>
    <t xml:space="preserve">Inputs!B27</t>
  </si>
  <si>
    <t xml:space="preserve">Loan sizing rate = MAX(note rate, floor); note rate revised +75 bps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</si>
  <si>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</si>
  <si>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</si>
  <si>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</si>
  <si>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</si>
  <si>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</si>
  <si>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</si>
  <si>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</si>
  <si>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</si>
  <si>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</si>
  <si>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</si>
  <si>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</si>
  <si>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</si>
  <si>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</si>
  <si>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</si>
  <si>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</si>
  <si>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</si>
  <si>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</si>
  <si>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</si>
  <si>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</si>
  <si>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</si>
  <si>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Underwriting Inputs (Rev 2)</t>
  </si>
  <si>
    <t xml:space="preserve">INCOME</t>
  </si>
  <si>
    <t xml:space="preserve">Suite count (all)</t>
  </si>
  <si>
    <t xml:space="preserve">count</t>
  </si>
  <si>
    <t xml:space="preserve">RentRoll</t>
  </si>
  <si>
    <t xml:space="preserve">Economic loss</t>
  </si>
  <si>
    <t xml:space="preserve">ratio</t>
  </si>
  <si>
    <t xml:space="preserve">underwriting-instructions.pdf</t>
  </si>
  <si>
    <t xml:space="preserve">Other income per suite (annual)</t>
  </si>
  <si>
    <t xml:space="preserve">USD</t>
  </si>
  <si>
    <t xml:space="preserve">gross_potential_rent (annual)</t>
  </si>
  <si>
    <t xml:space="preserve">revised roll ×12, S001 pre-amendment [CHANGED from 814,500]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</si>
  <si>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</si>
  <si>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</si>
  <si>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</si>
  <si>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</si>
  <si>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</si>
  <si>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</si>
  <si>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</si>
  <si>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</si>
  <si>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revised +75 bps [was 6.5000%]</t>
  </si>
  <si>
    <t xml:space="preserve">floor_rate</t>
  </si>
  <si>
    <t xml:space="preserve">underwriting-instructions.pdf (unchanged)</t>
  </si>
  <si>
    <t xml:space="preserve">revised +25 bps [was 6.7500%]</t>
  </si>
  <si>
    <t xml:space="preserve">ltv_limit</t>
  </si>
  <si>
    <t xml:space="preserve">dscr_limit</t>
  </si>
  <si>
    <t xml:space="preserve">debt_yield_limit</t>
  </si>
  <si>
    <t xml:space="preserve">MAX(note_rate, floor_rate) — evaluates to 7.2500%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</si>
  <si>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</si>
  <si>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</si>
  <si>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</si>
  <si>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</si>
  <si>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</si>
  <si>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(REVISED) — as of 2026-09-01</t>
  </si>
  <si>
    <t xml:space="preserve">Source: rent-roll-revised.xlsx (supersedes 2026-08-31 roll per revision-notice.pdf). Suite 002 rent +$225 to $7,025; all other terms unchanged.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</si>
  <si>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</si>
  <si>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</si>
  <si>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</si>
  <si>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</si>
  <si>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</si>
  <si>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</si>
  <si>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</si>
  <si>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</si>
  <si>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</si>
  <si>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</si>
  <si>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</si>
  <si>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</si>
  <si>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</si>
  <si>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</si>
  <si>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</si>
  <si>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</si>
  <si>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</si>
  <si>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</si>
  <si>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</si>
  <si>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</si>
  <si>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</si>
  <si>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</si>
  <si>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</si>
  <si>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</si>
  <si>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</si>
  <si>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</si>
  <si>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</si>
  <si>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</si>
  <si>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</si>
  <si>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</si>
  <si>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</si>
  <si>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</si>
  <si>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</si>
  <si>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</si>
  <si>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</si>
  <si>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</si>
  <si>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</si>
  <si>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</si>
  <si>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</si>
  <si>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</si>
  <si>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</si>
  <si>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</si>
  <si>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</si>
  <si>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(revised)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</si>
  <si>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</si>
  <si>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</si>
  <si>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</si>
  <si>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 (Rev 2)</t>
  </si>
  <si>
    <t xml:space="preserve">Applies revised roll (2026-09-01). Suite 001 GPR method (pre-amendment) preserved per revision notice.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</si>
  <si>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</si>
  <si>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</si>
  <si>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</si>
  <si>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</si>
  <si>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</si>
  <si>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</si>
  <si>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</si>
  <si>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</si>
  <si>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</si>
  <si>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</si>
  <si>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 (Rev 2)</t>
  </si>
  <si>
    <t xml:space="preserve">Sizing rate = MAX(note 7.25%, floor 6.00%) per revision.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</si>
  <si>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</si>
  <si>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</si>
  <si>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</si>
  <si>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</si>
  <si>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</si>
  <si>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</si>
  <si>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</si>
  <si>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</si>
  <si>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</si>
  <si>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</si>
  <si>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</si>
  <si>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</si>
  <si>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</si>
  <si>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</si>
  <si>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</si>
  <si>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</si>
  <si>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</si>
  <si>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</si>
  <si>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</si>
  <si>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 (Rev 2)</t>
  </si>
  <si>
    <t xml:space="preserve">Table A: Capitalization value = UW NOI / cap_rate. Table B: Maximum loan by binding constraint at given cap and sizing rate. Base case highlighted (7.00% cap / 7.25% sizing).</t>
  </si>
  <si>
    <t xml:space="preserve">Table A — Capitalization value at NOI</t>
  </si>
  <si>
    <t xml:space="preserve">Table B — Maximum loan (LTV 65%, DSCR 1.25, DY 9%)</t>
  </si>
  <si>
    <t xml:space="preserve">cap_rate ↓</t>
  </si>
  <si>
    <t xml:space="preserve">value</t>
  </si>
  <si>
    <t xml:space="preserve">sizing_rate ↓  /  cap_rate →</t>
  </si>
  <si>
    <t xml:space="preserve">Highlighted cells = Rev 2 base case (cap 7.00%, sizing rate 7.25%).</t>
  </si>
  <si>
    <t xml:space="preserve">Historical T12 vs Underwriting (Rev 2)</t>
  </si>
  <si>
    <t xml:space="preserve">T12 period: 2025-09-01 through 2026-08-31 (source: operating-statement.pdf). Underwriting reflects revised roll &amp; rates.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</si>
  <si>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</si>
  <si>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</si>
  <si>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</si>
  <si>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</si>
  <si>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</si>
  <si>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</si>
  <si>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</si>
  <si>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</si>
  <si>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</si>
  <si>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</si>
  <si>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</si>
  <si>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</si>
  <si>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</si>
  <si>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</si>
  <si>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</si>
  <si>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</si>
  <si>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</si>
  <si>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</si>
  <si>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</si>
  <si>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</si>
  <si>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</si>
  <si>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</si>
  <si>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</si>
  <si>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</si>
  <si>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</si>
  <si>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</si>
  <si>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</si>
  <si>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 (Rev 2)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</si>
  <si>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</si>
  <si>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</si>
  <si>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</si>
  <si>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</si>
  <si>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Revised certified rent roll (as-of date)</t>
  </si>
  <si>
    <t xml:space="preserve">2026-09-01</t>
  </si>
  <si>
    <t xml:space="preserve">rent-roll-revised.xlsx — Sheet Rent Roll, B2</t>
  </si>
  <si>
    <t xml:space="preserve">Superseded certified roll</t>
  </si>
  <si>
    <t xml:space="preserve">as-of 2026-08-31</t>
  </si>
  <si>
    <t xml:space="preserve">rent-roll-certified.xlsx — B2 (superseded)</t>
  </si>
  <si>
    <t xml:space="preserve">Revised roll suite count / status</t>
  </si>
  <si>
    <t xml:space="preserve">10 total; 9 active, 1 vacant</t>
  </si>
  <si>
    <t xml:space="preserve">rent-roll-revised.xlsx — Rent Roll, A5:E14</t>
  </si>
  <si>
    <t xml:space="preserve">Suite 002 revised monthly rent</t>
  </si>
  <si>
    <t xml:space="preserve">$7,025 (+$225 vs prior)</t>
  </si>
  <si>
    <t xml:space="preserve">rent-roll-revised.xlsx — E6; revision-notice.pdf — page 1</t>
  </si>
  <si>
    <t xml:space="preserve">Suite 001 monthly rent (post-amendment)</t>
  </si>
  <si>
    <t xml:space="preserve">$6,650 (unchanged)</t>
  </si>
  <si>
    <t xml:space="preserve">rent-roll-revised.xlsx — E5</t>
  </si>
  <si>
    <t xml:space="preserve">Suite 001 amendment (+$350/mo, eff. 2026-08-01)</t>
  </si>
  <si>
    <t xml:space="preserve">+$350 continues to apply</t>
  </si>
  <si>
    <t xml:space="preserve">lease-correspondence.pdf — page 1; revision-notice.pdf — page 1</t>
  </si>
  <si>
    <t xml:space="preserve">Suite 001 executed base rent (pre-amendment)</t>
  </si>
  <si>
    <t xml:space="preserve">$6,650 (lease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</si>
  <si>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</si>
  <si>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</si>
  <si>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</si>
  <si>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</si>
  <si>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</si>
  <si>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</si>
  <si>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</si>
  <si>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</si>
  <si>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</si>
  <si>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</si>
  <si>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</si>
  <si>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</si>
  <si>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</si>
  <si>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</si>
  <si>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</si>
  <si>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</si>
  <si>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</si>
  <si>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</si>
  <si>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</si>
  <si>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</si>
  <si>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</si>
  <si>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</si>
  <si>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</si>
  <si>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</si>
  <si>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— not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</si>
  <si>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</si>
  <si>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</si>
  <si>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</si>
  <si>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</si>
  <si>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revised ×12, S001 pre-amendment</t>
  </si>
  <si>
    <t xml:space="preserve">underwriting-instructions.pdf; revision-notice.pdf — page 1</t>
  </si>
  <si>
    <t xml:space="preserve">UW economic loss</t>
  </si>
  <si>
    <t xml:space="preserve">5% (unchanged)</t>
  </si>
  <si>
    <t xml:space="preserve">underwriting-instructions.pdf — page 1</t>
  </si>
  <si>
    <t xml:space="preserve">UW other income</t>
  </si>
  <si>
    <t xml:space="preserve">$350/suite/year (unchanged)</t>
  </si>
  <si>
    <t xml:space="preserve">UW management fee</t>
  </si>
  <si>
    <t xml:space="preserve">3% of EGI (unchanged)</t>
  </si>
  <si>
    <t xml:space="preserve">UW replacement reserve</t>
  </si>
  <si>
    <t xml:space="preserve">$300/suite/year (unchanged)</t>
  </si>
  <si>
    <t xml:space="preserve">Cap rate (Rev 2)</t>
  </si>
  <si>
    <t xml:space="preserve">7.0000% (was 6.7500%)</t>
  </si>
  <si>
    <t xml:space="preserve">revision-notice.pdf — page 1</t>
  </si>
  <si>
    <t xml:space="preserve">LTV / DSCR / DY limits</t>
  </si>
  <si>
    <t xml:space="preserve">65% / 1.25× / 9.0% (unchanged)</t>
  </si>
  <si>
    <t xml:space="preserve">Note rate (Rev 2) / Floor rate</t>
  </si>
  <si>
    <t xml:space="preserve">7.2500% (was 6.5000%) / 6.0000% (unchanged)</t>
  </si>
  <si>
    <t xml:space="preserve">revision-notice.pdf — page 1; underwriting-instructions.pdf — page 1</t>
  </si>
  <si>
    <t xml:space="preserve">Sizing on greater of note &amp; floor</t>
  </si>
  <si>
    <t xml:space="preserve">MAX(7.25%, 6.00%) = 7.25%</t>
  </si>
  <si>
    <t xml:space="preserve">Amortization</t>
  </si>
  <si>
    <t xml:space="preserve">30 years, monthly (unchanged)</t>
  </si>
  <si>
    <t xml:space="preserve">Origination / Closing / Payoff</t>
  </si>
  <si>
    <t xml:space="preserve">1% / $45,000 / $4,300,000 (unchanged)</t>
  </si>
  <si>
    <t xml:space="preserve">underwriting-instructions.pdf; revision-notice.pdf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</si>
  <si>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</si>
  <si>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</si>
  <si>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</si>
  <si>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 (Rev 2)</t>
  </si>
  <si>
    <t xml:space="preserve">Value (Rev 2)</t>
  </si>
  <si>
    <t xml:space="preserve">Prior (Rev 1)</t>
  </si>
  <si>
    <t xml:space="preserve">Unit</t>
  </si>
  <si>
    <t xml:space="preserve">Evidence</t>
  </si>
  <si>
    <t xml:space="preserve">rent-roll-revised.xlsx</t>
  </si>
  <si>
    <t xml:space="preserve">Rent Roll A5:A14</t>
  </si>
  <si>
    <t xml:space="preserve">occupied_units</t>
  </si>
  <si>
    <t xml:space="preserve">Rent Roll D5:D14 (=active)</t>
  </si>
  <si>
    <t xml:space="preserve">no "pending" status on roll</t>
  </si>
  <si>
    <t xml:space="preserve">SF</t>
  </si>
  <si>
    <t xml:space="preserve">Rent Roll C5:C14 (Rev 1 memo had arithmetic error)</t>
  </si>
  <si>
    <t xml:space="preserve">Rent Roll C5:C14 where D=active (Rev 1 memo had arithmetic error)</t>
  </si>
  <si>
    <t xml:space="preserve">derived: 9/10</t>
  </si>
  <si>
    <t xml:space="preserve">derived: 29,070/32,150</t>
  </si>
  <si>
    <t xml:space="preserve">sum active × 12 = 61,800 × 12</t>
  </si>
  <si>
    <t xml:space="preserve">unit_001_monthly_rent</t>
  </si>
  <si>
    <t xml:space="preserve">Rent Roll E5 (post-amendment)</t>
  </si>
  <si>
    <t xml:space="preserve">revised sum − S001 amend ×12 = 68,100 × 12</t>
  </si>
  <si>
    <t xml:space="preserve">model</t>
  </si>
  <si>
    <t xml:space="preserve">Inputs!B10</t>
  </si>
  <si>
    <t xml:space="preserve">Inputs!B11</t>
  </si>
  <si>
    <t xml:space="preserve">uw_operating_expenses</t>
  </si>
  <si>
    <t xml:space="preserve">UW!B17 (3% mgmt on EGI updates)</t>
  </si>
  <si>
    <t xml:space="preserve">UW!B22 (before reserves)</t>
  </si>
  <si>
    <t xml:space="preserve">revision-notice.pdf</t>
  </si>
  <si>
    <t xml:space="preserve">MAX(7.25%, 6.00%)</t>
  </si>
  <si>
    <t xml:space="preserve">Inputs!B22 (+25 bps)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</si>
  <si>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</si>
  <si>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</si>
  <si>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</si>
  <si>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</si>
  <si>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</si>
  <si>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</si>
  <si>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</si>
  <si>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</si>
  <si>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2026-08-31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</si>
  <si>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</si>
  <si>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</si>
  <si>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</si>
  <si>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</si>
  <si>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</si>
  <si>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</si>
  <si>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rent-roll-revised.xlsx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</si>
  <si>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</si>
  <si>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</si>
  <si>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</si>
  <si>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</si>
  <si>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</si>
  <si>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</si>
  <si>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</si>
  <si>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</si>
  <si>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</si>
  <si>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</si>
  <si>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</si>
  <si>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</si>
  <si>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</si>
  <si>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</si>
  <si>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</si>
  <si>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</si>
  <si>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</si>
  <si>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</si>
  <si>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</si>
  <si>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</si>
  <si>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</si>
  <si>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</si>
  <si>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</si>
  <si>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</si>
  <si>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</si>
  <si>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</si>
  <si>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proposal; revision instructs +$225 as authorized revision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</si>
  <si>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</si>
  <si>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</si>
  <si>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</si>
  <si>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</si>
  <si>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revision-notice.pdf + underwriting-instructions.pdf</t>
  </si>
  <si>
    <t xml:space="preserve">note rate 7.25% &gt; floor 6.00%; note binds</t>
  </si>
  <si>
    <t xml:space="preserve">risk_refinance_shortfall</t>
  </si>
  <si>
    <t xml:space="preserve">net cash-out positive: $501,546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</si>
</sst>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2" t="s">
        <v>10</v>
      </c>
      <c r="B9" s="0" t="s">
        <v>11</v>
      </c>
    </row>
    <row r="10" customFormat="false" ht="15" hidden="false" customHeight="false" outlineLevel="0" collapsed="false">
      <c r="A10" s="2" t="s">
        <v>12</v>
      </c>
      <c r="B10" s="0" t="s">
        <v>13</v>
      </c>
    </row>
    <row r="11" customFormat="false" ht="15" hidden="false" customHeight="false" outlineLevel="0" collapsed="false">
      <c r="A11" s="2" t="s">
        <v>14</v>
      </c>
      <c r="B11" s="0" t="s">
        <v>15</v>
      </c>
    </row>
    <row r="12" customFormat="false" ht="15" hidden="false" customHeight="false" outlineLevel="0" collapsed="false">
      <c r="A12" s="2" t="s">
        <v>16</v>
      </c>
      <c r="B12" s="0" t="s">
        <v>17</v>
      </c>
    </row>
    <row r="13" customFormat="false" ht="15" hidden="false" customHeight="false" outlineLevel="0" collapsed="false">
      <c r="A13" s="2" t="s">
        <v>18</v>
      </c>
      <c r="B13" s="0" t="s">
        <v>19</v>
      </c>
    </row>
    <row r="14" customFormat="false" ht="15" hidden="false" customHeight="false" outlineLevel="0" collapsed="false">
      <c r="A14" s="2" t="s">
        <v>20</v>
      </c>
      <c r="B14" s="0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4" t="s">
        <v>25</v>
      </c>
      <c r="B18" s="4" t="s">
        <v>26</v>
      </c>
      <c r="C18" s="4" t="s">
        <v>27</v>
      </c>
    </row>
    <row r="19" customFormat="false" ht="23.85" hidden="false" customHeight="false" outlineLevel="0" collapsed="false">
      <c r="A19" s="2" t="s">
        <v>28</v>
      </c>
      <c r="B19" s="0" t="s">
        <v>29</v>
      </c>
      <c r="C19" s="5" t="s">
        <v>30</v>
      </c>
    </row>
    <row r="20" customFormat="false" ht="15" hidden="false" customHeight="false" outlineLevel="0" collapsed="false">
      <c r="A20" s="2" t="s">
        <v>31</v>
      </c>
      <c r="B20" s="0" t="s">
        <v>32</v>
      </c>
      <c r="C20" s="5" t="s">
        <v>33</v>
      </c>
    </row>
    <row r="21" customFormat="false" ht="15" hidden="false" customHeight="false" outlineLevel="0" collapsed="false">
      <c r="A21" s="2" t="s">
        <v>34</v>
      </c>
      <c r="B21" s="0" t="s">
        <v>35</v>
      </c>
      <c r="C21" s="5" t="s">
        <v>36</v>
      </c>
    </row>
    <row r="23" customFormat="false" ht="15" hidden="false" customHeight="false" outlineLevel="0" collapsed="false">
      <c r="A23" s="3" t="s">
        <v>37</v>
      </c>
    </row>
    <row r="24" customFormat="false" ht="15" hidden="false" customHeight="false" outlineLevel="0" collapsed="false">
      <c r="A24" s="4" t="s">
        <v>25</v>
      </c>
      <c r="B24" s="4" t="s">
        <v>26</v>
      </c>
      <c r="C24" s="4" t="s">
        <v>38</v>
      </c>
    </row>
    <row r="25" customFormat="false" ht="15" hidden="false" customHeight="false" outlineLevel="0" collapsed="false">
      <c r="A25" s="2" t="s">
        <v>39</v>
      </c>
      <c r="B25" s="0" t="s">
        <v>40</v>
      </c>
      <c r="C25" s="5" t="s">
        <v>41</v>
      </c>
    </row>
    <row r="26" customFormat="false" ht="15" hidden="false" customHeight="false" outlineLevel="0" collapsed="false">
      <c r="A26" s="2" t="s">
        <v>42</v>
      </c>
      <c r="B26" s="0" t="s">
        <v>43</v>
      </c>
      <c r="C26" s="5" t="s">
        <v>44</v>
      </c>
    </row>
    <row r="27" customFormat="false" ht="15" hidden="false" customHeight="false" outlineLevel="0" collapsed="false">
      <c r="A27" s="2" t="s">
        <v>45</v>
      </c>
      <c r="B27" s="0" t="s">
        <v>46</v>
      </c>
      <c r="C27" s="5" t="s">
        <v>47</v>
      </c>
    </row>
    <row r="28" customFormat="false" ht="15" hidden="false" customHeight="false" outlineLevel="0" collapsed="false">
      <c r="A28" s="2" t="s">
        <v>48</v>
      </c>
      <c r="B28" s="0" t="s">
        <v>49</v>
      </c>
      <c r="C28" s="5" t="s">
        <v>50</v>
      </c>
    </row>
    <row r="29" customFormat="false" ht="15" hidden="false" customHeight="false" outlineLevel="0" collapsed="false">
      <c r="A29" s="2" t="s">
        <v>51</v>
      </c>
      <c r="B29" s="0" t="s">
        <v>52</v>
      </c>
      <c r="C29" s="5" t="s">
        <v>53</v>
      </c>
    </row>
    <row r="30" customFormat="false" ht="15" hidden="false" customHeight="false" outlineLevel="0" collapsed="false">
      <c r="A30" s="2" t="s">
        <v>54</v>
      </c>
      <c r="B30" s="0" t="s">
        <v>55</v>
      </c>
      <c r="C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57</v>
      </c>
      <c r="B1" s="6"/>
      <c r="C1" s="6"/>
      <c r="D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61</v>
      </c>
    </row>
    <row r="5" customFormat="false" ht="15" hidden="false" customHeight="false" outlineLevel="0" collapsed="false">
      <c r="A5" s="2" t="s">
        <v>62</v>
      </c>
      <c r="B5" s="7" t="n">
        <v>0.05</v>
      </c>
      <c r="C5" s="8" t="s">
        <v>63</v>
      </c>
      <c r="D5" s="5" t="s">
        <v>64</v>
      </c>
    </row>
    <row r="6" customFormat="false" ht="15" hidden="false" customHeight="false" outlineLevel="0" collapsed="false">
      <c r="A6" s="2" t="s">
        <v>65</v>
      </c>
      <c r="B6" s="7" t="n">
        <v>350</v>
      </c>
      <c r="C6" s="8" t="s">
        <v>66</v>
      </c>
      <c r="D6" s="5" t="s">
        <v>64</v>
      </c>
    </row>
    <row r="7" customFormat="false" ht="15" hidden="false" customHeight="false" outlineLevel="0" collapsed="false">
      <c r="A7" s="2" t="s">
        <v>67</v>
      </c>
      <c r="B7" s="9" t="n">
        <v>817200</v>
      </c>
      <c r="C7" s="8" t="s">
        <v>66</v>
      </c>
      <c r="D7" s="0" t="s">
        <v>68</v>
      </c>
    </row>
    <row r="9" customFormat="false" ht="15" hidden="false" customHeight="false" outlineLevel="0" collapsed="false">
      <c r="A9" s="3" t="s">
        <v>69</v>
      </c>
    </row>
    <row r="10" customFormat="false" ht="15" hidden="false" customHeight="false" outlineLevel="0" collapsed="false">
      <c r="A10" s="2" t="s">
        <v>70</v>
      </c>
      <c r="B10" s="10" t="n">
        <v>85964</v>
      </c>
      <c r="C10" s="8" t="s">
        <v>66</v>
      </c>
      <c r="D10" s="5" t="s">
        <v>64</v>
      </c>
    </row>
    <row r="11" customFormat="false" ht="15" hidden="false" customHeight="false" outlineLevel="0" collapsed="false">
      <c r="A11" s="2" t="s">
        <v>71</v>
      </c>
      <c r="B11" s="10" t="n">
        <v>28655</v>
      </c>
      <c r="C11" s="8" t="s">
        <v>66</v>
      </c>
      <c r="D11" s="5" t="s">
        <v>64</v>
      </c>
    </row>
    <row r="12" customFormat="false" ht="15" hidden="false" customHeight="false" outlineLevel="0" collapsed="false">
      <c r="A12" s="2" t="s">
        <v>72</v>
      </c>
      <c r="B12" s="10" t="n">
        <v>114618</v>
      </c>
      <c r="C12" s="8" t="s">
        <v>66</v>
      </c>
      <c r="D12" s="5" t="s">
        <v>64</v>
      </c>
    </row>
    <row r="13" customFormat="false" ht="15" hidden="false" customHeight="false" outlineLevel="0" collapsed="false">
      <c r="A13" s="2" t="s">
        <v>73</v>
      </c>
      <c r="B13" s="11" t="n">
        <v>0.03</v>
      </c>
      <c r="C13" s="8" t="s">
        <v>63</v>
      </c>
      <c r="D13" s="5" t="s">
        <v>64</v>
      </c>
    </row>
    <row r="14" customFormat="false" ht="15" hidden="false" customHeight="false" outlineLevel="0" collapsed="false">
      <c r="A14" s="2" t="s">
        <v>74</v>
      </c>
      <c r="B14" s="10" t="n">
        <v>300</v>
      </c>
      <c r="C14" s="8" t="s">
        <v>66</v>
      </c>
      <c r="D14" s="5" t="s">
        <v>64</v>
      </c>
    </row>
    <row r="17" customFormat="false" ht="15" hidden="false" customHeight="false" outlineLevel="0" collapsed="false">
      <c r="A17" s="3" t="s">
        <v>75</v>
      </c>
    </row>
    <row r="19" customFormat="false" ht="15" hidden="false" customHeight="false" outlineLevel="0" collapsed="false">
      <c r="A19" s="2" t="s">
        <v>76</v>
      </c>
      <c r="B19" s="12" t="n">
        <v>0.0725</v>
      </c>
      <c r="C19" s="0" t="s">
        <v>63</v>
      </c>
      <c r="D19" s="0" t="s">
        <v>77</v>
      </c>
    </row>
    <row r="20" customFormat="false" ht="15" hidden="false" customHeight="false" outlineLevel="0" collapsed="false">
      <c r="A20" s="2" t="s">
        <v>78</v>
      </c>
      <c r="B20" s="13" t="n">
        <v>0.06</v>
      </c>
      <c r="C20" s="0" t="s">
        <v>63</v>
      </c>
      <c r="D20" s="0" t="s">
        <v>79</v>
      </c>
    </row>
    <row r="22" customFormat="false" ht="15" hidden="false" customHeight="false" outlineLevel="0" collapsed="false">
      <c r="A22" s="2" t="s">
        <v>31</v>
      </c>
      <c r="B22" s="12" t="n">
        <v>0.07</v>
      </c>
      <c r="C22" s="0" t="s">
        <v>63</v>
      </c>
      <c r="D22" s="0" t="s">
        <v>80</v>
      </c>
    </row>
    <row r="24" customFormat="false" ht="15" hidden="false" customHeight="false" outlineLevel="0" collapsed="false">
      <c r="A24" s="2" t="s">
        <v>81</v>
      </c>
      <c r="B24" s="11" t="n">
        <v>0.65</v>
      </c>
      <c r="C24" s="0" t="s">
        <v>63</v>
      </c>
    </row>
    <row r="25" customFormat="false" ht="15" hidden="false" customHeight="false" outlineLevel="0" collapsed="false">
      <c r="A25" s="2" t="s">
        <v>82</v>
      </c>
      <c r="B25" s="14" t="n">
        <v>1.25</v>
      </c>
      <c r="C25" s="0" t="s">
        <v>63</v>
      </c>
    </row>
    <row r="26" customFormat="false" ht="15" hidden="false" customHeight="false" outlineLevel="0" collapsed="false">
      <c r="A26" s="2" t="s">
        <v>83</v>
      </c>
      <c r="B26" s="11" t="n">
        <v>0.09</v>
      </c>
      <c r="C26" s="0" t="s">
        <v>63</v>
      </c>
    </row>
    <row r="27" customFormat="false" ht="15" hidden="false" customHeight="false" outlineLevel="0" collapsed="false">
      <c r="A27" s="2" t="s">
        <v>34</v>
      </c>
      <c r="B27" s="12" t="n">
        <v>0.0825</v>
      </c>
      <c r="C27" s="0" t="s">
        <v>63</v>
      </c>
      <c r="D27" s="0" t="s">
        <v>84</v>
      </c>
    </row>
    <row r="28" customFormat="false" ht="15" hidden="false" customHeight="false" outlineLevel="0" collapsed="false">
      <c r="A28" s="2" t="s">
        <v>85</v>
      </c>
      <c r="B28" s="7" t="n">
        <v>30</v>
      </c>
      <c r="C28" s="0" t="s">
        <v>86</v>
      </c>
    </row>
    <row r="29" customFormat="false" ht="15" hidden="false" customHeight="false" outlineLevel="0" collapsed="false">
      <c r="A29" s="2" t="s">
        <v>87</v>
      </c>
      <c r="B29" s="11" t="n">
        <v>0.01</v>
      </c>
      <c r="C29" s="0" t="s">
        <v>63</v>
      </c>
    </row>
    <row r="30" customFormat="false" ht="15" hidden="false" customHeight="false" outlineLevel="0" collapsed="false">
      <c r="A30" s="2" t="s">
        <v>88</v>
      </c>
      <c r="B30" s="10" t="n">
        <v>45000</v>
      </c>
      <c r="C30" s="0" t="s">
        <v>66</v>
      </c>
    </row>
    <row r="31" customFormat="false" ht="15" hidden="false" customHeight="false" outlineLevel="0" collapsed="false">
      <c r="A31" s="2" t="s">
        <v>89</v>
      </c>
      <c r="B31" s="10" t="n">
        <v>4300000</v>
      </c>
      <c r="C31" s="0" t="s">
        <v>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90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15" t="s">
        <v>91</v>
      </c>
      <c r="B2" s="15"/>
      <c r="C2" s="15"/>
      <c r="D2" s="15"/>
      <c r="E2" s="15"/>
      <c r="F2" s="15"/>
      <c r="G2" s="15"/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</row>
    <row r="5" customFormat="false" ht="15" hidden="false" customHeight="false" outlineLevel="0" collapsed="false">
      <c r="A5" s="16" t="s">
        <v>99</v>
      </c>
      <c r="B5" s="16" t="s">
        <v>100</v>
      </c>
      <c r="C5" s="16" t="s">
        <v>101</v>
      </c>
      <c r="D5" s="16" t="n">
        <v>3080</v>
      </c>
      <c r="E5" s="16" t="s">
        <v>102</v>
      </c>
      <c r="F5" s="17" t="n">
        <v>6650</v>
      </c>
      <c r="G5" s="16" t="s">
        <v>103</v>
      </c>
    </row>
    <row r="6" customFormat="false" ht="15" hidden="false" customHeight="false" outlineLevel="0" collapsed="false">
      <c r="A6" s="16" t="s">
        <v>104</v>
      </c>
      <c r="B6" s="16" t="s">
        <v>105</v>
      </c>
      <c r="C6" s="16" t="s">
        <v>106</v>
      </c>
      <c r="D6" s="16" t="n">
        <v>3200</v>
      </c>
      <c r="E6" s="16" t="s">
        <v>102</v>
      </c>
      <c r="F6" s="9" t="n">
        <v>7025</v>
      </c>
      <c r="G6" s="16" t="s">
        <v>103</v>
      </c>
    </row>
    <row r="7" customFormat="false" ht="15" hidden="false" customHeight="false" outlineLevel="0" collapsed="false">
      <c r="A7" s="16" t="s">
        <v>107</v>
      </c>
      <c r="B7" s="16" t="s">
        <v>108</v>
      </c>
      <c r="C7" s="16" t="s">
        <v>109</v>
      </c>
      <c r="D7" s="16" t="n">
        <v>3410</v>
      </c>
      <c r="E7" s="16" t="s">
        <v>102</v>
      </c>
      <c r="F7" s="17" t="n">
        <v>7075</v>
      </c>
      <c r="G7" s="16" t="s">
        <v>103</v>
      </c>
    </row>
    <row r="8" customFormat="false" ht="15" hidden="false" customHeight="false" outlineLevel="0" collapsed="false">
      <c r="A8" s="16" t="s">
        <v>110</v>
      </c>
      <c r="B8" s="16" t="s">
        <v>100</v>
      </c>
      <c r="C8" s="16" t="s">
        <v>101</v>
      </c>
      <c r="D8" s="16" t="n">
        <v>3080</v>
      </c>
      <c r="E8" s="16" t="s">
        <v>102</v>
      </c>
      <c r="F8" s="17" t="n">
        <v>6650</v>
      </c>
      <c r="G8" s="16" t="s">
        <v>103</v>
      </c>
    </row>
    <row r="9" customFormat="false" ht="15" hidden="false" customHeight="false" outlineLevel="0" collapsed="false">
      <c r="A9" s="16" t="s">
        <v>111</v>
      </c>
      <c r="B9" s="16" t="s">
        <v>105</v>
      </c>
      <c r="C9" s="16" t="s">
        <v>106</v>
      </c>
      <c r="D9" s="16" t="n">
        <v>3200</v>
      </c>
      <c r="E9" s="16" t="s">
        <v>102</v>
      </c>
      <c r="F9" s="17" t="n">
        <v>6800</v>
      </c>
      <c r="G9" s="16" t="s">
        <v>103</v>
      </c>
    </row>
    <row r="10" customFormat="false" ht="15" hidden="false" customHeight="false" outlineLevel="0" collapsed="false">
      <c r="A10" s="16" t="s">
        <v>112</v>
      </c>
      <c r="B10" s="16" t="s">
        <v>108</v>
      </c>
      <c r="C10" s="16" t="s">
        <v>109</v>
      </c>
      <c r="D10" s="16" t="n">
        <v>3410</v>
      </c>
      <c r="E10" s="16" t="s">
        <v>102</v>
      </c>
      <c r="F10" s="17" t="n">
        <v>7075</v>
      </c>
      <c r="G10" s="16" t="s">
        <v>103</v>
      </c>
    </row>
    <row r="11" customFormat="false" ht="15" hidden="false" customHeight="false" outlineLevel="0" collapsed="false">
      <c r="A11" s="16" t="s">
        <v>113</v>
      </c>
      <c r="B11" s="16" t="s">
        <v>100</v>
      </c>
      <c r="C11" s="16" t="s">
        <v>101</v>
      </c>
      <c r="D11" s="16" t="n">
        <v>3080</v>
      </c>
      <c r="E11" s="16" t="s">
        <v>102</v>
      </c>
      <c r="F11" s="17" t="n">
        <v>6650</v>
      </c>
      <c r="G11" s="16" t="s">
        <v>103</v>
      </c>
    </row>
    <row r="12" customFormat="false" ht="15" hidden="false" customHeight="false" outlineLevel="0" collapsed="false">
      <c r="A12" s="16" t="s">
        <v>114</v>
      </c>
      <c r="B12" s="16" t="s">
        <v>105</v>
      </c>
      <c r="C12" s="16" t="s">
        <v>106</v>
      </c>
      <c r="D12" s="16" t="n">
        <v>3200</v>
      </c>
      <c r="E12" s="16" t="s">
        <v>102</v>
      </c>
      <c r="F12" s="17" t="n">
        <v>6800</v>
      </c>
      <c r="G12" s="16" t="s">
        <v>103</v>
      </c>
    </row>
    <row r="13" customFormat="false" ht="15" hidden="false" customHeight="false" outlineLevel="0" collapsed="false">
      <c r="A13" s="16" t="s">
        <v>115</v>
      </c>
      <c r="B13" s="16" t="s">
        <v>108</v>
      </c>
      <c r="C13" s="16" t="s">
        <v>109</v>
      </c>
      <c r="D13" s="16" t="n">
        <v>3410</v>
      </c>
      <c r="E13" s="16" t="s">
        <v>102</v>
      </c>
      <c r="F13" s="17" t="n">
        <v>7075</v>
      </c>
      <c r="G13" s="16" t="s">
        <v>103</v>
      </c>
    </row>
    <row r="14" customFormat="false" ht="15" hidden="false" customHeight="false" outlineLevel="0" collapsed="false">
      <c r="A14" s="16" t="s">
        <v>116</v>
      </c>
      <c r="B14" s="16" t="s">
        <v>100</v>
      </c>
      <c r="C14" s="16" t="s">
        <v>101</v>
      </c>
      <c r="D14" s="16" t="n">
        <v>3080</v>
      </c>
      <c r="E14" s="16" t="s">
        <v>117</v>
      </c>
      <c r="F14" s="17" t="n">
        <v>6650</v>
      </c>
      <c r="G14" s="16" t="s">
        <v>103</v>
      </c>
    </row>
    <row r="16" customFormat="false" ht="15" hidden="false" customHeight="false" outlineLevel="0" collapsed="false">
      <c r="A16" s="3" t="s">
        <v>118</v>
      </c>
    </row>
    <row r="17" customFormat="false" ht="15" hidden="false" customHeight="false" outlineLevel="0" collapsed="false">
      <c r="A17" s="2" t="s">
        <v>119</v>
      </c>
      <c r="B17" s="18" t="n">
        <f aca="false">COUNTA(A5:A14)</f>
        <v>10</v>
      </c>
    </row>
    <row r="18" customFormat="false" ht="15" hidden="false" customHeight="false" outlineLevel="0" collapsed="false">
      <c r="A18" s="2" t="s">
        <v>120</v>
      </c>
      <c r="B18" s="18" t="n">
        <f aca="false">COUNTIF(E5:E14,"active")</f>
        <v>9</v>
      </c>
    </row>
    <row r="19" customFormat="false" ht="15" hidden="false" customHeight="false" outlineLevel="0" collapsed="false">
      <c r="A19" s="2" t="s">
        <v>121</v>
      </c>
      <c r="B19" s="18" t="n">
        <v>0</v>
      </c>
    </row>
    <row r="20" customFormat="false" ht="15" hidden="false" customHeight="false" outlineLevel="0" collapsed="false">
      <c r="A20" s="2" t="s">
        <v>122</v>
      </c>
      <c r="B20" s="19" t="n">
        <f aca="false">SUM(D5:D14)</f>
        <v>32150</v>
      </c>
    </row>
    <row r="21" customFormat="false" ht="15" hidden="false" customHeight="false" outlineLevel="0" collapsed="false">
      <c r="A21" s="2" t="s">
        <v>123</v>
      </c>
      <c r="B21" s="19" t="n">
        <f aca="false">SUMIF(E5:E14,"active",D5:D14)</f>
        <v>29070</v>
      </c>
    </row>
    <row r="22" customFormat="false" ht="15" hidden="false" customHeight="false" outlineLevel="0" collapsed="false">
      <c r="A22" s="2" t="s">
        <v>124</v>
      </c>
      <c r="B22" s="20" t="n">
        <f aca="false">B18/B17</f>
        <v>0.9</v>
      </c>
    </row>
    <row r="23" customFormat="false" ht="15" hidden="false" customHeight="false" outlineLevel="0" collapsed="false">
      <c r="A23" s="2" t="s">
        <v>125</v>
      </c>
      <c r="B23" s="20" t="n">
        <f aca="false">B21/B20</f>
        <v>0.904199066874028</v>
      </c>
    </row>
    <row r="24" customFormat="false" ht="15" hidden="false" customHeight="false" outlineLevel="0" collapsed="false">
      <c r="A24" s="2" t="s">
        <v>126</v>
      </c>
      <c r="B24" s="21" t="n">
        <f aca="false">SUMIF(E5:E14,"active",F5:F14)*12</f>
        <v>741600</v>
      </c>
    </row>
    <row r="27" customFormat="false" ht="15" hidden="false" customHeight="false" outlineLevel="0" collapsed="false">
      <c r="A27" s="3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</row>
    <row r="29" customFormat="false" ht="15" hidden="false" customHeight="false" outlineLevel="0" collapsed="false">
      <c r="A29" s="16" t="s">
        <v>131</v>
      </c>
      <c r="B29" s="18" t="n">
        <f aca="false">COUNTIF(C5:C14,"A")</f>
        <v>4</v>
      </c>
      <c r="C29" s="18" t="n">
        <f aca="false">COUNTIFS(C5:C14,"A",E5:E14,"active")</f>
        <v>3</v>
      </c>
    </row>
    <row r="30" customFormat="false" ht="15" hidden="false" customHeight="false" outlineLevel="0" collapsed="false">
      <c r="A30" s="16" t="s">
        <v>132</v>
      </c>
      <c r="B30" s="18" t="n">
        <f aca="false">COUNTIF(C5:C14,"B")</f>
        <v>3</v>
      </c>
      <c r="C30" s="18" t="n">
        <f aca="false">COUNTIFS(C5:C14,"B",E5:E14,"active")</f>
        <v>3</v>
      </c>
    </row>
    <row r="31" customFormat="false" ht="15" hidden="false" customHeight="false" outlineLevel="0" collapsed="false">
      <c r="A31" s="16" t="s">
        <v>133</v>
      </c>
      <c r="B31" s="18" t="n">
        <f aca="false">COUNTIF(C5:C14,"C")</f>
        <v>3</v>
      </c>
      <c r="C31" s="18" t="n">
        <f aca="false">COUNTIFS(C5:C14,"C",E5:E14,"active")</f>
        <v>3</v>
      </c>
    </row>
    <row r="34" customFormat="false" ht="15" hidden="false" customHeight="false" outlineLevel="0" collapsed="false">
      <c r="A34" s="3" t="s">
        <v>134</v>
      </c>
    </row>
    <row r="35" customFormat="false" ht="15" hidden="false" customHeight="false" outlineLevel="0" collapsed="false">
      <c r="A35" s="2" t="s">
        <v>135</v>
      </c>
      <c r="B35" s="17" t="n">
        <f aca="false">SUM(F5:F14)</f>
        <v>68450</v>
      </c>
    </row>
    <row r="36" customFormat="false" ht="15" hidden="false" customHeight="false" outlineLevel="0" collapsed="false">
      <c r="A36" s="2" t="s">
        <v>136</v>
      </c>
      <c r="B36" s="17" t="n">
        <v>-350</v>
      </c>
    </row>
    <row r="37" customFormat="false" ht="15" hidden="false" customHeight="false" outlineLevel="0" collapsed="false">
      <c r="A37" s="2" t="s">
        <v>137</v>
      </c>
      <c r="B37" s="17" t="n">
        <f aca="false">B35+B36</f>
        <v>68100</v>
      </c>
    </row>
    <row r="38" customFormat="false" ht="15" hidden="false" customHeight="false" outlineLevel="0" collapsed="false">
      <c r="A38" s="2" t="s">
        <v>138</v>
      </c>
      <c r="B38" s="21" t="n">
        <f aca="false">B37*12</f>
        <v>817200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139</v>
      </c>
      <c r="B1" s="6"/>
      <c r="C1" s="6"/>
    </row>
    <row r="2" customFormat="false" ht="15" hidden="false" customHeight="false" outlineLevel="0" collapsed="false">
      <c r="A2" s="15" t="s">
        <v>140</v>
      </c>
      <c r="B2" s="15"/>
      <c r="C2" s="15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28</v>
      </c>
      <c r="B5" s="22" t="n">
        <f aca="false">Inputs!B7</f>
        <v>817200</v>
      </c>
    </row>
    <row r="6" customFormat="false" ht="15" hidden="false" customHeight="false" outlineLevel="0" collapsed="false">
      <c r="A6" s="0" t="s">
        <v>141</v>
      </c>
      <c r="B6" s="23" t="n">
        <f aca="false">Inputs!B5</f>
        <v>0.05</v>
      </c>
    </row>
    <row r="7" customFormat="false" ht="15" hidden="false" customHeight="false" outlineLevel="0" collapsed="false">
      <c r="A7" s="0" t="s">
        <v>142</v>
      </c>
      <c r="B7" s="22" t="n">
        <f aca="false">B5*(1-B6)</f>
        <v>776340</v>
      </c>
    </row>
    <row r="8" customFormat="false" ht="15" hidden="false" customHeight="false" outlineLevel="0" collapsed="false">
      <c r="A8" s="0" t="s">
        <v>143</v>
      </c>
      <c r="B8" s="22" t="n">
        <f aca="false">Inputs!B6*Inputs!B4</f>
        <v>3500</v>
      </c>
    </row>
    <row r="10" customFormat="false" ht="15" hidden="false" customHeight="false" outlineLevel="0" collapsed="false">
      <c r="A10" s="2" t="s">
        <v>39</v>
      </c>
      <c r="B10" s="24" t="n">
        <f aca="false">B7+B8</f>
        <v>779840</v>
      </c>
    </row>
    <row r="12" customFormat="false" ht="15" hidden="false" customHeight="false" outlineLevel="0" collapsed="false">
      <c r="A12" s="3" t="s">
        <v>69</v>
      </c>
    </row>
    <row r="13" customFormat="false" ht="15" hidden="false" customHeight="false" outlineLevel="0" collapsed="false">
      <c r="A13" s="0" t="s">
        <v>70</v>
      </c>
      <c r="B13" s="22" t="n">
        <f aca="false">Inputs!B10</f>
        <v>85964</v>
      </c>
    </row>
    <row r="14" customFormat="false" ht="15" hidden="false" customHeight="false" outlineLevel="0" collapsed="false">
      <c r="A14" s="0" t="s">
        <v>71</v>
      </c>
      <c r="B14" s="22" t="n">
        <f aca="false">Inputs!B11</f>
        <v>28655</v>
      </c>
    </row>
    <row r="15" customFormat="false" ht="15" hidden="false" customHeight="false" outlineLevel="0" collapsed="false">
      <c r="A15" s="0" t="s">
        <v>72</v>
      </c>
      <c r="B15" s="22" t="n">
        <f aca="false">Inputs!B12</f>
        <v>114618</v>
      </c>
    </row>
    <row r="16" customFormat="false" ht="15" hidden="false" customHeight="false" outlineLevel="0" collapsed="false">
      <c r="A16" s="0" t="s">
        <v>144</v>
      </c>
      <c r="B16" s="22" t="n">
        <f aca="false">Inputs!B13*B10</f>
        <v>23395.2</v>
      </c>
    </row>
    <row r="17" customFormat="false" ht="15" hidden="false" customHeight="false" outlineLevel="0" collapsed="false">
      <c r="A17" s="2" t="s">
        <v>145</v>
      </c>
      <c r="B17" s="24" t="n">
        <f aca="false">SUM(B13:B16)</f>
        <v>252632.2</v>
      </c>
    </row>
    <row r="19" customFormat="false" ht="15" hidden="false" customHeight="false" outlineLevel="0" collapsed="false">
      <c r="A19" s="3" t="s">
        <v>146</v>
      </c>
    </row>
    <row r="22" customFormat="false" ht="15" hidden="false" customHeight="false" outlineLevel="0" collapsed="false">
      <c r="A22" s="2" t="s">
        <v>147</v>
      </c>
      <c r="B22" s="24" t="n">
        <f aca="false">B10-B17</f>
        <v>527207.8</v>
      </c>
    </row>
    <row r="23" customFormat="false" ht="15" hidden="false" customHeight="false" outlineLevel="0" collapsed="false">
      <c r="A23" s="0" t="s">
        <v>148</v>
      </c>
      <c r="B23" s="22" t="n">
        <f aca="false">Inputs!B14*Inputs!B4</f>
        <v>3000</v>
      </c>
    </row>
    <row r="25" customFormat="false" ht="15" hidden="false" customHeight="false" outlineLevel="0" collapsed="false">
      <c r="A25" s="2" t="s">
        <v>45</v>
      </c>
      <c r="B25" s="24" t="n">
        <f aca="false">B22-B23</f>
        <v>524207.8</v>
      </c>
    </row>
    <row r="28" customFormat="false" ht="15" hidden="false" customHeight="false" outlineLevel="0" collapsed="false">
      <c r="A28" s="3" t="s">
        <v>149</v>
      </c>
    </row>
    <row r="30" customFormat="false" ht="15" hidden="false" customHeight="false" outlineLevel="0" collapsed="false">
      <c r="A30" s="0" t="s">
        <v>31</v>
      </c>
      <c r="B30" s="25" t="n">
        <f aca="false">Inputs!B22</f>
        <v>0.07</v>
      </c>
    </row>
    <row r="31" customFormat="false" ht="15" hidden="false" customHeight="false" outlineLevel="0" collapsed="false">
      <c r="A31" s="0" t="s">
        <v>150</v>
      </c>
      <c r="B31" s="22" t="n">
        <f aca="false">B22</f>
        <v>527207.8</v>
      </c>
    </row>
    <row r="32" customFormat="false" ht="15" hidden="false" customHeight="false" outlineLevel="0" collapsed="false">
      <c r="A32" s="2" t="s">
        <v>48</v>
      </c>
      <c r="B32" s="24" t="n">
        <f aca="false">B31/B30</f>
        <v>7531540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151</v>
      </c>
      <c r="B1" s="6"/>
      <c r="C1" s="6"/>
    </row>
    <row r="2" customFormat="false" ht="15" hidden="false" customHeight="false" outlineLevel="0" collapsed="false">
      <c r="A2" s="15" t="s">
        <v>152</v>
      </c>
      <c r="B2" s="15"/>
      <c r="C2" s="15"/>
    </row>
    <row r="4" customFormat="false" ht="15" hidden="false" customHeight="false" outlineLevel="0" collapsed="false">
      <c r="A4" s="3" t="s">
        <v>153</v>
      </c>
    </row>
    <row r="5" customFormat="false" ht="15" hidden="false" customHeight="false" outlineLevel="0" collapsed="false">
      <c r="A5" s="2" t="s">
        <v>34</v>
      </c>
      <c r="B5" s="26" t="n">
        <f aca="false">Inputs!B27</f>
        <v>0.0825</v>
      </c>
    </row>
    <row r="6" customFormat="false" ht="15" hidden="false" customHeight="false" outlineLevel="0" collapsed="false">
      <c r="A6" s="2" t="s">
        <v>85</v>
      </c>
      <c r="B6" s="27" t="n">
        <f aca="false">Inputs!B28</f>
        <v>30</v>
      </c>
    </row>
    <row r="7" customFormat="false" ht="15" hidden="false" customHeight="false" outlineLevel="0" collapsed="false">
      <c r="A7" s="2" t="s">
        <v>154</v>
      </c>
      <c r="B7" s="28" t="n">
        <f aca="false">Inputs!B27/12</f>
        <v>0.006875</v>
      </c>
    </row>
    <row r="8" customFormat="false" ht="15" hidden="false" customHeight="false" outlineLevel="0" collapsed="false">
      <c r="A8" s="2" t="s">
        <v>155</v>
      </c>
      <c r="B8" s="27" t="n">
        <f aca="false">Inputs!B28*12</f>
        <v>360</v>
      </c>
    </row>
    <row r="9" customFormat="false" ht="15" hidden="false" customHeight="false" outlineLevel="0" collapsed="false">
      <c r="A9" s="2" t="s">
        <v>156</v>
      </c>
      <c r="B9" s="29" t="n">
        <f aca="false">B7*(1+B7)^B8/((1+B7)^B8-1)</f>
        <v>0.00751266604050925</v>
      </c>
    </row>
    <row r="10" customFormat="false" ht="15" hidden="false" customHeight="false" outlineLevel="0" collapsed="false">
      <c r="A10" s="2" t="s">
        <v>157</v>
      </c>
      <c r="B10" s="29" t="n">
        <f aca="false">B9*12</f>
        <v>0.090151992486111</v>
      </c>
    </row>
    <row r="11" customFormat="false" ht="15" hidden="false" customHeight="false" outlineLevel="0" collapsed="false">
      <c r="A11" s="2" t="s">
        <v>81</v>
      </c>
      <c r="B11" s="30" t="n">
        <f aca="false">Inputs!B24</f>
        <v>0.65</v>
      </c>
    </row>
    <row r="12" customFormat="false" ht="15" hidden="false" customHeight="false" outlineLevel="0" collapsed="false">
      <c r="A12" s="2" t="s">
        <v>82</v>
      </c>
      <c r="B12" s="31" t="n">
        <f aca="false">Inputs!B25</f>
        <v>1.25</v>
      </c>
    </row>
    <row r="13" customFormat="false" ht="15" hidden="false" customHeight="false" outlineLevel="0" collapsed="false">
      <c r="A13" s="2" t="s">
        <v>83</v>
      </c>
      <c r="B13" s="30" t="n">
        <f aca="false">Inputs!B26</f>
        <v>0.09</v>
      </c>
    </row>
    <row r="16" customFormat="false" ht="15" hidden="false" customHeight="false" outlineLevel="0" collapsed="false">
      <c r="A16" s="3" t="s">
        <v>158</v>
      </c>
    </row>
    <row r="17" customFormat="false" ht="15" hidden="false" customHeight="false" outlineLevel="0" collapsed="false">
      <c r="A17" s="0" t="s">
        <v>159</v>
      </c>
      <c r="B17" s="22" t="n">
        <f aca="false">B11*UW!B32</f>
        <v>4895501</v>
      </c>
    </row>
    <row r="18" customFormat="false" ht="15" hidden="false" customHeight="false" outlineLevel="0" collapsed="false">
      <c r="A18" s="0" t="s">
        <v>160</v>
      </c>
      <c r="B18" s="22" t="n">
        <f aca="false">(UW!B25/B12)/B10</f>
        <v>4651768.95635012</v>
      </c>
    </row>
    <row r="19" customFormat="false" ht="15" hidden="false" customHeight="false" outlineLevel="0" collapsed="false">
      <c r="A19" s="0" t="s">
        <v>161</v>
      </c>
      <c r="B19" s="22" t="n">
        <f aca="false">UW!B25/B13</f>
        <v>5824531.11111111</v>
      </c>
    </row>
    <row r="21" customFormat="false" ht="15" hidden="false" customHeight="false" outlineLevel="0" collapsed="false">
      <c r="A21" s="0" t="s">
        <v>162</v>
      </c>
      <c r="B21" s="0" t="str">
        <f aca="false">IF(B24=B17,"LTV",IF(B24=B18,"DSCR","Debt Yield"))</f>
        <v>DSCR</v>
      </c>
    </row>
    <row r="24" customFormat="false" ht="15" hidden="false" customHeight="false" outlineLevel="0" collapsed="false">
      <c r="A24" s="2" t="s">
        <v>51</v>
      </c>
      <c r="B24" s="24" t="n">
        <f aca="false">MIN(B17,B18,B19)</f>
        <v>4651768.95635012</v>
      </c>
    </row>
    <row r="27" customFormat="false" ht="15" hidden="false" customHeight="false" outlineLevel="0" collapsed="false">
      <c r="A27" s="3" t="s">
        <v>163</v>
      </c>
    </row>
    <row r="28" customFormat="false" ht="15" hidden="false" customHeight="false" outlineLevel="0" collapsed="false">
      <c r="A28" s="0" t="s">
        <v>89</v>
      </c>
      <c r="B28" s="22" t="n">
        <f aca="false">Inputs!B31</f>
        <v>4300000</v>
      </c>
    </row>
    <row r="29" customFormat="false" ht="15" hidden="false" customHeight="false" outlineLevel="0" collapsed="false">
      <c r="A29" s="0" t="s">
        <v>164</v>
      </c>
      <c r="B29" s="22" t="n">
        <f aca="false">Inputs!B29*B24</f>
        <v>46517.6895635012</v>
      </c>
    </row>
    <row r="30" customFormat="false" ht="15" hidden="false" customHeight="false" outlineLevel="0" collapsed="false">
      <c r="A30" s="0" t="s">
        <v>88</v>
      </c>
      <c r="B30" s="22" t="n">
        <f aca="false">Inputs!B30</f>
        <v>45000</v>
      </c>
    </row>
    <row r="31" customFormat="false" ht="15" hidden="false" customHeight="false" outlineLevel="0" collapsed="false">
      <c r="A31" s="0" t="s">
        <v>165</v>
      </c>
      <c r="B31" s="22" t="n">
        <f aca="false">SUM(B28:B30)</f>
        <v>4391517.6895635</v>
      </c>
    </row>
    <row r="32" customFormat="false" ht="15" hidden="false" customHeight="false" outlineLevel="0" collapsed="false">
      <c r="A32" s="2" t="s">
        <v>166</v>
      </c>
      <c r="B32" s="24" t="n">
        <f aca="false">B24-B31</f>
        <v>260251.266786616</v>
      </c>
    </row>
    <row r="35" customFormat="false" ht="15" hidden="false" customHeight="false" outlineLevel="0" collapsed="false">
      <c r="A35" s="3" t="s">
        <v>167</v>
      </c>
    </row>
    <row r="36" customFormat="false" ht="15" hidden="false" customHeight="false" outlineLevel="0" collapsed="false">
      <c r="A36" s="0" t="s">
        <v>168</v>
      </c>
      <c r="B36" s="23" t="n">
        <f aca="false">B24/UW!B32</f>
        <v>0.617638485137185</v>
      </c>
    </row>
    <row r="37" customFormat="false" ht="15" hidden="false" customHeight="false" outlineLevel="0" collapsed="false">
      <c r="A37" s="0" t="s">
        <v>169</v>
      </c>
      <c r="B37" s="22" t="n">
        <f aca="false">B24*B10</f>
        <v>419366.24</v>
      </c>
    </row>
    <row r="38" customFormat="false" ht="15" hidden="false" customHeight="false" outlineLevel="0" collapsed="false">
      <c r="A38" s="0" t="s">
        <v>170</v>
      </c>
      <c r="B38" s="32" t="n">
        <f aca="false">UW!B25/B37</f>
        <v>1.25</v>
      </c>
    </row>
    <row r="39" customFormat="false" ht="15" hidden="false" customHeight="false" outlineLevel="0" collapsed="false">
      <c r="A39" s="0" t="s">
        <v>171</v>
      </c>
      <c r="B39" s="23" t="n">
        <f aca="false">UW!B25/B24</f>
        <v>0.112689990607639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172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15" t="s">
        <v>173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3" t="s">
        <v>174</v>
      </c>
      <c r="D4" s="3" t="s">
        <v>175</v>
      </c>
    </row>
    <row r="5" customFormat="false" ht="15" hidden="false" customHeight="false" outlineLevel="0" collapsed="false">
      <c r="A5" s="2" t="s">
        <v>176</v>
      </c>
      <c r="B5" s="2" t="s">
        <v>177</v>
      </c>
      <c r="D5" s="2" t="s">
        <v>178</v>
      </c>
      <c r="E5" s="33" t="n">
        <v>0.0625</v>
      </c>
      <c r="F5" s="33" t="n">
        <v>0.065</v>
      </c>
      <c r="G5" s="33" t="n">
        <v>0.0675</v>
      </c>
      <c r="H5" s="33" t="n">
        <v>0.07</v>
      </c>
      <c r="I5" s="33" t="n">
        <v>0.0725</v>
      </c>
      <c r="J5" s="33" t="n">
        <v>0.075</v>
      </c>
      <c r="K5" s="33" t="n">
        <v>0.0775</v>
      </c>
    </row>
    <row r="6" customFormat="false" ht="15" hidden="false" customHeight="false" outlineLevel="0" collapsed="false">
      <c r="A6" s="26" t="n">
        <v>0.0625</v>
      </c>
      <c r="B6" s="17" t="n">
        <f aca="false">UW!$B$22/A6</f>
        <v>8435324.8</v>
      </c>
      <c r="D6" s="33" t="n">
        <v>0.065</v>
      </c>
      <c r="E6" s="17" t="n">
        <f aca="false">MIN(Debt!$B$11*(UW!$B$22/E$5),(UW!$B$25/Debt!$B$12)/(((0.065/12)*(1+0.065/12)^(Debt!$B$8))/((1+0.065/12)^(Debt!$B$8)-1)*12),UW!$B$25/Debt!$B$13)</f>
        <v>5482961.12</v>
      </c>
      <c r="F6" s="17" t="n">
        <f aca="false">MIN(Debt!$B$11*(UW!$B$22/F$5),(UW!$B$25/Debt!$B$12)/(((0.065/12)*(1+0.065/12)^(Debt!$B$8))/((1+0.065/12)^(Debt!$B$8)-1)*12),UW!$B$25/Debt!$B$13)</f>
        <v>5272078</v>
      </c>
      <c r="G6" s="17" t="n">
        <f aca="false">MIN(Debt!$B$11*(UW!$B$22/G$5),(UW!$B$25/Debt!$B$12)/(((0.065/12)*(1+0.065/12)^(Debt!$B$8))/((1+0.065/12)^(Debt!$B$8)-1)*12),UW!$B$25/Debt!$B$13)</f>
        <v>5076815.85185185</v>
      </c>
      <c r="H6" s="17" t="n">
        <f aca="false">MIN(Debt!$B$11*(UW!$B$22/H$5),(UW!$B$25/Debt!$B$12)/(((0.065/12)*(1+0.065/12)^(Debt!$B$8))/((1+0.065/12)^(Debt!$B$8)-1)*12),UW!$B$25/Debt!$B$13)</f>
        <v>4895501</v>
      </c>
      <c r="I6" s="17" t="n">
        <f aca="false">MIN(Debt!$B$11*(UW!$B$22/I$5),(UW!$B$25/Debt!$B$12)/(((0.065/12)*(1+0.065/12)^(Debt!$B$8))/((1+0.065/12)^(Debt!$B$8)-1)*12),UW!$B$25/Debt!$B$13)</f>
        <v>4726690.62068966</v>
      </c>
      <c r="J6" s="17" t="n">
        <f aca="false">MIN(Debt!$B$11*(UW!$B$22/J$5),(UW!$B$25/Debt!$B$12)/(((0.065/12)*(1+0.065/12)^(Debt!$B$8))/((1+0.065/12)^(Debt!$B$8)-1)*12),UW!$B$25/Debt!$B$13)</f>
        <v>4569134.26666667</v>
      </c>
      <c r="K6" s="17" t="n">
        <f aca="false">MIN(Debt!$B$11*(UW!$B$22/K$5),(UW!$B$25/Debt!$B$12)/(((0.065/12)*(1+0.065/12)^(Debt!$B$8))/((1+0.065/12)^(Debt!$B$8)-1)*12),UW!$B$25/Debt!$B$13)</f>
        <v>4421742.83870968</v>
      </c>
    </row>
    <row r="7" customFormat="false" ht="15" hidden="false" customHeight="false" outlineLevel="0" collapsed="false">
      <c r="A7" s="26" t="n">
        <v>0.065</v>
      </c>
      <c r="B7" s="17" t="n">
        <f aca="false">UW!$B$22/A7</f>
        <v>8110889.23076923</v>
      </c>
      <c r="D7" s="33" t="n">
        <v>0.0675</v>
      </c>
      <c r="E7" s="17" t="n">
        <f aca="false">MIN(Debt!$B$11*(UW!$B$22/E$5),(UW!$B$25/Debt!$B$12)/(((0.0675/12)*(1+0.0675/12)^(Debt!$B$8))/((1+0.0675/12)^(Debt!$B$8)-1)*12),UW!$B$25/Debt!$B$13)</f>
        <v>5388111.1973</v>
      </c>
      <c r="F7" s="17" t="n">
        <f aca="false">MIN(Debt!$B$11*(UW!$B$22/F$5),(UW!$B$25/Debt!$B$12)/(((0.0675/12)*(1+0.0675/12)^(Debt!$B$8))/((1+0.0675/12)^(Debt!$B$8)-1)*12),UW!$B$25/Debt!$B$13)</f>
        <v>5272078</v>
      </c>
      <c r="G7" s="17" t="n">
        <f aca="false">MIN(Debt!$B$11*(UW!$B$22/G$5),(UW!$B$25/Debt!$B$12)/(((0.0675/12)*(1+0.0675/12)^(Debt!$B$8))/((1+0.0675/12)^(Debt!$B$8)-1)*12),UW!$B$25/Debt!$B$13)</f>
        <v>5076815.85185185</v>
      </c>
      <c r="H7" s="17" t="n">
        <f aca="false">MIN(Debt!$B$11*(UW!$B$22/H$5),(UW!$B$25/Debt!$B$12)/(((0.0675/12)*(1+0.0675/12)^(Debt!$B$8))/((1+0.0675/12)^(Debt!$B$8)-1)*12),UW!$B$25/Debt!$B$13)</f>
        <v>4895501</v>
      </c>
      <c r="I7" s="17" t="n">
        <f aca="false">MIN(Debt!$B$11*(UW!$B$22/I$5),(UW!$B$25/Debt!$B$12)/(((0.0675/12)*(1+0.0675/12)^(Debt!$B$8))/((1+0.0675/12)^(Debt!$B$8)-1)*12),UW!$B$25/Debt!$B$13)</f>
        <v>4726690.62068966</v>
      </c>
      <c r="J7" s="17" t="n">
        <f aca="false">MIN(Debt!$B$11*(UW!$B$22/J$5),(UW!$B$25/Debt!$B$12)/(((0.0675/12)*(1+0.0675/12)^(Debt!$B$8))/((1+0.0675/12)^(Debt!$B$8)-1)*12),UW!$B$25/Debt!$B$13)</f>
        <v>4569134.26666667</v>
      </c>
      <c r="K7" s="17" t="n">
        <f aca="false">MIN(Debt!$B$11*(UW!$B$22/K$5),(UW!$B$25/Debt!$B$12)/(((0.0675/12)*(1+0.0675/12)^(Debt!$B$8))/((1+0.0675/12)^(Debt!$B$8)-1)*12),UW!$B$25/Debt!$B$13)</f>
        <v>4421742.83870968</v>
      </c>
    </row>
    <row r="8" customFormat="false" ht="15" hidden="false" customHeight="false" outlineLevel="0" collapsed="false">
      <c r="A8" s="26" t="n">
        <v>0.0675</v>
      </c>
      <c r="B8" s="17" t="n">
        <f aca="false">UW!$B$22/A8</f>
        <v>7810485.92592593</v>
      </c>
      <c r="D8" s="33" t="n">
        <v>0.07</v>
      </c>
      <c r="E8" s="17" t="n">
        <f aca="false">MIN(Debt!$B$11*(UW!$B$22/E$5),(UW!$B$25/Debt!$B$12)/(((0.07/12)*(1+0.07/12)^(Debt!$B$8))/((1+0.07/12)^(Debt!$B$8)-1)*12),UW!$B$25/Debt!$B$13)</f>
        <v>5252826.63448519</v>
      </c>
      <c r="F8" s="17" t="n">
        <f aca="false">MIN(Debt!$B$11*(UW!$B$22/F$5),(UW!$B$25/Debt!$B$12)/(((0.07/12)*(1+0.07/12)^(Debt!$B$8))/((1+0.07/12)^(Debt!$B$8)-1)*12),UW!$B$25/Debt!$B$13)</f>
        <v>5252826.63448519</v>
      </c>
      <c r="G8" s="17" t="n">
        <f aca="false">MIN(Debt!$B$11*(UW!$B$22/G$5),(UW!$B$25/Debt!$B$12)/(((0.07/12)*(1+0.07/12)^(Debt!$B$8))/((1+0.07/12)^(Debt!$B$8)-1)*12),UW!$B$25/Debt!$B$13)</f>
        <v>5076815.85185185</v>
      </c>
      <c r="H8" s="17" t="n">
        <f aca="false">MIN(Debt!$B$11*(UW!$B$22/H$5),(UW!$B$25/Debt!$B$12)/(((0.07/12)*(1+0.07/12)^(Debt!$B$8))/((1+0.07/12)^(Debt!$B$8)-1)*12),UW!$B$25/Debt!$B$13)</f>
        <v>4895501</v>
      </c>
      <c r="I8" s="17" t="n">
        <f aca="false">MIN(Debt!$B$11*(UW!$B$22/I$5),(UW!$B$25/Debt!$B$12)/(((0.07/12)*(1+0.07/12)^(Debt!$B$8))/((1+0.07/12)^(Debt!$B$8)-1)*12),UW!$B$25/Debt!$B$13)</f>
        <v>4726690.62068966</v>
      </c>
      <c r="J8" s="17" t="n">
        <f aca="false">MIN(Debt!$B$11*(UW!$B$22/J$5),(UW!$B$25/Debt!$B$12)/(((0.07/12)*(1+0.07/12)^(Debt!$B$8))/((1+0.07/12)^(Debt!$B$8)-1)*12),UW!$B$25/Debt!$B$13)</f>
        <v>4569134.26666667</v>
      </c>
      <c r="K8" s="17" t="n">
        <f aca="false">MIN(Debt!$B$11*(UW!$B$22/K$5),(UW!$B$25/Debt!$B$12)/(((0.07/12)*(1+0.07/12)^(Debt!$B$8))/((1+0.07/12)^(Debt!$B$8)-1)*12),UW!$B$25/Debt!$B$13)</f>
        <v>4421742.83870968</v>
      </c>
    </row>
    <row r="9" customFormat="false" ht="15" hidden="false" customHeight="false" outlineLevel="0" collapsed="false">
      <c r="A9" s="26" t="n">
        <v>0.07</v>
      </c>
      <c r="B9" s="21" t="n">
        <f aca="false">UW!$B$22/A9</f>
        <v>7531540</v>
      </c>
      <c r="D9" s="33" t="n">
        <v>0.0725</v>
      </c>
      <c r="E9" s="17" t="n">
        <f aca="false">MIN(Debt!$B$11*(UW!$B$22/E$5),(UW!$B$25/Debt!$B$12)/(((0.0725/12)*(1+0.0725/12)^(Debt!$B$8))/((1+0.0725/12)^(Debt!$B$8)-1)*12),UW!$B$25/Debt!$B$13)</f>
        <v>5122896.77732391</v>
      </c>
      <c r="F9" s="17" t="n">
        <f aca="false">MIN(Debt!$B$11*(UW!$B$22/F$5),(UW!$B$25/Debt!$B$12)/(((0.0725/12)*(1+0.0725/12)^(Debt!$B$8))/((1+0.0725/12)^(Debt!$B$8)-1)*12),UW!$B$25/Debt!$B$13)</f>
        <v>5122896.77732391</v>
      </c>
      <c r="G9" s="17" t="n">
        <f aca="false">MIN(Debt!$B$11*(UW!$B$22/G$5),(UW!$B$25/Debt!$B$12)/(((0.0725/12)*(1+0.0725/12)^(Debt!$B$8))/((1+0.0725/12)^(Debt!$B$8)-1)*12),UW!$B$25/Debt!$B$13)</f>
        <v>5076815.85185185</v>
      </c>
      <c r="H9" s="21" t="n">
        <f aca="false">MIN(Debt!$B$11*(UW!$B$22/H$5),(UW!$B$25/Debt!$B$12)/(((0.0725/12)*(1+0.0725/12)^(Debt!$B$8))/((1+0.0725/12)^(Debt!$B$8)-1)*12),UW!$B$25/Debt!$B$13)</f>
        <v>4895501</v>
      </c>
      <c r="I9" s="17" t="n">
        <f aca="false">MIN(Debt!$B$11*(UW!$B$22/I$5),(UW!$B$25/Debt!$B$12)/(((0.0725/12)*(1+0.0725/12)^(Debt!$B$8))/((1+0.0725/12)^(Debt!$B$8)-1)*12),UW!$B$25/Debt!$B$13)</f>
        <v>4726690.62068966</v>
      </c>
      <c r="J9" s="17" t="n">
        <f aca="false">MIN(Debt!$B$11*(UW!$B$22/J$5),(UW!$B$25/Debt!$B$12)/(((0.0725/12)*(1+0.0725/12)^(Debt!$B$8))/((1+0.0725/12)^(Debt!$B$8)-1)*12),UW!$B$25/Debt!$B$13)</f>
        <v>4569134.26666667</v>
      </c>
      <c r="K9" s="17" t="n">
        <f aca="false">MIN(Debt!$B$11*(UW!$B$22/K$5),(UW!$B$25/Debt!$B$12)/(((0.0725/12)*(1+0.0725/12)^(Debt!$B$8))/((1+0.0725/12)^(Debt!$B$8)-1)*12),UW!$B$25/Debt!$B$13)</f>
        <v>4421742.83870968</v>
      </c>
    </row>
    <row r="10" customFormat="false" ht="15" hidden="false" customHeight="false" outlineLevel="0" collapsed="false">
      <c r="A10" s="26" t="n">
        <v>0.0725</v>
      </c>
      <c r="B10" s="17" t="n">
        <f aca="false">UW!$B$22/A10</f>
        <v>7271831.72413793</v>
      </c>
      <c r="D10" s="33" t="n">
        <v>0.075</v>
      </c>
      <c r="E10" s="17" t="n">
        <f aca="false">MIN(Debt!$B$11*(UW!$B$22/E$5),(UW!$B$25/Debt!$B$12)/(((0.075/12)*(1+0.075/12)^(Debt!$B$8))/((1+0.075/12)^(Debt!$B$8)-1)*12),UW!$B$25/Debt!$B$13)</f>
        <v>4998063.71852893</v>
      </c>
      <c r="F10" s="17" t="n">
        <f aca="false">MIN(Debt!$B$11*(UW!$B$22/F$5),(UW!$B$25/Debt!$B$12)/(((0.075/12)*(1+0.075/12)^(Debt!$B$8))/((1+0.075/12)^(Debt!$B$8)-1)*12),UW!$B$25/Debt!$B$13)</f>
        <v>4998063.71852893</v>
      </c>
      <c r="G10" s="17" t="n">
        <f aca="false">MIN(Debt!$B$11*(UW!$B$22/G$5),(UW!$B$25/Debt!$B$12)/(((0.075/12)*(1+0.075/12)^(Debt!$B$8))/((1+0.075/12)^(Debt!$B$8)-1)*12),UW!$B$25/Debt!$B$13)</f>
        <v>4998063.71852893</v>
      </c>
      <c r="H10" s="17" t="n">
        <f aca="false">MIN(Debt!$B$11*(UW!$B$22/H$5),(UW!$B$25/Debt!$B$12)/(((0.075/12)*(1+0.075/12)^(Debt!$B$8))/((1+0.075/12)^(Debt!$B$8)-1)*12),UW!$B$25/Debt!$B$13)</f>
        <v>4895501</v>
      </c>
      <c r="I10" s="17" t="n">
        <f aca="false">MIN(Debt!$B$11*(UW!$B$22/I$5),(UW!$B$25/Debt!$B$12)/(((0.075/12)*(1+0.075/12)^(Debt!$B$8))/((1+0.075/12)^(Debt!$B$8)-1)*12),UW!$B$25/Debt!$B$13)</f>
        <v>4726690.62068966</v>
      </c>
      <c r="J10" s="17" t="n">
        <f aca="false">MIN(Debt!$B$11*(UW!$B$22/J$5),(UW!$B$25/Debt!$B$12)/(((0.075/12)*(1+0.075/12)^(Debt!$B$8))/((1+0.075/12)^(Debt!$B$8)-1)*12),UW!$B$25/Debt!$B$13)</f>
        <v>4569134.26666667</v>
      </c>
      <c r="K10" s="17" t="n">
        <f aca="false">MIN(Debt!$B$11*(UW!$B$22/K$5),(UW!$B$25/Debt!$B$12)/(((0.075/12)*(1+0.075/12)^(Debt!$B$8))/((1+0.075/12)^(Debt!$B$8)-1)*12),UW!$B$25/Debt!$B$13)</f>
        <v>4421742.83870968</v>
      </c>
    </row>
    <row r="11" customFormat="false" ht="15" hidden="false" customHeight="false" outlineLevel="0" collapsed="false">
      <c r="A11" s="26" t="n">
        <v>0.075</v>
      </c>
      <c r="B11" s="17" t="n">
        <f aca="false">UW!$B$22/A11</f>
        <v>7029437.33333333</v>
      </c>
    </row>
    <row r="12" customFormat="false" ht="15" hidden="false" customHeight="false" outlineLevel="0" collapsed="false">
      <c r="A12" s="26" t="n">
        <v>0.0775</v>
      </c>
      <c r="B12" s="17" t="n">
        <f aca="false">UW!$B$22/A12</f>
        <v>6802681.29032258</v>
      </c>
    </row>
    <row r="15" customFormat="false" ht="15" hidden="false" customHeight="false" outlineLevel="0" collapsed="false">
      <c r="A15" s="34" t="s">
        <v>179</v>
      </c>
      <c r="B15" s="34"/>
      <c r="C15" s="34"/>
      <c r="D15" s="34"/>
      <c r="E15" s="34"/>
      <c r="F15" s="34"/>
      <c r="G15" s="34"/>
      <c r="H15" s="34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180</v>
      </c>
      <c r="B1" s="6"/>
      <c r="C1" s="6"/>
      <c r="D1" s="6"/>
    </row>
    <row r="2" customFormat="false" ht="15" hidden="false" customHeight="false" outlineLevel="0" collapsed="false">
      <c r="A2" s="15" t="s">
        <v>181</v>
      </c>
      <c r="B2" s="15"/>
      <c r="C2" s="15"/>
      <c r="D2" s="15"/>
    </row>
    <row r="3" customFormat="false" ht="15" hidden="false" customHeight="false" outlineLevel="0" collapsed="false">
      <c r="A3" s="34" t="s">
        <v>182</v>
      </c>
      <c r="B3" s="34"/>
      <c r="C3" s="34"/>
      <c r="D3" s="34"/>
    </row>
    <row r="5" customFormat="false" ht="15" hidden="false" customHeight="false" outlineLevel="0" collapsed="false">
      <c r="A5" s="4" t="s">
        <v>183</v>
      </c>
      <c r="B5" s="4" t="s">
        <v>184</v>
      </c>
      <c r="C5" s="4" t="s">
        <v>185</v>
      </c>
      <c r="D5" s="4" t="s">
        <v>186</v>
      </c>
    </row>
    <row r="6" customFormat="false" ht="15" hidden="false" customHeight="false" outlineLevel="0" collapsed="false">
      <c r="A6" s="16" t="s">
        <v>187</v>
      </c>
      <c r="B6" s="17" t="n">
        <v>736830</v>
      </c>
      <c r="C6" s="17" t="n">
        <f aca="false">Inputs!B7</f>
        <v>817200</v>
      </c>
      <c r="D6" s="35" t="s">
        <v>188</v>
      </c>
    </row>
    <row r="7" customFormat="false" ht="15" hidden="false" customHeight="false" outlineLevel="0" collapsed="false">
      <c r="A7" s="16" t="s">
        <v>189</v>
      </c>
      <c r="B7" s="16"/>
      <c r="C7" s="17" t="n">
        <f aca="false">-UW!B5*UW!B6</f>
        <v>-40860</v>
      </c>
      <c r="D7" s="35" t="s">
        <v>190</v>
      </c>
    </row>
    <row r="8" customFormat="false" ht="15" hidden="false" customHeight="false" outlineLevel="0" collapsed="false">
      <c r="A8" s="16" t="s">
        <v>191</v>
      </c>
      <c r="B8" s="16"/>
      <c r="C8" s="17" t="n">
        <f aca="false">UW!B8</f>
        <v>3500</v>
      </c>
      <c r="D8" s="35" t="s">
        <v>192</v>
      </c>
    </row>
    <row r="9" customFormat="false" ht="15" hidden="false" customHeight="false" outlineLevel="0" collapsed="false">
      <c r="A9" s="16" t="s">
        <v>193</v>
      </c>
      <c r="B9" s="17" t="n">
        <v>736830</v>
      </c>
      <c r="C9" s="17" t="n">
        <f aca="false">UW!B10</f>
        <v>779840</v>
      </c>
      <c r="D9" s="35" t="s">
        <v>194</v>
      </c>
    </row>
    <row r="10" customFormat="false" ht="15" hidden="false" customHeight="false" outlineLevel="0" collapsed="false">
      <c r="A10" s="16" t="s">
        <v>195</v>
      </c>
      <c r="B10" s="17" t="n">
        <v>-85964</v>
      </c>
      <c r="C10" s="17" t="n">
        <f aca="false">-UW!B13</f>
        <v>-85964</v>
      </c>
      <c r="D10" s="35" t="s">
        <v>196</v>
      </c>
    </row>
    <row r="11" customFormat="false" ht="15" hidden="false" customHeight="false" outlineLevel="0" collapsed="false">
      <c r="A11" s="16" t="s">
        <v>197</v>
      </c>
      <c r="B11" s="17" t="n">
        <v>-28655</v>
      </c>
      <c r="C11" s="17" t="n">
        <f aca="false">-UW!B14</f>
        <v>-28655</v>
      </c>
      <c r="D11" s="35" t="s">
        <v>196</v>
      </c>
    </row>
    <row r="12" customFormat="false" ht="15" hidden="false" customHeight="false" outlineLevel="0" collapsed="false">
      <c r="A12" s="16" t="s">
        <v>198</v>
      </c>
      <c r="B12" s="17" t="n">
        <v>-114618</v>
      </c>
      <c r="C12" s="17" t="n">
        <f aca="false">-UW!B15</f>
        <v>-114618</v>
      </c>
      <c r="D12" s="35" t="s">
        <v>196</v>
      </c>
    </row>
    <row r="13" customFormat="false" ht="15" hidden="false" customHeight="false" outlineLevel="0" collapsed="false">
      <c r="A13" s="16" t="s">
        <v>199</v>
      </c>
      <c r="B13" s="17" t="n">
        <v>0</v>
      </c>
      <c r="C13" s="17" t="n">
        <f aca="false">-UW!B16</f>
        <v>-23395.2</v>
      </c>
      <c r="D13" s="35" t="s">
        <v>200</v>
      </c>
    </row>
    <row r="14" customFormat="false" ht="15" hidden="false" customHeight="false" outlineLevel="0" collapsed="false">
      <c r="A14" s="16" t="s">
        <v>201</v>
      </c>
      <c r="B14" s="17" t="n">
        <v>0</v>
      </c>
      <c r="C14" s="17" t="n">
        <v>0</v>
      </c>
      <c r="D14" s="35" t="s">
        <v>202</v>
      </c>
    </row>
    <row r="15" customFormat="false" ht="15" hidden="false" customHeight="false" outlineLevel="0" collapsed="false">
      <c r="A15" s="16" t="s">
        <v>203</v>
      </c>
      <c r="B15" s="17" t="n">
        <v>507593</v>
      </c>
      <c r="C15" s="17" t="n">
        <f aca="false">UW!B22</f>
        <v>527207.8</v>
      </c>
      <c r="D15" s="35" t="s">
        <v>204</v>
      </c>
    </row>
    <row r="16" customFormat="false" ht="15" hidden="false" customHeight="false" outlineLevel="0" collapsed="false">
      <c r="A16" s="16" t="s">
        <v>205</v>
      </c>
      <c r="B16" s="16"/>
      <c r="C16" s="17" t="n">
        <f aca="false">-UW!B23</f>
        <v>-3000</v>
      </c>
      <c r="D16" s="35" t="s">
        <v>206</v>
      </c>
    </row>
    <row r="17" customFormat="false" ht="15" hidden="false" customHeight="false" outlineLevel="0" collapsed="false">
      <c r="A17" s="16" t="s">
        <v>207</v>
      </c>
      <c r="B17" s="16"/>
      <c r="C17" s="17" t="n">
        <f aca="false">UW!B25</f>
        <v>524207.8</v>
      </c>
      <c r="D17" s="35" t="s">
        <v>208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209</v>
      </c>
      <c r="B1" s="6"/>
      <c r="C1" s="6"/>
      <c r="D1" s="6"/>
    </row>
    <row r="3" customFormat="false" ht="1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</row>
    <row r="4" customFormat="false" ht="15" hidden="false" customHeight="false" outlineLevel="0" collapsed="false">
      <c r="A4" s="16" t="n">
        <v>1</v>
      </c>
      <c r="B4" s="35" t="s">
        <v>214</v>
      </c>
      <c r="C4" s="16" t="s">
        <v>215</v>
      </c>
      <c r="D4" s="35" t="s">
        <v>216</v>
      </c>
    </row>
    <row r="5" customFormat="false" ht="15" hidden="false" customHeight="false" outlineLevel="0" collapsed="false">
      <c r="A5" s="16" t="n">
        <v>2</v>
      </c>
      <c r="B5" s="35" t="s">
        <v>217</v>
      </c>
      <c r="C5" s="16" t="s">
        <v>218</v>
      </c>
      <c r="D5" s="35" t="s">
        <v>219</v>
      </c>
    </row>
    <row r="6" customFormat="false" ht="15" hidden="false" customHeight="false" outlineLevel="0" collapsed="false">
      <c r="A6" s="16" t="n">
        <v>3</v>
      </c>
      <c r="B6" s="35" t="s">
        <v>220</v>
      </c>
      <c r="C6" s="16" t="s">
        <v>221</v>
      </c>
      <c r="D6" s="35" t="s">
        <v>222</v>
      </c>
    </row>
    <row r="7" customFormat="false" ht="15" hidden="false" customHeight="false" outlineLevel="0" collapsed="false">
      <c r="A7" s="16" t="n">
        <v>4</v>
      </c>
      <c r="B7" s="35" t="s">
        <v>223</v>
      </c>
      <c r="C7" s="16" t="s">
        <v>224</v>
      </c>
      <c r="D7" s="35" t="s">
        <v>225</v>
      </c>
    </row>
    <row r="8" customFormat="false" ht="15" hidden="false" customHeight="false" outlineLevel="0" collapsed="false">
      <c r="A8" s="16" t="n">
        <v>5</v>
      </c>
      <c r="B8" s="35" t="s">
        <v>226</v>
      </c>
      <c r="C8" s="16" t="s">
        <v>227</v>
      </c>
      <c r="D8" s="35" t="s">
        <v>228</v>
      </c>
    </row>
    <row r="9" customFormat="false" ht="15" hidden="false" customHeight="false" outlineLevel="0" collapsed="false">
      <c r="A9" s="16" t="n">
        <v>6</v>
      </c>
      <c r="B9" s="35" t="s">
        <v>229</v>
      </c>
      <c r="C9" s="16" t="s">
        <v>230</v>
      </c>
      <c r="D9" s="35" t="s">
        <v>231</v>
      </c>
    </row>
    <row r="10" customFormat="false" ht="15" hidden="false" customHeight="false" outlineLevel="0" collapsed="false">
      <c r="A10" s="16" t="n">
        <v>7</v>
      </c>
      <c r="B10" s="35" t="s">
        <v>232</v>
      </c>
      <c r="C10" s="16" t="s">
        <v>233</v>
      </c>
      <c r="D10" s="35" t="s">
        <v>234</v>
      </c>
    </row>
    <row r="11" customFormat="false" ht="15" hidden="false" customHeight="false" outlineLevel="0" collapsed="false">
      <c r="A11" s="16" t="n">
        <v>8</v>
      </c>
      <c r="B11" s="35" t="s">
        <v>235</v>
      </c>
      <c r="C11" s="16" t="s">
        <v>236</v>
      </c>
      <c r="D11" s="35" t="s">
        <v>237</v>
      </c>
    </row>
    <row r="12" customFormat="false" ht="15" hidden="false" customHeight="false" outlineLevel="0" collapsed="false">
      <c r="A12" s="16" t="n">
        <v>9</v>
      </c>
      <c r="B12" s="35" t="s">
        <v>238</v>
      </c>
      <c r="C12" s="16" t="s">
        <v>239</v>
      </c>
      <c r="D12" s="35" t="s">
        <v>240</v>
      </c>
    </row>
    <row r="13" customFormat="false" ht="15" hidden="false" customHeight="false" outlineLevel="0" collapsed="false">
      <c r="A13" s="16" t="n">
        <v>10</v>
      </c>
      <c r="B13" s="35" t="s">
        <v>241</v>
      </c>
      <c r="C13" s="16" t="s">
        <v>242</v>
      </c>
      <c r="D13" s="35" t="s">
        <v>240</v>
      </c>
    </row>
    <row r="14" customFormat="false" ht="15" hidden="false" customHeight="false" outlineLevel="0" collapsed="false">
      <c r="A14" s="16" t="n">
        <v>11</v>
      </c>
      <c r="B14" s="35" t="s">
        <v>243</v>
      </c>
      <c r="C14" s="16" t="s">
        <v>244</v>
      </c>
      <c r="D14" s="35" t="s">
        <v>245</v>
      </c>
    </row>
    <row r="15" customFormat="false" ht="15" hidden="false" customHeight="false" outlineLevel="0" collapsed="false">
      <c r="A15" s="16" t="n">
        <v>12</v>
      </c>
      <c r="B15" s="35" t="s">
        <v>246</v>
      </c>
      <c r="C15" s="16" t="s">
        <v>247</v>
      </c>
      <c r="D15" s="35" t="s">
        <v>248</v>
      </c>
    </row>
    <row r="16" customFormat="false" ht="15" hidden="false" customHeight="false" outlineLevel="0" collapsed="false">
      <c r="A16" s="16" t="n">
        <v>13</v>
      </c>
      <c r="B16" s="35" t="s">
        <v>249</v>
      </c>
      <c r="C16" s="16" t="s">
        <v>250</v>
      </c>
      <c r="D16" s="35" t="s">
        <v>248</v>
      </c>
    </row>
    <row r="17" customFormat="false" ht="15" hidden="false" customHeight="false" outlineLevel="0" collapsed="false">
      <c r="A17" s="16" t="n">
        <v>14</v>
      </c>
      <c r="B17" s="35" t="s">
        <v>251</v>
      </c>
      <c r="C17" s="16" t="s">
        <v>252</v>
      </c>
      <c r="D17" s="35" t="s">
        <v>248</v>
      </c>
    </row>
    <row r="18" customFormat="false" ht="15" hidden="false" customHeight="false" outlineLevel="0" collapsed="false">
      <c r="A18" s="16" t="n">
        <v>15</v>
      </c>
      <c r="B18" s="35" t="s">
        <v>253</v>
      </c>
      <c r="C18" s="16" t="s">
        <v>254</v>
      </c>
      <c r="D18" s="35" t="s">
        <v>248</v>
      </c>
    </row>
    <row r="19" customFormat="false" ht="15" hidden="false" customHeight="false" outlineLevel="0" collapsed="false">
      <c r="A19" s="16" t="n">
        <v>16</v>
      </c>
      <c r="B19" s="35" t="s">
        <v>255</v>
      </c>
      <c r="C19" s="16" t="s">
        <v>256</v>
      </c>
      <c r="D19" s="35" t="s">
        <v>248</v>
      </c>
    </row>
    <row r="20" customFormat="false" ht="15" hidden="false" customHeight="false" outlineLevel="0" collapsed="false">
      <c r="A20" s="16" t="n">
        <v>17</v>
      </c>
      <c r="B20" s="35" t="s">
        <v>257</v>
      </c>
      <c r="C20" s="16" t="s">
        <v>258</v>
      </c>
      <c r="D20" s="35" t="s">
        <v>259</v>
      </c>
    </row>
    <row r="21" customFormat="false" ht="15" hidden="false" customHeight="false" outlineLevel="0" collapsed="false">
      <c r="A21" s="16" t="n">
        <v>18</v>
      </c>
      <c r="B21" s="35" t="s">
        <v>260</v>
      </c>
      <c r="C21" s="16" t="s">
        <v>261</v>
      </c>
      <c r="D21" s="35" t="s">
        <v>259</v>
      </c>
    </row>
    <row r="22" customFormat="false" ht="15" hidden="false" customHeight="false" outlineLevel="0" collapsed="false">
      <c r="A22" s="16" t="n">
        <v>19</v>
      </c>
      <c r="B22" s="35" t="s">
        <v>262</v>
      </c>
      <c r="C22" s="16" t="s">
        <v>263</v>
      </c>
      <c r="D22" s="35" t="s">
        <v>264</v>
      </c>
    </row>
    <row r="23" customFormat="false" ht="15" hidden="false" customHeight="false" outlineLevel="0" collapsed="false">
      <c r="A23" s="16" t="n">
        <v>20</v>
      </c>
      <c r="B23" s="35" t="s">
        <v>265</v>
      </c>
      <c r="C23" s="16" t="s">
        <v>266</v>
      </c>
      <c r="D23" s="35" t="s">
        <v>267</v>
      </c>
    </row>
    <row r="24" customFormat="false" ht="15" hidden="false" customHeight="false" outlineLevel="0" collapsed="false">
      <c r="A24" s="16" t="n">
        <v>21</v>
      </c>
      <c r="B24" s="35" t="s">
        <v>268</v>
      </c>
      <c r="C24" s="16" t="s">
        <v>269</v>
      </c>
      <c r="D24" s="35" t="s">
        <v>267</v>
      </c>
    </row>
    <row r="25" customFormat="false" ht="15" hidden="false" customHeight="false" outlineLevel="0" collapsed="false">
      <c r="A25" s="16" t="n">
        <v>22</v>
      </c>
      <c r="B25" s="35" t="s">
        <v>270</v>
      </c>
      <c r="C25" s="16" t="s">
        <v>271</v>
      </c>
      <c r="D25" s="35" t="s">
        <v>267</v>
      </c>
    </row>
    <row r="26" customFormat="false" ht="15" hidden="false" customHeight="false" outlineLevel="0" collapsed="false">
      <c r="A26" s="16" t="n">
        <v>23</v>
      </c>
      <c r="B26" s="35" t="s">
        <v>272</v>
      </c>
      <c r="C26" s="16" t="s">
        <v>273</v>
      </c>
      <c r="D26" s="35" t="s">
        <v>267</v>
      </c>
    </row>
    <row r="27" customFormat="false" ht="15" hidden="false" customHeight="false" outlineLevel="0" collapsed="false">
      <c r="A27" s="16" t="n">
        <v>24</v>
      </c>
      <c r="B27" s="35" t="s">
        <v>274</v>
      </c>
      <c r="C27" s="16" t="s">
        <v>275</v>
      </c>
      <c r="D27" s="35" t="s">
        <v>276</v>
      </c>
    </row>
    <row r="28" customFormat="false" ht="15" hidden="false" customHeight="false" outlineLevel="0" collapsed="false">
      <c r="A28" s="16" t="n">
        <v>25</v>
      </c>
      <c r="B28" s="35" t="s">
        <v>277</v>
      </c>
      <c r="C28" s="16" t="s">
        <v>278</v>
      </c>
      <c r="D28" s="35" t="s">
        <v>267</v>
      </c>
    </row>
    <row r="29" customFormat="false" ht="15" hidden="false" customHeight="false" outlineLevel="0" collapsed="false">
      <c r="A29" s="16" t="n">
        <v>26</v>
      </c>
      <c r="B29" s="35" t="s">
        <v>279</v>
      </c>
      <c r="C29" s="16" t="s">
        <v>280</v>
      </c>
      <c r="D29" s="35" t="s">
        <v>281</v>
      </c>
    </row>
    <row r="30" customFormat="false" ht="15" hidden="false" customHeight="false" outlineLevel="0" collapsed="false">
      <c r="A30" s="16" t="n">
        <v>27</v>
      </c>
      <c r="B30" s="35" t="s">
        <v>282</v>
      </c>
      <c r="C30" s="16" t="s">
        <v>283</v>
      </c>
      <c r="D30" s="35" t="s">
        <v>267</v>
      </c>
    </row>
    <row r="31" customFormat="false" ht="15" hidden="false" customHeight="false" outlineLevel="0" collapsed="false">
      <c r="A31" s="16" t="n">
        <v>28</v>
      </c>
      <c r="B31" s="35" t="s">
        <v>284</v>
      </c>
      <c r="C31" s="16" t="s">
        <v>285</v>
      </c>
      <c r="D31" s="35" t="s">
        <v>267</v>
      </c>
    </row>
    <row r="32" customFormat="false" ht="15" hidden="false" customHeight="false" outlineLevel="0" collapsed="false">
      <c r="A32" s="16" t="n">
        <v>29</v>
      </c>
      <c r="B32" s="35" t="s">
        <v>286</v>
      </c>
      <c r="C32" s="16" t="s">
        <v>287</v>
      </c>
      <c r="D32" s="35" t="s">
        <v>288</v>
      </c>
    </row>
    <row r="33" customFormat="false" ht="15" hidden="false" customHeight="false" outlineLevel="0" collapsed="false">
      <c r="A33" s="16" t="n">
        <v>30</v>
      </c>
      <c r="B33" s="35" t="s">
        <v>289</v>
      </c>
      <c r="C33" s="16" t="s">
        <v>290</v>
      </c>
      <c r="D33" s="35" t="s">
        <v>291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6" t="s">
        <v>292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4" t="s">
        <v>25</v>
      </c>
      <c r="B3" s="4" t="s">
        <v>293</v>
      </c>
      <c r="C3" s="4" t="s">
        <v>294</v>
      </c>
      <c r="D3" s="4" t="s">
        <v>295</v>
      </c>
      <c r="E3" s="4" t="s">
        <v>296</v>
      </c>
      <c r="F3" s="4" t="s">
        <v>26</v>
      </c>
    </row>
    <row r="4" customFormat="false" ht="15" hidden="false" customHeight="false" outlineLevel="0" collapsed="false">
      <c r="A4" s="36" t="s">
        <v>119</v>
      </c>
      <c r="B4" s="37" t="n">
        <v>10</v>
      </c>
      <c r="C4" s="37" t="n">
        <v>10</v>
      </c>
      <c r="D4" s="38" t="s">
        <v>60</v>
      </c>
      <c r="E4" s="35" t="s">
        <v>297</v>
      </c>
      <c r="F4" s="35" t="s">
        <v>298</v>
      </c>
    </row>
    <row r="5" customFormat="false" ht="15" hidden="false" customHeight="false" outlineLevel="0" collapsed="false">
      <c r="A5" s="36" t="s">
        <v>299</v>
      </c>
      <c r="B5" s="37" t="n">
        <v>9</v>
      </c>
      <c r="C5" s="37" t="n">
        <v>9</v>
      </c>
      <c r="D5" s="38" t="s">
        <v>60</v>
      </c>
      <c r="E5" s="35" t="s">
        <v>297</v>
      </c>
      <c r="F5" s="35" t="s">
        <v>300</v>
      </c>
    </row>
    <row r="6" customFormat="false" ht="15" hidden="false" customHeight="false" outlineLevel="0" collapsed="false">
      <c r="A6" s="36" t="s">
        <v>121</v>
      </c>
      <c r="B6" s="37" t="n">
        <v>0</v>
      </c>
      <c r="C6" s="37" t="n">
        <v>0</v>
      </c>
      <c r="D6" s="38" t="s">
        <v>60</v>
      </c>
      <c r="E6" s="35" t="s">
        <v>297</v>
      </c>
      <c r="F6" s="35" t="s">
        <v>301</v>
      </c>
    </row>
    <row r="7" customFormat="false" ht="15" hidden="false" customHeight="false" outlineLevel="0" collapsed="false">
      <c r="A7" s="39" t="s">
        <v>122</v>
      </c>
      <c r="B7" s="40" t="n">
        <v>32150</v>
      </c>
      <c r="C7" s="40" t="n">
        <v>31150</v>
      </c>
      <c r="D7" s="41" t="s">
        <v>302</v>
      </c>
      <c r="E7" s="42" t="s">
        <v>297</v>
      </c>
      <c r="F7" s="42" t="s">
        <v>303</v>
      </c>
    </row>
    <row r="8" customFormat="false" ht="23.85" hidden="false" customHeight="false" outlineLevel="0" collapsed="false">
      <c r="A8" s="39" t="s">
        <v>123</v>
      </c>
      <c r="B8" s="40" t="n">
        <v>29070</v>
      </c>
      <c r="C8" s="40" t="n">
        <v>28170</v>
      </c>
      <c r="D8" s="41" t="s">
        <v>302</v>
      </c>
      <c r="E8" s="42" t="s">
        <v>297</v>
      </c>
      <c r="F8" s="42" t="s">
        <v>304</v>
      </c>
    </row>
    <row r="9" customFormat="false" ht="15" hidden="false" customHeight="false" outlineLevel="0" collapsed="false">
      <c r="A9" s="36" t="s">
        <v>124</v>
      </c>
      <c r="B9" s="43" t="n">
        <v>0.9</v>
      </c>
      <c r="C9" s="43" t="n">
        <v>0.9</v>
      </c>
      <c r="D9" s="38" t="s">
        <v>63</v>
      </c>
      <c r="E9" s="35" t="s">
        <v>297</v>
      </c>
      <c r="F9" s="35" t="s">
        <v>305</v>
      </c>
    </row>
    <row r="10" customFormat="false" ht="15" hidden="false" customHeight="false" outlineLevel="0" collapsed="false">
      <c r="A10" s="36" t="s">
        <v>125</v>
      </c>
      <c r="B10" s="43" t="n">
        <v>0.9042</v>
      </c>
      <c r="C10" s="43" t="n">
        <v>0.9042</v>
      </c>
      <c r="D10" s="38" t="s">
        <v>63</v>
      </c>
      <c r="E10" s="35" t="s">
        <v>297</v>
      </c>
      <c r="F10" s="35" t="s">
        <v>306</v>
      </c>
    </row>
    <row r="11" customFormat="false" ht="15" hidden="false" customHeight="false" outlineLevel="0" collapsed="false">
      <c r="A11" s="39" t="s">
        <v>126</v>
      </c>
      <c r="B11" s="9" t="n">
        <v>741600</v>
      </c>
      <c r="C11" s="9" t="n">
        <v>735300</v>
      </c>
      <c r="D11" s="41" t="s">
        <v>66</v>
      </c>
      <c r="E11" s="42" t="s">
        <v>297</v>
      </c>
      <c r="F11" s="42" t="s">
        <v>307</v>
      </c>
    </row>
    <row r="12" customFormat="false" ht="15" hidden="false" customHeight="false" outlineLevel="0" collapsed="false">
      <c r="A12" s="36" t="s">
        <v>308</v>
      </c>
      <c r="B12" s="17" t="n">
        <v>6650</v>
      </c>
      <c r="C12" s="17" t="n">
        <v>6650</v>
      </c>
      <c r="D12" s="38" t="s">
        <v>66</v>
      </c>
      <c r="E12" s="35" t="s">
        <v>297</v>
      </c>
      <c r="F12" s="35" t="s">
        <v>309</v>
      </c>
    </row>
    <row r="13" customFormat="false" ht="23.85" hidden="false" customHeight="false" outlineLevel="0" collapsed="false">
      <c r="A13" s="39" t="s">
        <v>28</v>
      </c>
      <c r="B13" s="9" t="n">
        <v>817200</v>
      </c>
      <c r="C13" s="9" t="n">
        <v>814500</v>
      </c>
      <c r="D13" s="41" t="s">
        <v>66</v>
      </c>
      <c r="E13" s="42" t="s">
        <v>8</v>
      </c>
      <c r="F13" s="42" t="s">
        <v>310</v>
      </c>
    </row>
    <row r="14" customFormat="false" ht="15" hidden="false" customHeight="false" outlineLevel="0" collapsed="false">
      <c r="A14" s="39" t="s">
        <v>39</v>
      </c>
      <c r="B14" s="9" t="n">
        <v>779840</v>
      </c>
      <c r="C14" s="9" t="n">
        <v>777275</v>
      </c>
      <c r="D14" s="41" t="s">
        <v>66</v>
      </c>
      <c r="E14" s="42" t="s">
        <v>311</v>
      </c>
      <c r="F14" s="42" t="s">
        <v>40</v>
      </c>
    </row>
    <row r="15" customFormat="false" ht="15" hidden="false" customHeight="false" outlineLevel="0" collapsed="false">
      <c r="A15" s="36" t="s">
        <v>70</v>
      </c>
      <c r="B15" s="17" t="n">
        <v>85964</v>
      </c>
      <c r="C15" s="17" t="n">
        <v>85964</v>
      </c>
      <c r="D15" s="38" t="s">
        <v>66</v>
      </c>
      <c r="E15" s="35" t="s">
        <v>64</v>
      </c>
      <c r="F15" s="35" t="s">
        <v>312</v>
      </c>
    </row>
    <row r="16" customFormat="false" ht="15" hidden="false" customHeight="false" outlineLevel="0" collapsed="false">
      <c r="A16" s="36" t="s">
        <v>71</v>
      </c>
      <c r="B16" s="17" t="n">
        <v>28655</v>
      </c>
      <c r="C16" s="17" t="n">
        <v>28655</v>
      </c>
      <c r="D16" s="38" t="s">
        <v>66</v>
      </c>
      <c r="E16" s="35" t="s">
        <v>64</v>
      </c>
      <c r="F16" s="35" t="s">
        <v>313</v>
      </c>
    </row>
    <row r="17" customFormat="false" ht="15" hidden="false" customHeight="false" outlineLevel="0" collapsed="false">
      <c r="A17" s="39" t="s">
        <v>314</v>
      </c>
      <c r="B17" s="9" t="n">
        <v>252632</v>
      </c>
      <c r="C17" s="9" t="n">
        <v>252555</v>
      </c>
      <c r="D17" s="41" t="s">
        <v>66</v>
      </c>
      <c r="E17" s="42" t="s">
        <v>311</v>
      </c>
      <c r="F17" s="42" t="s">
        <v>315</v>
      </c>
    </row>
    <row r="18" customFormat="false" ht="15" hidden="false" customHeight="false" outlineLevel="0" collapsed="false">
      <c r="A18" s="39" t="s">
        <v>42</v>
      </c>
      <c r="B18" s="9" t="n">
        <v>527208</v>
      </c>
      <c r="C18" s="9" t="n">
        <v>524720</v>
      </c>
      <c r="D18" s="41" t="s">
        <v>66</v>
      </c>
      <c r="E18" s="42" t="s">
        <v>311</v>
      </c>
      <c r="F18" s="42" t="s">
        <v>316</v>
      </c>
    </row>
    <row r="19" customFormat="false" ht="15" hidden="false" customHeight="false" outlineLevel="0" collapsed="false">
      <c r="A19" s="39" t="s">
        <v>45</v>
      </c>
      <c r="B19" s="9" t="n">
        <v>524208</v>
      </c>
      <c r="C19" s="9" t="n">
        <v>521720</v>
      </c>
      <c r="D19" s="41" t="s">
        <v>66</v>
      </c>
      <c r="E19" s="42" t="s">
        <v>311</v>
      </c>
      <c r="F19" s="42" t="s">
        <v>46</v>
      </c>
    </row>
    <row r="20" customFormat="false" ht="15" hidden="false" customHeight="false" outlineLevel="0" collapsed="false">
      <c r="A20" s="39" t="s">
        <v>34</v>
      </c>
      <c r="B20" s="44" t="n">
        <v>0.0725</v>
      </c>
      <c r="C20" s="44" t="n">
        <v>0.065</v>
      </c>
      <c r="D20" s="41" t="s">
        <v>63</v>
      </c>
      <c r="E20" s="42" t="s">
        <v>317</v>
      </c>
      <c r="F20" s="42" t="s">
        <v>318</v>
      </c>
    </row>
    <row r="21" customFormat="false" ht="15" hidden="false" customHeight="false" outlineLevel="0" collapsed="false">
      <c r="A21" s="39" t="s">
        <v>31</v>
      </c>
      <c r="B21" s="44" t="n">
        <v>0.07</v>
      </c>
      <c r="C21" s="44" t="n">
        <v>0.0675</v>
      </c>
      <c r="D21" s="41" t="s">
        <v>63</v>
      </c>
      <c r="E21" s="42" t="s">
        <v>317</v>
      </c>
      <c r="F21" s="42" t="s">
        <v>319</v>
      </c>
    </row>
    <row r="22" customFormat="false" ht="15" hidden="false" customHeight="false" outlineLevel="0" collapsed="false">
      <c r="A22" s="39" t="s">
        <v>48</v>
      </c>
      <c r="B22" s="9" t="n">
        <v>7531540</v>
      </c>
      <c r="C22" s="9" t="n">
        <v>7773626</v>
      </c>
      <c r="D22" s="41" t="s">
        <v>66</v>
      </c>
      <c r="E22" s="42" t="s">
        <v>311</v>
      </c>
      <c r="F22" s="42" t="s">
        <v>49</v>
      </c>
    </row>
    <row r="23" customFormat="false" ht="15" hidden="false" customHeight="false" outlineLevel="0" collapsed="false">
      <c r="A23" s="36" t="s">
        <v>81</v>
      </c>
      <c r="B23" s="43" t="n">
        <v>0.65</v>
      </c>
      <c r="C23" s="43" t="n">
        <v>0.65</v>
      </c>
      <c r="D23" s="38" t="s">
        <v>63</v>
      </c>
      <c r="E23" s="35" t="s">
        <v>64</v>
      </c>
      <c r="F23" s="35" t="s">
        <v>320</v>
      </c>
    </row>
    <row r="24" customFormat="false" ht="15" hidden="false" customHeight="false" outlineLevel="0" collapsed="false">
      <c r="A24" s="36" t="s">
        <v>82</v>
      </c>
      <c r="B24" s="43" t="n">
        <v>1.25</v>
      </c>
      <c r="C24" s="43" t="n">
        <v>1.25</v>
      </c>
      <c r="D24" s="38" t="s">
        <v>63</v>
      </c>
      <c r="E24" s="35" t="s">
        <v>64</v>
      </c>
      <c r="F24" s="35" t="s">
        <v>321</v>
      </c>
    </row>
    <row r="25" customFormat="false" ht="15" hidden="false" customHeight="false" outlineLevel="0" collapsed="false">
      <c r="A25" s="36" t="s">
        <v>83</v>
      </c>
      <c r="B25" s="43" t="n">
        <v>0.09</v>
      </c>
      <c r="C25" s="43" t="n">
        <v>0.09</v>
      </c>
      <c r="D25" s="38" t="s">
        <v>63</v>
      </c>
      <c r="E25" s="35" t="s">
        <v>64</v>
      </c>
      <c r="F25" s="35" t="s">
        <v>322</v>
      </c>
    </row>
    <row r="26" customFormat="false" ht="15" hidden="false" customHeight="false" outlineLevel="0" collapsed="false">
      <c r="A26" s="39" t="s">
        <v>51</v>
      </c>
      <c r="B26" s="9" t="n">
        <v>4895501</v>
      </c>
      <c r="C26" s="9" t="n">
        <v>5052857</v>
      </c>
      <c r="D26" s="41" t="s">
        <v>66</v>
      </c>
      <c r="E26" s="42" t="s">
        <v>311</v>
      </c>
      <c r="F26" s="42" t="s">
        <v>323</v>
      </c>
    </row>
    <row r="27" customFormat="false" ht="15" hidden="false" customHeight="false" outlineLevel="0" collapsed="false">
      <c r="A27" s="39" t="s">
        <v>54</v>
      </c>
      <c r="B27" s="9" t="n">
        <v>501546</v>
      </c>
      <c r="C27" s="9" t="n">
        <v>657328</v>
      </c>
      <c r="D27" s="41" t="s">
        <v>66</v>
      </c>
      <c r="E27" s="42" t="s">
        <v>311</v>
      </c>
      <c r="F27" s="42" t="s">
        <v>55</v>
      </c>
    </row>
    <row r="28" customFormat="false" ht="15" hidden="false" customHeight="false" outlineLevel="0" collapsed="false">
      <c r="A28" s="36" t="s">
        <v>324</v>
      </c>
      <c r="B28" s="17" t="n">
        <v>2000000</v>
      </c>
      <c r="C28" s="17" t="n">
        <v>2000000</v>
      </c>
      <c r="D28" s="38" t="s">
        <v>66</v>
      </c>
      <c r="E28" s="35" t="s">
        <v>325</v>
      </c>
      <c r="F28" s="35" t="s">
        <v>326</v>
      </c>
    </row>
    <row r="29" customFormat="false" ht="15" hidden="false" customHeight="false" outlineLevel="0" collapsed="false">
      <c r="A29" s="39" t="s">
        <v>327</v>
      </c>
      <c r="B29" s="45" t="s">
        <v>215</v>
      </c>
      <c r="C29" s="45" t="s">
        <v>328</v>
      </c>
      <c r="D29" s="41" t="s">
        <v>329</v>
      </c>
      <c r="E29" s="42" t="s">
        <v>297</v>
      </c>
      <c r="F29" s="42" t="s">
        <v>330</v>
      </c>
    </row>
    <row r="30" customFormat="false" ht="15" hidden="false" customHeight="false" outlineLevel="0" collapsed="false">
      <c r="A30" s="36" t="s">
        <v>331</v>
      </c>
      <c r="B30" s="17" t="n">
        <v>507593</v>
      </c>
      <c r="C30" s="17" t="n">
        <v>507593</v>
      </c>
      <c r="D30" s="38" t="s">
        <v>66</v>
      </c>
      <c r="E30" s="35" t="s">
        <v>332</v>
      </c>
      <c r="F30" s="35" t="s">
        <v>333</v>
      </c>
    </row>
    <row r="31" customFormat="false" ht="23.85" hidden="false" customHeight="false" outlineLevel="0" collapsed="false">
      <c r="A31" s="36" t="s">
        <v>334</v>
      </c>
      <c r="B31" s="37" t="n">
        <v>4</v>
      </c>
      <c r="C31" s="37" t="n">
        <v>4</v>
      </c>
      <c r="D31" s="38" t="s">
        <v>60</v>
      </c>
      <c r="E31" s="35" t="s">
        <v>335</v>
      </c>
      <c r="F31" s="35" t="s">
        <v>336</v>
      </c>
    </row>
    <row r="32" customFormat="false" ht="15" hidden="false" customHeight="false" outlineLevel="0" collapsed="false">
      <c r="A32" s="36" t="s">
        <v>337</v>
      </c>
      <c r="B32" s="37" t="n">
        <v>3</v>
      </c>
      <c r="C32" s="37" t="n">
        <v>3</v>
      </c>
      <c r="D32" s="38" t="s">
        <v>60</v>
      </c>
      <c r="E32" s="35" t="s">
        <v>297</v>
      </c>
      <c r="F32" s="35" t="s">
        <v>338</v>
      </c>
    </row>
    <row r="33" customFormat="false" ht="23.85" hidden="false" customHeight="false" outlineLevel="0" collapsed="false">
      <c r="A33" s="36" t="s">
        <v>339</v>
      </c>
      <c r="B33" s="37" t="n">
        <v>3</v>
      </c>
      <c r="C33" s="37" t="n">
        <v>3</v>
      </c>
      <c r="D33" s="38" t="s">
        <v>60</v>
      </c>
      <c r="E33" s="35" t="s">
        <v>335</v>
      </c>
      <c r="F33" s="35" t="s">
        <v>340</v>
      </c>
    </row>
    <row r="34" customFormat="false" ht="15" hidden="false" customHeight="false" outlineLevel="0" collapsed="false">
      <c r="A34" s="36" t="s">
        <v>341</v>
      </c>
      <c r="B34" s="37" t="n">
        <v>3</v>
      </c>
      <c r="C34" s="37" t="n">
        <v>3</v>
      </c>
      <c r="D34" s="38" t="s">
        <v>60</v>
      </c>
      <c r="E34" s="35" t="s">
        <v>297</v>
      </c>
      <c r="F34" s="35" t="s">
        <v>342</v>
      </c>
    </row>
    <row r="35" customFormat="false" ht="23.85" hidden="false" customHeight="false" outlineLevel="0" collapsed="false">
      <c r="A35" s="36" t="s">
        <v>343</v>
      </c>
      <c r="B35" s="37" t="n">
        <v>3</v>
      </c>
      <c r="C35" s="37" t="n">
        <v>3</v>
      </c>
      <c r="D35" s="38" t="s">
        <v>60</v>
      </c>
      <c r="E35" s="35" t="s">
        <v>335</v>
      </c>
      <c r="F35" s="35" t="s">
        <v>344</v>
      </c>
    </row>
    <row r="36" customFormat="false" ht="15" hidden="false" customHeight="false" outlineLevel="0" collapsed="false">
      <c r="A36" s="36" t="s">
        <v>345</v>
      </c>
      <c r="B36" s="37" t="n">
        <v>3</v>
      </c>
      <c r="C36" s="37" t="n">
        <v>3</v>
      </c>
      <c r="D36" s="38" t="s">
        <v>60</v>
      </c>
      <c r="E36" s="35" t="s">
        <v>297</v>
      </c>
      <c r="F36" s="35" t="s">
        <v>346</v>
      </c>
    </row>
    <row r="37" customFormat="false" ht="15" hidden="false" customHeight="false" outlineLevel="0" collapsed="false">
      <c r="A37" s="36" t="s">
        <v>347</v>
      </c>
      <c r="B37" s="16" t="s">
        <v>348</v>
      </c>
      <c r="C37" s="16" t="s">
        <v>348</v>
      </c>
      <c r="D37" s="38" t="s">
        <v>349</v>
      </c>
      <c r="E37" s="35" t="s">
        <v>350</v>
      </c>
      <c r="F37" s="35" t="s">
        <v>351</v>
      </c>
    </row>
    <row r="38" customFormat="false" ht="15" hidden="false" customHeight="false" outlineLevel="0" collapsed="false">
      <c r="A38" s="36" t="s">
        <v>352</v>
      </c>
      <c r="B38" s="16" t="s">
        <v>353</v>
      </c>
      <c r="C38" s="16" t="s">
        <v>353</v>
      </c>
      <c r="D38" s="38" t="s">
        <v>349</v>
      </c>
      <c r="E38" s="35" t="s">
        <v>297</v>
      </c>
      <c r="F38" s="35" t="s">
        <v>354</v>
      </c>
    </row>
    <row r="39" customFormat="false" ht="23.85" hidden="false" customHeight="false" outlineLevel="0" collapsed="false">
      <c r="A39" s="36" t="s">
        <v>355</v>
      </c>
      <c r="B39" s="16" t="s">
        <v>353</v>
      </c>
      <c r="C39" s="16" t="s">
        <v>353</v>
      </c>
      <c r="D39" s="38" t="s">
        <v>349</v>
      </c>
      <c r="E39" s="35" t="s">
        <v>356</v>
      </c>
      <c r="F39" s="35" t="s">
        <v>357</v>
      </c>
    </row>
    <row r="40" customFormat="false" ht="15" hidden="false" customHeight="false" outlineLevel="0" collapsed="false">
      <c r="A40" s="36" t="s">
        <v>358</v>
      </c>
      <c r="B40" s="16" t="s">
        <v>353</v>
      </c>
      <c r="C40" s="16" t="s">
        <v>353</v>
      </c>
      <c r="D40" s="38" t="s">
        <v>349</v>
      </c>
      <c r="E40" s="35" t="s">
        <v>332</v>
      </c>
      <c r="F40" s="35" t="s">
        <v>359</v>
      </c>
    </row>
    <row r="41" customFormat="false" ht="23.85" hidden="false" customHeight="false" outlineLevel="0" collapsed="false">
      <c r="A41" s="36" t="s">
        <v>360</v>
      </c>
      <c r="B41" s="16" t="s">
        <v>353</v>
      </c>
      <c r="C41" s="16" t="s">
        <v>353</v>
      </c>
      <c r="D41" s="38" t="s">
        <v>349</v>
      </c>
      <c r="E41" s="35" t="s">
        <v>361</v>
      </c>
      <c r="F41" s="35" t="s">
        <v>362</v>
      </c>
    </row>
    <row r="42" customFormat="false" ht="15" hidden="false" customHeight="false" outlineLevel="0" collapsed="false">
      <c r="A42" s="36" t="s">
        <v>363</v>
      </c>
      <c r="B42" s="16" t="s">
        <v>353</v>
      </c>
      <c r="C42" s="16" t="s">
        <v>353</v>
      </c>
      <c r="D42" s="38" t="s">
        <v>349</v>
      </c>
      <c r="E42" s="35" t="s">
        <v>364</v>
      </c>
      <c r="F42" s="35" t="s">
        <v>365</v>
      </c>
    </row>
    <row r="43" customFormat="false" ht="23.85" hidden="false" customHeight="false" outlineLevel="0" collapsed="false">
      <c r="A43" s="36" t="s">
        <v>366</v>
      </c>
      <c r="B43" s="16" t="s">
        <v>353</v>
      </c>
      <c r="C43" s="16" t="s">
        <v>353</v>
      </c>
      <c r="D43" s="38" t="s">
        <v>349</v>
      </c>
      <c r="E43" s="35" t="s">
        <v>367</v>
      </c>
      <c r="F43" s="35" t="s">
        <v>368</v>
      </c>
    </row>
    <row r="44" customFormat="false" ht="15" hidden="false" customHeight="false" outlineLevel="0" collapsed="false">
      <c r="A44" s="36" t="s">
        <v>369</v>
      </c>
      <c r="B44" s="16" t="s">
        <v>353</v>
      </c>
      <c r="C44" s="16" t="s">
        <v>353</v>
      </c>
      <c r="D44" s="38" t="s">
        <v>349</v>
      </c>
      <c r="E44" s="35" t="s">
        <v>311</v>
      </c>
      <c r="F44" s="35" t="s">
        <v>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2026-09-07T13:43:11Z</dcterms:created>
  <dc:creator>openpyxl</dc:creator>
  <dc:description/>
  <dc:language>en-US</dc:language>
  <cp:lastModifiedBy/>
  <dcterms:modified xsi:type="dcterms:W3CDTF">2026-09-07T14:06:52Z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