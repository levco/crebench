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puts" sheetId="2" state="visible" r:id="rId4"/>
    <sheet name="RentRoll" sheetId="3" state="visible" r:id="rId5"/>
    <sheet name="UW" sheetId="4" state="visible" r:id="rId6"/>
    <sheet name="Debt" sheetId="5" state="visible" r:id="rId7"/>
    <sheet name="Sensitivity" sheetId="6" state="visible" r:id="rId8"/>
    <sheet name="Historical" sheetId="7" state="visible" r:id="rId9"/>
    <sheet name="Sources" sheetId="8" state="visible" r:id="rId10"/>
    <sheet name="Field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<sst xmlns="http://schemas.openxmlformats.org/spreadsheetml/2006/main" count="554" uniqueCount="350">
  <si>
    <t xml:space="preserve">Maple Crossing — Underwriting Workbook</t>
  </si>
  <si>
    <t xml:space="preserve">Source packet:</t>
  </si>
  <si>
    <t xml:space="preserve">CRE Bench — original fictional evaluation material (9 files)</t>
  </si>
  <si>
    <t xml:space="preserve">Valuation date:</t>
  </si>
  <si>
    <t xml:space="preserve">2026-08-31</t>
  </si>
  <si>
    <t xml:space="preserve">Prepared per:</t>
  </si>
  <si>
    <t xml:space="preserve">underwriting-instructions.pdf</t>
  </si>
  <si>
    <t xml:space="preserve">Input cells (user-editable)</t>
  </si>
  <si>
    <t xml:space="preserve">Field</t>
  </si>
  <si>
    <t xml:space="preserve">Location</t>
  </si>
  <si>
    <t xml:space="preserve">Purpose</t>
  </si>
  <si>
    <t xml:space="preserve">gross_potential_rent</t>
  </si>
  <si>
    <t xml:space="preserve">Inputs!B7</t>
  </si>
  <si>
    <t xml:space="preserve">All-suite scheduled monthly rent × 12, per certified roll (Suite 001 pre-amendment)</t>
  </si>
  <si>
    <t xml:space="preserve">cap_rate</t>
  </si>
  <si>
    <t xml:space="preserve">Inputs!B22</t>
  </si>
  <si>
    <t xml:space="preserve">Direct cap rate applied to NOI before reserves</t>
  </si>
  <si>
    <t xml:space="preserve">sizing_rate</t>
  </si>
  <si>
    <t xml:space="preserve">Inputs!B27</t>
  </si>
  <si>
    <t xml:space="preserve">Loan sizing rate = MAX(note rate, floor)</t>
  </si>
  <si>
    <t xml:space="preserve">Output cells (formula-driven)</t>
  </si>
  <si>
    <t xml:space="preserve">Definition</t>
  </si>
  <si>
    <t xml:space="preserve">uw_egi</t>
  </si>
  <si>
    <t xml:space="preserve">UW!B10</t>
  </si>
  <si>
    <t xml:space="preserve">GPR × (1 − economic loss) + other income</t>
  </si>
  <si>
    <t xml:space="preserve">uw_noi</t>
  </si>
  <si>
    <t xml:space="preserve">UW!B22</t>
  </si>
  <si>
    <t xml:space="preserve">EGI − operating expenses (before replacement reserves)</t>
  </si>
  <si>
    <t xml:space="preserve">uw_ncf</t>
  </si>
  <si>
    <t xml:space="preserve">UW!B25</t>
  </si>
  <si>
    <t xml:space="preserve">NOI − replacement reserves</t>
  </si>
  <si>
    <t xml:space="preserve">capitalization_value</t>
  </si>
  <si>
    <t xml:space="preserve">UW!B32</t>
  </si>
  <si>
    <t xml:space="preserve">UW NOI ÷ cap rate</t>
  </si>
  <si>
    <t xml:space="preserve">maximum_loan</t>
  </si>
  <si>
    <t xml:space="preserve">Debt!B24</t>
  </si>
  <si>
    <t xml:space="preserve">MIN(LTV, DSCR, Debt Yield constraints)</t>
  </si>
  <si>
    <t xml:space="preserve">net_cash_out</t>
  </si>
  <si>
    <t xml:space="preserve">Debt!B32</t>
  </si>
  <si>
    <t xml:space="preserve">Maximum loan − payoff − origination fee − closing costs</t>
  </si>
  <si>
    <t xml:space="preserve">Sheet map</t>
  </si>
  <si>
    <t xml:space="preserve">Inputs</t>
  </si>
  <si>
    <t xml:space="preserve">All model assumptions (yellow = editable)</t>
  </si>
  <si>
    <t xml:space="preserve">RentRoll</t>
  </si>
  <si>
    <t xml:space="preserve">Certified rent roll as of 2026-08-31 with derived stats</t>
  </si>
  <si>
    <t xml:space="preserve">UW</t>
  </si>
  <si>
    <t xml:space="preserve">Underwritten income / expense / NOI / NCF</t>
  </si>
  <si>
    <t xml:space="preserve">Debt</t>
  </si>
  <si>
    <t xml:space="preserve">Debt sizing across LTV / DSCR / debt yield and sources &amp; uses</t>
  </si>
  <si>
    <t xml:space="preserve">Sensitivity</t>
  </si>
  <si>
    <t xml:space="preserve">Cap rate × sizing rate sensitivity on value &amp; max loan</t>
  </si>
  <si>
    <t xml:space="preserve">Historical</t>
  </si>
  <si>
    <t xml:space="preserve">T12 operating statement vs. underwriting comparison</t>
  </si>
  <si>
    <t xml:space="preserve">Sources</t>
  </si>
  <si>
    <t xml:space="preserve">Source register — every input traced to filename and location</t>
  </si>
  <si>
    <t xml:space="preserve">Fields</t>
  </si>
  <si>
    <t xml:space="preserve">Reported named fields with values, units, and evidence</t>
  </si>
  <si>
    <t xml:space="preserve">Underwriting Inputs</t>
  </si>
  <si>
    <t xml:space="preserve">INCOME</t>
  </si>
  <si>
    <t xml:space="preserve">Suite count (all)</t>
  </si>
  <si>
    <t xml:space="preserve">count</t>
  </si>
  <si>
    <t xml:space="preserve">Economic loss</t>
  </si>
  <si>
    <t xml:space="preserve">ratio</t>
  </si>
  <si>
    <t xml:space="preserve">Other income per suite (annual)</t>
  </si>
  <si>
    <t xml:space="preserve">USD</t>
  </si>
  <si>
    <t xml:space="preserve">gross_potential_rent (annual)</t>
  </si>
  <si>
    <t xml:space="preserve">certified roll ×12, S001 pre-amendment</t>
  </si>
  <si>
    <t xml:space="preserve">EXPENSES</t>
  </si>
  <si>
    <t xml:space="preserve">uw_tax</t>
  </si>
  <si>
    <t xml:space="preserve">uw_insurance</t>
  </si>
  <si>
    <t xml:space="preserve">uw_other_operating_expenses</t>
  </si>
  <si>
    <t xml:space="preserve">management_fee_pct</t>
  </si>
  <si>
    <t xml:space="preserve">replacement_reserve_per_suite</t>
  </si>
  <si>
    <t xml:space="preserve">VALUATION &amp; DEBT</t>
  </si>
  <si>
    <t xml:space="preserve">note_rate</t>
  </si>
  <si>
    <t xml:space="preserve">floor_rate</t>
  </si>
  <si>
    <t xml:space="preserve">ltv_limit</t>
  </si>
  <si>
    <t xml:space="preserve">dscr_limit</t>
  </si>
  <si>
    <t xml:space="preserve">debt_yield_limit</t>
  </si>
  <si>
    <t xml:space="preserve">MAX(note_rate, floor_rate)</t>
  </si>
  <si>
    <t xml:space="preserve">amortization_years</t>
  </si>
  <si>
    <t xml:space="preserve">years</t>
  </si>
  <si>
    <t xml:space="preserve">origination_fee_pct</t>
  </si>
  <si>
    <t xml:space="preserve">closing_costs</t>
  </si>
  <si>
    <t xml:space="preserve">existing_payoff</t>
  </si>
  <si>
    <t xml:space="preserve">Certified Rent Roll — as of 2026-08-31</t>
  </si>
  <si>
    <t xml:space="preserve">Source: rent-roll-certified.xlsx (property manager certified). Suite 001 monthly rent shown at certified value $6,650 (post-amendment).</t>
  </si>
  <si>
    <t xml:space="preserve">Suite</t>
  </si>
  <si>
    <t xml:space="preserve">Unit type</t>
  </si>
  <si>
    <t xml:space="preserve">Type group</t>
  </si>
  <si>
    <t xml:space="preserve">Area SF</t>
  </si>
  <si>
    <t xml:space="preserve">Possession</t>
  </si>
  <si>
    <t xml:space="preserve">Monthly rent</t>
  </si>
  <si>
    <t xml:space="preserve">Lease expiry</t>
  </si>
  <si>
    <t xml:space="preserve">001</t>
  </si>
  <si>
    <t xml:space="preserve">Small suite</t>
  </si>
  <si>
    <t xml:space="preserve">A</t>
  </si>
  <si>
    <t xml:space="preserve">active</t>
  </si>
  <si>
    <t xml:space="preserve">2029-08-31</t>
  </si>
  <si>
    <t xml:space="preserve">002</t>
  </si>
  <si>
    <t xml:space="preserve">Standard suite</t>
  </si>
  <si>
    <t xml:space="preserve">B</t>
  </si>
  <si>
    <t xml:space="preserve">003</t>
  </si>
  <si>
    <t xml:space="preserve">Large suite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</si>
  <si>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</si>
  <si>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</si>
  <si>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</si>
  <si>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</si>
  <si>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</si>
  <si>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</si>
  <si>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</si>
  <si>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</si>
  <si>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vacant</t>
  </si>
  <si>
    <t xml:space="preserve">TOTALS / DERIVED</t>
  </si>
  <si>
    <t xml:space="preserve">total_units</t>
  </si>
  <si>
    <t xml:space="preserve">occupied_units (active)</t>
  </si>
  <si>
    <t xml:space="preserve">pending_units</t>
  </si>
  <si>
    <t xml:space="preserve">total_area_sf</t>
  </si>
  <si>
    <t xml:space="preserve">occupied_area_sf</t>
  </si>
  <si>
    <t xml:space="preserve">unit_occupancy</t>
  </si>
  <si>
    <t xml:space="preserve">area_occupancy</t>
  </si>
  <si>
    <t xml:space="preserve">annual_in_place_rent</t>
  </si>
  <si>
    <t xml:space="preserve">TYPE MAPPING (per manager cover)</t>
  </si>
  <si>
    <t xml:space="preserve">Type</t>
  </si>
  <si>
    <t xml:space="preserve">Units</t>
  </si>
  <si>
    <t xml:space="preserve">Occupied</t>
  </si>
  <si>
    <t xml:space="preserve">A (Small)</t>
  </si>
  <si>
    <t xml:space="preserve">B (Standard)</t>
  </si>
  <si>
    <t xml:space="preserve">C (Large)</t>
  </si>
  <si>
    <t xml:space="preserve">GPR RECONCILIATION</t>
  </si>
  <si>
    <t xml:space="preserve">All-suite monthly rent (certified)</t>
  </si>
  <si>
    <t xml:space="preserve">Less: Suite 001 amendment ($350/mo)</t>
  </si>
  <si>
    <t xml:space="preserve">Adjusted monthly (pre-amendment S001)</t>
  </si>
  <si>
    <t xml:space="preserve">GPR annual (×12)</t>
  </si>
  <si>
    <t xml:space="preserve">Underwritten Cash Flow</t>
  </si>
  <si>
    <t xml:space="preserve">Per underwriting-instructions.pdf — Suite 001 rent pre-amendment; 5% economic loss; $350/suite other income.</t>
  </si>
  <si>
    <t xml:space="preserve">economic_loss (%)</t>
  </si>
  <si>
    <t xml:space="preserve">effective_rent</t>
  </si>
  <si>
    <t xml:space="preserve">other_income (annual, $350 × suites)</t>
  </si>
  <si>
    <t xml:space="preserve">management_fee (3% of EGI)</t>
  </si>
  <si>
    <t xml:space="preserve">uw_operating_expenses (total)</t>
  </si>
  <si>
    <t xml:space="preserve">NOI &amp; NCF</t>
  </si>
  <si>
    <t xml:space="preserve">uw_noi (before reserves)</t>
  </si>
  <si>
    <t xml:space="preserve">replacement_reserves ($300/suite)</t>
  </si>
  <si>
    <t xml:space="preserve">VALUATION</t>
  </si>
  <si>
    <t xml:space="preserve">NOI (before reserves) used for cap</t>
  </si>
  <si>
    <t xml:space="preserve">Debt Sizing &amp; Sources / Uses</t>
  </si>
  <si>
    <t xml:space="preserve">Sized on greater of note rate and floor per instructions; DSCR &amp; DY on NCF after reserves.</t>
  </si>
  <si>
    <t xml:space="preserve">ASSUMPTIONS</t>
  </si>
  <si>
    <t xml:space="preserve">monthly_rate</t>
  </si>
  <si>
    <t xml:space="preserve">n_months</t>
  </si>
  <si>
    <t xml:space="preserve">PMT per $1 loan (monthly)</t>
  </si>
  <si>
    <t xml:space="preserve">Annual DS per $1 loan</t>
  </si>
  <si>
    <t xml:space="preserve">CONSTRAINTS</t>
  </si>
  <si>
    <t xml:space="preserve">Loan by LTV = ltv × value</t>
  </si>
  <si>
    <t xml:space="preserve">Loan by DSCR = (NCF / dscr) / annual DS per $</t>
  </si>
  <si>
    <t xml:space="preserve">Loan by DY = NCF / debt yield</t>
  </si>
  <si>
    <t xml:space="preserve">Binding constraint</t>
  </si>
  <si>
    <t xml:space="preserve">SOURCES &amp; USES (net cash-out)</t>
  </si>
  <si>
    <t xml:space="preserve">origination_fee (1% of loan)</t>
  </si>
  <si>
    <t xml:space="preserve">Total uses</t>
  </si>
  <si>
    <t xml:space="preserve">net_cash_out (negative = additional equity)</t>
  </si>
  <si>
    <t xml:space="preserve">IMPLIED METRICS AT MAX LOAN</t>
  </si>
  <si>
    <t xml:space="preserve">LTV realized</t>
  </si>
  <si>
    <t xml:space="preserve">Annual DS at sizing rate</t>
  </si>
  <si>
    <t xml:space="preserve">DSCR realized (on NCF)</t>
  </si>
  <si>
    <t xml:space="preserve">Debt yield realized (on NCF)</t>
  </si>
  <si>
    <t xml:space="preserve">Sensitivity — Cap Rate × Sizing Rate</t>
  </si>
  <si>
    <t xml:space="preserve">Table A: Capitalization value = UW NOI / cap_rate. Table B: Maximum loan by binding constraint at given cap and sizing rate.</t>
  </si>
  <si>
    <t xml:space="preserve">Table A — Capitalization value at NOI</t>
  </si>
  <si>
    <t xml:space="preserve">Table B — Maximum loan (LTV @ base 65%, DSCR @1.25, DY @9%)</t>
  </si>
  <si>
    <t xml:space="preserve">cap_rate ↓</t>
  </si>
  <si>
    <t xml:space="preserve">value</t>
  </si>
  <si>
    <t xml:space="preserve">sizing_rate ↓  /  cap_rate →</t>
  </si>
  <si>
    <t xml:space="preserve">Highlighted cells = base case (cap 6.75%, sizing rate 6.50%).</t>
  </si>
  <si>
    <t xml:space="preserve">Historical T12 vs Underwriting</t>
  </si>
  <si>
    <t xml:space="preserve">T12 period: 2025-09-01 through 2026-08-31 (source: operating-statement.pdf).</t>
  </si>
  <si>
    <t xml:space="preserve">Historical NOI, underwritten NOI, and NCF have different definitions and are labeled distinctly.</t>
  </si>
  <si>
    <t xml:space="preserve">Line item</t>
  </si>
  <si>
    <t xml:space="preserve">T12 Actual</t>
  </si>
  <si>
    <t xml:space="preserve">Underwritten</t>
  </si>
  <si>
    <t xml:space="preserve">Delta / Note</t>
  </si>
  <si>
    <t xml:space="preserve">Rental &amp; ancillary collections</t>
  </si>
  <si>
    <t xml:space="preserve">UW GPR pre-loss/other; not directly comparable</t>
  </si>
  <si>
    <t xml:space="preserve">Economic loss (UW only)</t>
  </si>
  <si>
    <t xml:space="preserve">Applied to UW GPR at 5%</t>
  </si>
  <si>
    <t xml:space="preserve">Other income (UW only, $350/suite)</t>
  </si>
  <si>
    <t xml:space="preserve">Instructions</t>
  </si>
  <si>
    <t xml:space="preserve">Effective / Underwritten EGI</t>
  </si>
  <si>
    <t xml:space="preserve">Historical shown as collections; UW = GPR×(1−loss)+OI</t>
  </si>
  <si>
    <t xml:space="preserve">Real estate tax</t>
  </si>
  <si>
    <t xml:space="preserve">Same source figure</t>
  </si>
  <si>
    <t xml:space="preserve">Insurance expense</t>
  </si>
  <si>
    <t xml:space="preserve">Other recurring operating expenses</t>
  </si>
  <si>
    <t xml:space="preserve">Management fee</t>
  </si>
  <si>
    <t xml:space="preserve">Not in T12 ledger; underwritten at 3% of EGI</t>
  </si>
  <si>
    <t xml:space="preserve">Roof replacement (capex)</t>
  </si>
  <si>
    <t xml:space="preserve">Capital improvement; not in recurring OpEx per T12</t>
  </si>
  <si>
    <t xml:space="preserve">Reported / Underwritten NOI</t>
  </si>
  <si>
    <t xml:space="preserve">T12 reported NOI vs UW NOI (before reserves)</t>
  </si>
  <si>
    <t xml:space="preserve">Replacement reserves</t>
  </si>
  <si>
    <t xml:space="preserve">UW only ($300/suite)</t>
  </si>
  <si>
    <t xml:space="preserve">Underwritten NCF</t>
  </si>
  <si>
    <t xml:space="preserve">For DSCR &amp; debt yield sizing</t>
  </si>
  <si>
    <t xml:space="preserve">Source Register</t>
  </si>
  <si>
    <t xml:space="preserve">#</t>
  </si>
  <si>
    <t xml:space="preserve">Field / Assumption</t>
  </si>
  <si>
    <t xml:space="preserve">Value</t>
  </si>
  <si>
    <t xml:space="preserve">Evidence (file — page/cell)</t>
  </si>
  <si>
    <t xml:space="preserve">Certified rent roll (as-of date)</t>
  </si>
  <si>
    <t xml:space="preserve">rent-roll-certified.xlsx — Sheet Rent Roll, B2</t>
  </si>
  <si>
    <t xml:space="preserve">Certified roll suite count / status</t>
  </si>
  <si>
    <t xml:space="preserve">10 total; 9 active, 1 vacant</t>
  </si>
  <si>
    <t xml:space="preserve">rent-roll-certified.xlsx — Rent Roll, A5:E14</t>
  </si>
  <si>
    <t xml:space="preserve">Suite 001 monthly rent (post-amendment)</t>
  </si>
  <si>
    <t xml:space="preserve">$6,650</t>
  </si>
  <si>
    <t xml:space="preserve">rent-roll-certified.xlsx — E5</t>
  </si>
  <si>
    <t xml:space="preserve">Suite 001 amendment (+$350/mo, eff. 2026-08-01)</t>
  </si>
  <si>
    <t xml:space="preserve">+$350</t>
  </si>
  <si>
    <t xml:space="preserve">lease-correspondence.pdf — page 1</t>
  </si>
  <si>
    <t xml:space="preserve">Suite 001 executed base rent (pre-amendment)</t>
  </si>
  <si>
    <t xml:space="preserve">$6,650 (per lease excerpt)</t>
  </si>
  <si>
    <t xml:space="preserve">lease-001.pdf — page 1</t>
  </si>
  <si>
    <t xml:space="preserve">Archive roll (2026-06-30) Suite 001 rent</t>
  </si>
  <si>
    <t xml:space="preserve">$6,575</t>
  </si>
  <si>
    <t xml:space="preserve">rent-roll-archive.xlsx — E5 (superseded by certified roll)</t>
  </si>
  <si>
    <t xml:space="preserve">Type mapping (A=Small, B=Standard, C=Large)</t>
  </si>
  <si>
    <t xml:space="preserve">Manager methodology</t>
  </si>
  <si>
    <t xml:space="preserve">manager-cover.pdf — page 1</t>
  </si>
  <si>
    <t xml:space="preserve">Manager headline occupancy claim</t>
  </si>
  <si>
    <t xml:space="preserve">9 of 10 (occupied + pending as leased)</t>
  </si>
  <si>
    <t xml:space="preserve">T12 collections</t>
  </si>
  <si>
    <t xml:space="preserve">$736,830</t>
  </si>
  <si>
    <t xml:space="preserve">operating-statement.pdf — page 1 (table)</t>
  </si>
  <si>
    <t xml:space="preserve">T12 real estate tax</t>
  </si>
  <si>
    <t xml:space="preserve">$85,964</t>
  </si>
  <si>
    <t xml:space="preserve">operating-statement.pdf — page 1</t>
  </si>
  <si>
    <t xml:space="preserve">T12 insurance expense</t>
  </si>
  <si>
    <t xml:space="preserve">$28,655</t>
  </si>
  <si>
    <t xml:space="preserve">T12 other recurring opex</t>
  </si>
  <si>
    <t xml:space="preserve">$114,618</t>
  </si>
  <si>
    <t xml:space="preserve">T12 reported NOI</t>
  </si>
  <si>
    <t xml:space="preserve">$507,593</t>
  </si>
  <si>
    <t xml:space="preserve">Roof replacement booked in repairs</t>
  </si>
  <si>
    <t xml:space="preserve">$0 (classified as capex)</t>
  </si>
  <si>
    <t xml:space="preserve">Insurance policy aggregate limit</t>
  </si>
  <si>
    <t xml:space="preserve">$2,000,000 (GL coverage limit — not an expense)</t>
  </si>
  <si>
    <t xml:space="preserve">insurance.pdf — page 1</t>
  </si>
  <si>
    <t xml:space="preserve">Insurance policy period</t>
  </si>
  <si>
    <t xml:space="preserve">2026-07-01 to 2027-06-30</t>
  </si>
  <si>
    <t xml:space="preserve">UW GPR method</t>
  </si>
  <si>
    <t xml:space="preserve">All-suite certified ×12, S001 pre-amendment</t>
  </si>
  <si>
    <t xml:space="preserve">underwriting-instructions.pdf — page 1</t>
  </si>
  <si>
    <t xml:space="preserve">UW economic loss</t>
  </si>
  <si>
    <t xml:space="preserve">5%</t>
  </si>
  <si>
    <t xml:space="preserve">UW other income</t>
  </si>
  <si>
    <t xml:space="preserve">$350/suite/year</t>
  </si>
  <si>
    <t xml:space="preserve">UW management fee</t>
  </si>
  <si>
    <t xml:space="preserve">3% of EGI</t>
  </si>
  <si>
    <t xml:space="preserve">UW replacement reserve</t>
  </si>
  <si>
    <t xml:space="preserve">$300/suite/year</t>
  </si>
  <si>
    <t xml:space="preserve">Cap rate</t>
  </si>
  <si>
    <t xml:space="preserve">6.7500%</t>
  </si>
  <si>
    <t xml:space="preserve">LTV / DSCR / DY limits</t>
  </si>
  <si>
    <t xml:space="preserve">65% / 1.25× / 9.0%</t>
  </si>
  <si>
    <t xml:space="preserve">Note rate / Floor rate</t>
  </si>
  <si>
    <t xml:space="preserve">6.5000% / 6.0000%</t>
  </si>
  <si>
    <t xml:space="preserve">Sizing on greater of note &amp; floor</t>
  </si>
  <si>
    <t xml:space="preserve">Explicit</t>
  </si>
  <si>
    <t xml:space="preserve">Amortization</t>
  </si>
  <si>
    <t xml:space="preserve">30 years, monthly</t>
  </si>
  <si>
    <t xml:space="preserve">Origination fee / Closing costs / Payoff</t>
  </si>
  <si>
    <t xml:space="preserve">1% / $45,000 / $4,300,000</t>
  </si>
  <si>
    <t xml:space="preserve">Diligence status — legal/env/PCA/title</t>
  </si>
  <si>
    <t xml:space="preserve">Pending, no findings</t>
  </si>
  <si>
    <t xml:space="preserve">diligence-status.pdf — page 1</t>
  </si>
  <si>
    <t xml:space="preserve">Reported Named Fields — Values, Units, Evidence</t>
  </si>
  <si>
    <t xml:space="preserve">Unit</t>
  </si>
  <si>
    <t xml:space="preserve">Evidence</t>
  </si>
  <si>
    <t xml:space="preserve">rent-roll-certified.xlsx</t>
  </si>
  <si>
    <t xml:space="preserve">Rent Roll A5:A14</t>
  </si>
  <si>
    <t xml:space="preserve">occupied_units</t>
  </si>
  <si>
    <t xml:space="preserve">Rent Roll D5:D14 (=active)</t>
  </si>
  <si>
    <t xml:space="preserve">no "pending" status present on roll</t>
  </si>
  <si>
    <t xml:space="preserve">SF</t>
  </si>
  <si>
    <t xml:space="preserve">Rent Roll C5:C14</t>
  </si>
  <si>
    <t xml:space="preserve">Rent Roll C5:C14 where D=active</t>
  </si>
  <si>
    <t xml:space="preserve">derived: 9/10</t>
  </si>
  <si>
    <t xml:space="preserve">derived: 28,170/31,150</t>
  </si>
  <si>
    <t xml:space="preserve">sum active × 12 = 61,275 × 12</t>
  </si>
  <si>
    <t xml:space="preserve">unit_001_monthly_rent</t>
  </si>
  <si>
    <t xml:space="preserve">Rent Roll E5 (post-amendment)</t>
  </si>
  <si>
    <t xml:space="preserve">certified sum − S001 amend ×12 = 67,875 × 12</t>
  </si>
  <si>
    <t xml:space="preserve">model</t>
  </si>
  <si>
    <t xml:space="preserve">UW!B10 = GPR×(1−5%)+3,500</t>
  </si>
  <si>
    <t xml:space="preserve">Inputs!B10</t>
  </si>
  <si>
    <t xml:space="preserve">Inputs!B11</t>
  </si>
  <si>
    <t xml:space="preserve">uw_operating_expenses</t>
  </si>
  <si>
    <t xml:space="preserve">UW!B17</t>
  </si>
  <si>
    <t xml:space="preserve">UW!B22 (before reserves)</t>
  </si>
  <si>
    <t xml:space="preserve">MAX(6.50%, 6.00%)</t>
  </si>
  <si>
    <t xml:space="preserve">Inputs!B24</t>
  </si>
  <si>
    <t xml:space="preserve">Inputs!B25</t>
  </si>
  <si>
    <t xml:space="preserve">Inputs!B26</t>
  </si>
  <si>
    <t xml:space="preserve">Debt!B24 (LTV binding)</t>
  </si>
  <si>
    <t xml:space="preserve">insurance_policy_limit</t>
  </si>
  <si>
    <t xml:space="preserve">insurance.pdf</t>
  </si>
  <si>
    <t xml:space="preserve">page 1 — GL aggregate (not an expense)</t>
  </si>
  <si>
    <t xml:space="preserve">selected_roll_date</t>
  </si>
  <si>
    <t xml:space="preserve">date</t>
  </si>
  <si>
    <t xml:space="preserve">B2</t>
  </si>
  <si>
    <t xml:space="preserve">reported_t12_noi</t>
  </si>
  <si>
    <t xml:space="preserve">operating-statement.pdf</t>
  </si>
  <si>
    <t xml:space="preserve">page 1 — table</t>
  </si>
  <si>
    <t xml:space="preserve">type_a_units</t>
  </si>
  <si>
    <t xml:space="preserve">rent-roll-certified.xlsx + manager-cover.pdf</t>
  </si>
  <si>
    <t xml:space="preserve">Small suites</t>
  </si>
  <si>
    <t xml:space="preserve">type_a_occupied</t>
  </si>
  <si>
    <t xml:space="preserve">active Small suites</t>
  </si>
  <si>
    <t xml:space="preserve">type_b_units</t>
  </si>
  <si>
    <t xml:space="preserve">Standard suites</t>
  </si>
  <si>
    <t xml:space="preserve">type_b_occupied</t>
  </si>
  <si>
    <t xml:space="preserve">active Standard suites</t>
  </si>
  <si>
    <t xml:space="preserve">type_c_units</t>
  </si>
  <si>
    <t xml:space="preserve">Large suites</t>
  </si>
  <si>
    <t xml:space="preserve">type_c_occupied</t>
  </si>
  <si>
    <t xml:space="preserve">active Large suites</t>
  </si>
  <si>
    <t xml:space="preserve">risk_pending_in_occupancy</t>
  </si>
  <si>
    <t xml:space="preserve">present</t>
  </si>
  <si>
    <t xml:space="preserve">flag</t>
  </si>
  <si>
    <t xml:space="preserve">manager-cover.pdf</t>
  </si>
  <si>
    <t xml:space="preserve">headline conflates occupied+pending as leased</t>
  </si>
  <si>
    <t xml:space="preserve">risk_near_term_rollover</t>
  </si>
  <si>
    <t xml:space="preserve">absent</t>
  </si>
  <si>
    <t xml:space="preserve">all expiries 2029-08-31 — &gt;12 months out</t>
  </si>
  <si>
    <t xml:space="preserve">risk_missing_insurance</t>
  </si>
  <si>
    <t xml:space="preserve">insurance.pdf + operating-statement.pdf</t>
  </si>
  <si>
    <t xml:space="preserve">policy in force; T12 insurance expense present</t>
  </si>
  <si>
    <t xml:space="preserve">risk_capital_in_opex</t>
  </si>
  <si>
    <t xml:space="preserve">roof replacement is $0 in repairs — properly capitalized</t>
  </si>
  <si>
    <t xml:space="preserve">risk_unsigned_rent_change</t>
  </si>
  <si>
    <t xml:space="preserve">packet review</t>
  </si>
  <si>
    <t xml:space="preserve">no unsigned rent proposal in packet — amendment is signed</t>
  </si>
  <si>
    <t xml:space="preserve">risk_temporary_free_rent</t>
  </si>
  <si>
    <t xml:space="preserve">lease-001.pdf</t>
  </si>
  <si>
    <t xml:space="preserve">no free-rent concession applies as of evaluation date</t>
  </si>
  <si>
    <t xml:space="preserve">risk_sizing_floor_binding</t>
  </si>
  <si>
    <t xml:space="preserve">note rate 6.50% &gt; floor 6.00%; note binds</t>
  </si>
  <si>
    <t xml:space="preserve">risk_refinance_shortfall</t>
  </si>
  <si>
    <t xml:space="preserve">net cash-out is positive: $657,328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</si>
</sst>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"/>
    <numFmt numFmtId="166" formatCode="0.00%"/>
    <numFmt numFmtId="167" formatCode="0.0000%"/>
    <numFmt numFmtId="168" formatCode="0.00"/>
    <numFmt numFmtId="169" formatCode="#,##0"/>
    <numFmt numFmtId="170" formatCode="0"/>
    <numFmt numFmtId="171" formatCode="0.000000%"/>
    <numFmt numFmtId="172" formatCode="0.00000000"/>
    <numFmt numFmtId="173" formatCode="0.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1F4E78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4"/>
      <color rgb="FF1F4E78"/>
      <name val="Cambria"/>
      <family val="0"/>
      <charset val="1"/>
    </font>
    <font>
      <i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7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0" t="s">
        <v>2</v>
      </c>
    </row>
    <row r="4" customFormat="false" ht="15" hidden="false" customHeight="false" outlineLevel="0" collapsed="false">
      <c r="A4" s="2" t="s">
        <v>3</v>
      </c>
      <c r="B4" s="0" t="s">
        <v>4</v>
      </c>
    </row>
    <row r="5" customFormat="false" ht="15" hidden="false" customHeight="false" outlineLevel="0" collapsed="false">
      <c r="A5" s="2" t="s">
        <v>5</v>
      </c>
      <c r="B5" s="0" t="s">
        <v>6</v>
      </c>
    </row>
    <row r="7" customFormat="false" ht="15" hidden="false" customHeight="false" outlineLevel="0" collapsed="false">
      <c r="A7" s="3" t="s">
        <v>7</v>
      </c>
    </row>
    <row r="8" customFormat="false" ht="15" hidden="false" customHeight="false" outlineLevel="0" collapsed="false">
      <c r="A8" s="4" t="s">
        <v>8</v>
      </c>
      <c r="B8" s="4" t="s">
        <v>9</v>
      </c>
      <c r="C8" s="4" t="s">
        <v>10</v>
      </c>
    </row>
    <row r="9" customFormat="false" ht="23.85" hidden="false" customHeight="false" outlineLevel="0" collapsed="false">
      <c r="A9" s="2" t="s">
        <v>11</v>
      </c>
      <c r="B9" s="0" t="s">
        <v>12</v>
      </c>
      <c r="C9" s="5" t="s">
        <v>13</v>
      </c>
    </row>
    <row r="10" customFormat="false" ht="15" hidden="false" customHeight="false" outlineLevel="0" collapsed="false">
      <c r="A10" s="2" t="s">
        <v>14</v>
      </c>
      <c r="B10" s="0" t="s">
        <v>15</v>
      </c>
      <c r="C10" s="5" t="s">
        <v>16</v>
      </c>
    </row>
    <row r="11" customFormat="false" ht="15" hidden="false" customHeight="false" outlineLevel="0" collapsed="false">
      <c r="A11" s="2" t="s">
        <v>17</v>
      </c>
      <c r="B11" s="0" t="s">
        <v>18</v>
      </c>
      <c r="C11" s="5" t="s">
        <v>19</v>
      </c>
    </row>
    <row r="13" customFormat="false" ht="15" hidden="false" customHeight="false" outlineLevel="0" collapsed="false">
      <c r="A13" s="3" t="s">
        <v>20</v>
      </c>
    </row>
    <row r="14" customFormat="false" ht="15" hidden="false" customHeight="false" outlineLevel="0" collapsed="false">
      <c r="A14" s="4" t="s">
        <v>8</v>
      </c>
      <c r="B14" s="4" t="s">
        <v>9</v>
      </c>
      <c r="C14" s="4" t="s">
        <v>21</v>
      </c>
    </row>
    <row r="15" customFormat="false" ht="15" hidden="false" customHeight="false" outlineLevel="0" collapsed="false">
      <c r="A15" s="2" t="s">
        <v>22</v>
      </c>
      <c r="B15" s="0" t="s">
        <v>23</v>
      </c>
      <c r="C15" s="5" t="s">
        <v>24</v>
      </c>
    </row>
    <row r="16" customFormat="false" ht="15" hidden="false" customHeight="false" outlineLevel="0" collapsed="false">
      <c r="A16" s="2" t="s">
        <v>25</v>
      </c>
      <c r="B16" s="0" t="s">
        <v>26</v>
      </c>
      <c r="C16" s="5" t="s">
        <v>27</v>
      </c>
    </row>
    <row r="17" customFormat="false" ht="15" hidden="false" customHeight="false" outlineLevel="0" collapsed="false">
      <c r="A17" s="2" t="s">
        <v>28</v>
      </c>
      <c r="B17" s="0" t="s">
        <v>29</v>
      </c>
      <c r="C17" s="5" t="s">
        <v>30</v>
      </c>
    </row>
    <row r="18" customFormat="false" ht="15" hidden="false" customHeight="false" outlineLevel="0" collapsed="false">
      <c r="A18" s="2" t="s">
        <v>31</v>
      </c>
      <c r="B18" s="0" t="s">
        <v>32</v>
      </c>
      <c r="C18" s="5" t="s">
        <v>33</v>
      </c>
    </row>
    <row r="19" customFormat="false" ht="15" hidden="false" customHeight="false" outlineLevel="0" collapsed="false">
      <c r="A19" s="2" t="s">
        <v>34</v>
      </c>
      <c r="B19" s="0" t="s">
        <v>35</v>
      </c>
      <c r="C19" s="5" t="s">
        <v>36</v>
      </c>
    </row>
    <row r="20" customFormat="false" ht="15" hidden="false" customHeight="false" outlineLevel="0" collapsed="false">
      <c r="A20" s="2" t="s">
        <v>37</v>
      </c>
      <c r="B20" s="0" t="s">
        <v>38</v>
      </c>
      <c r="C20" s="5" t="s">
        <v>39</v>
      </c>
    </row>
    <row r="22" customFormat="false" ht="15" hidden="false" customHeight="false" outlineLevel="0" collapsed="false">
      <c r="A22" s="3" t="s">
        <v>40</v>
      </c>
    </row>
    <row r="23" customFormat="false" ht="23.85" hidden="false" customHeight="false" outlineLevel="0" collapsed="false">
      <c r="A23" s="2" t="s">
        <v>41</v>
      </c>
      <c r="B23" s="5" t="s">
        <v>42</v>
      </c>
    </row>
    <row r="24" customFormat="false" ht="35.05" hidden="false" customHeight="false" outlineLevel="0" collapsed="false">
      <c r="A24" s="2" t="s">
        <v>43</v>
      </c>
      <c r="B24" s="5" t="s">
        <v>44</v>
      </c>
    </row>
    <row r="25" customFormat="false" ht="23.85" hidden="false" customHeight="false" outlineLevel="0" collapsed="false">
      <c r="A25" s="2" t="s">
        <v>45</v>
      </c>
      <c r="B25" s="5" t="s">
        <v>46</v>
      </c>
    </row>
    <row r="26" customFormat="false" ht="35.05" hidden="false" customHeight="false" outlineLevel="0" collapsed="false">
      <c r="A26" s="2" t="s">
        <v>47</v>
      </c>
      <c r="B26" s="5" t="s">
        <v>48</v>
      </c>
    </row>
    <row r="27" customFormat="false" ht="35.05" hidden="false" customHeight="false" outlineLevel="0" collapsed="false">
      <c r="A27" s="2" t="s">
        <v>49</v>
      </c>
      <c r="B27" s="5" t="s">
        <v>50</v>
      </c>
    </row>
    <row r="28" customFormat="false" ht="35.05" hidden="false" customHeight="false" outlineLevel="0" collapsed="false">
      <c r="A28" s="2" t="s">
        <v>51</v>
      </c>
      <c r="B28" s="5" t="s">
        <v>52</v>
      </c>
    </row>
    <row r="29" customFormat="false" ht="35.05" hidden="false" customHeight="false" outlineLevel="0" collapsed="false">
      <c r="A29" s="2" t="s">
        <v>53</v>
      </c>
      <c r="B29" s="5" t="s">
        <v>54</v>
      </c>
    </row>
    <row r="30" customFormat="false" ht="35.05" hidden="false" customHeight="false" outlineLevel="0" collapsed="false">
      <c r="A30" s="2" t="s">
        <v>55</v>
      </c>
      <c r="B30" s="5" t="s">
        <v>56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45"/>
  </cols>
  <sheetData>
    <row r="1" customFormat="false" ht="17.35" hidden="false" customHeight="false" outlineLevel="0" collapsed="false">
      <c r="A1" s="6" t="s">
        <v>57</v>
      </c>
      <c r="B1" s="6"/>
      <c r="C1" s="6"/>
    </row>
    <row r="3" customFormat="false" ht="15" hidden="false" customHeight="false" outlineLevel="0" collapsed="false">
      <c r="A3" s="3" t="s">
        <v>58</v>
      </c>
    </row>
    <row r="4" customFormat="false" ht="15" hidden="false" customHeight="false" outlineLevel="0" collapsed="false">
      <c r="A4" s="2" t="s">
        <v>59</v>
      </c>
      <c r="B4" s="7" t="n">
        <v>10</v>
      </c>
      <c r="C4" s="8" t="s">
        <v>60</v>
      </c>
      <c r="D4" s="5" t="s">
        <v>43</v>
      </c>
    </row>
    <row r="5" customFormat="false" ht="15" hidden="false" customHeight="false" outlineLevel="0" collapsed="false">
      <c r="A5" s="2" t="s">
        <v>61</v>
      </c>
      <c r="B5" s="7" t="n">
        <v>0.05</v>
      </c>
      <c r="C5" s="8" t="s">
        <v>62</v>
      </c>
      <c r="D5" s="5" t="s">
        <v>6</v>
      </c>
    </row>
    <row r="6" customFormat="false" ht="15" hidden="false" customHeight="false" outlineLevel="0" collapsed="false">
      <c r="A6" s="2" t="s">
        <v>63</v>
      </c>
      <c r="B6" s="7" t="n">
        <v>350</v>
      </c>
      <c r="C6" s="8" t="s">
        <v>64</v>
      </c>
      <c r="D6" s="5" t="s">
        <v>6</v>
      </c>
    </row>
    <row r="7" customFormat="false" ht="15" hidden="false" customHeight="false" outlineLevel="0" collapsed="false">
      <c r="A7" s="2" t="s">
        <v>65</v>
      </c>
      <c r="B7" s="9" t="n">
        <v>814500</v>
      </c>
      <c r="C7" s="8" t="s">
        <v>64</v>
      </c>
      <c r="D7" s="0" t="s">
        <v>66</v>
      </c>
    </row>
    <row r="9" customFormat="false" ht="15" hidden="false" customHeight="false" outlineLevel="0" collapsed="false">
      <c r="A9" s="3" t="s">
        <v>67</v>
      </c>
    </row>
    <row r="10" customFormat="false" ht="15" hidden="false" customHeight="false" outlineLevel="0" collapsed="false">
      <c r="A10" s="2" t="s">
        <v>68</v>
      </c>
      <c r="B10" s="9" t="n">
        <v>85964</v>
      </c>
      <c r="C10" s="8" t="s">
        <v>64</v>
      </c>
      <c r="D10" s="5" t="s">
        <v>6</v>
      </c>
    </row>
    <row r="11" customFormat="false" ht="15" hidden="false" customHeight="false" outlineLevel="0" collapsed="false">
      <c r="A11" s="2" t="s">
        <v>69</v>
      </c>
      <c r="B11" s="9" t="n">
        <v>28655</v>
      </c>
      <c r="C11" s="8" t="s">
        <v>64</v>
      </c>
      <c r="D11" s="5" t="s">
        <v>6</v>
      </c>
    </row>
    <row r="12" customFormat="false" ht="15" hidden="false" customHeight="false" outlineLevel="0" collapsed="false">
      <c r="A12" s="2" t="s">
        <v>70</v>
      </c>
      <c r="B12" s="9" t="n">
        <v>114618</v>
      </c>
      <c r="C12" s="8" t="s">
        <v>64</v>
      </c>
      <c r="D12" s="5" t="s">
        <v>6</v>
      </c>
    </row>
    <row r="13" customFormat="false" ht="15" hidden="false" customHeight="false" outlineLevel="0" collapsed="false">
      <c r="A13" s="2" t="s">
        <v>71</v>
      </c>
      <c r="B13" s="10" t="n">
        <v>0.03</v>
      </c>
      <c r="C13" s="8" t="s">
        <v>62</v>
      </c>
      <c r="D13" s="5" t="s">
        <v>6</v>
      </c>
    </row>
    <row r="14" customFormat="false" ht="15" hidden="false" customHeight="false" outlineLevel="0" collapsed="false">
      <c r="A14" s="2" t="s">
        <v>72</v>
      </c>
      <c r="B14" s="9" t="n">
        <v>300</v>
      </c>
      <c r="C14" s="8" t="s">
        <v>64</v>
      </c>
      <c r="D14" s="5" t="s">
        <v>6</v>
      </c>
    </row>
    <row r="17" customFormat="false" ht="15" hidden="false" customHeight="false" outlineLevel="0" collapsed="false">
      <c r="A17" s="3" t="s">
        <v>73</v>
      </c>
    </row>
    <row r="19" customFormat="false" ht="15" hidden="false" customHeight="false" outlineLevel="0" collapsed="false">
      <c r="A19" s="2" t="s">
        <v>74</v>
      </c>
      <c r="B19" s="11" t="n">
        <v>0.065</v>
      </c>
      <c r="C19" s="0" t="s">
        <v>62</v>
      </c>
      <c r="D19" s="0" t="s">
        <v>6</v>
      </c>
    </row>
    <row r="20" customFormat="false" ht="15" hidden="false" customHeight="false" outlineLevel="0" collapsed="false">
      <c r="A20" s="2" t="s">
        <v>75</v>
      </c>
      <c r="B20" s="11" t="n">
        <v>0.06</v>
      </c>
      <c r="C20" s="0" t="s">
        <v>62</v>
      </c>
      <c r="D20" s="0" t="s">
        <v>6</v>
      </c>
    </row>
    <row r="22" customFormat="false" ht="15" hidden="false" customHeight="false" outlineLevel="0" collapsed="false">
      <c r="A22" s="2" t="s">
        <v>14</v>
      </c>
      <c r="B22" s="11" t="n">
        <v>0.0725</v>
      </c>
      <c r="C22" s="0" t="s">
        <v>62</v>
      </c>
      <c r="D22" s="0" t="s">
        <v>6</v>
      </c>
    </row>
    <row r="24" customFormat="false" ht="15" hidden="false" customHeight="false" outlineLevel="0" collapsed="false">
      <c r="A24" s="2" t="s">
        <v>76</v>
      </c>
      <c r="B24" s="10" t="n">
        <v>0.65</v>
      </c>
      <c r="C24" s="0" t="s">
        <v>62</v>
      </c>
    </row>
    <row r="25" customFormat="false" ht="15" hidden="false" customHeight="false" outlineLevel="0" collapsed="false">
      <c r="A25" s="2" t="s">
        <v>77</v>
      </c>
      <c r="B25" s="12" t="n">
        <v>1.25</v>
      </c>
      <c r="C25" s="0" t="s">
        <v>62</v>
      </c>
    </row>
    <row r="26" customFormat="false" ht="15" hidden="false" customHeight="false" outlineLevel="0" collapsed="false">
      <c r="A26" s="2" t="s">
        <v>78</v>
      </c>
      <c r="B26" s="10" t="n">
        <v>0.09</v>
      </c>
      <c r="C26" s="0" t="s">
        <v>62</v>
      </c>
    </row>
    <row r="27" customFormat="false" ht="15" hidden="false" customHeight="false" outlineLevel="0" collapsed="false">
      <c r="A27" s="2" t="s">
        <v>17</v>
      </c>
      <c r="B27" s="11" t="n">
        <f aca="false">MAX(B19,B20)</f>
        <v>0.065</v>
      </c>
      <c r="C27" s="0" t="s">
        <v>62</v>
      </c>
      <c r="D27" s="0" t="s">
        <v>79</v>
      </c>
    </row>
    <row r="28" customFormat="false" ht="15" hidden="false" customHeight="false" outlineLevel="0" collapsed="false">
      <c r="A28" s="2" t="s">
        <v>80</v>
      </c>
      <c r="B28" s="7" t="n">
        <v>30</v>
      </c>
      <c r="C28" s="0" t="s">
        <v>81</v>
      </c>
    </row>
    <row r="29" customFormat="false" ht="15" hidden="false" customHeight="false" outlineLevel="0" collapsed="false">
      <c r="A29" s="2" t="s">
        <v>82</v>
      </c>
      <c r="B29" s="10" t="n">
        <v>0.01</v>
      </c>
      <c r="C29" s="0" t="s">
        <v>62</v>
      </c>
    </row>
    <row r="30" customFormat="false" ht="15" hidden="false" customHeight="false" outlineLevel="0" collapsed="false">
      <c r="A30" s="2" t="s">
        <v>83</v>
      </c>
      <c r="B30" s="9" t="n">
        <v>45000</v>
      </c>
      <c r="C30" s="0" t="s">
        <v>64</v>
      </c>
    </row>
    <row r="31" customFormat="false" ht="15" hidden="false" customHeight="false" outlineLevel="0" collapsed="false">
      <c r="A31" s="2" t="s">
        <v>84</v>
      </c>
      <c r="B31" s="9" t="n">
        <v>4300000</v>
      </c>
      <c r="C31" s="0" t="s">
        <v>64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7" min="5" style="0" width="14"/>
  </cols>
  <sheetData>
    <row r="1" customFormat="false" ht="17.35" hidden="false" customHeight="false" outlineLevel="0" collapsed="false">
      <c r="A1" s="6" t="s">
        <v>85</v>
      </c>
      <c r="B1" s="6"/>
      <c r="C1" s="6"/>
      <c r="D1" s="6"/>
      <c r="E1" s="6"/>
      <c r="F1" s="6"/>
      <c r="G1" s="6"/>
    </row>
    <row r="2" customFormat="false" ht="23.85" hidden="false" customHeight="true" outlineLevel="0" collapsed="false">
      <c r="A2" s="13" t="s">
        <v>86</v>
      </c>
      <c r="B2" s="13"/>
      <c r="C2" s="13"/>
      <c r="D2" s="13"/>
      <c r="E2" s="13"/>
      <c r="F2" s="13"/>
      <c r="G2" s="13"/>
    </row>
    <row r="4" customFormat="false" ht="15" hidden="false" customHeight="false" outlineLevel="0" collapsed="false">
      <c r="A4" s="4" t="s">
        <v>87</v>
      </c>
      <c r="B4" s="4" t="s">
        <v>88</v>
      </c>
      <c r="C4" s="4" t="s">
        <v>89</v>
      </c>
      <c r="D4" s="4" t="s">
        <v>90</v>
      </c>
      <c r="E4" s="4" t="s">
        <v>91</v>
      </c>
      <c r="F4" s="4" t="s">
        <v>92</v>
      </c>
      <c r="G4" s="4" t="s">
        <v>93</v>
      </c>
    </row>
    <row r="5" customFormat="false" ht="15" hidden="false" customHeight="false" outlineLevel="0" collapsed="false">
      <c r="A5" s="14" t="s">
        <v>94</v>
      </c>
      <c r="B5" s="14" t="s">
        <v>95</v>
      </c>
      <c r="C5" s="14" t="s">
        <v>96</v>
      </c>
      <c r="D5" s="14" t="n">
        <v>3080</v>
      </c>
      <c r="E5" s="14" t="s">
        <v>97</v>
      </c>
      <c r="F5" s="15" t="n">
        <v>6650</v>
      </c>
      <c r="G5" s="14" t="s">
        <v>98</v>
      </c>
    </row>
    <row r="6" customFormat="false" ht="15" hidden="false" customHeight="false" outlineLevel="0" collapsed="false">
      <c r="A6" s="14" t="s">
        <v>99</v>
      </c>
      <c r="B6" s="14" t="s">
        <v>100</v>
      </c>
      <c r="C6" s="14" t="s">
        <v>101</v>
      </c>
      <c r="D6" s="14" t="n">
        <v>3200</v>
      </c>
      <c r="E6" s="14" t="s">
        <v>97</v>
      </c>
      <c r="F6" s="15" t="n">
        <v>6800</v>
      </c>
      <c r="G6" s="14" t="s">
        <v>98</v>
      </c>
    </row>
    <row r="7" customFormat="false" ht="15" hidden="false" customHeight="false" outlineLevel="0" collapsed="false">
      <c r="A7" s="14" t="s">
        <v>102</v>
      </c>
      <c r="B7" s="14" t="s">
        <v>103</v>
      </c>
      <c r="C7" s="14" t="s">
        <v>104</v>
      </c>
      <c r="D7" s="14" t="n">
        <v>3410</v>
      </c>
      <c r="E7" s="14" t="s">
        <v>97</v>
      </c>
      <c r="F7" s="15" t="n">
        <v>7075</v>
      </c>
      <c r="G7" s="14" t="s">
        <v>98</v>
      </c>
    </row>
    <row r="8" customFormat="false" ht="15" hidden="false" customHeight="false" outlineLevel="0" collapsed="false">
      <c r="A8" s="14" t="s">
        <v>105</v>
      </c>
      <c r="B8" s="14" t="s">
        <v>95</v>
      </c>
      <c r="C8" s="14" t="s">
        <v>96</v>
      </c>
      <c r="D8" s="14" t="n">
        <v>3080</v>
      </c>
      <c r="E8" s="14" t="s">
        <v>97</v>
      </c>
      <c r="F8" s="15" t="n">
        <v>6650</v>
      </c>
      <c r="G8" s="14" t="s">
        <v>98</v>
      </c>
    </row>
    <row r="9" customFormat="false" ht="15" hidden="false" customHeight="false" outlineLevel="0" collapsed="false">
      <c r="A9" s="14" t="s">
        <v>106</v>
      </c>
      <c r="B9" s="14" t="s">
        <v>100</v>
      </c>
      <c r="C9" s="14" t="s">
        <v>101</v>
      </c>
      <c r="D9" s="14" t="n">
        <v>3200</v>
      </c>
      <c r="E9" s="14" t="s">
        <v>97</v>
      </c>
      <c r="F9" s="15" t="n">
        <v>6800</v>
      </c>
      <c r="G9" s="14" t="s">
        <v>98</v>
      </c>
    </row>
    <row r="10" customFormat="false" ht="15" hidden="false" customHeight="false" outlineLevel="0" collapsed="false">
      <c r="A10" s="14" t="s">
        <v>107</v>
      </c>
      <c r="B10" s="14" t="s">
        <v>103</v>
      </c>
      <c r="C10" s="14" t="s">
        <v>104</v>
      </c>
      <c r="D10" s="14" t="n">
        <v>3410</v>
      </c>
      <c r="E10" s="14" t="s">
        <v>97</v>
      </c>
      <c r="F10" s="15" t="n">
        <v>7075</v>
      </c>
      <c r="G10" s="14" t="s">
        <v>98</v>
      </c>
    </row>
    <row r="11" customFormat="false" ht="15" hidden="false" customHeight="false" outlineLevel="0" collapsed="false">
      <c r="A11" s="14" t="s">
        <v>108</v>
      </c>
      <c r="B11" s="14" t="s">
        <v>95</v>
      </c>
      <c r="C11" s="14" t="s">
        <v>96</v>
      </c>
      <c r="D11" s="14" t="n">
        <v>3080</v>
      </c>
      <c r="E11" s="14" t="s">
        <v>97</v>
      </c>
      <c r="F11" s="15" t="n">
        <v>6650</v>
      </c>
      <c r="G11" s="14" t="s">
        <v>98</v>
      </c>
    </row>
    <row r="12" customFormat="false" ht="15" hidden="false" customHeight="false" outlineLevel="0" collapsed="false">
      <c r="A12" s="14" t="s">
        <v>109</v>
      </c>
      <c r="B12" s="14" t="s">
        <v>100</v>
      </c>
      <c r="C12" s="14" t="s">
        <v>101</v>
      </c>
      <c r="D12" s="14" t="n">
        <v>3200</v>
      </c>
      <c r="E12" s="14" t="s">
        <v>97</v>
      </c>
      <c r="F12" s="15" t="n">
        <v>6800</v>
      </c>
      <c r="G12" s="14" t="s">
        <v>98</v>
      </c>
    </row>
    <row r="13" customFormat="false" ht="15" hidden="false" customHeight="false" outlineLevel="0" collapsed="false">
      <c r="A13" s="14" t="s">
        <v>110</v>
      </c>
      <c r="B13" s="14" t="s">
        <v>103</v>
      </c>
      <c r="C13" s="14" t="s">
        <v>104</v>
      </c>
      <c r="D13" s="14" t="n">
        <v>3410</v>
      </c>
      <c r="E13" s="14" t="s">
        <v>97</v>
      </c>
      <c r="F13" s="15" t="n">
        <v>7075</v>
      </c>
      <c r="G13" s="14" t="s">
        <v>98</v>
      </c>
    </row>
    <row r="14" customFormat="false" ht="15" hidden="false" customHeight="false" outlineLevel="0" collapsed="false">
      <c r="A14" s="14" t="s">
        <v>111</v>
      </c>
      <c r="B14" s="14" t="s">
        <v>95</v>
      </c>
      <c r="C14" s="14" t="s">
        <v>96</v>
      </c>
      <c r="D14" s="14" t="n">
        <v>3080</v>
      </c>
      <c r="E14" s="14" t="s">
        <v>112</v>
      </c>
      <c r="F14" s="15" t="n">
        <v>6650</v>
      </c>
      <c r="G14" s="14" t="s">
        <v>98</v>
      </c>
    </row>
    <row r="16" customFormat="false" ht="15" hidden="false" customHeight="false" outlineLevel="0" collapsed="false">
      <c r="A16" s="3" t="s">
        <v>113</v>
      </c>
    </row>
    <row r="17" customFormat="false" ht="15" hidden="false" customHeight="false" outlineLevel="0" collapsed="false">
      <c r="A17" s="2" t="s">
        <v>114</v>
      </c>
      <c r="B17" s="16" t="n">
        <f aca="false">COUNTA(A5:A14)</f>
        <v>10</v>
      </c>
    </row>
    <row r="18" customFormat="false" ht="15" hidden="false" customHeight="false" outlineLevel="0" collapsed="false">
      <c r="A18" s="2" t="s">
        <v>115</v>
      </c>
      <c r="B18" s="16" t="n">
        <f aca="false">COUNTIF(E5:E14,"active")</f>
        <v>9</v>
      </c>
    </row>
    <row r="19" customFormat="false" ht="15" hidden="false" customHeight="false" outlineLevel="0" collapsed="false">
      <c r="A19" s="2" t="s">
        <v>116</v>
      </c>
      <c r="B19" s="16" t="n">
        <v>0</v>
      </c>
    </row>
    <row r="20" customFormat="false" ht="15" hidden="false" customHeight="false" outlineLevel="0" collapsed="false">
      <c r="A20" s="2" t="s">
        <v>117</v>
      </c>
      <c r="B20" s="17" t="n">
        <f aca="false">SUM(D5:D14)</f>
        <v>32150</v>
      </c>
    </row>
    <row r="21" customFormat="false" ht="15" hidden="false" customHeight="false" outlineLevel="0" collapsed="false">
      <c r="A21" s="2" t="s">
        <v>118</v>
      </c>
      <c r="B21" s="17" t="n">
        <f aca="false">SUMIF(E5:E14,"active",D5:D14)</f>
        <v>29070</v>
      </c>
    </row>
    <row r="22" customFormat="false" ht="15" hidden="false" customHeight="false" outlineLevel="0" collapsed="false">
      <c r="A22" s="2" t="s">
        <v>119</v>
      </c>
      <c r="B22" s="18" t="n">
        <f aca="false">B18/B17</f>
        <v>0.9</v>
      </c>
    </row>
    <row r="23" customFormat="false" ht="15" hidden="false" customHeight="false" outlineLevel="0" collapsed="false">
      <c r="A23" s="2" t="s">
        <v>120</v>
      </c>
      <c r="B23" s="18" t="n">
        <f aca="false">B21/B20</f>
        <v>0.904199066874028</v>
      </c>
    </row>
    <row r="24" customFormat="false" ht="15" hidden="false" customHeight="false" outlineLevel="0" collapsed="false">
      <c r="A24" s="2" t="s">
        <v>121</v>
      </c>
      <c r="B24" s="19" t="n">
        <f aca="false">SUMIF(E5:E14,"active",F5:F14)*12</f>
        <v>738900</v>
      </c>
    </row>
    <row r="27" customFormat="false" ht="15" hidden="false" customHeight="false" outlineLevel="0" collapsed="false">
      <c r="A27" s="3" t="s">
        <v>122</v>
      </c>
    </row>
    <row r="28" customFormat="false" ht="15" hidden="false" customHeight="false" outlineLevel="0" collapsed="false">
      <c r="A28" s="2" t="s">
        <v>123</v>
      </c>
      <c r="B28" s="2" t="s">
        <v>124</v>
      </c>
      <c r="C28" s="2" t="s">
        <v>125</v>
      </c>
    </row>
    <row r="29" customFormat="false" ht="15" hidden="false" customHeight="false" outlineLevel="0" collapsed="false">
      <c r="A29" s="14" t="s">
        <v>126</v>
      </c>
      <c r="B29" s="16" t="n">
        <f aca="false">COUNTIF(C5:C14,"A")</f>
        <v>4</v>
      </c>
      <c r="C29" s="16" t="n">
        <f aca="false">COUNTIFS(C5:C14,"A",E5:E14,"active")</f>
        <v>3</v>
      </c>
    </row>
    <row r="30" customFormat="false" ht="15" hidden="false" customHeight="false" outlineLevel="0" collapsed="false">
      <c r="A30" s="14" t="s">
        <v>127</v>
      </c>
      <c r="B30" s="16" t="n">
        <f aca="false">COUNTIF(C5:C14,"B")</f>
        <v>3</v>
      </c>
      <c r="C30" s="16" t="n">
        <f aca="false">COUNTIFS(C5:C14,"B",E5:E14,"active")</f>
        <v>3</v>
      </c>
    </row>
    <row r="31" customFormat="false" ht="15" hidden="false" customHeight="false" outlineLevel="0" collapsed="false">
      <c r="A31" s="14" t="s">
        <v>128</v>
      </c>
      <c r="B31" s="16" t="n">
        <f aca="false">COUNTIF(C5:C14,"C")</f>
        <v>3</v>
      </c>
      <c r="C31" s="16" t="n">
        <f aca="false">COUNTIFS(C5:C14,"C",E5:E14,"active")</f>
        <v>3</v>
      </c>
    </row>
    <row r="34" customFormat="false" ht="15" hidden="false" customHeight="false" outlineLevel="0" collapsed="false">
      <c r="A34" s="3" t="s">
        <v>129</v>
      </c>
    </row>
    <row r="35" customFormat="false" ht="15" hidden="false" customHeight="false" outlineLevel="0" collapsed="false">
      <c r="A35" s="2" t="s">
        <v>130</v>
      </c>
      <c r="B35" s="15" t="n">
        <f aca="false">SUM(F5:F14)</f>
        <v>68225</v>
      </c>
    </row>
    <row r="36" customFormat="false" ht="15" hidden="false" customHeight="false" outlineLevel="0" collapsed="false">
      <c r="A36" s="2" t="s">
        <v>131</v>
      </c>
      <c r="B36" s="15" t="n">
        <v>-350</v>
      </c>
    </row>
    <row r="37" customFormat="false" ht="15" hidden="false" customHeight="false" outlineLevel="0" collapsed="false">
      <c r="A37" s="2" t="s">
        <v>132</v>
      </c>
      <c r="B37" s="15" t="n">
        <f aca="false">B35+B36</f>
        <v>67875</v>
      </c>
    </row>
    <row r="38" customFormat="false" ht="15" hidden="false" customHeight="false" outlineLevel="0" collapsed="false">
      <c r="A38" s="2" t="s">
        <v>133</v>
      </c>
      <c r="B38" s="19" t="n">
        <f aca="false">B37*12</f>
        <v>814500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6" t="s">
        <v>134</v>
      </c>
      <c r="B1" s="6"/>
      <c r="C1" s="6"/>
    </row>
    <row r="2" customFormat="false" ht="15" hidden="false" customHeight="false" outlineLevel="0" collapsed="false">
      <c r="A2" s="20" t="s">
        <v>135</v>
      </c>
      <c r="B2" s="20"/>
      <c r="C2" s="20"/>
    </row>
    <row r="4" customFormat="false" ht="15" hidden="false" customHeight="false" outlineLevel="0" collapsed="false">
      <c r="A4" s="3" t="s">
        <v>58</v>
      </c>
    </row>
    <row r="5" customFormat="false" ht="15" hidden="false" customHeight="false" outlineLevel="0" collapsed="false">
      <c r="A5" s="0" t="s">
        <v>11</v>
      </c>
      <c r="B5" s="21" t="n">
        <f aca="false">Inputs!B7</f>
        <v>814500</v>
      </c>
    </row>
    <row r="6" customFormat="false" ht="15" hidden="false" customHeight="false" outlineLevel="0" collapsed="false">
      <c r="A6" s="0" t="s">
        <v>136</v>
      </c>
      <c r="B6" s="22" t="n">
        <f aca="false">Inputs!B5</f>
        <v>0.05</v>
      </c>
    </row>
    <row r="7" customFormat="false" ht="15" hidden="false" customHeight="false" outlineLevel="0" collapsed="false">
      <c r="A7" s="0" t="s">
        <v>137</v>
      </c>
      <c r="B7" s="21" t="n">
        <f aca="false">B5*(1-B6)</f>
        <v>773775</v>
      </c>
    </row>
    <row r="8" customFormat="false" ht="15" hidden="false" customHeight="false" outlineLevel="0" collapsed="false">
      <c r="A8" s="0" t="s">
        <v>138</v>
      </c>
      <c r="B8" s="21" t="n">
        <f aca="false">Inputs!B6*Inputs!B4</f>
        <v>3500</v>
      </c>
    </row>
    <row r="10" customFormat="false" ht="15" hidden="false" customHeight="false" outlineLevel="0" collapsed="false">
      <c r="A10" s="2" t="s">
        <v>22</v>
      </c>
      <c r="B10" s="23" t="n">
        <f aca="false">B7+B8</f>
        <v>777275</v>
      </c>
    </row>
    <row r="12" customFormat="false" ht="15" hidden="false" customHeight="false" outlineLevel="0" collapsed="false">
      <c r="A12" s="3" t="s">
        <v>67</v>
      </c>
    </row>
    <row r="13" customFormat="false" ht="15" hidden="false" customHeight="false" outlineLevel="0" collapsed="false">
      <c r="A13" s="0" t="s">
        <v>68</v>
      </c>
      <c r="B13" s="21" t="n">
        <f aca="false">Inputs!B10</f>
        <v>85964</v>
      </c>
    </row>
    <row r="14" customFormat="false" ht="15" hidden="false" customHeight="false" outlineLevel="0" collapsed="false">
      <c r="A14" s="0" t="s">
        <v>69</v>
      </c>
      <c r="B14" s="21" t="n">
        <f aca="false">Inputs!B11</f>
        <v>28655</v>
      </c>
    </row>
    <row r="15" customFormat="false" ht="15" hidden="false" customHeight="false" outlineLevel="0" collapsed="false">
      <c r="A15" s="0" t="s">
        <v>70</v>
      </c>
      <c r="B15" s="21" t="n">
        <f aca="false">Inputs!B12</f>
        <v>114618</v>
      </c>
    </row>
    <row r="16" customFormat="false" ht="15" hidden="false" customHeight="false" outlineLevel="0" collapsed="false">
      <c r="A16" s="0" t="s">
        <v>139</v>
      </c>
      <c r="B16" s="21" t="n">
        <f aca="false">Inputs!B13*B10</f>
        <v>23318.25</v>
      </c>
    </row>
    <row r="17" customFormat="false" ht="15" hidden="false" customHeight="false" outlineLevel="0" collapsed="false">
      <c r="A17" s="2" t="s">
        <v>140</v>
      </c>
      <c r="B17" s="23" t="n">
        <f aca="false">SUM(B13:B16)</f>
        <v>252555.25</v>
      </c>
    </row>
    <row r="19" customFormat="false" ht="15" hidden="false" customHeight="false" outlineLevel="0" collapsed="false">
      <c r="A19" s="3" t="s">
        <v>141</v>
      </c>
    </row>
    <row r="22" customFormat="false" ht="15" hidden="false" customHeight="false" outlineLevel="0" collapsed="false">
      <c r="A22" s="2" t="s">
        <v>142</v>
      </c>
      <c r="B22" s="23" t="n">
        <f aca="false">B10-B17</f>
        <v>524719.75</v>
      </c>
    </row>
    <row r="23" customFormat="false" ht="15" hidden="false" customHeight="false" outlineLevel="0" collapsed="false">
      <c r="A23" s="0" t="s">
        <v>143</v>
      </c>
      <c r="B23" s="21" t="n">
        <f aca="false">Inputs!B14*Inputs!B4</f>
        <v>3000</v>
      </c>
    </row>
    <row r="25" customFormat="false" ht="15" hidden="false" customHeight="false" outlineLevel="0" collapsed="false">
      <c r="A25" s="2" t="s">
        <v>28</v>
      </c>
      <c r="B25" s="23" t="n">
        <f aca="false">B22-B23</f>
        <v>521719.75</v>
      </c>
    </row>
    <row r="28" customFormat="false" ht="15" hidden="false" customHeight="false" outlineLevel="0" collapsed="false">
      <c r="A28" s="3" t="s">
        <v>144</v>
      </c>
    </row>
    <row r="30" customFormat="false" ht="15" hidden="false" customHeight="false" outlineLevel="0" collapsed="false">
      <c r="A30" s="0" t="s">
        <v>14</v>
      </c>
      <c r="B30" s="24" t="n">
        <f aca="false">Inputs!B22</f>
        <v>0.0725</v>
      </c>
    </row>
    <row r="31" customFormat="false" ht="15" hidden="false" customHeight="false" outlineLevel="0" collapsed="false">
      <c r="A31" s="0" t="s">
        <v>145</v>
      </c>
      <c r="B31" s="21" t="n">
        <f aca="false">B22</f>
        <v>524719.75</v>
      </c>
    </row>
    <row r="32" customFormat="false" ht="15" hidden="false" customHeight="false" outlineLevel="0" collapsed="false">
      <c r="A32" s="2" t="s">
        <v>31</v>
      </c>
      <c r="B32" s="23" t="n">
        <f aca="false">B31/B30</f>
        <v>7237513.79310345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6" t="s">
        <v>146</v>
      </c>
      <c r="B1" s="6"/>
      <c r="C1" s="6"/>
    </row>
    <row r="2" customFormat="false" ht="15" hidden="false" customHeight="false" outlineLevel="0" collapsed="false">
      <c r="A2" s="20" t="s">
        <v>147</v>
      </c>
      <c r="B2" s="20"/>
      <c r="C2" s="20"/>
    </row>
    <row r="4" customFormat="false" ht="15" hidden="false" customHeight="false" outlineLevel="0" collapsed="false">
      <c r="A4" s="3" t="s">
        <v>148</v>
      </c>
    </row>
    <row r="5" customFormat="false" ht="15" hidden="false" customHeight="false" outlineLevel="0" collapsed="false">
      <c r="A5" s="2" t="s">
        <v>17</v>
      </c>
      <c r="B5" s="25" t="n">
        <f aca="false">Inputs!B27</f>
        <v>0.065</v>
      </c>
    </row>
    <row r="6" customFormat="false" ht="15" hidden="false" customHeight="false" outlineLevel="0" collapsed="false">
      <c r="A6" s="2" t="s">
        <v>80</v>
      </c>
      <c r="B6" s="26" t="n">
        <f aca="false">Inputs!B28</f>
        <v>30</v>
      </c>
    </row>
    <row r="7" customFormat="false" ht="15" hidden="false" customHeight="false" outlineLevel="0" collapsed="false">
      <c r="A7" s="2" t="s">
        <v>149</v>
      </c>
      <c r="B7" s="27" t="n">
        <f aca="false">Inputs!B27/12</f>
        <v>0.00541666666666667</v>
      </c>
    </row>
    <row r="8" customFormat="false" ht="15" hidden="false" customHeight="false" outlineLevel="0" collapsed="false">
      <c r="A8" s="2" t="s">
        <v>150</v>
      </c>
      <c r="B8" s="26" t="n">
        <f aca="false">Inputs!B28*12</f>
        <v>360</v>
      </c>
    </row>
    <row r="9" customFormat="false" ht="15" hidden="false" customHeight="false" outlineLevel="0" collapsed="false">
      <c r="A9" s="2" t="s">
        <v>151</v>
      </c>
      <c r="B9" s="28" t="n">
        <f aca="false">B7*(1+B7)^B8/((1+B7)^B8-1)</f>
        <v>0.00632068023492965</v>
      </c>
    </row>
    <row r="10" customFormat="false" ht="15" hidden="false" customHeight="false" outlineLevel="0" collapsed="false">
      <c r="A10" s="2" t="s">
        <v>152</v>
      </c>
      <c r="B10" s="28" t="n">
        <f aca="false">B9*12</f>
        <v>0.0758481628191558</v>
      </c>
    </row>
    <row r="11" customFormat="false" ht="15" hidden="false" customHeight="false" outlineLevel="0" collapsed="false">
      <c r="A11" s="2" t="s">
        <v>76</v>
      </c>
      <c r="B11" s="29" t="n">
        <f aca="false">Inputs!B24</f>
        <v>0.65</v>
      </c>
    </row>
    <row r="12" customFormat="false" ht="15" hidden="false" customHeight="false" outlineLevel="0" collapsed="false">
      <c r="A12" s="2" t="s">
        <v>77</v>
      </c>
      <c r="B12" s="30" t="n">
        <f aca="false">Inputs!B25</f>
        <v>1.25</v>
      </c>
    </row>
    <row r="13" customFormat="false" ht="15" hidden="false" customHeight="false" outlineLevel="0" collapsed="false">
      <c r="A13" s="2" t="s">
        <v>78</v>
      </c>
      <c r="B13" s="29" t="n">
        <f aca="false">Inputs!B26</f>
        <v>0.09</v>
      </c>
    </row>
    <row r="16" customFormat="false" ht="15" hidden="false" customHeight="false" outlineLevel="0" collapsed="false">
      <c r="A16" s="3" t="s">
        <v>153</v>
      </c>
    </row>
    <row r="17" customFormat="false" ht="15" hidden="false" customHeight="false" outlineLevel="0" collapsed="false">
      <c r="A17" s="0" t="s">
        <v>154</v>
      </c>
      <c r="B17" s="21" t="n">
        <f aca="false">B11*UW!B32</f>
        <v>4704383.96551724</v>
      </c>
    </row>
    <row r="18" customFormat="false" ht="15" hidden="false" customHeight="false" outlineLevel="0" collapsed="false">
      <c r="A18" s="0" t="s">
        <v>155</v>
      </c>
      <c r="B18" s="21" t="n">
        <f aca="false">(UW!B25/B12)/B10</f>
        <v>5502780.61441179</v>
      </c>
    </row>
    <row r="19" customFormat="false" ht="15" hidden="false" customHeight="false" outlineLevel="0" collapsed="false">
      <c r="A19" s="0" t="s">
        <v>156</v>
      </c>
      <c r="B19" s="21" t="n">
        <f aca="false">UW!B25/B13</f>
        <v>5796886.11111111</v>
      </c>
    </row>
    <row r="21" customFormat="false" ht="15" hidden="false" customHeight="false" outlineLevel="0" collapsed="false">
      <c r="A21" s="0" t="s">
        <v>157</v>
      </c>
      <c r="B21" s="0" t="str">
        <f aca="false">IF(B24=B17,"LTV",IF(B24=B18,"DSCR","Debt Yield"))</f>
        <v>LTV</v>
      </c>
    </row>
    <row r="24" customFormat="false" ht="15" hidden="false" customHeight="false" outlineLevel="0" collapsed="false">
      <c r="A24" s="2" t="s">
        <v>34</v>
      </c>
      <c r="B24" s="23" t="n">
        <f aca="false">MIN(B17,B18,B19)</f>
        <v>4704383.96551724</v>
      </c>
    </row>
    <row r="27" customFormat="false" ht="15" hidden="false" customHeight="false" outlineLevel="0" collapsed="false">
      <c r="A27" s="3" t="s">
        <v>158</v>
      </c>
    </row>
    <row r="28" customFormat="false" ht="15" hidden="false" customHeight="false" outlineLevel="0" collapsed="false">
      <c r="A28" s="0" t="s">
        <v>84</v>
      </c>
      <c r="B28" s="21" t="n">
        <f aca="false">Inputs!B31</f>
        <v>4300000</v>
      </c>
    </row>
    <row r="29" customFormat="false" ht="15" hidden="false" customHeight="false" outlineLevel="0" collapsed="false">
      <c r="A29" s="0" t="s">
        <v>159</v>
      </c>
      <c r="B29" s="21" t="n">
        <f aca="false">Inputs!B29*B24</f>
        <v>47043.8396551724</v>
      </c>
    </row>
    <row r="30" customFormat="false" ht="15" hidden="false" customHeight="false" outlineLevel="0" collapsed="false">
      <c r="A30" s="0" t="s">
        <v>83</v>
      </c>
      <c r="B30" s="21" t="n">
        <f aca="false">Inputs!B30</f>
        <v>45000</v>
      </c>
    </row>
    <row r="31" customFormat="false" ht="15" hidden="false" customHeight="false" outlineLevel="0" collapsed="false">
      <c r="A31" s="0" t="s">
        <v>160</v>
      </c>
      <c r="B31" s="21" t="n">
        <f aca="false">SUM(B28:B30)</f>
        <v>4392043.83965517</v>
      </c>
    </row>
    <row r="32" customFormat="false" ht="15" hidden="false" customHeight="false" outlineLevel="0" collapsed="false">
      <c r="A32" s="2" t="s">
        <v>161</v>
      </c>
      <c r="B32" s="23" t="n">
        <f aca="false">B24-B31</f>
        <v>312340.125862069</v>
      </c>
    </row>
    <row r="35" customFormat="false" ht="15" hidden="false" customHeight="false" outlineLevel="0" collapsed="false">
      <c r="A35" s="3" t="s">
        <v>162</v>
      </c>
    </row>
    <row r="36" customFormat="false" ht="15" hidden="false" customHeight="false" outlineLevel="0" collapsed="false">
      <c r="A36" s="0" t="s">
        <v>163</v>
      </c>
      <c r="B36" s="22" t="n">
        <f aca="false">B24/UW!B32</f>
        <v>0.65</v>
      </c>
    </row>
    <row r="37" customFormat="false" ht="15" hidden="false" customHeight="false" outlineLevel="0" collapsed="false">
      <c r="A37" s="0" t="s">
        <v>164</v>
      </c>
      <c r="B37" s="21" t="n">
        <f aca="false">B24*B10</f>
        <v>356818.880980378</v>
      </c>
    </row>
    <row r="38" customFormat="false" ht="15" hidden="false" customHeight="false" outlineLevel="0" collapsed="false">
      <c r="A38" s="0" t="s">
        <v>165</v>
      </c>
      <c r="B38" s="31" t="n">
        <f aca="false">UW!B25/B37</f>
        <v>1.46214165732079</v>
      </c>
    </row>
    <row r="39" customFormat="false" ht="15" hidden="false" customHeight="false" outlineLevel="0" collapsed="false">
      <c r="A39" s="0" t="s">
        <v>166</v>
      </c>
      <c r="B39" s="22" t="n">
        <f aca="false">UW!B25/B24</f>
        <v>0.110900758489138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26"/>
    <col collapsed="false" customWidth="true" hidden="false" outlineLevel="0" max="11" min="5" style="0" width="16"/>
  </cols>
  <sheetData>
    <row r="1" customFormat="false" ht="17.35" hidden="false" customHeight="false" outlineLevel="0" collapsed="false">
      <c r="A1" s="6" t="s">
        <v>167</v>
      </c>
      <c r="B1" s="6"/>
      <c r="C1" s="6"/>
      <c r="D1" s="6"/>
      <c r="E1" s="6"/>
      <c r="F1" s="6"/>
      <c r="G1" s="6"/>
      <c r="H1" s="6"/>
    </row>
    <row r="2" customFormat="false" ht="15" hidden="false" customHeight="false" outlineLevel="0" collapsed="false">
      <c r="A2" s="20" t="s">
        <v>168</v>
      </c>
      <c r="B2" s="20"/>
      <c r="C2" s="20"/>
      <c r="D2" s="20"/>
      <c r="E2" s="20"/>
      <c r="F2" s="20"/>
      <c r="G2" s="20"/>
      <c r="H2" s="20"/>
    </row>
    <row r="4" customFormat="false" ht="15" hidden="false" customHeight="false" outlineLevel="0" collapsed="false">
      <c r="A4" s="3" t="s">
        <v>169</v>
      </c>
      <c r="D4" s="3" t="s">
        <v>170</v>
      </c>
    </row>
    <row r="5" customFormat="false" ht="15" hidden="false" customHeight="false" outlineLevel="0" collapsed="false">
      <c r="A5" s="2" t="s">
        <v>171</v>
      </c>
      <c r="B5" s="2" t="s">
        <v>172</v>
      </c>
      <c r="D5" s="2" t="s">
        <v>173</v>
      </c>
      <c r="E5" s="32" t="n">
        <v>0.06</v>
      </c>
      <c r="F5" s="32" t="n">
        <v>0.0625</v>
      </c>
      <c r="G5" s="32" t="n">
        <v>0.065</v>
      </c>
      <c r="H5" s="32" t="n">
        <v>0.0675</v>
      </c>
      <c r="I5" s="32" t="n">
        <v>0.07</v>
      </c>
      <c r="J5" s="32" t="n">
        <v>0.0725</v>
      </c>
      <c r="K5" s="32" t="n">
        <v>0.075</v>
      </c>
    </row>
    <row r="6" customFormat="false" ht="15" hidden="false" customHeight="false" outlineLevel="0" collapsed="false">
      <c r="A6" s="25" t="n">
        <v>0.06</v>
      </c>
      <c r="B6" s="15" t="n">
        <f aca="false">UW!$B$22/A6</f>
        <v>8745329.16666667</v>
      </c>
      <c r="D6" s="32" t="n">
        <v>0.06</v>
      </c>
      <c r="E6" s="15" t="n">
        <f aca="false">MIN(Debt!$B$11*(UW!$B$22/E$5),(UW!$B$25/Debt!$B$12)/((6/6)*((0.06/12)*(1+0.06/12)^(Debt!$B$8))/((1+0.06/12)^(Debt!$B$8)-1)*12),UW!$B$25/Debt!$B$13)</f>
        <v>5684463.95833333</v>
      </c>
      <c r="F6" s="15" t="n">
        <f aca="false">MIN(Debt!$B$11*(UW!$B$22/F$5),(UW!$B$25/Debt!$B$12)/((6/6)*((0.06/12)*(1+0.06/12)^(Debt!$B$8))/((1+0.06/12)^(Debt!$B$8)-1)*12),UW!$B$25/Debt!$B$13)</f>
        <v>5457085.4</v>
      </c>
      <c r="G6" s="15" t="n">
        <f aca="false">MIN(Debt!$B$11*(UW!$B$22/G$5),(UW!$B$25/Debt!$B$12)/((6/6)*((0.06/12)*(1+0.06/12)^(Debt!$B$8))/((1+0.06/12)^(Debt!$B$8)-1)*12),UW!$B$25/Debt!$B$13)</f>
        <v>5247197.5</v>
      </c>
      <c r="H6" s="15" t="n">
        <f aca="false">MIN(Debt!$B$11*(UW!$B$22/H$5),(UW!$B$25/Debt!$B$12)/((6/6)*((0.06/12)*(1+0.06/12)^(Debt!$B$8))/((1+0.06/12)^(Debt!$B$8)-1)*12),UW!$B$25/Debt!$B$13)</f>
        <v>5052856.85185185</v>
      </c>
      <c r="I6" s="15" t="n">
        <f aca="false">MIN(Debt!$B$11*(UW!$B$22/I$5),(UW!$B$25/Debt!$B$12)/((6/6)*((0.06/12)*(1+0.06/12)^(Debt!$B$8))/((1+0.06/12)^(Debt!$B$8)-1)*12),UW!$B$25/Debt!$B$13)</f>
        <v>4872397.67857143</v>
      </c>
      <c r="J6" s="15" t="n">
        <f aca="false">MIN(Debt!$B$11*(UW!$B$22/J$5),(UW!$B$25/Debt!$B$12)/((6/6)*((0.06/12)*(1+0.06/12)^(Debt!$B$8))/((1+0.06/12)^(Debt!$B$8)-1)*12),UW!$B$25/Debt!$B$13)</f>
        <v>4704383.96551724</v>
      </c>
      <c r="K6" s="15" t="n">
        <f aca="false">MIN(Debt!$B$11*(UW!$B$22/K$5),(UW!$B$25/Debt!$B$12)/((6/6)*((0.06/12)*(1+0.06/12)^(Debt!$B$8))/((1+0.06/12)^(Debt!$B$8)-1)*12),UW!$B$25/Debt!$B$13)</f>
        <v>4547571.16666667</v>
      </c>
    </row>
    <row r="7" customFormat="false" ht="15" hidden="false" customHeight="false" outlineLevel="0" collapsed="false">
      <c r="A7" s="25" t="n">
        <v>0.0625</v>
      </c>
      <c r="B7" s="15" t="n">
        <f aca="false">UW!$B$22/A7</f>
        <v>8395516</v>
      </c>
      <c r="D7" s="32" t="n">
        <v>0.0625</v>
      </c>
      <c r="E7" s="15" t="n">
        <f aca="false">MIN(Debt!$B$11*(UW!$B$22/E$5),(UW!$B$25/Debt!$B$12)/((7/7)*((0.0625/12)*(1+0.0625/12)^(Debt!$B$8))/((1+0.0625/12)^(Debt!$B$8)-1)*12),UW!$B$25/Debt!$B$13)</f>
        <v>5648911.00046905</v>
      </c>
      <c r="F7" s="15" t="n">
        <f aca="false">MIN(Debt!$B$11*(UW!$B$22/F$5),(UW!$B$25/Debt!$B$12)/((7/7)*((0.0625/12)*(1+0.0625/12)^(Debt!$B$8))/((1+0.0625/12)^(Debt!$B$8)-1)*12),UW!$B$25/Debt!$B$13)</f>
        <v>5457085.4</v>
      </c>
      <c r="G7" s="15" t="n">
        <f aca="false">MIN(Debt!$B$11*(UW!$B$22/G$5),(UW!$B$25/Debt!$B$12)/((7/7)*((0.0625/12)*(1+0.0625/12)^(Debt!$B$8))/((1+0.0625/12)^(Debt!$B$8)-1)*12),UW!$B$25/Debt!$B$13)</f>
        <v>5247197.5</v>
      </c>
      <c r="H7" s="15" t="n">
        <f aca="false">MIN(Debt!$B$11*(UW!$B$22/H$5),(UW!$B$25/Debt!$B$12)/((7/7)*((0.0625/12)*(1+0.0625/12)^(Debt!$B$8))/((1+0.0625/12)^(Debt!$B$8)-1)*12),UW!$B$25/Debt!$B$13)</f>
        <v>5052856.85185185</v>
      </c>
      <c r="I7" s="15" t="n">
        <f aca="false">MIN(Debt!$B$11*(UW!$B$22/I$5),(UW!$B$25/Debt!$B$12)/((7/7)*((0.0625/12)*(1+0.0625/12)^(Debt!$B$8))/((1+0.0625/12)^(Debt!$B$8)-1)*12),UW!$B$25/Debt!$B$13)</f>
        <v>4872397.67857143</v>
      </c>
      <c r="J7" s="15" t="n">
        <f aca="false">MIN(Debt!$B$11*(UW!$B$22/J$5),(UW!$B$25/Debt!$B$12)/((7/7)*((0.0625/12)*(1+0.0625/12)^(Debt!$B$8))/((1+0.0625/12)^(Debt!$B$8)-1)*12),UW!$B$25/Debt!$B$13)</f>
        <v>4704383.96551724</v>
      </c>
      <c r="K7" s="15" t="n">
        <f aca="false">MIN(Debt!$B$11*(UW!$B$22/K$5),(UW!$B$25/Debt!$B$12)/((7/7)*((0.0625/12)*(1+0.0625/12)^(Debt!$B$8))/((1+0.0625/12)^(Debt!$B$8)-1)*12),UW!$B$25/Debt!$B$13)</f>
        <v>4547571.16666667</v>
      </c>
    </row>
    <row r="8" customFormat="false" ht="15" hidden="false" customHeight="false" outlineLevel="0" collapsed="false">
      <c r="A8" s="25" t="n">
        <v>0.065</v>
      </c>
      <c r="B8" s="15" t="n">
        <f aca="false">UW!$B$22/A8</f>
        <v>8072611.53846154</v>
      </c>
      <c r="D8" s="32" t="n">
        <v>0.065</v>
      </c>
      <c r="E8" s="15" t="n">
        <f aca="false">MIN(Debt!$B$11*(UW!$B$22/E$5),(UW!$B$25/Debt!$B$12)/((8/8)*((0.065/12)*(1+0.065/12)^(Debt!$B$8))/((1+0.065/12)^(Debt!$B$8)-1)*12),UW!$B$25/Debt!$B$13)</f>
        <v>5502780.61441179</v>
      </c>
      <c r="F8" s="15" t="n">
        <f aca="false">MIN(Debt!$B$11*(UW!$B$22/F$5),(UW!$B$25/Debt!$B$12)/((8/8)*((0.065/12)*(1+0.065/12)^(Debt!$B$8))/((1+0.065/12)^(Debt!$B$8)-1)*12),UW!$B$25/Debt!$B$13)</f>
        <v>5457085.4</v>
      </c>
      <c r="G8" s="15" t="n">
        <f aca="false">MIN(Debt!$B$11*(UW!$B$22/G$5),(UW!$B$25/Debt!$B$12)/((8/8)*((0.065/12)*(1+0.065/12)^(Debt!$B$8))/((1+0.065/12)^(Debt!$B$8)-1)*12),UW!$B$25/Debt!$B$13)</f>
        <v>5247197.5</v>
      </c>
      <c r="H8" s="19" t="n">
        <f aca="false">MIN(Debt!$B$11*(UW!$B$22/H$5),(UW!$B$25/Debt!$B$12)/((8/8)*((0.065/12)*(1+0.065/12)^(Debt!$B$8))/((1+0.065/12)^(Debt!$B$8)-1)*12),UW!$B$25/Debt!$B$13)</f>
        <v>5052856.85185185</v>
      </c>
      <c r="I8" s="15" t="n">
        <f aca="false">MIN(Debt!$B$11*(UW!$B$22/I$5),(UW!$B$25/Debt!$B$12)/((8/8)*((0.065/12)*(1+0.065/12)^(Debt!$B$8))/((1+0.065/12)^(Debt!$B$8)-1)*12),UW!$B$25/Debt!$B$13)</f>
        <v>4872397.67857143</v>
      </c>
      <c r="J8" s="15" t="n">
        <f aca="false">MIN(Debt!$B$11*(UW!$B$22/J$5),(UW!$B$25/Debt!$B$12)/((8/8)*((0.065/12)*(1+0.065/12)^(Debt!$B$8))/((1+0.065/12)^(Debt!$B$8)-1)*12),UW!$B$25/Debt!$B$13)</f>
        <v>4704383.96551724</v>
      </c>
      <c r="K8" s="15" t="n">
        <f aca="false">MIN(Debt!$B$11*(UW!$B$22/K$5),(UW!$B$25/Debt!$B$12)/((8/8)*((0.065/12)*(1+0.065/12)^(Debt!$B$8))/((1+0.065/12)^(Debt!$B$8)-1)*12),UW!$B$25/Debt!$B$13)</f>
        <v>4547571.16666667</v>
      </c>
    </row>
    <row r="9" customFormat="false" ht="15" hidden="false" customHeight="false" outlineLevel="0" collapsed="false">
      <c r="A9" s="25" t="n">
        <v>0.0675</v>
      </c>
      <c r="B9" s="19" t="n">
        <f aca="false">UW!$B$22/A9</f>
        <v>7773625.92592593</v>
      </c>
      <c r="D9" s="32" t="n">
        <v>0.0675</v>
      </c>
      <c r="E9" s="15" t="n">
        <f aca="false">MIN(Debt!$B$11*(UW!$B$22/E$5),(UW!$B$25/Debt!$B$12)/((9/9)*((0.0675/12)*(1+0.0675/12)^(Debt!$B$8))/((1+0.0675/12)^(Debt!$B$8)-1)*12),UW!$B$25/Debt!$B$13)</f>
        <v>5362537.57923395</v>
      </c>
      <c r="F9" s="15" t="n">
        <f aca="false">MIN(Debt!$B$11*(UW!$B$22/F$5),(UW!$B$25/Debt!$B$12)/((9/9)*((0.0675/12)*(1+0.0675/12)^(Debt!$B$8))/((1+0.0675/12)^(Debt!$B$8)-1)*12),UW!$B$25/Debt!$B$13)</f>
        <v>5362537.57923395</v>
      </c>
      <c r="G9" s="15" t="n">
        <f aca="false">MIN(Debt!$B$11*(UW!$B$22/G$5),(UW!$B$25/Debt!$B$12)/((9/9)*((0.0675/12)*(1+0.0675/12)^(Debt!$B$8))/((1+0.0675/12)^(Debt!$B$8)-1)*12),UW!$B$25/Debt!$B$13)</f>
        <v>5247197.5</v>
      </c>
      <c r="H9" s="15" t="n">
        <f aca="false">MIN(Debt!$B$11*(UW!$B$22/H$5),(UW!$B$25/Debt!$B$12)/((9/9)*((0.0675/12)*(1+0.0675/12)^(Debt!$B$8))/((1+0.0675/12)^(Debt!$B$8)-1)*12),UW!$B$25/Debt!$B$13)</f>
        <v>5052856.85185185</v>
      </c>
      <c r="I9" s="15" t="n">
        <f aca="false">MIN(Debt!$B$11*(UW!$B$22/I$5),(UW!$B$25/Debt!$B$12)/((9/9)*((0.0675/12)*(1+0.0675/12)^(Debt!$B$8))/((1+0.0675/12)^(Debt!$B$8)-1)*12),UW!$B$25/Debt!$B$13)</f>
        <v>4872397.67857143</v>
      </c>
      <c r="J9" s="15" t="n">
        <f aca="false">MIN(Debt!$B$11*(UW!$B$22/J$5),(UW!$B$25/Debt!$B$12)/((9/9)*((0.0675/12)*(1+0.0675/12)^(Debt!$B$8))/((1+0.0675/12)^(Debt!$B$8)-1)*12),UW!$B$25/Debt!$B$13)</f>
        <v>4704383.96551724</v>
      </c>
      <c r="K9" s="15" t="n">
        <f aca="false">MIN(Debt!$B$11*(UW!$B$22/K$5),(UW!$B$25/Debt!$B$12)/((9/9)*((0.0675/12)*(1+0.0675/12)^(Debt!$B$8))/((1+0.0675/12)^(Debt!$B$8)-1)*12),UW!$B$25/Debt!$B$13)</f>
        <v>4547571.16666667</v>
      </c>
    </row>
    <row r="10" customFormat="false" ht="15" hidden="false" customHeight="false" outlineLevel="0" collapsed="false">
      <c r="A10" s="25" t="n">
        <v>0.07</v>
      </c>
      <c r="B10" s="15" t="n">
        <f aca="false">UW!$B$22/A10</f>
        <v>7495996.42857143</v>
      </c>
      <c r="D10" s="32" t="n">
        <v>0.07</v>
      </c>
      <c r="E10" s="15" t="n">
        <f aca="false">MIN(Debt!$B$11*(UW!$B$22/E$5),(UW!$B$25/Debt!$B$12)/((10/10)*((0.07/12)*(1+0.07/12)^(Debt!$B$8))/((1+0.07/12)^(Debt!$B$8)-1)*12),UW!$B$25/Debt!$B$13)</f>
        <v>5227895.11818969</v>
      </c>
      <c r="F10" s="15" t="n">
        <f aca="false">MIN(Debt!$B$11*(UW!$B$22/F$5),(UW!$B$25/Debt!$B$12)/((10/10)*((0.07/12)*(1+0.07/12)^(Debt!$B$8))/((1+0.07/12)^(Debt!$B$8)-1)*12),UW!$B$25/Debt!$B$13)</f>
        <v>5227895.11818969</v>
      </c>
      <c r="G10" s="15" t="n">
        <f aca="false">MIN(Debt!$B$11*(UW!$B$22/G$5),(UW!$B$25/Debt!$B$12)/((10/10)*((0.07/12)*(1+0.07/12)^(Debt!$B$8))/((1+0.07/12)^(Debt!$B$8)-1)*12),UW!$B$25/Debt!$B$13)</f>
        <v>5227895.11818969</v>
      </c>
      <c r="H10" s="15" t="n">
        <f aca="false">MIN(Debt!$B$11*(UW!$B$22/H$5),(UW!$B$25/Debt!$B$12)/((10/10)*((0.07/12)*(1+0.07/12)^(Debt!$B$8))/((1+0.07/12)^(Debt!$B$8)-1)*12),UW!$B$25/Debt!$B$13)</f>
        <v>5052856.85185185</v>
      </c>
      <c r="I10" s="15" t="n">
        <f aca="false">MIN(Debt!$B$11*(UW!$B$22/I$5),(UW!$B$25/Debt!$B$12)/((10/10)*((0.07/12)*(1+0.07/12)^(Debt!$B$8))/((1+0.07/12)^(Debt!$B$8)-1)*12),UW!$B$25/Debt!$B$13)</f>
        <v>4872397.67857143</v>
      </c>
      <c r="J10" s="15" t="n">
        <f aca="false">MIN(Debt!$B$11*(UW!$B$22/J$5),(UW!$B$25/Debt!$B$12)/((10/10)*((0.07/12)*(1+0.07/12)^(Debt!$B$8))/((1+0.07/12)^(Debt!$B$8)-1)*12),UW!$B$25/Debt!$B$13)</f>
        <v>4704383.96551724</v>
      </c>
      <c r="K10" s="15" t="n">
        <f aca="false">MIN(Debt!$B$11*(UW!$B$22/K$5),(UW!$B$25/Debt!$B$12)/((10/10)*((0.07/12)*(1+0.07/12)^(Debt!$B$8))/((1+0.07/12)^(Debt!$B$8)-1)*12),UW!$B$25/Debt!$B$13)</f>
        <v>4547571.16666667</v>
      </c>
    </row>
    <row r="11" customFormat="false" ht="15" hidden="false" customHeight="false" outlineLevel="0" collapsed="false">
      <c r="A11" s="25" t="n">
        <v>0.0725</v>
      </c>
      <c r="B11" s="15" t="n">
        <f aca="false">UW!$B$22/A11</f>
        <v>7237513.79310345</v>
      </c>
    </row>
    <row r="12" customFormat="false" ht="15" hidden="false" customHeight="false" outlineLevel="0" collapsed="false">
      <c r="A12" s="25" t="n">
        <v>0.075</v>
      </c>
      <c r="B12" s="15" t="n">
        <f aca="false">UW!$B$22/A12</f>
        <v>6996263.33333333</v>
      </c>
    </row>
    <row r="15" customFormat="false" ht="15" hidden="false" customHeight="false" outlineLevel="0" collapsed="false">
      <c r="A15" s="33" t="s">
        <v>174</v>
      </c>
      <c r="B15" s="33"/>
      <c r="C15" s="33"/>
      <c r="D15" s="33"/>
      <c r="E15" s="33"/>
      <c r="F15" s="33"/>
      <c r="G15" s="33"/>
      <c r="H15" s="33"/>
    </row>
  </sheetData>
  <mergeCells count="3">
    <mergeCell ref="A1:H1"/>
    <mergeCell ref="A2:H2"/>
    <mergeCell ref="A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6"/>
    <col collapsed="false" customWidth="true" hidden="false" outlineLevel="0" max="4" min="4" style="0" width="55"/>
  </cols>
  <sheetData>
    <row r="1" customFormat="false" ht="17.35" hidden="false" customHeight="false" outlineLevel="0" collapsed="false">
      <c r="A1" s="6" t="s">
        <v>175</v>
      </c>
      <c r="B1" s="6"/>
      <c r="C1" s="6"/>
      <c r="D1" s="6"/>
    </row>
    <row r="2" customFormat="false" ht="15" hidden="false" customHeight="false" outlineLevel="0" collapsed="false">
      <c r="A2" s="20" t="s">
        <v>176</v>
      </c>
      <c r="B2" s="20"/>
      <c r="C2" s="20"/>
      <c r="D2" s="20"/>
    </row>
    <row r="3" customFormat="false" ht="15" hidden="false" customHeight="false" outlineLevel="0" collapsed="false">
      <c r="A3" s="33" t="s">
        <v>177</v>
      </c>
      <c r="B3" s="33"/>
      <c r="C3" s="33"/>
      <c r="D3" s="33"/>
    </row>
    <row r="5" customFormat="false" ht="15" hidden="false" customHeight="false" outlineLevel="0" collapsed="false">
      <c r="A5" s="4" t="s">
        <v>178</v>
      </c>
      <c r="B5" s="4" t="s">
        <v>179</v>
      </c>
      <c r="C5" s="4" t="s">
        <v>180</v>
      </c>
      <c r="D5" s="4" t="s">
        <v>181</v>
      </c>
    </row>
    <row r="6" customFormat="false" ht="15" hidden="false" customHeight="false" outlineLevel="0" collapsed="false">
      <c r="A6" s="14" t="s">
        <v>182</v>
      </c>
      <c r="B6" s="15" t="n">
        <v>736830</v>
      </c>
      <c r="C6" s="15" t="n">
        <f aca="false">Inputs!B7</f>
        <v>814500</v>
      </c>
      <c r="D6" s="34" t="s">
        <v>183</v>
      </c>
    </row>
    <row r="7" customFormat="false" ht="15" hidden="false" customHeight="false" outlineLevel="0" collapsed="false">
      <c r="A7" s="14" t="s">
        <v>184</v>
      </c>
      <c r="B7" s="14"/>
      <c r="C7" s="15" t="n">
        <f aca="false">-UW!B5*UW!B6</f>
        <v>-40725</v>
      </c>
      <c r="D7" s="34" t="s">
        <v>185</v>
      </c>
    </row>
    <row r="8" customFormat="false" ht="15" hidden="false" customHeight="false" outlineLevel="0" collapsed="false">
      <c r="A8" s="14" t="s">
        <v>186</v>
      </c>
      <c r="B8" s="14"/>
      <c r="C8" s="15" t="n">
        <f aca="false">UW!B8</f>
        <v>3500</v>
      </c>
      <c r="D8" s="34" t="s">
        <v>187</v>
      </c>
    </row>
    <row r="9" customFormat="false" ht="15" hidden="false" customHeight="false" outlineLevel="0" collapsed="false">
      <c r="A9" s="14" t="s">
        <v>188</v>
      </c>
      <c r="B9" s="15" t="n">
        <v>736830</v>
      </c>
      <c r="C9" s="15" t="n">
        <f aca="false">UW!B10</f>
        <v>777275</v>
      </c>
      <c r="D9" s="34" t="s">
        <v>189</v>
      </c>
    </row>
    <row r="10" customFormat="false" ht="15" hidden="false" customHeight="false" outlineLevel="0" collapsed="false">
      <c r="A10" s="14" t="s">
        <v>190</v>
      </c>
      <c r="B10" s="15" t="n">
        <v>-85964</v>
      </c>
      <c r="C10" s="15" t="n">
        <f aca="false">-UW!B13</f>
        <v>-85964</v>
      </c>
      <c r="D10" s="34" t="s">
        <v>191</v>
      </c>
    </row>
    <row r="11" customFormat="false" ht="15" hidden="false" customHeight="false" outlineLevel="0" collapsed="false">
      <c r="A11" s="14" t="s">
        <v>192</v>
      </c>
      <c r="B11" s="15" t="n">
        <v>-28655</v>
      </c>
      <c r="C11" s="15" t="n">
        <f aca="false">-UW!B14</f>
        <v>-28655</v>
      </c>
      <c r="D11" s="34" t="s">
        <v>191</v>
      </c>
    </row>
    <row r="12" customFormat="false" ht="15" hidden="false" customHeight="false" outlineLevel="0" collapsed="false">
      <c r="A12" s="14" t="s">
        <v>193</v>
      </c>
      <c r="B12" s="15" t="n">
        <v>-114618</v>
      </c>
      <c r="C12" s="15" t="n">
        <f aca="false">-UW!B15</f>
        <v>-114618</v>
      </c>
      <c r="D12" s="34" t="s">
        <v>191</v>
      </c>
    </row>
    <row r="13" customFormat="false" ht="15" hidden="false" customHeight="false" outlineLevel="0" collapsed="false">
      <c r="A13" s="14" t="s">
        <v>194</v>
      </c>
      <c r="B13" s="15" t="n">
        <v>0</v>
      </c>
      <c r="C13" s="15" t="n">
        <f aca="false">-UW!B16</f>
        <v>-23318.25</v>
      </c>
      <c r="D13" s="34" t="s">
        <v>195</v>
      </c>
    </row>
    <row r="14" customFormat="false" ht="15" hidden="false" customHeight="false" outlineLevel="0" collapsed="false">
      <c r="A14" s="14" t="s">
        <v>196</v>
      </c>
      <c r="B14" s="15" t="n">
        <v>0</v>
      </c>
      <c r="C14" s="15" t="n">
        <v>0</v>
      </c>
      <c r="D14" s="34" t="s">
        <v>197</v>
      </c>
    </row>
    <row r="15" customFormat="false" ht="15" hidden="false" customHeight="false" outlineLevel="0" collapsed="false">
      <c r="A15" s="14" t="s">
        <v>198</v>
      </c>
      <c r="B15" s="15" t="n">
        <v>507593</v>
      </c>
      <c r="C15" s="15" t="n">
        <f aca="false">UW!B22</f>
        <v>524719.75</v>
      </c>
      <c r="D15" s="34" t="s">
        <v>199</v>
      </c>
    </row>
    <row r="16" customFormat="false" ht="15" hidden="false" customHeight="false" outlineLevel="0" collapsed="false">
      <c r="A16" s="14" t="s">
        <v>200</v>
      </c>
      <c r="B16" s="14"/>
      <c r="C16" s="15" t="n">
        <f aca="false">-UW!B23</f>
        <v>-3000</v>
      </c>
      <c r="D16" s="34" t="s">
        <v>201</v>
      </c>
    </row>
    <row r="17" customFormat="false" ht="15" hidden="false" customHeight="false" outlineLevel="0" collapsed="false">
      <c r="A17" s="14" t="s">
        <v>202</v>
      </c>
      <c r="B17" s="14"/>
      <c r="C17" s="15" t="n">
        <f aca="false">UW!B25</f>
        <v>521719.75</v>
      </c>
      <c r="D17" s="34" t="s">
        <v>203</v>
      </c>
    </row>
  </sheetData>
  <mergeCells count="3">
    <mergeCell ref="A1:D1"/>
    <mergeCell ref="A2:D2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5"/>
    <col collapsed="false" customWidth="true" hidden="false" outlineLevel="0" max="3" min="3" style="0" width="32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6" t="s">
        <v>204</v>
      </c>
      <c r="B1" s="6"/>
      <c r="C1" s="6"/>
      <c r="D1" s="6"/>
    </row>
    <row r="3" customFormat="false" ht="15" hidden="false" customHeight="false" outlineLevel="0" collapsed="false">
      <c r="A3" s="4" t="s">
        <v>205</v>
      </c>
      <c r="B3" s="4" t="s">
        <v>206</v>
      </c>
      <c r="C3" s="4" t="s">
        <v>207</v>
      </c>
      <c r="D3" s="4" t="s">
        <v>208</v>
      </c>
    </row>
    <row r="4" customFormat="false" ht="15" hidden="false" customHeight="false" outlineLevel="0" collapsed="false">
      <c r="A4" s="14" t="n">
        <v>1</v>
      </c>
      <c r="B4" s="34" t="s">
        <v>209</v>
      </c>
      <c r="C4" s="14" t="s">
        <v>4</v>
      </c>
      <c r="D4" s="34" t="s">
        <v>210</v>
      </c>
    </row>
    <row r="5" customFormat="false" ht="15" hidden="false" customHeight="false" outlineLevel="0" collapsed="false">
      <c r="A5" s="14" t="n">
        <v>2</v>
      </c>
      <c r="B5" s="34" t="s">
        <v>211</v>
      </c>
      <c r="C5" s="14" t="s">
        <v>212</v>
      </c>
      <c r="D5" s="34" t="s">
        <v>213</v>
      </c>
    </row>
    <row r="6" customFormat="false" ht="15" hidden="false" customHeight="false" outlineLevel="0" collapsed="false">
      <c r="A6" s="14" t="n">
        <v>3</v>
      </c>
      <c r="B6" s="34" t="s">
        <v>214</v>
      </c>
      <c r="C6" s="14" t="s">
        <v>215</v>
      </c>
      <c r="D6" s="34" t="s">
        <v>216</v>
      </c>
    </row>
    <row r="7" customFormat="false" ht="15" hidden="false" customHeight="false" outlineLevel="0" collapsed="false">
      <c r="A7" s="14" t="n">
        <v>4</v>
      </c>
      <c r="B7" s="34" t="s">
        <v>217</v>
      </c>
      <c r="C7" s="14" t="s">
        <v>218</v>
      </c>
      <c r="D7" s="34" t="s">
        <v>219</v>
      </c>
    </row>
    <row r="8" customFormat="false" ht="15" hidden="false" customHeight="false" outlineLevel="0" collapsed="false">
      <c r="A8" s="14" t="n">
        <v>5</v>
      </c>
      <c r="B8" s="34" t="s">
        <v>220</v>
      </c>
      <c r="C8" s="14" t="s">
        <v>221</v>
      </c>
      <c r="D8" s="34" t="s">
        <v>222</v>
      </c>
    </row>
    <row r="9" customFormat="false" ht="15" hidden="false" customHeight="false" outlineLevel="0" collapsed="false">
      <c r="A9" s="14" t="n">
        <v>6</v>
      </c>
      <c r="B9" s="34" t="s">
        <v>223</v>
      </c>
      <c r="C9" s="14" t="s">
        <v>224</v>
      </c>
      <c r="D9" s="34" t="s">
        <v>225</v>
      </c>
    </row>
    <row r="10" customFormat="false" ht="15" hidden="false" customHeight="false" outlineLevel="0" collapsed="false">
      <c r="A10" s="14" t="n">
        <v>7</v>
      </c>
      <c r="B10" s="34" t="s">
        <v>226</v>
      </c>
      <c r="C10" s="14" t="s">
        <v>227</v>
      </c>
      <c r="D10" s="34" t="s">
        <v>228</v>
      </c>
    </row>
    <row r="11" customFormat="false" ht="15" hidden="false" customHeight="false" outlineLevel="0" collapsed="false">
      <c r="A11" s="14" t="n">
        <v>8</v>
      </c>
      <c r="B11" s="34" t="s">
        <v>229</v>
      </c>
      <c r="C11" s="14" t="s">
        <v>230</v>
      </c>
      <c r="D11" s="34" t="s">
        <v>228</v>
      </c>
    </row>
    <row r="12" customFormat="false" ht="15" hidden="false" customHeight="false" outlineLevel="0" collapsed="false">
      <c r="A12" s="14" t="n">
        <v>9</v>
      </c>
      <c r="B12" s="34" t="s">
        <v>231</v>
      </c>
      <c r="C12" s="14" t="s">
        <v>232</v>
      </c>
      <c r="D12" s="34" t="s">
        <v>233</v>
      </c>
    </row>
    <row r="13" customFormat="false" ht="15" hidden="false" customHeight="false" outlineLevel="0" collapsed="false">
      <c r="A13" s="14" t="n">
        <v>10</v>
      </c>
      <c r="B13" s="34" t="s">
        <v>234</v>
      </c>
      <c r="C13" s="14" t="s">
        <v>235</v>
      </c>
      <c r="D13" s="34" t="s">
        <v>236</v>
      </c>
    </row>
    <row r="14" customFormat="false" ht="15" hidden="false" customHeight="false" outlineLevel="0" collapsed="false">
      <c r="A14" s="14" t="n">
        <v>11</v>
      </c>
      <c r="B14" s="34" t="s">
        <v>237</v>
      </c>
      <c r="C14" s="14" t="s">
        <v>238</v>
      </c>
      <c r="D14" s="34" t="s">
        <v>236</v>
      </c>
    </row>
    <row r="15" customFormat="false" ht="15" hidden="false" customHeight="false" outlineLevel="0" collapsed="false">
      <c r="A15" s="14" t="n">
        <v>12</v>
      </c>
      <c r="B15" s="34" t="s">
        <v>239</v>
      </c>
      <c r="C15" s="14" t="s">
        <v>240</v>
      </c>
      <c r="D15" s="34" t="s">
        <v>236</v>
      </c>
    </row>
    <row r="16" customFormat="false" ht="15" hidden="false" customHeight="false" outlineLevel="0" collapsed="false">
      <c r="A16" s="14" t="n">
        <v>13</v>
      </c>
      <c r="B16" s="34" t="s">
        <v>241</v>
      </c>
      <c r="C16" s="14" t="s">
        <v>242</v>
      </c>
      <c r="D16" s="34" t="s">
        <v>236</v>
      </c>
    </row>
    <row r="17" customFormat="false" ht="15" hidden="false" customHeight="false" outlineLevel="0" collapsed="false">
      <c r="A17" s="14" t="n">
        <v>14</v>
      </c>
      <c r="B17" s="34" t="s">
        <v>243</v>
      </c>
      <c r="C17" s="14" t="s">
        <v>244</v>
      </c>
      <c r="D17" s="34" t="s">
        <v>236</v>
      </c>
    </row>
    <row r="18" customFormat="false" ht="15" hidden="false" customHeight="false" outlineLevel="0" collapsed="false">
      <c r="A18" s="14" t="n">
        <v>15</v>
      </c>
      <c r="B18" s="34" t="s">
        <v>245</v>
      </c>
      <c r="C18" s="14" t="s">
        <v>246</v>
      </c>
      <c r="D18" s="34" t="s">
        <v>247</v>
      </c>
    </row>
    <row r="19" customFormat="false" ht="15" hidden="false" customHeight="false" outlineLevel="0" collapsed="false">
      <c r="A19" s="14" t="n">
        <v>16</v>
      </c>
      <c r="B19" s="34" t="s">
        <v>248</v>
      </c>
      <c r="C19" s="14" t="s">
        <v>249</v>
      </c>
      <c r="D19" s="34" t="s">
        <v>247</v>
      </c>
    </row>
    <row r="20" customFormat="false" ht="15" hidden="false" customHeight="false" outlineLevel="0" collapsed="false">
      <c r="A20" s="14" t="n">
        <v>17</v>
      </c>
      <c r="B20" s="34" t="s">
        <v>250</v>
      </c>
      <c r="C20" s="14" t="s">
        <v>251</v>
      </c>
      <c r="D20" s="34" t="s">
        <v>252</v>
      </c>
    </row>
    <row r="21" customFormat="false" ht="15" hidden="false" customHeight="false" outlineLevel="0" collapsed="false">
      <c r="A21" s="14" t="n">
        <v>18</v>
      </c>
      <c r="B21" s="34" t="s">
        <v>253</v>
      </c>
      <c r="C21" s="14" t="s">
        <v>254</v>
      </c>
      <c r="D21" s="34" t="s">
        <v>252</v>
      </c>
    </row>
    <row r="22" customFormat="false" ht="15" hidden="false" customHeight="false" outlineLevel="0" collapsed="false">
      <c r="A22" s="14" t="n">
        <v>19</v>
      </c>
      <c r="B22" s="34" t="s">
        <v>255</v>
      </c>
      <c r="C22" s="14" t="s">
        <v>256</v>
      </c>
      <c r="D22" s="34" t="s">
        <v>252</v>
      </c>
    </row>
    <row r="23" customFormat="false" ht="15" hidden="false" customHeight="false" outlineLevel="0" collapsed="false">
      <c r="A23" s="14" t="n">
        <v>20</v>
      </c>
      <c r="B23" s="34" t="s">
        <v>257</v>
      </c>
      <c r="C23" s="14" t="s">
        <v>258</v>
      </c>
      <c r="D23" s="34" t="s">
        <v>252</v>
      </c>
    </row>
    <row r="24" customFormat="false" ht="15" hidden="false" customHeight="false" outlineLevel="0" collapsed="false">
      <c r="A24" s="14" t="n">
        <v>21</v>
      </c>
      <c r="B24" s="34" t="s">
        <v>259</v>
      </c>
      <c r="C24" s="14" t="s">
        <v>260</v>
      </c>
      <c r="D24" s="34" t="s">
        <v>252</v>
      </c>
    </row>
    <row r="25" customFormat="false" ht="15" hidden="false" customHeight="false" outlineLevel="0" collapsed="false">
      <c r="A25" s="14" t="n">
        <v>22</v>
      </c>
      <c r="B25" s="34" t="s">
        <v>261</v>
      </c>
      <c r="C25" s="14" t="s">
        <v>262</v>
      </c>
      <c r="D25" s="34" t="s">
        <v>252</v>
      </c>
    </row>
    <row r="26" customFormat="false" ht="15" hidden="false" customHeight="false" outlineLevel="0" collapsed="false">
      <c r="A26" s="14" t="n">
        <v>23</v>
      </c>
      <c r="B26" s="34" t="s">
        <v>263</v>
      </c>
      <c r="C26" s="14" t="s">
        <v>264</v>
      </c>
      <c r="D26" s="34" t="s">
        <v>252</v>
      </c>
    </row>
    <row r="27" customFormat="false" ht="15" hidden="false" customHeight="false" outlineLevel="0" collapsed="false">
      <c r="A27" s="14" t="n">
        <v>24</v>
      </c>
      <c r="B27" s="34" t="s">
        <v>265</v>
      </c>
      <c r="C27" s="14" t="s">
        <v>266</v>
      </c>
      <c r="D27" s="34" t="s">
        <v>252</v>
      </c>
    </row>
    <row r="28" customFormat="false" ht="15" hidden="false" customHeight="false" outlineLevel="0" collapsed="false">
      <c r="A28" s="14" t="n">
        <v>25</v>
      </c>
      <c r="B28" s="34" t="s">
        <v>267</v>
      </c>
      <c r="C28" s="14" t="s">
        <v>268</v>
      </c>
      <c r="D28" s="34" t="s">
        <v>252</v>
      </c>
    </row>
    <row r="29" customFormat="false" ht="15" hidden="false" customHeight="false" outlineLevel="0" collapsed="false">
      <c r="A29" s="14" t="n">
        <v>26</v>
      </c>
      <c r="B29" s="34" t="s">
        <v>269</v>
      </c>
      <c r="C29" s="14" t="s">
        <v>270</v>
      </c>
      <c r="D29" s="34" t="s">
        <v>252</v>
      </c>
    </row>
    <row r="30" customFormat="false" ht="15" hidden="false" customHeight="false" outlineLevel="0" collapsed="false">
      <c r="A30" s="14" t="n">
        <v>27</v>
      </c>
      <c r="B30" s="34" t="s">
        <v>271</v>
      </c>
      <c r="C30" s="14" t="s">
        <v>272</v>
      </c>
      <c r="D30" s="34" t="s">
        <v>252</v>
      </c>
    </row>
    <row r="31" customFormat="false" ht="15" hidden="false" customHeight="false" outlineLevel="0" collapsed="false">
      <c r="A31" s="14" t="n">
        <v>28</v>
      </c>
      <c r="B31" s="34" t="s">
        <v>273</v>
      </c>
      <c r="C31" s="14" t="s">
        <v>274</v>
      </c>
      <c r="D31" s="34" t="s">
        <v>275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34"/>
    <col collapsed="false" customWidth="true" hidden="false" outlineLevel="0" max="5" min="5" style="0" width="54"/>
  </cols>
  <sheetData>
    <row r="1" customFormat="false" ht="17.35" hidden="false" customHeight="false" outlineLevel="0" collapsed="false">
      <c r="A1" s="6" t="s">
        <v>276</v>
      </c>
      <c r="B1" s="6"/>
      <c r="C1" s="6"/>
      <c r="D1" s="6"/>
      <c r="E1" s="6"/>
    </row>
    <row r="3" customFormat="false" ht="15" hidden="false" customHeight="false" outlineLevel="0" collapsed="false">
      <c r="A3" s="4" t="s">
        <v>8</v>
      </c>
      <c r="B3" s="4" t="s">
        <v>207</v>
      </c>
      <c r="C3" s="4" t="s">
        <v>277</v>
      </c>
      <c r="D3" s="4" t="s">
        <v>278</v>
      </c>
      <c r="E3" s="4" t="s">
        <v>9</v>
      </c>
    </row>
    <row r="4" customFormat="false" ht="15" hidden="false" customHeight="false" outlineLevel="0" collapsed="false">
      <c r="A4" s="35" t="s">
        <v>114</v>
      </c>
      <c r="B4" s="36" t="n">
        <v>10</v>
      </c>
      <c r="C4" s="37" t="s">
        <v>60</v>
      </c>
      <c r="D4" s="34" t="s">
        <v>279</v>
      </c>
      <c r="E4" s="34" t="s">
        <v>280</v>
      </c>
    </row>
    <row r="5" customFormat="false" ht="15" hidden="false" customHeight="false" outlineLevel="0" collapsed="false">
      <c r="A5" s="35" t="s">
        <v>281</v>
      </c>
      <c r="B5" s="36" t="n">
        <v>9</v>
      </c>
      <c r="C5" s="37" t="s">
        <v>60</v>
      </c>
      <c r="D5" s="34" t="s">
        <v>279</v>
      </c>
      <c r="E5" s="34" t="s">
        <v>282</v>
      </c>
    </row>
    <row r="6" customFormat="false" ht="15" hidden="false" customHeight="false" outlineLevel="0" collapsed="false">
      <c r="A6" s="35" t="s">
        <v>116</v>
      </c>
      <c r="B6" s="36" t="n">
        <v>0</v>
      </c>
      <c r="C6" s="37" t="s">
        <v>60</v>
      </c>
      <c r="D6" s="34" t="s">
        <v>279</v>
      </c>
      <c r="E6" s="34" t="s">
        <v>283</v>
      </c>
    </row>
    <row r="7" customFormat="false" ht="15" hidden="false" customHeight="false" outlineLevel="0" collapsed="false">
      <c r="A7" s="35" t="s">
        <v>117</v>
      </c>
      <c r="B7" s="36" t="n">
        <v>31150</v>
      </c>
      <c r="C7" s="37" t="s">
        <v>284</v>
      </c>
      <c r="D7" s="34" t="s">
        <v>279</v>
      </c>
      <c r="E7" s="34" t="s">
        <v>285</v>
      </c>
    </row>
    <row r="8" customFormat="false" ht="15" hidden="false" customHeight="false" outlineLevel="0" collapsed="false">
      <c r="A8" s="35" t="s">
        <v>118</v>
      </c>
      <c r="B8" s="36" t="n">
        <v>28170</v>
      </c>
      <c r="C8" s="37" t="s">
        <v>284</v>
      </c>
      <c r="D8" s="34" t="s">
        <v>279</v>
      </c>
      <c r="E8" s="34" t="s">
        <v>286</v>
      </c>
    </row>
    <row r="9" customFormat="false" ht="15" hidden="false" customHeight="false" outlineLevel="0" collapsed="false">
      <c r="A9" s="35" t="s">
        <v>119</v>
      </c>
      <c r="B9" s="38" t="n">
        <v>0.9</v>
      </c>
      <c r="C9" s="37" t="s">
        <v>62</v>
      </c>
      <c r="D9" s="34" t="s">
        <v>279</v>
      </c>
      <c r="E9" s="34" t="s">
        <v>287</v>
      </c>
    </row>
    <row r="10" customFormat="false" ht="15" hidden="false" customHeight="false" outlineLevel="0" collapsed="false">
      <c r="A10" s="35" t="s">
        <v>120</v>
      </c>
      <c r="B10" s="38" t="n">
        <v>0.9042</v>
      </c>
      <c r="C10" s="37" t="s">
        <v>62</v>
      </c>
      <c r="D10" s="34" t="s">
        <v>279</v>
      </c>
      <c r="E10" s="34" t="s">
        <v>288</v>
      </c>
    </row>
    <row r="11" customFormat="false" ht="15" hidden="false" customHeight="false" outlineLevel="0" collapsed="false">
      <c r="A11" s="35" t="s">
        <v>121</v>
      </c>
      <c r="B11" s="15" t="n">
        <v>735300</v>
      </c>
      <c r="C11" s="37" t="s">
        <v>64</v>
      </c>
      <c r="D11" s="34" t="s">
        <v>279</v>
      </c>
      <c r="E11" s="34" t="s">
        <v>289</v>
      </c>
    </row>
    <row r="12" customFormat="false" ht="15" hidden="false" customHeight="false" outlineLevel="0" collapsed="false">
      <c r="A12" s="35" t="s">
        <v>290</v>
      </c>
      <c r="B12" s="15" t="n">
        <v>6650</v>
      </c>
      <c r="C12" s="37" t="s">
        <v>64</v>
      </c>
      <c r="D12" s="34" t="s">
        <v>279</v>
      </c>
      <c r="E12" s="34" t="s">
        <v>291</v>
      </c>
    </row>
    <row r="13" customFormat="false" ht="15" hidden="false" customHeight="false" outlineLevel="0" collapsed="false">
      <c r="A13" s="35" t="s">
        <v>11</v>
      </c>
      <c r="B13" s="15" t="n">
        <v>814500</v>
      </c>
      <c r="C13" s="37" t="s">
        <v>64</v>
      </c>
      <c r="D13" s="34" t="s">
        <v>6</v>
      </c>
      <c r="E13" s="34" t="s">
        <v>292</v>
      </c>
    </row>
    <row r="14" customFormat="false" ht="15" hidden="false" customHeight="false" outlineLevel="0" collapsed="false">
      <c r="A14" s="35" t="s">
        <v>22</v>
      </c>
      <c r="B14" s="15" t="n">
        <v>777275</v>
      </c>
      <c r="C14" s="37" t="s">
        <v>64</v>
      </c>
      <c r="D14" s="34" t="s">
        <v>293</v>
      </c>
      <c r="E14" s="34" t="s">
        <v>294</v>
      </c>
    </row>
    <row r="15" customFormat="false" ht="15" hidden="false" customHeight="false" outlineLevel="0" collapsed="false">
      <c r="A15" s="35" t="s">
        <v>68</v>
      </c>
      <c r="B15" s="15" t="n">
        <v>85964</v>
      </c>
      <c r="C15" s="37" t="s">
        <v>64</v>
      </c>
      <c r="D15" s="34" t="s">
        <v>6</v>
      </c>
      <c r="E15" s="34" t="s">
        <v>295</v>
      </c>
    </row>
    <row r="16" customFormat="false" ht="15" hidden="false" customHeight="false" outlineLevel="0" collapsed="false">
      <c r="A16" s="35" t="s">
        <v>69</v>
      </c>
      <c r="B16" s="15" t="n">
        <v>28655</v>
      </c>
      <c r="C16" s="37" t="s">
        <v>64</v>
      </c>
      <c r="D16" s="34" t="s">
        <v>6</v>
      </c>
      <c r="E16" s="34" t="s">
        <v>296</v>
      </c>
    </row>
    <row r="17" customFormat="false" ht="15" hidden="false" customHeight="false" outlineLevel="0" collapsed="false">
      <c r="A17" s="35" t="s">
        <v>297</v>
      </c>
      <c r="B17" s="15" t="n">
        <v>252555</v>
      </c>
      <c r="C17" s="37" t="s">
        <v>64</v>
      </c>
      <c r="D17" s="34" t="s">
        <v>293</v>
      </c>
      <c r="E17" s="34" t="s">
        <v>298</v>
      </c>
    </row>
    <row r="18" customFormat="false" ht="15" hidden="false" customHeight="false" outlineLevel="0" collapsed="false">
      <c r="A18" s="35" t="s">
        <v>25</v>
      </c>
      <c r="B18" s="15" t="n">
        <v>524720</v>
      </c>
      <c r="C18" s="37" t="s">
        <v>64</v>
      </c>
      <c r="D18" s="34" t="s">
        <v>293</v>
      </c>
      <c r="E18" s="34" t="s">
        <v>299</v>
      </c>
    </row>
    <row r="19" customFormat="false" ht="15" hidden="false" customHeight="false" outlineLevel="0" collapsed="false">
      <c r="A19" s="35" t="s">
        <v>28</v>
      </c>
      <c r="B19" s="15" t="n">
        <v>521720</v>
      </c>
      <c r="C19" s="37" t="s">
        <v>64</v>
      </c>
      <c r="D19" s="34" t="s">
        <v>293</v>
      </c>
      <c r="E19" s="34" t="s">
        <v>29</v>
      </c>
    </row>
    <row r="20" customFormat="false" ht="15" hidden="false" customHeight="false" outlineLevel="0" collapsed="false">
      <c r="A20" s="35" t="s">
        <v>17</v>
      </c>
      <c r="B20" s="38" t="n">
        <v>0.065</v>
      </c>
      <c r="C20" s="37" t="s">
        <v>62</v>
      </c>
      <c r="D20" s="34" t="s">
        <v>6</v>
      </c>
      <c r="E20" s="34" t="s">
        <v>300</v>
      </c>
    </row>
    <row r="21" customFormat="false" ht="15" hidden="false" customHeight="false" outlineLevel="0" collapsed="false">
      <c r="A21" s="35" t="s">
        <v>14</v>
      </c>
      <c r="B21" s="38" t="n">
        <v>0.0675</v>
      </c>
      <c r="C21" s="37" t="s">
        <v>62</v>
      </c>
      <c r="D21" s="34" t="s">
        <v>6</v>
      </c>
      <c r="E21" s="34" t="s">
        <v>15</v>
      </c>
    </row>
    <row r="22" customFormat="false" ht="15" hidden="false" customHeight="false" outlineLevel="0" collapsed="false">
      <c r="A22" s="35" t="s">
        <v>31</v>
      </c>
      <c r="B22" s="15" t="n">
        <v>7773626</v>
      </c>
      <c r="C22" s="37" t="s">
        <v>64</v>
      </c>
      <c r="D22" s="34" t="s">
        <v>293</v>
      </c>
      <c r="E22" s="34" t="s">
        <v>32</v>
      </c>
    </row>
    <row r="23" customFormat="false" ht="15" hidden="false" customHeight="false" outlineLevel="0" collapsed="false">
      <c r="A23" s="35" t="s">
        <v>76</v>
      </c>
      <c r="B23" s="38" t="n">
        <v>0.65</v>
      </c>
      <c r="C23" s="37" t="s">
        <v>62</v>
      </c>
      <c r="D23" s="34" t="s">
        <v>6</v>
      </c>
      <c r="E23" s="34" t="s">
        <v>301</v>
      </c>
    </row>
    <row r="24" customFormat="false" ht="15" hidden="false" customHeight="false" outlineLevel="0" collapsed="false">
      <c r="A24" s="35" t="s">
        <v>77</v>
      </c>
      <c r="B24" s="38" t="n">
        <v>1.25</v>
      </c>
      <c r="C24" s="37" t="s">
        <v>62</v>
      </c>
      <c r="D24" s="34" t="s">
        <v>6</v>
      </c>
      <c r="E24" s="34" t="s">
        <v>302</v>
      </c>
    </row>
    <row r="25" customFormat="false" ht="15" hidden="false" customHeight="false" outlineLevel="0" collapsed="false">
      <c r="A25" s="35" t="s">
        <v>78</v>
      </c>
      <c r="B25" s="38" t="n">
        <v>0.09</v>
      </c>
      <c r="C25" s="37" t="s">
        <v>62</v>
      </c>
      <c r="D25" s="34" t="s">
        <v>6</v>
      </c>
      <c r="E25" s="34" t="s">
        <v>303</v>
      </c>
    </row>
    <row r="26" customFormat="false" ht="15" hidden="false" customHeight="false" outlineLevel="0" collapsed="false">
      <c r="A26" s="35" t="s">
        <v>34</v>
      </c>
      <c r="B26" s="15" t="n">
        <v>5052857</v>
      </c>
      <c r="C26" s="37" t="s">
        <v>64</v>
      </c>
      <c r="D26" s="34" t="s">
        <v>293</v>
      </c>
      <c r="E26" s="34" t="s">
        <v>304</v>
      </c>
    </row>
    <row r="27" customFormat="false" ht="15" hidden="false" customHeight="false" outlineLevel="0" collapsed="false">
      <c r="A27" s="35" t="s">
        <v>37</v>
      </c>
      <c r="B27" s="15" t="n">
        <v>657328</v>
      </c>
      <c r="C27" s="37" t="s">
        <v>64</v>
      </c>
      <c r="D27" s="34" t="s">
        <v>293</v>
      </c>
      <c r="E27" s="34" t="s">
        <v>38</v>
      </c>
    </row>
    <row r="28" customFormat="false" ht="15" hidden="false" customHeight="false" outlineLevel="0" collapsed="false">
      <c r="A28" s="35" t="s">
        <v>305</v>
      </c>
      <c r="B28" s="15" t="n">
        <v>2000000</v>
      </c>
      <c r="C28" s="37" t="s">
        <v>64</v>
      </c>
      <c r="D28" s="34" t="s">
        <v>306</v>
      </c>
      <c r="E28" s="34" t="s">
        <v>307</v>
      </c>
    </row>
    <row r="29" customFormat="false" ht="15" hidden="false" customHeight="false" outlineLevel="0" collapsed="false">
      <c r="A29" s="35" t="s">
        <v>308</v>
      </c>
      <c r="B29" s="14" t="s">
        <v>4</v>
      </c>
      <c r="C29" s="37" t="s">
        <v>309</v>
      </c>
      <c r="D29" s="34" t="s">
        <v>279</v>
      </c>
      <c r="E29" s="34" t="s">
        <v>310</v>
      </c>
    </row>
    <row r="30" customFormat="false" ht="15" hidden="false" customHeight="false" outlineLevel="0" collapsed="false">
      <c r="A30" s="35" t="s">
        <v>311</v>
      </c>
      <c r="B30" s="15" t="n">
        <v>507593</v>
      </c>
      <c r="C30" s="37" t="s">
        <v>64</v>
      </c>
      <c r="D30" s="34" t="s">
        <v>312</v>
      </c>
      <c r="E30" s="34" t="s">
        <v>313</v>
      </c>
    </row>
    <row r="31" customFormat="false" ht="23.85" hidden="false" customHeight="false" outlineLevel="0" collapsed="false">
      <c r="A31" s="35" t="s">
        <v>314</v>
      </c>
      <c r="B31" s="36" t="n">
        <v>4</v>
      </c>
      <c r="C31" s="37" t="s">
        <v>60</v>
      </c>
      <c r="D31" s="34" t="s">
        <v>315</v>
      </c>
      <c r="E31" s="34" t="s">
        <v>316</v>
      </c>
    </row>
    <row r="32" customFormat="false" ht="15" hidden="false" customHeight="false" outlineLevel="0" collapsed="false">
      <c r="A32" s="35" t="s">
        <v>317</v>
      </c>
      <c r="B32" s="36" t="n">
        <v>3</v>
      </c>
      <c r="C32" s="37" t="s">
        <v>60</v>
      </c>
      <c r="D32" s="34" t="s">
        <v>279</v>
      </c>
      <c r="E32" s="34" t="s">
        <v>318</v>
      </c>
    </row>
    <row r="33" customFormat="false" ht="23.85" hidden="false" customHeight="false" outlineLevel="0" collapsed="false">
      <c r="A33" s="35" t="s">
        <v>319</v>
      </c>
      <c r="B33" s="36" t="n">
        <v>3</v>
      </c>
      <c r="C33" s="37" t="s">
        <v>60</v>
      </c>
      <c r="D33" s="34" t="s">
        <v>315</v>
      </c>
      <c r="E33" s="34" t="s">
        <v>320</v>
      </c>
    </row>
    <row r="34" customFormat="false" ht="15" hidden="false" customHeight="false" outlineLevel="0" collapsed="false">
      <c r="A34" s="35" t="s">
        <v>321</v>
      </c>
      <c r="B34" s="36" t="n">
        <v>3</v>
      </c>
      <c r="C34" s="37" t="s">
        <v>60</v>
      </c>
      <c r="D34" s="34" t="s">
        <v>279</v>
      </c>
      <c r="E34" s="34" t="s">
        <v>322</v>
      </c>
    </row>
    <row r="35" customFormat="false" ht="23.85" hidden="false" customHeight="false" outlineLevel="0" collapsed="false">
      <c r="A35" s="35" t="s">
        <v>323</v>
      </c>
      <c r="B35" s="36" t="n">
        <v>3</v>
      </c>
      <c r="C35" s="37" t="s">
        <v>60</v>
      </c>
      <c r="D35" s="34" t="s">
        <v>315</v>
      </c>
      <c r="E35" s="34" t="s">
        <v>324</v>
      </c>
    </row>
    <row r="36" customFormat="false" ht="15" hidden="false" customHeight="false" outlineLevel="0" collapsed="false">
      <c r="A36" s="35" t="s">
        <v>325</v>
      </c>
      <c r="B36" s="36" t="n">
        <v>3</v>
      </c>
      <c r="C36" s="37" t="s">
        <v>60</v>
      </c>
      <c r="D36" s="34" t="s">
        <v>279</v>
      </c>
      <c r="E36" s="34" t="s">
        <v>326</v>
      </c>
    </row>
    <row r="37" customFormat="false" ht="15" hidden="false" customHeight="false" outlineLevel="0" collapsed="false">
      <c r="A37" s="35" t="s">
        <v>327</v>
      </c>
      <c r="B37" s="14" t="s">
        <v>328</v>
      </c>
      <c r="C37" s="37" t="s">
        <v>329</v>
      </c>
      <c r="D37" s="34" t="s">
        <v>330</v>
      </c>
      <c r="E37" s="34" t="s">
        <v>331</v>
      </c>
    </row>
    <row r="38" customFormat="false" ht="15" hidden="false" customHeight="false" outlineLevel="0" collapsed="false">
      <c r="A38" s="35" t="s">
        <v>332</v>
      </c>
      <c r="B38" s="14" t="s">
        <v>333</v>
      </c>
      <c r="C38" s="37" t="s">
        <v>329</v>
      </c>
      <c r="D38" s="34" t="s">
        <v>279</v>
      </c>
      <c r="E38" s="34" t="s">
        <v>334</v>
      </c>
    </row>
    <row r="39" customFormat="false" ht="23.85" hidden="false" customHeight="false" outlineLevel="0" collapsed="false">
      <c r="A39" s="35" t="s">
        <v>335</v>
      </c>
      <c r="B39" s="14" t="s">
        <v>333</v>
      </c>
      <c r="C39" s="37" t="s">
        <v>329</v>
      </c>
      <c r="D39" s="34" t="s">
        <v>336</v>
      </c>
      <c r="E39" s="34" t="s">
        <v>337</v>
      </c>
    </row>
    <row r="40" customFormat="false" ht="15" hidden="false" customHeight="false" outlineLevel="0" collapsed="false">
      <c r="A40" s="35" t="s">
        <v>338</v>
      </c>
      <c r="B40" s="14" t="s">
        <v>333</v>
      </c>
      <c r="C40" s="37" t="s">
        <v>329</v>
      </c>
      <c r="D40" s="34" t="s">
        <v>312</v>
      </c>
      <c r="E40" s="34" t="s">
        <v>339</v>
      </c>
    </row>
    <row r="41" customFormat="false" ht="15" hidden="false" customHeight="false" outlineLevel="0" collapsed="false">
      <c r="A41" s="35" t="s">
        <v>340</v>
      </c>
      <c r="B41" s="14" t="s">
        <v>333</v>
      </c>
      <c r="C41" s="37" t="s">
        <v>329</v>
      </c>
      <c r="D41" s="34" t="s">
        <v>341</v>
      </c>
      <c r="E41" s="34" t="s">
        <v>342</v>
      </c>
    </row>
    <row r="42" customFormat="false" ht="15" hidden="false" customHeight="false" outlineLevel="0" collapsed="false">
      <c r="A42" s="35" t="s">
        <v>343</v>
      </c>
      <c r="B42" s="14" t="s">
        <v>333</v>
      </c>
      <c r="C42" s="37" t="s">
        <v>329</v>
      </c>
      <c r="D42" s="34" t="s">
        <v>344</v>
      </c>
      <c r="E42" s="34" t="s">
        <v>345</v>
      </c>
    </row>
    <row r="43" customFormat="false" ht="15" hidden="false" customHeight="false" outlineLevel="0" collapsed="false">
      <c r="A43" s="35" t="s">
        <v>346</v>
      </c>
      <c r="B43" s="14" t="s">
        <v>333</v>
      </c>
      <c r="C43" s="37" t="s">
        <v>329</v>
      </c>
      <c r="D43" s="34" t="s">
        <v>6</v>
      </c>
      <c r="E43" s="34" t="s">
        <v>347</v>
      </c>
    </row>
    <row r="44" customFormat="false" ht="15" hidden="false" customHeight="false" outlineLevel="0" collapsed="false">
      <c r="A44" s="35" t="s">
        <v>348</v>
      </c>
      <c r="B44" s="14" t="s">
        <v>333</v>
      </c>
      <c r="C44" s="37" t="s">
        <v>329</v>
      </c>
      <c r="D44" s="34" t="s">
        <v>293</v>
      </c>
      <c r="E44" s="34" t="s">
        <v>349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2026-09-07T13:21:01Z</dcterms:created>
  <dc:creator>openpyxl</dc:creator>
  <dc:description/>
  <dc:language>en-US</dc:language>
  <cp:lastModifiedBy/>
  <dcterms:modified xsi:type="dcterms:W3CDTF">2026-09-07T14:06:46Z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