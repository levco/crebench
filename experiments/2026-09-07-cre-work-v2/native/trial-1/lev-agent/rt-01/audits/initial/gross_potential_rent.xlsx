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RentRoll" sheetId="3" state="visible" r:id="rId3"/>
    <sheet xmlns:r="http://schemas.openxmlformats.org/officeDocument/2006/relationships" name="UW" sheetId="4" state="visible" r:id="rId4"/>
    <sheet xmlns:r="http://schemas.openxmlformats.org/officeDocument/2006/relationships" name="Debt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istorical" sheetId="7" state="visible" r:id="rId7"/>
    <sheet xmlns:r="http://schemas.openxmlformats.org/officeDocument/2006/relationships" name="Sources" sheetId="8" state="visible" r:id="rId8"/>
    <sheet xmlns:r="http://schemas.openxmlformats.org/officeDocument/2006/relationships" name="Field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0.0000%"/>
    <numFmt numFmtId="166" formatCode="0.000000%"/>
    <numFmt numFmtId="167" formatCode="0.00000000"/>
    <numFmt numFmtId="168" formatCode="0.0000"/>
  </numFmts>
  <fonts count="7">
    <font>
      <name val="Calibri"/>
      <family val="2"/>
      <color theme="1"/>
      <sz val="11"/>
      <scheme val="minor"/>
    </font>
    <font>
      <b val="1"/>
      <color rgb="001F4E78"/>
      <sz val="16"/>
    </font>
    <font>
      <b val="1"/>
    </font>
    <font>
      <b val="1"/>
      <color rgb="001F4E78"/>
      <sz val="12"/>
    </font>
    <font>
      <b val="1"/>
      <color rgb="00FFFFFF"/>
      <sz val="11"/>
    </font>
    <font>
      <b val="1"/>
      <color rgb="001F4E78"/>
      <sz val="14"/>
    </font>
    <font>
      <i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0" fillId="3" borderId="1" pivotButton="0" quotePrefix="0" xfId="0"/>
    <xf numFmtId="0" fontId="0" fillId="0" borderId="0" applyAlignment="1" pivotButton="0" quotePrefix="0" xfId="0">
      <alignment horizontal="center" vertical="center"/>
    </xf>
    <xf numFmtId="164" fontId="0" fillId="3" borderId="1" pivotButton="0" quotePrefix="0" xfId="0"/>
    <xf numFmtId="10" fontId="0" fillId="3" borderId="1" pivotButton="0" quotePrefix="0" xfId="0"/>
    <xf numFmtId="165" fontId="0" fillId="3" borderId="1" pivotButton="0" quotePrefix="0" xfId="0"/>
    <xf numFmtId="2" fontId="0" fillId="3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0" fillId="4" borderId="1" pivotButton="0" quotePrefix="0" xfId="0"/>
    <xf numFmtId="3" fontId="0" fillId="4" borderId="1" pivotButton="0" quotePrefix="0" xfId="0"/>
    <xf numFmtId="10" fontId="0" fillId="4" borderId="1" pivotButton="0" quotePrefix="0" xfId="0"/>
    <xf numFmtId="164" fontId="0" fillId="4" borderId="1" pivotButton="0" quotePrefix="0" xfId="0"/>
    <xf numFmtId="164" fontId="0" fillId="0" borderId="0" pivotButton="0" quotePrefix="0" xfId="0"/>
    <xf numFmtId="10" fontId="0" fillId="0" borderId="0" pivotButton="0" quotePrefix="0" xfId="0"/>
    <xf numFmtId="164" fontId="2" fillId="4" borderId="1" pivotButton="0" quotePrefix="0" xfId="0"/>
    <xf numFmtId="165" fontId="0" fillId="0" borderId="0" pivotButton="0" quotePrefix="0" xfId="0"/>
    <xf numFmtId="165" fontId="0" fillId="0" borderId="1" pivotButton="0" quotePrefix="0" xfId="0"/>
    <xf numFmtId="1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0" fontId="0" fillId="0" borderId="1" pivotButton="0" quotePrefix="0" xfId="0"/>
    <xf numFmtId="2" fontId="0" fillId="0" borderId="1" pivotButton="0" quotePrefix="0" xfId="0"/>
    <xf numFmtId="2" fontId="0" fillId="0" borderId="0" pivotButton="0" quotePrefix="0" xfId="0"/>
    <xf numFmtId="165" fontId="2" fillId="0" borderId="1" pivotButton="0" quotePrefix="0" xfId="0"/>
    <xf numFmtId="0" fontId="6" fillId="0" borderId="0" pivotButton="0" quotePrefix="0" xfId="0"/>
    <xf numFmtId="0" fontId="0" fillId="0" borderId="1" applyAlignment="1" pivotButton="0" quotePrefix="0" xfId="0">
      <alignment horizontal="left" vertical="center" wrapText="1"/>
    </xf>
    <xf numFmtId="0" fontId="2" fillId="0" borderId="1" pivotButton="0" quotePrefix="0" xfId="0"/>
    <xf numFmtId="3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68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70" customWidth="1" min="3" max="3"/>
  </cols>
  <sheetData>
    <row r="1">
      <c r="A1" s="1" t="inlineStr">
        <is>
          <t>Maple Crossing — Underwriting Workbook</t>
        </is>
      </c>
    </row>
    <row r="3">
      <c r="A3" s="2" t="inlineStr">
        <is>
          <t>Source packet:</t>
        </is>
      </c>
      <c r="B3" t="inlineStr">
        <is>
          <t>CRE Bench — original fictional evaluation material (9 files)</t>
        </is>
      </c>
    </row>
    <row r="4">
      <c r="A4" s="2" t="inlineStr">
        <is>
          <t>Valuation date:</t>
        </is>
      </c>
      <c r="B4" t="inlineStr">
        <is>
          <t>2026-08-31</t>
        </is>
      </c>
    </row>
    <row r="5">
      <c r="A5" s="2" t="inlineStr">
        <is>
          <t>Prepared per:</t>
        </is>
      </c>
      <c r="B5" t="inlineStr">
        <is>
          <t>underwriting-instructions.pdf</t>
        </is>
      </c>
    </row>
    <row r="7">
      <c r="A7" s="3" t="inlineStr">
        <is>
          <t>Input cells (user-editable)</t>
        </is>
      </c>
    </row>
    <row r="8">
      <c r="A8" s="4" t="inlineStr">
        <is>
          <t>Field</t>
        </is>
      </c>
      <c r="B8" s="4" t="inlineStr">
        <is>
          <t>Location</t>
        </is>
      </c>
      <c r="C8" s="4" t="inlineStr">
        <is>
          <t>Purpose</t>
        </is>
      </c>
    </row>
    <row r="9">
      <c r="A9" s="2" t="inlineStr">
        <is>
          <t>gross_potential_rent</t>
        </is>
      </c>
      <c r="B9" t="inlineStr">
        <is>
          <t>Inputs!B7</t>
        </is>
      </c>
      <c r="C9" s="5" t="inlineStr">
        <is>
          <t>All-suite scheduled monthly rent × 12, per certified roll (Suite 001 pre-amendment)</t>
        </is>
      </c>
    </row>
    <row r="10">
      <c r="A10" s="2" t="inlineStr">
        <is>
          <t>cap_rate</t>
        </is>
      </c>
      <c r="B10" t="inlineStr">
        <is>
          <t>Inputs!B22</t>
        </is>
      </c>
      <c r="C10" s="5" t="inlineStr">
        <is>
          <t>Direct cap rate applied to NOI before reserves</t>
        </is>
      </c>
    </row>
    <row r="11">
      <c r="A11" s="2" t="inlineStr">
        <is>
          <t>sizing_rate</t>
        </is>
      </c>
      <c r="B11" t="inlineStr">
        <is>
          <t>Inputs!B27</t>
        </is>
      </c>
      <c r="C11" s="5" t="inlineStr">
        <is>
          <t>Loan sizing rate = MAX(note rate, floor)</t>
        </is>
      </c>
    </row>
    <row r="13">
      <c r="A13" s="3" t="inlineStr">
        <is>
          <t>Output cells (formula-driven)</t>
        </is>
      </c>
    </row>
    <row r="14">
      <c r="A14" s="4" t="inlineStr">
        <is>
          <t>Field</t>
        </is>
      </c>
      <c r="B14" s="4" t="inlineStr">
        <is>
          <t>Location</t>
        </is>
      </c>
      <c r="C14" s="4" t="inlineStr">
        <is>
          <t>Definition</t>
        </is>
      </c>
    </row>
    <row r="15">
      <c r="A15" s="2" t="inlineStr">
        <is>
          <t>uw_egi</t>
        </is>
      </c>
      <c r="B15" t="inlineStr">
        <is>
          <t>UW!B10</t>
        </is>
      </c>
      <c r="C15" s="5" t="inlineStr">
        <is>
          <t>GPR × (1 − economic loss) + other income</t>
        </is>
      </c>
    </row>
    <row r="16">
      <c r="A16" s="2" t="inlineStr">
        <is>
          <t>uw_noi</t>
        </is>
      </c>
      <c r="B16" t="inlineStr">
        <is>
          <t>UW!B22</t>
        </is>
      </c>
      <c r="C16" s="5" t="inlineStr">
        <is>
          <t>EGI − operating expenses (before replacement reserves)</t>
        </is>
      </c>
    </row>
    <row r="17">
      <c r="A17" s="2" t="inlineStr">
        <is>
          <t>uw_ncf</t>
        </is>
      </c>
      <c r="B17" t="inlineStr">
        <is>
          <t>UW!B25</t>
        </is>
      </c>
      <c r="C17" s="5" t="inlineStr">
        <is>
          <t>NOI − replacement reserves</t>
        </is>
      </c>
    </row>
    <row r="18">
      <c r="A18" s="2" t="inlineStr">
        <is>
          <t>capitalization_value</t>
        </is>
      </c>
      <c r="B18" t="inlineStr">
        <is>
          <t>UW!B32</t>
        </is>
      </c>
      <c r="C18" s="5" t="inlineStr">
        <is>
          <t>UW NOI ÷ cap rate</t>
        </is>
      </c>
    </row>
    <row r="19">
      <c r="A19" s="2" t="inlineStr">
        <is>
          <t>maximum_loan</t>
        </is>
      </c>
      <c r="B19" t="inlineStr">
        <is>
          <t>Debt!B24</t>
        </is>
      </c>
      <c r="C19" s="5" t="inlineStr">
        <is>
          <t>MIN(LTV, DSCR, Debt Yield constraints)</t>
        </is>
      </c>
    </row>
    <row r="20">
      <c r="A20" s="2" t="inlineStr">
        <is>
          <t>net_cash_out</t>
        </is>
      </c>
      <c r="B20" t="inlineStr">
        <is>
          <t>Debt!B32</t>
        </is>
      </c>
      <c r="C20" s="5" t="inlineStr">
        <is>
          <t>Maximum loan − payoff − origination fee − closing costs</t>
        </is>
      </c>
    </row>
    <row r="22">
      <c r="A22" s="3" t="inlineStr">
        <is>
          <t>Sheet map</t>
        </is>
      </c>
    </row>
    <row r="23">
      <c r="A23" s="2" t="inlineStr">
        <is>
          <t>Inputs</t>
        </is>
      </c>
      <c r="B23" s="5" t="inlineStr">
        <is>
          <t>All model assumptions (yellow = editable)</t>
        </is>
      </c>
    </row>
    <row r="24">
      <c r="A24" s="2" t="inlineStr">
        <is>
          <t>RentRoll</t>
        </is>
      </c>
      <c r="B24" s="5" t="inlineStr">
        <is>
          <t>Certified rent roll as of 2026-08-31 with derived stats</t>
        </is>
      </c>
    </row>
    <row r="25">
      <c r="A25" s="2" t="inlineStr">
        <is>
          <t>UW</t>
        </is>
      </c>
      <c r="B25" s="5" t="inlineStr">
        <is>
          <t>Underwritten income / expense / NOI / NCF</t>
        </is>
      </c>
    </row>
    <row r="26">
      <c r="A26" s="2" t="inlineStr">
        <is>
          <t>Debt</t>
        </is>
      </c>
      <c r="B26" s="5" t="inlineStr">
        <is>
          <t>Debt sizing across LTV / DSCR / debt yield and sources &amp; uses</t>
        </is>
      </c>
    </row>
    <row r="27">
      <c r="A27" s="2" t="inlineStr">
        <is>
          <t>Sensitivity</t>
        </is>
      </c>
      <c r="B27" s="5" t="inlineStr">
        <is>
          <t>Cap rate × sizing rate sensitivity on value &amp; max loan</t>
        </is>
      </c>
    </row>
    <row r="28">
      <c r="A28" s="2" t="inlineStr">
        <is>
          <t>Historical</t>
        </is>
      </c>
      <c r="B28" s="5" t="inlineStr">
        <is>
          <t>T12 operating statement vs. underwriting comparison</t>
        </is>
      </c>
    </row>
    <row r="29">
      <c r="A29" s="2" t="inlineStr">
        <is>
          <t>Sources</t>
        </is>
      </c>
      <c r="B29" s="5" t="inlineStr">
        <is>
          <t>Source register — every input traced to filename and location</t>
        </is>
      </c>
    </row>
    <row r="30">
      <c r="A30" s="2" t="inlineStr">
        <is>
          <t>Fields</t>
        </is>
      </c>
      <c r="B30" s="5" t="inlineStr">
        <is>
          <t>Reported named fields with values, units, and evidence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0" customWidth="1" min="3" max="3"/>
    <col width="45" customWidth="1" min="4" max="4"/>
  </cols>
  <sheetData>
    <row r="1">
      <c r="A1" s="6" t="inlineStr">
        <is>
          <t>Underwriting Inputs</t>
        </is>
      </c>
    </row>
    <row r="3">
      <c r="A3" s="3" t="inlineStr">
        <is>
          <t>INCOME</t>
        </is>
      </c>
    </row>
    <row r="4">
      <c r="A4" s="2" t="inlineStr">
        <is>
          <t>Suite count (all)</t>
        </is>
      </c>
      <c r="B4" s="7" t="n">
        <v>10</v>
      </c>
      <c r="C4" s="8" t="inlineStr">
        <is>
          <t>count</t>
        </is>
      </c>
      <c r="D4" s="5" t="inlineStr">
        <is>
          <t>RentRoll</t>
        </is>
      </c>
    </row>
    <row r="5">
      <c r="A5" s="2" t="inlineStr">
        <is>
          <t>Economic loss</t>
        </is>
      </c>
      <c r="B5" s="7" t="n">
        <v>0.05</v>
      </c>
      <c r="C5" s="8" t="inlineStr">
        <is>
          <t>ratio</t>
        </is>
      </c>
      <c r="D5" s="5" t="inlineStr">
        <is>
          <t>underwriting-instructions.pdf</t>
        </is>
      </c>
    </row>
    <row r="6">
      <c r="A6" s="2" t="inlineStr">
        <is>
          <t>Other income per suite (annual)</t>
        </is>
      </c>
      <c r="B6" s="7" t="n">
        <v>350</v>
      </c>
      <c r="C6" s="8" t="inlineStr">
        <is>
          <t>USD</t>
        </is>
      </c>
      <c r="D6" s="5" t="inlineStr">
        <is>
          <t>underwriting-instructions.pdf</t>
        </is>
      </c>
    </row>
    <row r="7">
      <c r="A7" s="2" t="inlineStr">
        <is>
          <t>gross_potential_rent (annual)</t>
        </is>
      </c>
      <c r="B7" s="9" t="n">
        <v>777765</v>
      </c>
      <c r="C7" s="8" t="inlineStr">
        <is>
          <t>USD</t>
        </is>
      </c>
      <c r="D7" t="inlineStr">
        <is>
          <t>certified roll ×12, S001 pre-amendment</t>
        </is>
      </c>
    </row>
    <row r="9">
      <c r="A9" s="3" t="inlineStr">
        <is>
          <t>EXPENSES</t>
        </is>
      </c>
    </row>
    <row r="10">
      <c r="A10" s="2" t="inlineStr">
        <is>
          <t>uw_tax</t>
        </is>
      </c>
      <c r="B10" s="9" t="n">
        <v>85964</v>
      </c>
      <c r="C10" s="8" t="inlineStr">
        <is>
          <t>USD</t>
        </is>
      </c>
      <c r="D10" s="5" t="inlineStr">
        <is>
          <t>underwriting-instructions.pdf</t>
        </is>
      </c>
    </row>
    <row r="11">
      <c r="A11" s="2" t="inlineStr">
        <is>
          <t>uw_insurance</t>
        </is>
      </c>
      <c r="B11" s="9" t="n">
        <v>28655</v>
      </c>
      <c r="C11" s="8" t="inlineStr">
        <is>
          <t>USD</t>
        </is>
      </c>
      <c r="D11" s="5" t="inlineStr">
        <is>
          <t>underwriting-instructions.pdf</t>
        </is>
      </c>
    </row>
    <row r="12">
      <c r="A12" s="2" t="inlineStr">
        <is>
          <t>uw_other_operating_expenses</t>
        </is>
      </c>
      <c r="B12" s="9" t="n">
        <v>114618</v>
      </c>
      <c r="C12" s="8" t="inlineStr">
        <is>
          <t>USD</t>
        </is>
      </c>
      <c r="D12" s="5" t="inlineStr">
        <is>
          <t>underwriting-instructions.pdf</t>
        </is>
      </c>
    </row>
    <row r="13">
      <c r="A13" s="2" t="inlineStr">
        <is>
          <t>management_fee_pct</t>
        </is>
      </c>
      <c r="B13" s="10" t="n">
        <v>0.03</v>
      </c>
      <c r="C13" s="8" t="inlineStr">
        <is>
          <t>ratio</t>
        </is>
      </c>
      <c r="D13" s="5" t="inlineStr">
        <is>
          <t>underwriting-instructions.pdf</t>
        </is>
      </c>
    </row>
    <row r="14">
      <c r="A14" s="2" t="inlineStr">
        <is>
          <t>replacement_reserve_per_suite</t>
        </is>
      </c>
      <c r="B14" s="9" t="n">
        <v>300</v>
      </c>
      <c r="C14" s="8" t="inlineStr">
        <is>
          <t>USD</t>
        </is>
      </c>
      <c r="D14" s="5" t="inlineStr">
        <is>
          <t>underwriting-instructions.pdf</t>
        </is>
      </c>
    </row>
    <row r="17">
      <c r="A17" s="3" t="inlineStr">
        <is>
          <t>VALUATION &amp; DEBT</t>
        </is>
      </c>
    </row>
    <row r="19">
      <c r="A19" s="2" t="inlineStr">
        <is>
          <t>note_rate</t>
        </is>
      </c>
      <c r="B19" s="11" t="n">
        <v>0.065</v>
      </c>
      <c r="C19" t="inlineStr">
        <is>
          <t>ratio</t>
        </is>
      </c>
      <c r="D19" t="inlineStr">
        <is>
          <t>underwriting-instructions.pdf</t>
        </is>
      </c>
    </row>
    <row r="20">
      <c r="A20" s="2" t="inlineStr">
        <is>
          <t>floor_rate</t>
        </is>
      </c>
      <c r="B20" s="11" t="n">
        <v>0.06</v>
      </c>
      <c r="C20" t="inlineStr">
        <is>
          <t>ratio</t>
        </is>
      </c>
      <c r="D20" t="inlineStr">
        <is>
          <t>underwriting-instructions.pdf</t>
        </is>
      </c>
    </row>
    <row r="22">
      <c r="A22" s="2" t="inlineStr">
        <is>
          <t>cap_rate</t>
        </is>
      </c>
      <c r="B22" s="11" t="n">
        <v>0.0675</v>
      </c>
      <c r="C22" t="inlineStr">
        <is>
          <t>ratio</t>
        </is>
      </c>
      <c r="D22" t="inlineStr">
        <is>
          <t>underwriting-instructions.pdf</t>
        </is>
      </c>
    </row>
    <row r="24">
      <c r="A24" s="2" t="inlineStr">
        <is>
          <t>ltv_limit</t>
        </is>
      </c>
      <c r="B24" s="10" t="n">
        <v>0.65</v>
      </c>
      <c r="C24" t="inlineStr">
        <is>
          <t>ratio</t>
        </is>
      </c>
    </row>
    <row r="25">
      <c r="A25" s="2" t="inlineStr">
        <is>
          <t>dscr_limit</t>
        </is>
      </c>
      <c r="B25" s="12" t="n">
        <v>1.25</v>
      </c>
      <c r="C25" t="inlineStr">
        <is>
          <t>ratio</t>
        </is>
      </c>
    </row>
    <row r="26">
      <c r="A26" s="2" t="inlineStr">
        <is>
          <t>debt_yield_limit</t>
        </is>
      </c>
      <c r="B26" s="10" t="n">
        <v>0.09</v>
      </c>
      <c r="C26" t="inlineStr">
        <is>
          <t>ratio</t>
        </is>
      </c>
    </row>
    <row r="27">
      <c r="A27" s="2" t="inlineStr">
        <is>
          <t>sizing_rate</t>
        </is>
      </c>
      <c r="B27" s="11">
        <f>MAX(B19,B20)</f>
        <v/>
      </c>
      <c r="C27" t="inlineStr">
        <is>
          <t>ratio</t>
        </is>
      </c>
      <c r="D27" t="inlineStr">
        <is>
          <t>MAX(note_rate, floor_rate)</t>
        </is>
      </c>
    </row>
    <row r="28">
      <c r="A28" s="2" t="inlineStr">
        <is>
          <t>amortization_years</t>
        </is>
      </c>
      <c r="B28" s="7" t="n">
        <v>30</v>
      </c>
      <c r="C28" t="inlineStr">
        <is>
          <t>years</t>
        </is>
      </c>
    </row>
    <row r="29">
      <c r="A29" s="2" t="inlineStr">
        <is>
          <t>origination_fee_pct</t>
        </is>
      </c>
      <c r="B29" s="10" t="n">
        <v>0.01</v>
      </c>
      <c r="C29" t="inlineStr">
        <is>
          <t>ratio</t>
        </is>
      </c>
    </row>
    <row r="30">
      <c r="A30" s="2" t="inlineStr">
        <is>
          <t>closing_costs</t>
        </is>
      </c>
      <c r="B30" s="9" t="n">
        <v>45000</v>
      </c>
      <c r="C30" t="inlineStr">
        <is>
          <t>USD</t>
        </is>
      </c>
    </row>
    <row r="31">
      <c r="A31" s="2" t="inlineStr">
        <is>
          <t>existing_payoff</t>
        </is>
      </c>
      <c r="B31" s="9" t="n">
        <v>4300000</v>
      </c>
      <c r="C31" t="inlineStr">
        <is>
          <t>USD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>
      <c r="A1" s="6" t="inlineStr">
        <is>
          <t>Certified Rent Roll — as of 2026-08-31</t>
        </is>
      </c>
    </row>
    <row r="2">
      <c r="A2" s="5" t="inlineStr">
        <is>
          <t>Source: rent-roll-certified.xlsx (property manager certified). Suite 001 monthly rent shown at certified value $6,650 (post-amendment).</t>
        </is>
      </c>
    </row>
    <row r="4">
      <c r="A4" s="4" t="inlineStr">
        <is>
          <t>Suite</t>
        </is>
      </c>
      <c r="B4" s="4" t="inlineStr">
        <is>
          <t>Unit type</t>
        </is>
      </c>
      <c r="C4" s="4" t="inlineStr">
        <is>
          <t>Type group</t>
        </is>
      </c>
      <c r="D4" s="4" t="inlineStr">
        <is>
          <t>Area SF</t>
        </is>
      </c>
      <c r="E4" s="4" t="inlineStr">
        <is>
          <t>Possession</t>
        </is>
      </c>
      <c r="F4" s="4" t="inlineStr">
        <is>
          <t>Monthly rent</t>
        </is>
      </c>
      <c r="G4" s="4" t="inlineStr">
        <is>
          <t>Lease expiry</t>
        </is>
      </c>
    </row>
    <row r="5">
      <c r="A5" s="13" t="inlineStr">
        <is>
          <t>001</t>
        </is>
      </c>
      <c r="B5" s="13" t="inlineStr">
        <is>
          <t>Small suite</t>
        </is>
      </c>
      <c r="C5" s="13" t="inlineStr">
        <is>
          <t>A</t>
        </is>
      </c>
      <c r="D5" s="13" t="n">
        <v>3080</v>
      </c>
      <c r="E5" s="13" t="inlineStr">
        <is>
          <t>active</t>
        </is>
      </c>
      <c r="F5" s="14" t="n">
        <v>6650</v>
      </c>
      <c r="G5" s="13" t="inlineStr">
        <is>
          <t>2029-08-31</t>
        </is>
      </c>
    </row>
    <row r="6">
      <c r="A6" s="13" t="inlineStr">
        <is>
          <t>002</t>
        </is>
      </c>
      <c r="B6" s="13" t="inlineStr">
        <is>
          <t>Standard suite</t>
        </is>
      </c>
      <c r="C6" s="13" t="inlineStr">
        <is>
          <t>B</t>
        </is>
      </c>
      <c r="D6" s="13" t="n">
        <v>3200</v>
      </c>
      <c r="E6" s="13" t="inlineStr">
        <is>
          <t>active</t>
        </is>
      </c>
      <c r="F6" s="14" t="n">
        <v>6800</v>
      </c>
      <c r="G6" s="13" t="inlineStr">
        <is>
          <t>2029-08-31</t>
        </is>
      </c>
    </row>
    <row r="7">
      <c r="A7" s="13" t="inlineStr">
        <is>
          <t>003</t>
        </is>
      </c>
      <c r="B7" s="13" t="inlineStr">
        <is>
          <t>Large suite</t>
        </is>
      </c>
      <c r="C7" s="13" t="inlineStr">
        <is>
          <t>C</t>
        </is>
      </c>
      <c r="D7" s="13" t="n">
        <v>3410</v>
      </c>
      <c r="E7" s="13" t="inlineStr">
        <is>
          <t>active</t>
        </is>
      </c>
      <c r="F7" s="14" t="n">
        <v>7075</v>
      </c>
      <c r="G7" s="13" t="inlineStr">
        <is>
          <t>2029-08-31</t>
        </is>
      </c>
    </row>
    <row r="8">
      <c r="A8" s="13" t="inlineStr">
        <is>
          <t>004</t>
        </is>
      </c>
      <c r="B8" s="13" t="inlineStr">
        <is>
          <t>Small suite</t>
        </is>
      </c>
      <c r="C8" s="13" t="inlineStr">
        <is>
          <t>A</t>
        </is>
      </c>
      <c r="D8" s="13" t="n">
        <v>3080</v>
      </c>
      <c r="E8" s="13" t="inlineStr">
        <is>
          <t>active</t>
        </is>
      </c>
      <c r="F8" s="14" t="n">
        <v>6650</v>
      </c>
      <c r="G8" s="13" t="inlineStr">
        <is>
          <t>2029-08-31</t>
        </is>
      </c>
    </row>
    <row r="9">
      <c r="A9" s="13" t="inlineStr">
        <is>
          <t>005</t>
        </is>
      </c>
      <c r="B9" s="13" t="inlineStr">
        <is>
          <t>Standard suite</t>
        </is>
      </c>
      <c r="C9" s="13" t="inlineStr">
        <is>
          <t>B</t>
        </is>
      </c>
      <c r="D9" s="13" t="n">
        <v>3200</v>
      </c>
      <c r="E9" s="13" t="inlineStr">
        <is>
          <t>active</t>
        </is>
      </c>
      <c r="F9" s="14" t="n">
        <v>6800</v>
      </c>
      <c r="G9" s="13" t="inlineStr">
        <is>
          <t>2029-08-31</t>
        </is>
      </c>
    </row>
    <row r="10">
      <c r="A10" s="13" t="inlineStr">
        <is>
          <t>006</t>
        </is>
      </c>
      <c r="B10" s="13" t="inlineStr">
        <is>
          <t>Large suite</t>
        </is>
      </c>
      <c r="C10" s="13" t="inlineStr">
        <is>
          <t>C</t>
        </is>
      </c>
      <c r="D10" s="13" t="n">
        <v>3410</v>
      </c>
      <c r="E10" s="13" t="inlineStr">
        <is>
          <t>active</t>
        </is>
      </c>
      <c r="F10" s="14" t="n">
        <v>7075</v>
      </c>
      <c r="G10" s="13" t="inlineStr">
        <is>
          <t>2029-08-31</t>
        </is>
      </c>
    </row>
    <row r="11">
      <c r="A11" s="13" t="inlineStr">
        <is>
          <t>007</t>
        </is>
      </c>
      <c r="B11" s="13" t="inlineStr">
        <is>
          <t>Small suite</t>
        </is>
      </c>
      <c r="C11" s="13" t="inlineStr">
        <is>
          <t>A</t>
        </is>
      </c>
      <c r="D11" s="13" t="n">
        <v>3080</v>
      </c>
      <c r="E11" s="13" t="inlineStr">
        <is>
          <t>active</t>
        </is>
      </c>
      <c r="F11" s="14" t="n">
        <v>6650</v>
      </c>
      <c r="G11" s="13" t="inlineStr">
        <is>
          <t>2029-08-31</t>
        </is>
      </c>
    </row>
    <row r="12">
      <c r="A12" s="13" t="inlineStr">
        <is>
          <t>008</t>
        </is>
      </c>
      <c r="B12" s="13" t="inlineStr">
        <is>
          <t>Standard suite</t>
        </is>
      </c>
      <c r="C12" s="13" t="inlineStr">
        <is>
          <t>B</t>
        </is>
      </c>
      <c r="D12" s="13" t="n">
        <v>3200</v>
      </c>
      <c r="E12" s="13" t="inlineStr">
        <is>
          <t>active</t>
        </is>
      </c>
      <c r="F12" s="14" t="n">
        <v>6800</v>
      </c>
      <c r="G12" s="13" t="inlineStr">
        <is>
          <t>2029-08-31</t>
        </is>
      </c>
    </row>
    <row r="13">
      <c r="A13" s="13" t="inlineStr">
        <is>
          <t>009</t>
        </is>
      </c>
      <c r="B13" s="13" t="inlineStr">
        <is>
          <t>Large suite</t>
        </is>
      </c>
      <c r="C13" s="13" t="inlineStr">
        <is>
          <t>C</t>
        </is>
      </c>
      <c r="D13" s="13" t="n">
        <v>3410</v>
      </c>
      <c r="E13" s="13" t="inlineStr">
        <is>
          <t>active</t>
        </is>
      </c>
      <c r="F13" s="14" t="n">
        <v>7075</v>
      </c>
      <c r="G13" s="13" t="inlineStr">
        <is>
          <t>2029-08-31</t>
        </is>
      </c>
    </row>
    <row r="14">
      <c r="A14" s="13" t="inlineStr">
        <is>
          <t>010</t>
        </is>
      </c>
      <c r="B14" s="13" t="inlineStr">
        <is>
          <t>Small suite</t>
        </is>
      </c>
      <c r="C14" s="13" t="inlineStr">
        <is>
          <t>A</t>
        </is>
      </c>
      <c r="D14" s="13" t="n">
        <v>3080</v>
      </c>
      <c r="E14" s="13" t="inlineStr">
        <is>
          <t>vacant</t>
        </is>
      </c>
      <c r="F14" s="14" t="n">
        <v>6650</v>
      </c>
      <c r="G14" s="13" t="inlineStr">
        <is>
          <t>2029-08-31</t>
        </is>
      </c>
    </row>
    <row r="16">
      <c r="A16" s="3" t="inlineStr">
        <is>
          <t>TOTALS / DERIVED</t>
        </is>
      </c>
    </row>
    <row r="17">
      <c r="A17" s="2" t="inlineStr">
        <is>
          <t>total_units</t>
        </is>
      </c>
      <c r="B17" s="15">
        <f>COUNTA(A5:A14)</f>
        <v/>
      </c>
    </row>
    <row r="18">
      <c r="A18" s="2" t="inlineStr">
        <is>
          <t>occupied_units (active)</t>
        </is>
      </c>
      <c r="B18" s="15">
        <f>COUNTIF(E5:E14,"active")</f>
        <v/>
      </c>
    </row>
    <row r="19">
      <c r="A19" s="2" t="inlineStr">
        <is>
          <t>pending_units</t>
        </is>
      </c>
      <c r="B19" s="15" t="n">
        <v>0</v>
      </c>
    </row>
    <row r="20">
      <c r="A20" s="2" t="inlineStr">
        <is>
          <t>total_area_sf</t>
        </is>
      </c>
      <c r="B20" s="16">
        <f>SUM(D5:D14)</f>
        <v/>
      </c>
    </row>
    <row r="21">
      <c r="A21" s="2" t="inlineStr">
        <is>
          <t>occupied_area_sf</t>
        </is>
      </c>
      <c r="B21" s="16">
        <f>SUMIF(E5:E14,"active",D5:D14)</f>
        <v/>
      </c>
    </row>
    <row r="22">
      <c r="A22" s="2" t="inlineStr">
        <is>
          <t>unit_occupancy</t>
        </is>
      </c>
      <c r="B22" s="17">
        <f>B18/B17</f>
        <v/>
      </c>
    </row>
    <row r="23">
      <c r="A23" s="2" t="inlineStr">
        <is>
          <t>area_occupancy</t>
        </is>
      </c>
      <c r="B23" s="17">
        <f>B21/B20</f>
        <v/>
      </c>
    </row>
    <row r="24">
      <c r="A24" s="2" t="inlineStr">
        <is>
          <t>annual_in_place_rent</t>
        </is>
      </c>
      <c r="B24" s="18">
        <f>SUMIF(E5:E14,"active",F5:F14)*12</f>
        <v/>
      </c>
    </row>
    <row r="27">
      <c r="A27" s="3" t="inlineStr">
        <is>
          <t>TYPE MAPPING (per manager cover)</t>
        </is>
      </c>
    </row>
    <row r="28">
      <c r="A28" s="2" t="inlineStr">
        <is>
          <t>Type</t>
        </is>
      </c>
      <c r="B28" s="2" t="inlineStr">
        <is>
          <t>Units</t>
        </is>
      </c>
      <c r="C28" s="2" t="inlineStr">
        <is>
          <t>Occupied</t>
        </is>
      </c>
    </row>
    <row r="29">
      <c r="A29" s="13" t="inlineStr">
        <is>
          <t>A (Small)</t>
        </is>
      </c>
      <c r="B29" s="15">
        <f>COUNTIF(C5:C14,"A")</f>
        <v/>
      </c>
      <c r="C29" s="15">
        <f>COUNTIFS(C5:C14,"A",E5:E14,"active")</f>
        <v/>
      </c>
    </row>
    <row r="30">
      <c r="A30" s="13" t="inlineStr">
        <is>
          <t>B (Standard)</t>
        </is>
      </c>
      <c r="B30" s="15">
        <f>COUNTIF(C5:C14,"B")</f>
        <v/>
      </c>
      <c r="C30" s="15">
        <f>COUNTIFS(C5:C14,"B",E5:E14,"active")</f>
        <v/>
      </c>
    </row>
    <row r="31">
      <c r="A31" s="13" t="inlineStr">
        <is>
          <t>C (Large)</t>
        </is>
      </c>
      <c r="B31" s="15">
        <f>COUNTIF(C5:C14,"C")</f>
        <v/>
      </c>
      <c r="C31" s="15">
        <f>COUNTIFS(C5:C14,"C",E5:E14,"active")</f>
        <v/>
      </c>
    </row>
    <row r="34">
      <c r="A34" s="3" t="inlineStr">
        <is>
          <t>GPR RECONCILIATION</t>
        </is>
      </c>
    </row>
    <row r="35">
      <c r="A35" s="2" t="inlineStr">
        <is>
          <t>All-suite monthly rent (certified)</t>
        </is>
      </c>
      <c r="B35" s="14">
        <f>SUM(F5:F14)</f>
        <v/>
      </c>
    </row>
    <row r="36">
      <c r="A36" s="2" t="inlineStr">
        <is>
          <t>Less: Suite 001 amendment ($350/mo)</t>
        </is>
      </c>
      <c r="B36" s="14" t="n">
        <v>-350</v>
      </c>
    </row>
    <row r="37">
      <c r="A37" s="2" t="inlineStr">
        <is>
          <t>Adjusted monthly (pre-amendment S001)</t>
        </is>
      </c>
      <c r="B37" s="14">
        <f>B35+B36</f>
        <v/>
      </c>
    </row>
    <row r="38">
      <c r="A38" s="2" t="inlineStr">
        <is>
          <t>GPR annual (×12)</t>
        </is>
      </c>
      <c r="B38" s="18">
        <f>B37*12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</cols>
  <sheetData>
    <row r="1">
      <c r="A1" s="6" t="inlineStr">
        <is>
          <t>Underwritten Cash Flow</t>
        </is>
      </c>
    </row>
    <row r="2">
      <c r="A2" t="inlineStr">
        <is>
          <t>Per underwriting-instructions.pdf — Suite 001 rent pre-amendment; 5% economic loss; $350/suite other income.</t>
        </is>
      </c>
    </row>
    <row r="4">
      <c r="A4" s="3" t="inlineStr">
        <is>
          <t>INCOME</t>
        </is>
      </c>
    </row>
    <row r="5">
      <c r="A5" t="inlineStr">
        <is>
          <t>gross_potential_rent</t>
        </is>
      </c>
      <c r="B5" s="19">
        <f>Inputs!B7</f>
        <v/>
      </c>
    </row>
    <row r="6">
      <c r="A6" t="inlineStr">
        <is>
          <t>economic_loss (%)</t>
        </is>
      </c>
      <c r="B6" s="20">
        <f>Inputs!B5</f>
        <v/>
      </c>
    </row>
    <row r="7">
      <c r="A7" t="inlineStr">
        <is>
          <t>effective_rent</t>
        </is>
      </c>
      <c r="B7" s="19">
        <f>B5*(1-B6)</f>
        <v/>
      </c>
    </row>
    <row r="8">
      <c r="A8" t="inlineStr">
        <is>
          <t>other_income (annual, $350 × suites)</t>
        </is>
      </c>
      <c r="B8" s="19">
        <f>Inputs!B6*Inputs!B4</f>
        <v/>
      </c>
    </row>
    <row r="10">
      <c r="A10" s="2" t="inlineStr">
        <is>
          <t>uw_egi</t>
        </is>
      </c>
      <c r="B10" s="21">
        <f>B7+B8</f>
        <v/>
      </c>
    </row>
    <row r="12">
      <c r="A12" s="3" t="inlineStr">
        <is>
          <t>EXPENSES</t>
        </is>
      </c>
    </row>
    <row r="13">
      <c r="A13" t="inlineStr">
        <is>
          <t>uw_tax</t>
        </is>
      </c>
      <c r="B13" s="19">
        <f>Inputs!B10</f>
        <v/>
      </c>
    </row>
    <row r="14">
      <c r="A14" t="inlineStr">
        <is>
          <t>uw_insurance</t>
        </is>
      </c>
      <c r="B14" s="19">
        <f>Inputs!B11</f>
        <v/>
      </c>
    </row>
    <row r="15">
      <c r="A15" t="inlineStr">
        <is>
          <t>uw_other_operating_expenses</t>
        </is>
      </c>
      <c r="B15" s="19">
        <f>Inputs!B12</f>
        <v/>
      </c>
    </row>
    <row r="16">
      <c r="A16" t="inlineStr">
        <is>
          <t>management_fee (3% of EGI)</t>
        </is>
      </c>
      <c r="B16" s="19">
        <f>Inputs!B13*B10</f>
        <v/>
      </c>
    </row>
    <row r="17">
      <c r="A17" s="2" t="inlineStr">
        <is>
          <t>uw_operating_expenses (total)</t>
        </is>
      </c>
      <c r="B17" s="21">
        <f>SUM(B13:B16)</f>
        <v/>
      </c>
    </row>
    <row r="19">
      <c r="A19" s="3" t="inlineStr">
        <is>
          <t>NOI &amp; NCF</t>
        </is>
      </c>
    </row>
    <row r="22">
      <c r="A22" s="2" t="inlineStr">
        <is>
          <t>uw_noi (before reserves)</t>
        </is>
      </c>
      <c r="B22" s="21">
        <f>B10-B17</f>
        <v/>
      </c>
    </row>
    <row r="23">
      <c r="A23" t="inlineStr">
        <is>
          <t>replacement_reserves ($300/suite)</t>
        </is>
      </c>
      <c r="B23" s="19">
        <f>Inputs!B14*Inputs!B4</f>
        <v/>
      </c>
    </row>
    <row r="25">
      <c r="A25" s="2" t="inlineStr">
        <is>
          <t>uw_ncf</t>
        </is>
      </c>
      <c r="B25" s="21">
        <f>B22-B23</f>
        <v/>
      </c>
    </row>
    <row r="28">
      <c r="A28" s="3" t="inlineStr">
        <is>
          <t>VALUATION</t>
        </is>
      </c>
    </row>
    <row r="30">
      <c r="A30" t="inlineStr">
        <is>
          <t>cap_rate</t>
        </is>
      </c>
      <c r="B30" s="22">
        <f>Inputs!B22</f>
        <v/>
      </c>
    </row>
    <row r="31">
      <c r="A31" t="inlineStr">
        <is>
          <t>NOI (before reserves) used for cap</t>
        </is>
      </c>
      <c r="B31" s="19">
        <f>B22</f>
        <v/>
      </c>
    </row>
    <row r="32">
      <c r="A32" s="2" t="inlineStr">
        <is>
          <t>capitalization_value</t>
        </is>
      </c>
      <c r="B32" s="21">
        <f>B31/B30</f>
        <v/>
      </c>
    </row>
  </sheetData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</cols>
  <sheetData>
    <row r="1">
      <c r="A1" s="6" t="inlineStr">
        <is>
          <t>Debt Sizing &amp; Sources / Uses</t>
        </is>
      </c>
    </row>
    <row r="2">
      <c r="A2" t="inlineStr">
        <is>
          <t>Sized on greater of note rate and floor per instructions; DSCR &amp; DY on NCF after reserves.</t>
        </is>
      </c>
    </row>
    <row r="4">
      <c r="A4" s="3" t="inlineStr">
        <is>
          <t>ASSUMPTIONS</t>
        </is>
      </c>
    </row>
    <row r="5">
      <c r="A5" s="2" t="inlineStr">
        <is>
          <t>sizing_rate</t>
        </is>
      </c>
      <c r="B5" s="23">
        <f>Inputs!B27</f>
        <v/>
      </c>
    </row>
    <row r="6">
      <c r="A6" s="2" t="inlineStr">
        <is>
          <t>amortization_years</t>
        </is>
      </c>
      <c r="B6" s="24">
        <f>Inputs!B28</f>
        <v/>
      </c>
    </row>
    <row r="7">
      <c r="A7" s="2" t="inlineStr">
        <is>
          <t>monthly_rate</t>
        </is>
      </c>
      <c r="B7" s="25">
        <f>Inputs!B27/12</f>
        <v/>
      </c>
    </row>
    <row r="8">
      <c r="A8" s="2" t="inlineStr">
        <is>
          <t>n_months</t>
        </is>
      </c>
      <c r="B8" s="24">
        <f>Inputs!B28*12</f>
        <v/>
      </c>
    </row>
    <row r="9">
      <c r="A9" s="2" t="inlineStr">
        <is>
          <t>PMT per $1 loan (monthly)</t>
        </is>
      </c>
      <c r="B9" s="26">
        <f>B7*(1+B7)^B8/((1+B7)^B8-1)</f>
        <v/>
      </c>
    </row>
    <row r="10">
      <c r="A10" s="2" t="inlineStr">
        <is>
          <t>Annual DS per $1 loan</t>
        </is>
      </c>
      <c r="B10" s="26">
        <f>B9*12</f>
        <v/>
      </c>
    </row>
    <row r="11">
      <c r="A11" s="2" t="inlineStr">
        <is>
          <t>ltv_limit</t>
        </is>
      </c>
      <c r="B11" s="27">
        <f>Inputs!B24</f>
        <v/>
      </c>
    </row>
    <row r="12">
      <c r="A12" s="2" t="inlineStr">
        <is>
          <t>dscr_limit</t>
        </is>
      </c>
      <c r="B12" s="28">
        <f>Inputs!B25</f>
        <v/>
      </c>
    </row>
    <row r="13">
      <c r="A13" s="2" t="inlineStr">
        <is>
          <t>debt_yield_limit</t>
        </is>
      </c>
      <c r="B13" s="27">
        <f>Inputs!B26</f>
        <v/>
      </c>
    </row>
    <row r="16">
      <c r="A16" s="3" t="inlineStr">
        <is>
          <t>CONSTRAINTS</t>
        </is>
      </c>
    </row>
    <row r="17">
      <c r="A17" t="inlineStr">
        <is>
          <t>Loan by LTV = ltv × value</t>
        </is>
      </c>
      <c r="B17" s="19">
        <f>B11*UW!B32</f>
        <v/>
      </c>
    </row>
    <row r="18">
      <c r="A18" t="inlineStr">
        <is>
          <t>Loan by DSCR = (NCF / dscr) / annual DS per $</t>
        </is>
      </c>
      <c r="B18" s="19">
        <f>(UW!B25/B12)/B10</f>
        <v/>
      </c>
    </row>
    <row r="19">
      <c r="A19" t="inlineStr">
        <is>
          <t>Loan by DY = NCF / debt yield</t>
        </is>
      </c>
      <c r="B19" s="19">
        <f>UW!B25/B13</f>
        <v/>
      </c>
    </row>
    <row r="21">
      <c r="A21" t="inlineStr">
        <is>
          <t>Binding constraint</t>
        </is>
      </c>
      <c r="B21">
        <f>IF(B24=B17,"LTV",IF(B24=B18,"DSCR","Debt Yield"))</f>
        <v/>
      </c>
    </row>
    <row r="24">
      <c r="A24" s="2" t="inlineStr">
        <is>
          <t>maximum_loan</t>
        </is>
      </c>
      <c r="B24" s="21">
        <f>MIN(B17,B18,B19)</f>
        <v/>
      </c>
    </row>
    <row r="27">
      <c r="A27" s="3" t="inlineStr">
        <is>
          <t>SOURCES &amp; USES (net cash-out)</t>
        </is>
      </c>
    </row>
    <row r="28">
      <c r="A28" t="inlineStr">
        <is>
          <t>existing_payoff</t>
        </is>
      </c>
      <c r="B28" s="19">
        <f>Inputs!B31</f>
        <v/>
      </c>
    </row>
    <row r="29">
      <c r="A29" t="inlineStr">
        <is>
          <t>origination_fee (1% of loan)</t>
        </is>
      </c>
      <c r="B29" s="19">
        <f>Inputs!B29*B24</f>
        <v/>
      </c>
    </row>
    <row r="30">
      <c r="A30" t="inlineStr">
        <is>
          <t>closing_costs</t>
        </is>
      </c>
      <c r="B30" s="19">
        <f>Inputs!B30</f>
        <v/>
      </c>
    </row>
    <row r="31">
      <c r="A31" t="inlineStr">
        <is>
          <t>Total uses</t>
        </is>
      </c>
      <c r="B31" s="19">
        <f>SUM(B28:B30)</f>
        <v/>
      </c>
    </row>
    <row r="32">
      <c r="A32" s="2" t="inlineStr">
        <is>
          <t>net_cash_out (negative = additional equity)</t>
        </is>
      </c>
      <c r="B32" s="21">
        <f>B24-B31</f>
        <v/>
      </c>
    </row>
    <row r="35">
      <c r="A35" s="3" t="inlineStr">
        <is>
          <t>IMPLIED METRICS AT MAX LOAN</t>
        </is>
      </c>
    </row>
    <row r="36">
      <c r="A36" t="inlineStr">
        <is>
          <t>LTV realized</t>
        </is>
      </c>
      <c r="B36" s="20">
        <f>B24/UW!B32</f>
        <v/>
      </c>
    </row>
    <row r="37">
      <c r="A37" t="inlineStr">
        <is>
          <t>Annual DS at sizing rate</t>
        </is>
      </c>
      <c r="B37" s="19">
        <f>B24*B10</f>
        <v/>
      </c>
    </row>
    <row r="38">
      <c r="A38" t="inlineStr">
        <is>
          <t>DSCR realized (on NCF)</t>
        </is>
      </c>
      <c r="B38" s="29">
        <f>UW!B25/B37</f>
        <v/>
      </c>
    </row>
    <row r="39">
      <c r="A39" t="inlineStr">
        <is>
          <t>Debt yield realized (on NCF)</t>
        </is>
      </c>
      <c r="B39" s="20">
        <f>UW!B25/B24</f>
        <v/>
      </c>
    </row>
  </sheetData>
  <mergeCells count="2">
    <mergeCell ref="A1:C1"/>
    <mergeCell ref="A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4" customWidth="1" min="3" max="3"/>
    <col width="2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6" t="inlineStr">
        <is>
          <t>Sensitivity — Cap Rate × Sizing Rate</t>
        </is>
      </c>
    </row>
    <row r="2">
      <c r="A2" t="inlineStr">
        <is>
          <t>Table A: Capitalization value = UW NOI / cap_rate. Table B: Maximum loan by binding constraint at given cap and sizing rate.</t>
        </is>
      </c>
    </row>
    <row r="4">
      <c r="A4" s="3" t="inlineStr">
        <is>
          <t>Table A — Capitalization value at NOI</t>
        </is>
      </c>
      <c r="D4" s="3" t="inlineStr">
        <is>
          <t>Table B — Maximum loan (LTV @ base 65%, DSCR @1.25, DY @9%)</t>
        </is>
      </c>
    </row>
    <row r="5">
      <c r="A5" s="2" t="inlineStr">
        <is>
          <t>cap_rate ↓</t>
        </is>
      </c>
      <c r="B5" s="2" t="inlineStr">
        <is>
          <t>value</t>
        </is>
      </c>
      <c r="D5" s="2" t="inlineStr">
        <is>
          <t>sizing_rate ↓  /  cap_rate →</t>
        </is>
      </c>
      <c r="E5" s="30" t="n">
        <v>0.06</v>
      </c>
      <c r="F5" s="30" t="n">
        <v>0.0625</v>
      </c>
      <c r="G5" s="30" t="n">
        <v>0.065</v>
      </c>
      <c r="H5" s="30" t="n">
        <v>0.0675</v>
      </c>
      <c r="I5" s="30" t="n">
        <v>0.07000000000000001</v>
      </c>
      <c r="J5" s="30" t="n">
        <v>0.0725</v>
      </c>
      <c r="K5" s="30" t="n">
        <v>0.075</v>
      </c>
    </row>
    <row r="6">
      <c r="A6" s="23" t="n">
        <v>0.06</v>
      </c>
      <c r="B6" s="14">
        <f>UW!$B$22/A6</f>
        <v/>
      </c>
      <c r="D6" s="30" t="n">
        <v>0.06</v>
      </c>
      <c r="E6" s="14">
        <f>MIN(Debt!$B$11*(UW!$B$22/E$5),(UW!$B$25/Debt!$B$12)/((6/6)*((0.06/12)*(1+0.06/12)^(Debt!$B$8))/((1+0.06/12)^(Debt!$B$8)-1)*12),UW!$B$25/Debt!$B$13)</f>
        <v/>
      </c>
      <c r="F6" s="14">
        <f>MIN(Debt!$B$11*(UW!$B$22/F$5),(UW!$B$25/Debt!$B$12)/((6/6)*((0.06/12)*(1+0.06/12)^(Debt!$B$8))/((1+0.06/12)^(Debt!$B$8)-1)*12),UW!$B$25/Debt!$B$13)</f>
        <v/>
      </c>
      <c r="G6" s="14">
        <f>MIN(Debt!$B$11*(UW!$B$22/G$5),(UW!$B$25/Debt!$B$12)/((6/6)*((0.06/12)*(1+0.06/12)^(Debt!$B$8))/((1+0.06/12)^(Debt!$B$8)-1)*12),UW!$B$25/Debt!$B$13)</f>
        <v/>
      </c>
      <c r="H6" s="14">
        <f>MIN(Debt!$B$11*(UW!$B$22/H$5),(UW!$B$25/Debt!$B$12)/((6/6)*((0.06/12)*(1+0.06/12)^(Debt!$B$8))/((1+0.06/12)^(Debt!$B$8)-1)*12),UW!$B$25/Debt!$B$13)</f>
        <v/>
      </c>
      <c r="I6" s="14">
        <f>MIN(Debt!$B$11*(UW!$B$22/I$5),(UW!$B$25/Debt!$B$12)/((6/6)*((0.06/12)*(1+0.06/12)^(Debt!$B$8))/((1+0.06/12)^(Debt!$B$8)-1)*12),UW!$B$25/Debt!$B$13)</f>
        <v/>
      </c>
      <c r="J6" s="14">
        <f>MIN(Debt!$B$11*(UW!$B$22/J$5),(UW!$B$25/Debt!$B$12)/((6/6)*((0.06/12)*(1+0.06/12)^(Debt!$B$8))/((1+0.06/12)^(Debt!$B$8)-1)*12),UW!$B$25/Debt!$B$13)</f>
        <v/>
      </c>
      <c r="K6" s="14">
        <f>MIN(Debt!$B$11*(UW!$B$22/K$5),(UW!$B$25/Debt!$B$12)/((6/6)*((0.06/12)*(1+0.06/12)^(Debt!$B$8))/((1+0.06/12)^(Debt!$B$8)-1)*12),UW!$B$25/Debt!$B$13)</f>
        <v/>
      </c>
    </row>
    <row r="7">
      <c r="A7" s="23" t="n">
        <v>0.0625</v>
      </c>
      <c r="B7" s="14">
        <f>UW!$B$22/A7</f>
        <v/>
      </c>
      <c r="D7" s="30" t="n">
        <v>0.0625</v>
      </c>
      <c r="E7" s="14">
        <f>MIN(Debt!$B$11*(UW!$B$22/E$5),(UW!$B$25/Debt!$B$12)/((7/7)*((0.0625/12)*(1+0.0625/12)^(Debt!$B$8))/((1+0.0625/12)^(Debt!$B$8)-1)*12),UW!$B$25/Debt!$B$13)</f>
        <v/>
      </c>
      <c r="F7" s="14">
        <f>MIN(Debt!$B$11*(UW!$B$22/F$5),(UW!$B$25/Debt!$B$12)/((7/7)*((0.0625/12)*(1+0.0625/12)^(Debt!$B$8))/((1+0.0625/12)^(Debt!$B$8)-1)*12),UW!$B$25/Debt!$B$13)</f>
        <v/>
      </c>
      <c r="G7" s="14">
        <f>MIN(Debt!$B$11*(UW!$B$22/G$5),(UW!$B$25/Debt!$B$12)/((7/7)*((0.0625/12)*(1+0.0625/12)^(Debt!$B$8))/((1+0.0625/12)^(Debt!$B$8)-1)*12),UW!$B$25/Debt!$B$13)</f>
        <v/>
      </c>
      <c r="H7" s="14">
        <f>MIN(Debt!$B$11*(UW!$B$22/H$5),(UW!$B$25/Debt!$B$12)/((7/7)*((0.0625/12)*(1+0.0625/12)^(Debt!$B$8))/((1+0.0625/12)^(Debt!$B$8)-1)*12),UW!$B$25/Debt!$B$13)</f>
        <v/>
      </c>
      <c r="I7" s="14">
        <f>MIN(Debt!$B$11*(UW!$B$22/I$5),(UW!$B$25/Debt!$B$12)/((7/7)*((0.0625/12)*(1+0.0625/12)^(Debt!$B$8))/((1+0.0625/12)^(Debt!$B$8)-1)*12),UW!$B$25/Debt!$B$13)</f>
        <v/>
      </c>
      <c r="J7" s="14">
        <f>MIN(Debt!$B$11*(UW!$B$22/J$5),(UW!$B$25/Debt!$B$12)/((7/7)*((0.0625/12)*(1+0.0625/12)^(Debt!$B$8))/((1+0.0625/12)^(Debt!$B$8)-1)*12),UW!$B$25/Debt!$B$13)</f>
        <v/>
      </c>
      <c r="K7" s="14">
        <f>MIN(Debt!$B$11*(UW!$B$22/K$5),(UW!$B$25/Debt!$B$12)/((7/7)*((0.0625/12)*(1+0.0625/12)^(Debt!$B$8))/((1+0.0625/12)^(Debt!$B$8)-1)*12),UW!$B$25/Debt!$B$13)</f>
        <v/>
      </c>
    </row>
    <row r="8">
      <c r="A8" s="23" t="n">
        <v>0.065</v>
      </c>
      <c r="B8" s="14">
        <f>UW!$B$22/A8</f>
        <v/>
      </c>
      <c r="D8" s="30" t="n">
        <v>0.065</v>
      </c>
      <c r="E8" s="14">
        <f>MIN(Debt!$B$11*(UW!$B$22/E$5),(UW!$B$25/Debt!$B$12)/((8/8)*((0.065/12)*(1+0.065/12)^(Debt!$B$8))/((1+0.065/12)^(Debt!$B$8)-1)*12),UW!$B$25/Debt!$B$13)</f>
        <v/>
      </c>
      <c r="F8" s="14">
        <f>MIN(Debt!$B$11*(UW!$B$22/F$5),(UW!$B$25/Debt!$B$12)/((8/8)*((0.065/12)*(1+0.065/12)^(Debt!$B$8))/((1+0.065/12)^(Debt!$B$8)-1)*12),UW!$B$25/Debt!$B$13)</f>
        <v/>
      </c>
      <c r="G8" s="14">
        <f>MIN(Debt!$B$11*(UW!$B$22/G$5),(UW!$B$25/Debt!$B$12)/((8/8)*((0.065/12)*(1+0.065/12)^(Debt!$B$8))/((1+0.065/12)^(Debt!$B$8)-1)*12),UW!$B$25/Debt!$B$13)</f>
        <v/>
      </c>
      <c r="H8" s="18">
        <f>MIN(Debt!$B$11*(UW!$B$22/H$5),(UW!$B$25/Debt!$B$12)/((8/8)*((0.065/12)*(1+0.065/12)^(Debt!$B$8))/((1+0.065/12)^(Debt!$B$8)-1)*12),UW!$B$25/Debt!$B$13)</f>
        <v/>
      </c>
      <c r="I8" s="14">
        <f>MIN(Debt!$B$11*(UW!$B$22/I$5),(UW!$B$25/Debt!$B$12)/((8/8)*((0.065/12)*(1+0.065/12)^(Debt!$B$8))/((1+0.065/12)^(Debt!$B$8)-1)*12),UW!$B$25/Debt!$B$13)</f>
        <v/>
      </c>
      <c r="J8" s="14">
        <f>MIN(Debt!$B$11*(UW!$B$22/J$5),(UW!$B$25/Debt!$B$12)/((8/8)*((0.065/12)*(1+0.065/12)^(Debt!$B$8))/((1+0.065/12)^(Debt!$B$8)-1)*12),UW!$B$25/Debt!$B$13)</f>
        <v/>
      </c>
      <c r="K8" s="14">
        <f>MIN(Debt!$B$11*(UW!$B$22/K$5),(UW!$B$25/Debt!$B$12)/((8/8)*((0.065/12)*(1+0.065/12)^(Debt!$B$8))/((1+0.065/12)^(Debt!$B$8)-1)*12),UW!$B$25/Debt!$B$13)</f>
        <v/>
      </c>
    </row>
    <row r="9">
      <c r="A9" s="23" t="n">
        <v>0.0675</v>
      </c>
      <c r="B9" s="18">
        <f>UW!$B$22/A9</f>
        <v/>
      </c>
      <c r="D9" s="30" t="n">
        <v>0.0675</v>
      </c>
      <c r="E9" s="14">
        <f>MIN(Debt!$B$11*(UW!$B$22/E$5),(UW!$B$25/Debt!$B$12)/((9/9)*((0.0675/12)*(1+0.0675/12)^(Debt!$B$8))/((1+0.0675/12)^(Debt!$B$8)-1)*12),UW!$B$25/Debt!$B$13)</f>
        <v/>
      </c>
      <c r="F9" s="14">
        <f>MIN(Debt!$B$11*(UW!$B$22/F$5),(UW!$B$25/Debt!$B$12)/((9/9)*((0.0675/12)*(1+0.0675/12)^(Debt!$B$8))/((1+0.0675/12)^(Debt!$B$8)-1)*12),UW!$B$25/Debt!$B$13)</f>
        <v/>
      </c>
      <c r="G9" s="14">
        <f>MIN(Debt!$B$11*(UW!$B$22/G$5),(UW!$B$25/Debt!$B$12)/((9/9)*((0.0675/12)*(1+0.0675/12)^(Debt!$B$8))/((1+0.0675/12)^(Debt!$B$8)-1)*12),UW!$B$25/Debt!$B$13)</f>
        <v/>
      </c>
      <c r="H9" s="14">
        <f>MIN(Debt!$B$11*(UW!$B$22/H$5),(UW!$B$25/Debt!$B$12)/((9/9)*((0.0675/12)*(1+0.0675/12)^(Debt!$B$8))/((1+0.0675/12)^(Debt!$B$8)-1)*12),UW!$B$25/Debt!$B$13)</f>
        <v/>
      </c>
      <c r="I9" s="14">
        <f>MIN(Debt!$B$11*(UW!$B$22/I$5),(UW!$B$25/Debt!$B$12)/((9/9)*((0.0675/12)*(1+0.0675/12)^(Debt!$B$8))/((1+0.0675/12)^(Debt!$B$8)-1)*12),UW!$B$25/Debt!$B$13)</f>
        <v/>
      </c>
      <c r="J9" s="14">
        <f>MIN(Debt!$B$11*(UW!$B$22/J$5),(UW!$B$25/Debt!$B$12)/((9/9)*((0.0675/12)*(1+0.0675/12)^(Debt!$B$8))/((1+0.0675/12)^(Debt!$B$8)-1)*12),UW!$B$25/Debt!$B$13)</f>
        <v/>
      </c>
      <c r="K9" s="14">
        <f>MIN(Debt!$B$11*(UW!$B$22/K$5),(UW!$B$25/Debt!$B$12)/((9/9)*((0.0675/12)*(1+0.0675/12)^(Debt!$B$8))/((1+0.0675/12)^(Debt!$B$8)-1)*12),UW!$B$25/Debt!$B$13)</f>
        <v/>
      </c>
    </row>
    <row r="10">
      <c r="A10" s="23" t="n">
        <v>0.07000000000000001</v>
      </c>
      <c r="B10" s="14">
        <f>UW!$B$22/A10</f>
        <v/>
      </c>
      <c r="D10" s="30" t="n">
        <v>0.07000000000000001</v>
      </c>
      <c r="E10" s="14">
        <f>MIN(Debt!$B$11*(UW!$B$22/E$5),(UW!$B$25/Debt!$B$12)/((10/10)*((0.07/12)*(1+0.07/12)^(Debt!$B$8))/((1+0.07/12)^(Debt!$B$8)-1)*12),UW!$B$25/Debt!$B$13)</f>
        <v/>
      </c>
      <c r="F10" s="14">
        <f>MIN(Debt!$B$11*(UW!$B$22/F$5),(UW!$B$25/Debt!$B$12)/((10/10)*((0.07/12)*(1+0.07/12)^(Debt!$B$8))/((1+0.07/12)^(Debt!$B$8)-1)*12),UW!$B$25/Debt!$B$13)</f>
        <v/>
      </c>
      <c r="G10" s="14">
        <f>MIN(Debt!$B$11*(UW!$B$22/G$5),(UW!$B$25/Debt!$B$12)/((10/10)*((0.07/12)*(1+0.07/12)^(Debt!$B$8))/((1+0.07/12)^(Debt!$B$8)-1)*12),UW!$B$25/Debt!$B$13)</f>
        <v/>
      </c>
      <c r="H10" s="14">
        <f>MIN(Debt!$B$11*(UW!$B$22/H$5),(UW!$B$25/Debt!$B$12)/((10/10)*((0.07/12)*(1+0.07/12)^(Debt!$B$8))/((1+0.07/12)^(Debt!$B$8)-1)*12),UW!$B$25/Debt!$B$13)</f>
        <v/>
      </c>
      <c r="I10" s="14">
        <f>MIN(Debt!$B$11*(UW!$B$22/I$5),(UW!$B$25/Debt!$B$12)/((10/10)*((0.07/12)*(1+0.07/12)^(Debt!$B$8))/((1+0.07/12)^(Debt!$B$8)-1)*12),UW!$B$25/Debt!$B$13)</f>
        <v/>
      </c>
      <c r="J10" s="14">
        <f>MIN(Debt!$B$11*(UW!$B$22/J$5),(UW!$B$25/Debt!$B$12)/((10/10)*((0.07/12)*(1+0.07/12)^(Debt!$B$8))/((1+0.07/12)^(Debt!$B$8)-1)*12),UW!$B$25/Debt!$B$13)</f>
        <v/>
      </c>
      <c r="K10" s="14">
        <f>MIN(Debt!$B$11*(UW!$B$22/K$5),(UW!$B$25/Debt!$B$12)/((10/10)*((0.07/12)*(1+0.07/12)^(Debt!$B$8))/((1+0.07/12)^(Debt!$B$8)-1)*12),UW!$B$25/Debt!$B$13)</f>
        <v/>
      </c>
    </row>
    <row r="11">
      <c r="A11" s="23" t="n">
        <v>0.0725</v>
      </c>
      <c r="B11" s="14">
        <f>UW!$B$22/A11</f>
        <v/>
      </c>
    </row>
    <row r="12">
      <c r="A12" s="23" t="n">
        <v>0.075</v>
      </c>
      <c r="B12" s="14">
        <f>UW!$B$22/A12</f>
        <v/>
      </c>
    </row>
    <row r="15">
      <c r="A15" s="31" t="inlineStr">
        <is>
          <t>Highlighted cells = base case (cap 6.75%, sizing rate 6.50%).</t>
        </is>
      </c>
    </row>
  </sheetData>
  <mergeCells count="3">
    <mergeCell ref="A15:H15"/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55" customWidth="1" min="4" max="4"/>
  </cols>
  <sheetData>
    <row r="1">
      <c r="A1" s="6" t="inlineStr">
        <is>
          <t>Historical T12 vs Underwriting</t>
        </is>
      </c>
    </row>
    <row r="2">
      <c r="A2" t="inlineStr">
        <is>
          <t>T12 period: 2025-09-01 through 2026-08-31 (source: operating-statement.pdf).</t>
        </is>
      </c>
    </row>
    <row r="3">
      <c r="A3" s="31" t="inlineStr">
        <is>
          <t>Historical NOI, underwritten NOI, and NCF have different definitions and are labeled distinctly.</t>
        </is>
      </c>
    </row>
    <row r="5">
      <c r="A5" s="4" t="inlineStr">
        <is>
          <t>Line item</t>
        </is>
      </c>
      <c r="B5" s="4" t="inlineStr">
        <is>
          <t>T12 Actual</t>
        </is>
      </c>
      <c r="C5" s="4" t="inlineStr">
        <is>
          <t>Underwritten</t>
        </is>
      </c>
      <c r="D5" s="4" t="inlineStr">
        <is>
          <t>Delta / Note</t>
        </is>
      </c>
    </row>
    <row r="6">
      <c r="A6" s="13" t="inlineStr">
        <is>
          <t>Rental &amp; ancillary collections</t>
        </is>
      </c>
      <c r="B6" s="14" t="n">
        <v>736830</v>
      </c>
      <c r="C6" s="14">
        <f>Inputs!B7</f>
        <v/>
      </c>
      <c r="D6" s="32" t="inlineStr">
        <is>
          <t>UW GPR pre-loss/other; not directly comparable</t>
        </is>
      </c>
    </row>
    <row r="7">
      <c r="A7" s="13" t="inlineStr">
        <is>
          <t>Economic loss (UW only)</t>
        </is>
      </c>
      <c r="B7" s="13" t="n"/>
      <c r="C7" s="14">
        <f>-UW!B5*UW!B6</f>
        <v/>
      </c>
      <c r="D7" s="32" t="inlineStr">
        <is>
          <t>Applied to UW GPR at 5%</t>
        </is>
      </c>
    </row>
    <row r="8">
      <c r="A8" s="13" t="inlineStr">
        <is>
          <t>Other income (UW only, $350/suite)</t>
        </is>
      </c>
      <c r="B8" s="13" t="n"/>
      <c r="C8" s="14">
        <f>UW!B8</f>
        <v/>
      </c>
      <c r="D8" s="32" t="inlineStr">
        <is>
          <t>Instructions</t>
        </is>
      </c>
    </row>
    <row r="9">
      <c r="A9" s="13" t="inlineStr">
        <is>
          <t>Effective / Underwritten EGI</t>
        </is>
      </c>
      <c r="B9" s="14" t="n">
        <v>736830</v>
      </c>
      <c r="C9" s="14">
        <f>UW!B10</f>
        <v/>
      </c>
      <c r="D9" s="32" t="inlineStr">
        <is>
          <t>Historical shown as collections; UW = GPR×(1−loss)+OI</t>
        </is>
      </c>
    </row>
    <row r="10">
      <c r="A10" s="13" t="inlineStr">
        <is>
          <t>Real estate tax</t>
        </is>
      </c>
      <c r="B10" s="14" t="n">
        <v>-85964</v>
      </c>
      <c r="C10" s="14">
        <f>-UW!B13</f>
        <v/>
      </c>
      <c r="D10" s="32" t="inlineStr">
        <is>
          <t>Same source figure</t>
        </is>
      </c>
    </row>
    <row r="11">
      <c r="A11" s="13" t="inlineStr">
        <is>
          <t>Insurance expense</t>
        </is>
      </c>
      <c r="B11" s="14" t="n">
        <v>-28655</v>
      </c>
      <c r="C11" s="14">
        <f>-UW!B14</f>
        <v/>
      </c>
      <c r="D11" s="32" t="inlineStr">
        <is>
          <t>Same source figure</t>
        </is>
      </c>
    </row>
    <row r="12">
      <c r="A12" s="13" t="inlineStr">
        <is>
          <t>Other recurring operating expenses</t>
        </is>
      </c>
      <c r="B12" s="14" t="n">
        <v>-114618</v>
      </c>
      <c r="C12" s="14">
        <f>-UW!B15</f>
        <v/>
      </c>
      <c r="D12" s="32" t="inlineStr">
        <is>
          <t>Same source figure</t>
        </is>
      </c>
    </row>
    <row r="13">
      <c r="A13" s="13" t="inlineStr">
        <is>
          <t>Management fee</t>
        </is>
      </c>
      <c r="B13" s="14" t="n">
        <v>0</v>
      </c>
      <c r="C13" s="14">
        <f>-UW!B16</f>
        <v/>
      </c>
      <c r="D13" s="32" t="inlineStr">
        <is>
          <t>Not in T12 ledger; underwritten at 3% of EGI</t>
        </is>
      </c>
    </row>
    <row r="14">
      <c r="A14" s="13" t="inlineStr">
        <is>
          <t>Roof replacement (capex)</t>
        </is>
      </c>
      <c r="B14" s="14" t="n">
        <v>0</v>
      </c>
      <c r="C14" s="14" t="n">
        <v>0</v>
      </c>
      <c r="D14" s="32" t="inlineStr">
        <is>
          <t>Capital improvement; not in recurring OpEx per T12</t>
        </is>
      </c>
    </row>
    <row r="15">
      <c r="A15" s="13" t="inlineStr">
        <is>
          <t>Reported / Underwritten NOI</t>
        </is>
      </c>
      <c r="B15" s="14" t="n">
        <v>507593</v>
      </c>
      <c r="C15" s="14">
        <f>UW!B22</f>
        <v/>
      </c>
      <c r="D15" s="32" t="inlineStr">
        <is>
          <t>T12 reported NOI vs UW NOI (before reserves)</t>
        </is>
      </c>
    </row>
    <row r="16">
      <c r="A16" s="13" t="inlineStr">
        <is>
          <t>Replacement reserves</t>
        </is>
      </c>
      <c r="B16" s="13" t="n"/>
      <c r="C16" s="14">
        <f>-UW!B23</f>
        <v/>
      </c>
      <c r="D16" s="32" t="inlineStr">
        <is>
          <t>UW only ($300/suite)</t>
        </is>
      </c>
    </row>
    <row r="17">
      <c r="A17" s="13" t="inlineStr">
        <is>
          <t>Underwritten NCF</t>
        </is>
      </c>
      <c r="B17" s="13" t="n"/>
      <c r="C17" s="14">
        <f>UW!B25</f>
        <v/>
      </c>
      <c r="D17" s="32" t="inlineStr">
        <is>
          <t>For DSCR &amp; debt yield sizing</t>
        </is>
      </c>
    </row>
  </sheetData>
  <mergeCells count="3">
    <mergeCell ref="A1:D1"/>
    <mergeCell ref="A3:D3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32" customWidth="1" min="3" max="3"/>
    <col width="60" customWidth="1" min="4" max="4"/>
  </cols>
  <sheetData>
    <row r="1">
      <c r="A1" s="6" t="inlineStr">
        <is>
          <t>Source Register</t>
        </is>
      </c>
    </row>
    <row r="3">
      <c r="A3" s="4" t="inlineStr">
        <is>
          <t>#</t>
        </is>
      </c>
      <c r="B3" s="4" t="inlineStr">
        <is>
          <t>Field / Assumption</t>
        </is>
      </c>
      <c r="C3" s="4" t="inlineStr">
        <is>
          <t>Value</t>
        </is>
      </c>
      <c r="D3" s="4" t="inlineStr">
        <is>
          <t>Evidence (file — page/cell)</t>
        </is>
      </c>
    </row>
    <row r="4">
      <c r="A4" s="13" t="n">
        <v>1</v>
      </c>
      <c r="B4" s="32" t="inlineStr">
        <is>
          <t>Certified rent roll (as-of date)</t>
        </is>
      </c>
      <c r="C4" s="13" t="inlineStr">
        <is>
          <t>2026-08-31</t>
        </is>
      </c>
      <c r="D4" s="32" t="inlineStr">
        <is>
          <t>rent-roll-certified.xlsx — Sheet Rent Roll, B2</t>
        </is>
      </c>
    </row>
    <row r="5">
      <c r="A5" s="13" t="n">
        <v>2</v>
      </c>
      <c r="B5" s="32" t="inlineStr">
        <is>
          <t>Certified roll suite count / status</t>
        </is>
      </c>
      <c r="C5" s="13" t="inlineStr">
        <is>
          <t>10 total; 9 active, 1 vacant</t>
        </is>
      </c>
      <c r="D5" s="32" t="inlineStr">
        <is>
          <t>rent-roll-certified.xlsx — Rent Roll, A5:E14</t>
        </is>
      </c>
    </row>
    <row r="6">
      <c r="A6" s="13" t="n">
        <v>3</v>
      </c>
      <c r="B6" s="32" t="inlineStr">
        <is>
          <t>Suite 001 monthly rent (post-amendment)</t>
        </is>
      </c>
      <c r="C6" s="13" t="inlineStr">
        <is>
          <t>$6,650</t>
        </is>
      </c>
      <c r="D6" s="32" t="inlineStr">
        <is>
          <t>rent-roll-certified.xlsx — E5</t>
        </is>
      </c>
    </row>
    <row r="7">
      <c r="A7" s="13" t="n">
        <v>4</v>
      </c>
      <c r="B7" s="32" t="inlineStr">
        <is>
          <t>Suite 001 amendment (+$350/mo, eff. 2026-08-01)</t>
        </is>
      </c>
      <c r="C7" s="13" t="inlineStr">
        <is>
          <t>+$350</t>
        </is>
      </c>
      <c r="D7" s="32" t="inlineStr">
        <is>
          <t>lease-correspondence.pdf — page 1</t>
        </is>
      </c>
    </row>
    <row r="8">
      <c r="A8" s="13" t="n">
        <v>5</v>
      </c>
      <c r="B8" s="32" t="inlineStr">
        <is>
          <t>Suite 001 executed base rent (pre-amendment)</t>
        </is>
      </c>
      <c r="C8" s="13" t="inlineStr">
        <is>
          <t>$6,650 (per lease excerpt)</t>
        </is>
      </c>
      <c r="D8" s="32" t="inlineStr">
        <is>
          <t>lease-001.pdf — page 1</t>
        </is>
      </c>
    </row>
    <row r="9">
      <c r="A9" s="13" t="n">
        <v>6</v>
      </c>
      <c r="B9" s="32" t="inlineStr">
        <is>
          <t>Archive roll (2026-06-30) Suite 001 rent</t>
        </is>
      </c>
      <c r="C9" s="13" t="inlineStr">
        <is>
          <t>$6,575</t>
        </is>
      </c>
      <c r="D9" s="32" t="inlineStr">
        <is>
          <t>rent-roll-archive.xlsx — E5 (superseded by certified roll)</t>
        </is>
      </c>
    </row>
    <row r="10">
      <c r="A10" s="13" t="n">
        <v>7</v>
      </c>
      <c r="B10" s="32" t="inlineStr">
        <is>
          <t>Type mapping (A=Small, B=Standard, C=Large)</t>
        </is>
      </c>
      <c r="C10" s="13" t="inlineStr">
        <is>
          <t>Manager methodology</t>
        </is>
      </c>
      <c r="D10" s="32" t="inlineStr">
        <is>
          <t>manager-cover.pdf — page 1</t>
        </is>
      </c>
    </row>
    <row r="11">
      <c r="A11" s="13" t="n">
        <v>8</v>
      </c>
      <c r="B11" s="32" t="inlineStr">
        <is>
          <t>Manager headline occupancy claim</t>
        </is>
      </c>
      <c r="C11" s="13" t="inlineStr">
        <is>
          <t>9 of 10 (occupied + pending as leased)</t>
        </is>
      </c>
      <c r="D11" s="32" t="inlineStr">
        <is>
          <t>manager-cover.pdf — page 1</t>
        </is>
      </c>
    </row>
    <row r="12">
      <c r="A12" s="13" t="n">
        <v>9</v>
      </c>
      <c r="B12" s="32" t="inlineStr">
        <is>
          <t>T12 collections</t>
        </is>
      </c>
      <c r="C12" s="13" t="inlineStr">
        <is>
          <t>$736,830</t>
        </is>
      </c>
      <c r="D12" s="32" t="inlineStr">
        <is>
          <t>operating-statement.pdf — page 1 (table)</t>
        </is>
      </c>
    </row>
    <row r="13">
      <c r="A13" s="13" t="n">
        <v>10</v>
      </c>
      <c r="B13" s="32" t="inlineStr">
        <is>
          <t>T12 real estate tax</t>
        </is>
      </c>
      <c r="C13" s="13" t="inlineStr">
        <is>
          <t>$85,964</t>
        </is>
      </c>
      <c r="D13" s="32" t="inlineStr">
        <is>
          <t>operating-statement.pdf — page 1</t>
        </is>
      </c>
    </row>
    <row r="14">
      <c r="A14" s="13" t="n">
        <v>11</v>
      </c>
      <c r="B14" s="32" t="inlineStr">
        <is>
          <t>T12 insurance expense</t>
        </is>
      </c>
      <c r="C14" s="13" t="inlineStr">
        <is>
          <t>$28,655</t>
        </is>
      </c>
      <c r="D14" s="32" t="inlineStr">
        <is>
          <t>operating-statement.pdf — page 1</t>
        </is>
      </c>
    </row>
    <row r="15">
      <c r="A15" s="13" t="n">
        <v>12</v>
      </c>
      <c r="B15" s="32" t="inlineStr">
        <is>
          <t>T12 other recurring opex</t>
        </is>
      </c>
      <c r="C15" s="13" t="inlineStr">
        <is>
          <t>$114,618</t>
        </is>
      </c>
      <c r="D15" s="32" t="inlineStr">
        <is>
          <t>operating-statement.pdf — page 1</t>
        </is>
      </c>
    </row>
    <row r="16">
      <c r="A16" s="13" t="n">
        <v>13</v>
      </c>
      <c r="B16" s="32" t="inlineStr">
        <is>
          <t>T12 reported NOI</t>
        </is>
      </c>
      <c r="C16" s="13" t="inlineStr">
        <is>
          <t>$507,593</t>
        </is>
      </c>
      <c r="D16" s="32" t="inlineStr">
        <is>
          <t>operating-statement.pdf — page 1</t>
        </is>
      </c>
    </row>
    <row r="17">
      <c r="A17" s="13" t="n">
        <v>14</v>
      </c>
      <c r="B17" s="32" t="inlineStr">
        <is>
          <t>Roof replacement booked in repairs</t>
        </is>
      </c>
      <c r="C17" s="13" t="inlineStr">
        <is>
          <t>$0 (classified as capex)</t>
        </is>
      </c>
      <c r="D17" s="32" t="inlineStr">
        <is>
          <t>operating-statement.pdf — page 1</t>
        </is>
      </c>
    </row>
    <row r="18">
      <c r="A18" s="13" t="n">
        <v>15</v>
      </c>
      <c r="B18" s="32" t="inlineStr">
        <is>
          <t>Insurance policy aggregate limit</t>
        </is>
      </c>
      <c r="C18" s="13" t="inlineStr">
        <is>
          <t>$2,000,000 (GL coverage limit — not an expense)</t>
        </is>
      </c>
      <c r="D18" s="32" t="inlineStr">
        <is>
          <t>insurance.pdf — page 1</t>
        </is>
      </c>
    </row>
    <row r="19">
      <c r="A19" s="13" t="n">
        <v>16</v>
      </c>
      <c r="B19" s="32" t="inlineStr">
        <is>
          <t>Insurance policy period</t>
        </is>
      </c>
      <c r="C19" s="13" t="inlineStr">
        <is>
          <t>2026-07-01 to 2027-06-30</t>
        </is>
      </c>
      <c r="D19" s="32" t="inlineStr">
        <is>
          <t>insurance.pdf — page 1</t>
        </is>
      </c>
    </row>
    <row r="20">
      <c r="A20" s="13" t="n">
        <v>17</v>
      </c>
      <c r="B20" s="32" t="inlineStr">
        <is>
          <t>UW GPR method</t>
        </is>
      </c>
      <c r="C20" s="13" t="inlineStr">
        <is>
          <t>All-suite certified ×12, S001 pre-amendment</t>
        </is>
      </c>
      <c r="D20" s="32" t="inlineStr">
        <is>
          <t>underwriting-instructions.pdf — page 1</t>
        </is>
      </c>
    </row>
    <row r="21">
      <c r="A21" s="13" t="n">
        <v>18</v>
      </c>
      <c r="B21" s="32" t="inlineStr">
        <is>
          <t>UW economic loss</t>
        </is>
      </c>
      <c r="C21" s="13" t="inlineStr">
        <is>
          <t>5%</t>
        </is>
      </c>
      <c r="D21" s="32" t="inlineStr">
        <is>
          <t>underwriting-instructions.pdf — page 1</t>
        </is>
      </c>
    </row>
    <row r="22">
      <c r="A22" s="13" t="n">
        <v>19</v>
      </c>
      <c r="B22" s="32" t="inlineStr">
        <is>
          <t>UW other income</t>
        </is>
      </c>
      <c r="C22" s="13" t="inlineStr">
        <is>
          <t>$350/suite/year</t>
        </is>
      </c>
      <c r="D22" s="32" t="inlineStr">
        <is>
          <t>underwriting-instructions.pdf — page 1</t>
        </is>
      </c>
    </row>
    <row r="23">
      <c r="A23" s="13" t="n">
        <v>20</v>
      </c>
      <c r="B23" s="32" t="inlineStr">
        <is>
          <t>UW management fee</t>
        </is>
      </c>
      <c r="C23" s="13" t="inlineStr">
        <is>
          <t>3% of EGI</t>
        </is>
      </c>
      <c r="D23" s="32" t="inlineStr">
        <is>
          <t>underwriting-instructions.pdf — page 1</t>
        </is>
      </c>
    </row>
    <row r="24">
      <c r="A24" s="13" t="n">
        <v>21</v>
      </c>
      <c r="B24" s="32" t="inlineStr">
        <is>
          <t>UW replacement reserve</t>
        </is>
      </c>
      <c r="C24" s="13" t="inlineStr">
        <is>
          <t>$300/suite/year</t>
        </is>
      </c>
      <c r="D24" s="32" t="inlineStr">
        <is>
          <t>underwriting-instructions.pdf — page 1</t>
        </is>
      </c>
    </row>
    <row r="25">
      <c r="A25" s="13" t="n">
        <v>22</v>
      </c>
      <c r="B25" s="32" t="inlineStr">
        <is>
          <t>Cap rate</t>
        </is>
      </c>
      <c r="C25" s="13" t="inlineStr">
        <is>
          <t>6.7500%</t>
        </is>
      </c>
      <c r="D25" s="32" t="inlineStr">
        <is>
          <t>underwriting-instructions.pdf — page 1</t>
        </is>
      </c>
    </row>
    <row r="26">
      <c r="A26" s="13" t="n">
        <v>23</v>
      </c>
      <c r="B26" s="32" t="inlineStr">
        <is>
          <t>LTV / DSCR / DY limits</t>
        </is>
      </c>
      <c r="C26" s="13" t="inlineStr">
        <is>
          <t>65% / 1.25× / 9.0%</t>
        </is>
      </c>
      <c r="D26" s="32" t="inlineStr">
        <is>
          <t>underwriting-instructions.pdf — page 1</t>
        </is>
      </c>
    </row>
    <row r="27">
      <c r="A27" s="13" t="n">
        <v>24</v>
      </c>
      <c r="B27" s="32" t="inlineStr">
        <is>
          <t>Note rate / Floor rate</t>
        </is>
      </c>
      <c r="C27" s="13" t="inlineStr">
        <is>
          <t>6.5000% / 6.0000%</t>
        </is>
      </c>
      <c r="D27" s="32" t="inlineStr">
        <is>
          <t>underwriting-instructions.pdf — page 1</t>
        </is>
      </c>
    </row>
    <row r="28">
      <c r="A28" s="13" t="n">
        <v>25</v>
      </c>
      <c r="B28" s="32" t="inlineStr">
        <is>
          <t>Sizing on greater of note &amp; floor</t>
        </is>
      </c>
      <c r="C28" s="13" t="inlineStr">
        <is>
          <t>Explicit</t>
        </is>
      </c>
      <c r="D28" s="32" t="inlineStr">
        <is>
          <t>underwriting-instructions.pdf — page 1</t>
        </is>
      </c>
    </row>
    <row r="29">
      <c r="A29" s="13" t="n">
        <v>26</v>
      </c>
      <c r="B29" s="32" t="inlineStr">
        <is>
          <t>Amortization</t>
        </is>
      </c>
      <c r="C29" s="13" t="inlineStr">
        <is>
          <t>30 years, monthly</t>
        </is>
      </c>
      <c r="D29" s="32" t="inlineStr">
        <is>
          <t>underwriting-instructions.pdf — page 1</t>
        </is>
      </c>
    </row>
    <row r="30">
      <c r="A30" s="13" t="n">
        <v>27</v>
      </c>
      <c r="B30" s="32" t="inlineStr">
        <is>
          <t>Origination fee / Closing costs / Payoff</t>
        </is>
      </c>
      <c r="C30" s="13" t="inlineStr">
        <is>
          <t>1% / $45,000 / $4,300,000</t>
        </is>
      </c>
      <c r="D30" s="32" t="inlineStr">
        <is>
          <t>underwriting-instructions.pdf — page 1</t>
        </is>
      </c>
    </row>
    <row r="31">
      <c r="A31" s="13" t="n">
        <v>28</v>
      </c>
      <c r="B31" s="32" t="inlineStr">
        <is>
          <t>Diligence status — legal/env/PCA/title</t>
        </is>
      </c>
      <c r="C31" s="13" t="inlineStr">
        <is>
          <t>Pending, no findings</t>
        </is>
      </c>
      <c r="D31" s="32" t="inlineStr">
        <is>
          <t>diligence-status.pdf — page 1</t>
        </is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8" customWidth="1" min="3" max="3"/>
    <col width="34" customWidth="1" min="4" max="4"/>
    <col width="54" customWidth="1" min="5" max="5"/>
  </cols>
  <sheetData>
    <row r="1">
      <c r="A1" s="6" t="inlineStr">
        <is>
          <t>Reported Named Fields — Values, Units, Evidence</t>
        </is>
      </c>
    </row>
    <row r="3">
      <c r="A3" s="4" t="inlineStr">
        <is>
          <t>Field</t>
        </is>
      </c>
      <c r="B3" s="4" t="inlineStr">
        <is>
          <t>Value</t>
        </is>
      </c>
      <c r="C3" s="4" t="inlineStr">
        <is>
          <t>Unit</t>
        </is>
      </c>
      <c r="D3" s="4" t="inlineStr">
        <is>
          <t>Evidence</t>
        </is>
      </c>
      <c r="E3" s="4" t="inlineStr">
        <is>
          <t>Location</t>
        </is>
      </c>
    </row>
    <row r="4">
      <c r="A4" s="33" t="inlineStr">
        <is>
          <t>total_units</t>
        </is>
      </c>
      <c r="B4" s="34" t="n">
        <v>10</v>
      </c>
      <c r="C4" s="35" t="inlineStr">
        <is>
          <t>count</t>
        </is>
      </c>
      <c r="D4" s="32" t="inlineStr">
        <is>
          <t>rent-roll-certified.xlsx</t>
        </is>
      </c>
      <c r="E4" s="32" t="inlineStr">
        <is>
          <t>Rent Roll A5:A14</t>
        </is>
      </c>
    </row>
    <row r="5">
      <c r="A5" s="33" t="inlineStr">
        <is>
          <t>occupied_units</t>
        </is>
      </c>
      <c r="B5" s="34" t="n">
        <v>9</v>
      </c>
      <c r="C5" s="35" t="inlineStr">
        <is>
          <t>count</t>
        </is>
      </c>
      <c r="D5" s="32" t="inlineStr">
        <is>
          <t>rent-roll-certified.xlsx</t>
        </is>
      </c>
      <c r="E5" s="32" t="inlineStr">
        <is>
          <t>Rent Roll D5:D14 (=active)</t>
        </is>
      </c>
    </row>
    <row r="6">
      <c r="A6" s="33" t="inlineStr">
        <is>
          <t>pending_units</t>
        </is>
      </c>
      <c r="B6" s="34" t="n">
        <v>0</v>
      </c>
      <c r="C6" s="35" t="inlineStr">
        <is>
          <t>count</t>
        </is>
      </c>
      <c r="D6" s="32" t="inlineStr">
        <is>
          <t>rent-roll-certified.xlsx</t>
        </is>
      </c>
      <c r="E6" s="32" t="inlineStr">
        <is>
          <t>no "pending" status present on roll</t>
        </is>
      </c>
    </row>
    <row r="7">
      <c r="A7" s="33" t="inlineStr">
        <is>
          <t>total_area_sf</t>
        </is>
      </c>
      <c r="B7" s="34" t="n">
        <v>31150</v>
      </c>
      <c r="C7" s="35" t="inlineStr">
        <is>
          <t>SF</t>
        </is>
      </c>
      <c r="D7" s="32" t="inlineStr">
        <is>
          <t>rent-roll-certified.xlsx</t>
        </is>
      </c>
      <c r="E7" s="32" t="inlineStr">
        <is>
          <t>Rent Roll C5:C14</t>
        </is>
      </c>
    </row>
    <row r="8">
      <c r="A8" s="33" t="inlineStr">
        <is>
          <t>occupied_area_sf</t>
        </is>
      </c>
      <c r="B8" s="34" t="n">
        <v>28170</v>
      </c>
      <c r="C8" s="35" t="inlineStr">
        <is>
          <t>SF</t>
        </is>
      </c>
      <c r="D8" s="32" t="inlineStr">
        <is>
          <t>rent-roll-certified.xlsx</t>
        </is>
      </c>
      <c r="E8" s="32" t="inlineStr">
        <is>
          <t>Rent Roll C5:C14 where D=active</t>
        </is>
      </c>
    </row>
    <row r="9">
      <c r="A9" s="33" t="inlineStr">
        <is>
          <t>unit_occupancy</t>
        </is>
      </c>
      <c r="B9" s="36" t="n">
        <v>0.9</v>
      </c>
      <c r="C9" s="35" t="inlineStr">
        <is>
          <t>ratio</t>
        </is>
      </c>
      <c r="D9" s="32" t="inlineStr">
        <is>
          <t>rent-roll-certified.xlsx</t>
        </is>
      </c>
      <c r="E9" s="32" t="inlineStr">
        <is>
          <t>derived: 9/10</t>
        </is>
      </c>
    </row>
    <row r="10">
      <c r="A10" s="33" t="inlineStr">
        <is>
          <t>area_occupancy</t>
        </is>
      </c>
      <c r="B10" s="36" t="n">
        <v>0.9042</v>
      </c>
      <c r="C10" s="35" t="inlineStr">
        <is>
          <t>ratio</t>
        </is>
      </c>
      <c r="D10" s="32" t="inlineStr">
        <is>
          <t>rent-roll-certified.xlsx</t>
        </is>
      </c>
      <c r="E10" s="32" t="inlineStr">
        <is>
          <t>derived: 28,170/31,150</t>
        </is>
      </c>
    </row>
    <row r="11">
      <c r="A11" s="33" t="inlineStr">
        <is>
          <t>annual_in_place_rent</t>
        </is>
      </c>
      <c r="B11" s="14" t="n">
        <v>735300</v>
      </c>
      <c r="C11" s="35" t="inlineStr">
        <is>
          <t>USD</t>
        </is>
      </c>
      <c r="D11" s="32" t="inlineStr">
        <is>
          <t>rent-roll-certified.xlsx</t>
        </is>
      </c>
      <c r="E11" s="32" t="inlineStr">
        <is>
          <t>sum active × 12 = 61,275 × 12</t>
        </is>
      </c>
    </row>
    <row r="12">
      <c r="A12" s="33" t="inlineStr">
        <is>
          <t>unit_001_monthly_rent</t>
        </is>
      </c>
      <c r="B12" s="14" t="n">
        <v>6650</v>
      </c>
      <c r="C12" s="35" t="inlineStr">
        <is>
          <t>USD</t>
        </is>
      </c>
      <c r="D12" s="32" t="inlineStr">
        <is>
          <t>rent-roll-certified.xlsx</t>
        </is>
      </c>
      <c r="E12" s="32" t="inlineStr">
        <is>
          <t>Rent Roll E5 (post-amendment)</t>
        </is>
      </c>
    </row>
    <row r="13">
      <c r="A13" s="33" t="inlineStr">
        <is>
          <t>gross_potential_rent</t>
        </is>
      </c>
      <c r="B13" s="14" t="n">
        <v>814500</v>
      </c>
      <c r="C13" s="35" t="inlineStr">
        <is>
          <t>USD</t>
        </is>
      </c>
      <c r="D13" s="32" t="inlineStr">
        <is>
          <t>underwriting-instructions.pdf</t>
        </is>
      </c>
      <c r="E13" s="32" t="inlineStr">
        <is>
          <t>certified sum − S001 amend ×12 = 67,875 × 12</t>
        </is>
      </c>
    </row>
    <row r="14">
      <c r="A14" s="33" t="inlineStr">
        <is>
          <t>uw_egi</t>
        </is>
      </c>
      <c r="B14" s="14" t="n">
        <v>777275</v>
      </c>
      <c r="C14" s="35" t="inlineStr">
        <is>
          <t>USD</t>
        </is>
      </c>
      <c r="D14" s="32" t="inlineStr">
        <is>
          <t>model</t>
        </is>
      </c>
      <c r="E14" s="32" t="inlineStr">
        <is>
          <t>UW!B10 = GPR×(1−5%)+3,500</t>
        </is>
      </c>
    </row>
    <row r="15">
      <c r="A15" s="33" t="inlineStr">
        <is>
          <t>uw_tax</t>
        </is>
      </c>
      <c r="B15" s="14" t="n">
        <v>85964</v>
      </c>
      <c r="C15" s="35" t="inlineStr">
        <is>
          <t>USD</t>
        </is>
      </c>
      <c r="D15" s="32" t="inlineStr">
        <is>
          <t>underwriting-instructions.pdf</t>
        </is>
      </c>
      <c r="E15" s="32" t="inlineStr">
        <is>
          <t>Inputs!B10</t>
        </is>
      </c>
    </row>
    <row r="16">
      <c r="A16" s="33" t="inlineStr">
        <is>
          <t>uw_insurance</t>
        </is>
      </c>
      <c r="B16" s="14" t="n">
        <v>28655</v>
      </c>
      <c r="C16" s="35" t="inlineStr">
        <is>
          <t>USD</t>
        </is>
      </c>
      <c r="D16" s="32" t="inlineStr">
        <is>
          <t>underwriting-instructions.pdf</t>
        </is>
      </c>
      <c r="E16" s="32" t="inlineStr">
        <is>
          <t>Inputs!B11</t>
        </is>
      </c>
    </row>
    <row r="17">
      <c r="A17" s="33" t="inlineStr">
        <is>
          <t>uw_operating_expenses</t>
        </is>
      </c>
      <c r="B17" s="14" t="n">
        <v>252555</v>
      </c>
      <c r="C17" s="35" t="inlineStr">
        <is>
          <t>USD</t>
        </is>
      </c>
      <c r="D17" s="32" t="inlineStr">
        <is>
          <t>model</t>
        </is>
      </c>
      <c r="E17" s="32" t="inlineStr">
        <is>
          <t>UW!B17</t>
        </is>
      </c>
    </row>
    <row r="18">
      <c r="A18" s="33" t="inlineStr">
        <is>
          <t>uw_noi</t>
        </is>
      </c>
      <c r="B18" s="14" t="n">
        <v>524720</v>
      </c>
      <c r="C18" s="35" t="inlineStr">
        <is>
          <t>USD</t>
        </is>
      </c>
      <c r="D18" s="32" t="inlineStr">
        <is>
          <t>model</t>
        </is>
      </c>
      <c r="E18" s="32" t="inlineStr">
        <is>
          <t>UW!B22 (before reserves)</t>
        </is>
      </c>
    </row>
    <row r="19">
      <c r="A19" s="33" t="inlineStr">
        <is>
          <t>uw_ncf</t>
        </is>
      </c>
      <c r="B19" s="14" t="n">
        <v>521720</v>
      </c>
      <c r="C19" s="35" t="inlineStr">
        <is>
          <t>USD</t>
        </is>
      </c>
      <c r="D19" s="32" t="inlineStr">
        <is>
          <t>model</t>
        </is>
      </c>
      <c r="E19" s="32" t="inlineStr">
        <is>
          <t>UW!B25</t>
        </is>
      </c>
    </row>
    <row r="20">
      <c r="A20" s="33" t="inlineStr">
        <is>
          <t>sizing_rate</t>
        </is>
      </c>
      <c r="B20" s="36" t="n">
        <v>0.065</v>
      </c>
      <c r="C20" s="35" t="inlineStr">
        <is>
          <t>ratio</t>
        </is>
      </c>
      <c r="D20" s="32" t="inlineStr">
        <is>
          <t>underwriting-instructions.pdf</t>
        </is>
      </c>
      <c r="E20" s="32" t="inlineStr">
        <is>
          <t>MAX(6.50%, 6.00%)</t>
        </is>
      </c>
    </row>
    <row r="21">
      <c r="A21" s="33" t="inlineStr">
        <is>
          <t>cap_rate</t>
        </is>
      </c>
      <c r="B21" s="36" t="n">
        <v>0.0675</v>
      </c>
      <c r="C21" s="35" t="inlineStr">
        <is>
          <t>ratio</t>
        </is>
      </c>
      <c r="D21" s="32" t="inlineStr">
        <is>
          <t>underwriting-instructions.pdf</t>
        </is>
      </c>
      <c r="E21" s="32" t="inlineStr">
        <is>
          <t>Inputs!B22</t>
        </is>
      </c>
    </row>
    <row r="22">
      <c r="A22" s="33" t="inlineStr">
        <is>
          <t>capitalization_value</t>
        </is>
      </c>
      <c r="B22" s="14" t="n">
        <v>7773626</v>
      </c>
      <c r="C22" s="35" t="inlineStr">
        <is>
          <t>USD</t>
        </is>
      </c>
      <c r="D22" s="32" t="inlineStr">
        <is>
          <t>model</t>
        </is>
      </c>
      <c r="E22" s="32" t="inlineStr">
        <is>
          <t>UW!B32</t>
        </is>
      </c>
    </row>
    <row r="23">
      <c r="A23" s="33" t="inlineStr">
        <is>
          <t>ltv_limit</t>
        </is>
      </c>
      <c r="B23" s="36" t="n">
        <v>0.65</v>
      </c>
      <c r="C23" s="35" t="inlineStr">
        <is>
          <t>ratio</t>
        </is>
      </c>
      <c r="D23" s="32" t="inlineStr">
        <is>
          <t>underwriting-instructions.pdf</t>
        </is>
      </c>
      <c r="E23" s="32" t="inlineStr">
        <is>
          <t>Inputs!B24</t>
        </is>
      </c>
    </row>
    <row r="24">
      <c r="A24" s="33" t="inlineStr">
        <is>
          <t>dscr_limit</t>
        </is>
      </c>
      <c r="B24" s="36" t="n">
        <v>1.25</v>
      </c>
      <c r="C24" s="35" t="inlineStr">
        <is>
          <t>ratio</t>
        </is>
      </c>
      <c r="D24" s="32" t="inlineStr">
        <is>
          <t>underwriting-instructions.pdf</t>
        </is>
      </c>
      <c r="E24" s="32" t="inlineStr">
        <is>
          <t>Inputs!B25</t>
        </is>
      </c>
    </row>
    <row r="25">
      <c r="A25" s="33" t="inlineStr">
        <is>
          <t>debt_yield_limit</t>
        </is>
      </c>
      <c r="B25" s="36" t="n">
        <v>0.09</v>
      </c>
      <c r="C25" s="35" t="inlineStr">
        <is>
          <t>ratio</t>
        </is>
      </c>
      <c r="D25" s="32" t="inlineStr">
        <is>
          <t>underwriting-instructions.pdf</t>
        </is>
      </c>
      <c r="E25" s="32" t="inlineStr">
        <is>
          <t>Inputs!B26</t>
        </is>
      </c>
    </row>
    <row r="26">
      <c r="A26" s="33" t="inlineStr">
        <is>
          <t>maximum_loan</t>
        </is>
      </c>
      <c r="B26" s="14" t="n">
        <v>5052857</v>
      </c>
      <c r="C26" s="35" t="inlineStr">
        <is>
          <t>USD</t>
        </is>
      </c>
      <c r="D26" s="32" t="inlineStr">
        <is>
          <t>model</t>
        </is>
      </c>
      <c r="E26" s="32" t="inlineStr">
        <is>
          <t>Debt!B24 (LTV binding)</t>
        </is>
      </c>
    </row>
    <row r="27">
      <c r="A27" s="33" t="inlineStr">
        <is>
          <t>net_cash_out</t>
        </is>
      </c>
      <c r="B27" s="14" t="n">
        <v>657328</v>
      </c>
      <c r="C27" s="35" t="inlineStr">
        <is>
          <t>USD</t>
        </is>
      </c>
      <c r="D27" s="32" t="inlineStr">
        <is>
          <t>model</t>
        </is>
      </c>
      <c r="E27" s="32" t="inlineStr">
        <is>
          <t>Debt!B32</t>
        </is>
      </c>
    </row>
    <row r="28">
      <c r="A28" s="33" t="inlineStr">
        <is>
          <t>insurance_policy_limit</t>
        </is>
      </c>
      <c r="B28" s="14" t="n">
        <v>2000000</v>
      </c>
      <c r="C28" s="35" t="inlineStr">
        <is>
          <t>USD</t>
        </is>
      </c>
      <c r="D28" s="32" t="inlineStr">
        <is>
          <t>insurance.pdf</t>
        </is>
      </c>
      <c r="E28" s="32" t="inlineStr">
        <is>
          <t>page 1 — GL aggregate (not an expense)</t>
        </is>
      </c>
    </row>
    <row r="29">
      <c r="A29" s="33" t="inlineStr">
        <is>
          <t>selected_roll_date</t>
        </is>
      </c>
      <c r="B29" s="13" t="inlineStr">
        <is>
          <t>2026-08-31</t>
        </is>
      </c>
      <c r="C29" s="35" t="inlineStr">
        <is>
          <t>date</t>
        </is>
      </c>
      <c r="D29" s="32" t="inlineStr">
        <is>
          <t>rent-roll-certified.xlsx</t>
        </is>
      </c>
      <c r="E29" s="32" t="inlineStr">
        <is>
          <t>B2</t>
        </is>
      </c>
    </row>
    <row r="30">
      <c r="A30" s="33" t="inlineStr">
        <is>
          <t>reported_t12_noi</t>
        </is>
      </c>
      <c r="B30" s="14" t="n">
        <v>507593</v>
      </c>
      <c r="C30" s="35" t="inlineStr">
        <is>
          <t>USD</t>
        </is>
      </c>
      <c r="D30" s="32" t="inlineStr">
        <is>
          <t>operating-statement.pdf</t>
        </is>
      </c>
      <c r="E30" s="32" t="inlineStr">
        <is>
          <t>page 1 — table</t>
        </is>
      </c>
    </row>
    <row r="31">
      <c r="A31" s="33" t="inlineStr">
        <is>
          <t>type_a_units</t>
        </is>
      </c>
      <c r="B31" s="34" t="n">
        <v>4</v>
      </c>
      <c r="C31" s="35" t="inlineStr">
        <is>
          <t>count</t>
        </is>
      </c>
      <c r="D31" s="32" t="inlineStr">
        <is>
          <t>rent-roll-certified.xlsx + manager-cover.pdf</t>
        </is>
      </c>
      <c r="E31" s="32" t="inlineStr">
        <is>
          <t>Small suites</t>
        </is>
      </c>
    </row>
    <row r="32">
      <c r="A32" s="33" t="inlineStr">
        <is>
          <t>type_a_occupied</t>
        </is>
      </c>
      <c r="B32" s="34" t="n">
        <v>3</v>
      </c>
      <c r="C32" s="35" t="inlineStr">
        <is>
          <t>count</t>
        </is>
      </c>
      <c r="D32" s="32" t="inlineStr">
        <is>
          <t>rent-roll-certified.xlsx</t>
        </is>
      </c>
      <c r="E32" s="32" t="inlineStr">
        <is>
          <t>active Small suites</t>
        </is>
      </c>
    </row>
    <row r="33">
      <c r="A33" s="33" t="inlineStr">
        <is>
          <t>type_b_units</t>
        </is>
      </c>
      <c r="B33" s="34" t="n">
        <v>3</v>
      </c>
      <c r="C33" s="35" t="inlineStr">
        <is>
          <t>count</t>
        </is>
      </c>
      <c r="D33" s="32" t="inlineStr">
        <is>
          <t>rent-roll-certified.xlsx + manager-cover.pdf</t>
        </is>
      </c>
      <c r="E33" s="32" t="inlineStr">
        <is>
          <t>Standard suites</t>
        </is>
      </c>
    </row>
    <row r="34">
      <c r="A34" s="33" t="inlineStr">
        <is>
          <t>type_b_occupied</t>
        </is>
      </c>
      <c r="B34" s="34" t="n">
        <v>3</v>
      </c>
      <c r="C34" s="35" t="inlineStr">
        <is>
          <t>count</t>
        </is>
      </c>
      <c r="D34" s="32" t="inlineStr">
        <is>
          <t>rent-roll-certified.xlsx</t>
        </is>
      </c>
      <c r="E34" s="32" t="inlineStr">
        <is>
          <t>active Standard suites</t>
        </is>
      </c>
    </row>
    <row r="35">
      <c r="A35" s="33" t="inlineStr">
        <is>
          <t>type_c_units</t>
        </is>
      </c>
      <c r="B35" s="34" t="n">
        <v>3</v>
      </c>
      <c r="C35" s="35" t="inlineStr">
        <is>
          <t>count</t>
        </is>
      </c>
      <c r="D35" s="32" t="inlineStr">
        <is>
          <t>rent-roll-certified.xlsx + manager-cover.pdf</t>
        </is>
      </c>
      <c r="E35" s="32" t="inlineStr">
        <is>
          <t>Large suites</t>
        </is>
      </c>
    </row>
    <row r="36">
      <c r="A36" s="33" t="inlineStr">
        <is>
          <t>type_c_occupied</t>
        </is>
      </c>
      <c r="B36" s="34" t="n">
        <v>3</v>
      </c>
      <c r="C36" s="35" t="inlineStr">
        <is>
          <t>count</t>
        </is>
      </c>
      <c r="D36" s="32" t="inlineStr">
        <is>
          <t>rent-roll-certified.xlsx</t>
        </is>
      </c>
      <c r="E36" s="32" t="inlineStr">
        <is>
          <t>active Large suites</t>
        </is>
      </c>
    </row>
    <row r="37">
      <c r="A37" s="33" t="inlineStr">
        <is>
          <t>risk_pending_in_occupancy</t>
        </is>
      </c>
      <c r="B37" s="13" t="inlineStr">
        <is>
          <t>present</t>
        </is>
      </c>
      <c r="C37" s="35" t="inlineStr">
        <is>
          <t>flag</t>
        </is>
      </c>
      <c r="D37" s="32" t="inlineStr">
        <is>
          <t>manager-cover.pdf</t>
        </is>
      </c>
      <c r="E37" s="32" t="inlineStr">
        <is>
          <t>headline conflates occupied+pending as leased</t>
        </is>
      </c>
    </row>
    <row r="38">
      <c r="A38" s="33" t="inlineStr">
        <is>
          <t>risk_near_term_rollover</t>
        </is>
      </c>
      <c r="B38" s="13" t="inlineStr">
        <is>
          <t>absent</t>
        </is>
      </c>
      <c r="C38" s="35" t="inlineStr">
        <is>
          <t>flag</t>
        </is>
      </c>
      <c r="D38" s="32" t="inlineStr">
        <is>
          <t>rent-roll-certified.xlsx</t>
        </is>
      </c>
      <c r="E38" s="32" t="inlineStr">
        <is>
          <t>all expiries 2029-08-31 — &gt;12 months out</t>
        </is>
      </c>
    </row>
    <row r="39">
      <c r="A39" s="33" t="inlineStr">
        <is>
          <t>risk_missing_insurance</t>
        </is>
      </c>
      <c r="B39" s="13" t="inlineStr">
        <is>
          <t>absent</t>
        </is>
      </c>
      <c r="C39" s="35" t="inlineStr">
        <is>
          <t>flag</t>
        </is>
      </c>
      <c r="D39" s="32" t="inlineStr">
        <is>
          <t>insurance.pdf + operating-statement.pdf</t>
        </is>
      </c>
      <c r="E39" s="32" t="inlineStr">
        <is>
          <t>policy in force; T12 insurance expense present</t>
        </is>
      </c>
    </row>
    <row r="40">
      <c r="A40" s="33" t="inlineStr">
        <is>
          <t>risk_capital_in_opex</t>
        </is>
      </c>
      <c r="B40" s="13" t="inlineStr">
        <is>
          <t>absent</t>
        </is>
      </c>
      <c r="C40" s="35" t="inlineStr">
        <is>
          <t>flag</t>
        </is>
      </c>
      <c r="D40" s="32" t="inlineStr">
        <is>
          <t>operating-statement.pdf</t>
        </is>
      </c>
      <c r="E40" s="32" t="inlineStr">
        <is>
          <t>roof replacement is $0 in repairs — properly capitalized</t>
        </is>
      </c>
    </row>
    <row r="41">
      <c r="A41" s="33" t="inlineStr">
        <is>
          <t>risk_unsigned_rent_change</t>
        </is>
      </c>
      <c r="B41" s="13" t="inlineStr">
        <is>
          <t>absent</t>
        </is>
      </c>
      <c r="C41" s="35" t="inlineStr">
        <is>
          <t>flag</t>
        </is>
      </c>
      <c r="D41" s="32" t="inlineStr">
        <is>
          <t>packet review</t>
        </is>
      </c>
      <c r="E41" s="32" t="inlineStr">
        <is>
          <t>no unsigned rent proposal in packet — amendment is signed</t>
        </is>
      </c>
    </row>
    <row r="42">
      <c r="A42" s="33" t="inlineStr">
        <is>
          <t>risk_temporary_free_rent</t>
        </is>
      </c>
      <c r="B42" s="13" t="inlineStr">
        <is>
          <t>absent</t>
        </is>
      </c>
      <c r="C42" s="35" t="inlineStr">
        <is>
          <t>flag</t>
        </is>
      </c>
      <c r="D42" s="32" t="inlineStr">
        <is>
          <t>lease-001.pdf</t>
        </is>
      </c>
      <c r="E42" s="32" t="inlineStr">
        <is>
          <t>no free-rent concession applies as of evaluation date</t>
        </is>
      </c>
    </row>
    <row r="43">
      <c r="A43" s="33" t="inlineStr">
        <is>
          <t>risk_sizing_floor_binding</t>
        </is>
      </c>
      <c r="B43" s="13" t="inlineStr">
        <is>
          <t>absent</t>
        </is>
      </c>
      <c r="C43" s="35" t="inlineStr">
        <is>
          <t>flag</t>
        </is>
      </c>
      <c r="D43" s="32" t="inlineStr">
        <is>
          <t>underwriting-instructions.pdf</t>
        </is>
      </c>
      <c r="E43" s="32" t="inlineStr">
        <is>
          <t>note rate 6.50% &gt; floor 6.00%; note binds</t>
        </is>
      </c>
    </row>
    <row r="44">
      <c r="A44" s="33" t="inlineStr">
        <is>
          <t>risk_refinance_shortfall</t>
        </is>
      </c>
      <c r="B44" s="13" t="inlineStr">
        <is>
          <t>absent</t>
        </is>
      </c>
      <c r="C44" s="35" t="inlineStr">
        <is>
          <t>flag</t>
        </is>
      </c>
      <c r="D44" s="32" t="inlineStr">
        <is>
          <t>model</t>
        </is>
      </c>
      <c r="E44" s="32" t="inlineStr">
        <is>
          <t>net cash-out is positive: $657,328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2026-09-07T13:21:01Z</dcterms:created>
  <dcterms:modified xmlns:dcterms="http://purl.org/dc/terms/" xmlns:xsi="http://www.w3.org/2001/XMLSchema-instance" xsi:type="dcterms:W3CDTF">2026-09-07T14:06:47Z</dcterms:modified>
</cp:coreProperties>
</file>