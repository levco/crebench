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ntRoll_Certified" sheetId="2" state="visible" r:id="rId2"/>
    <sheet xmlns:r="http://schemas.openxmlformats.org/officeDocument/2006/relationships" name="UW_P&amp;L" sheetId="3" state="visible" r:id="rId3"/>
    <sheet xmlns:r="http://schemas.openxmlformats.org/officeDocument/2006/relationships" name="Debt_Sizing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Source_Register" sheetId="6" state="visible" r:id="rId6"/>
    <sheet xmlns:r="http://schemas.openxmlformats.org/officeDocument/2006/relationships" name="Named_Fields" sheetId="7" state="visible" r:id="rId7"/>
    <sheet xmlns:r="http://schemas.openxmlformats.org/officeDocument/2006/relationships" name="IO_Ma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"/>
    <numFmt numFmtId="165" formatCode="0.0000%"/>
    <numFmt numFmtId="166" formatCode="&quot;$&quot;#,##0.00"/>
    <numFmt numFmtId="167" formatCode="0.00000000"/>
    <numFmt numFmtId="168" formatCode="&quot;$&quot;#,##0;[Red](&quot;$&quot;#,##0)"/>
    <numFmt numFmtId="169" formatCode="0.000%"/>
    <numFmt numFmtId="170" formatCode="0.0000"/>
  </numFmts>
  <fonts count="13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sz val="11"/>
    </font>
    <font>
      <i val="1"/>
      <color rgb="00808080"/>
      <sz val="9"/>
    </font>
    <font>
      <b val="1"/>
      <color rgb="00FFFFFF"/>
      <sz val="12"/>
    </font>
    <font>
      <b val="1"/>
      <color rgb="000000CC"/>
    </font>
    <font>
      <b val="1"/>
      <color rgb="00006100"/>
    </font>
    <font>
      <b val="1"/>
    </font>
    <font>
      <b val="1"/>
      <color rgb="001F4E78"/>
      <sz val="14"/>
    </font>
    <font>
      <i val="1"/>
      <sz val="10"/>
    </font>
    <font>
      <b val="1"/>
      <sz val="11"/>
    </font>
    <font/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0" fillId="2" borderId="0" pivotButton="0" quotePrefix="0" xfId="0"/>
    <xf numFmtId="164" fontId="5" fillId="3" borderId="1" pivotButton="0" quotePrefix="0" xfId="0"/>
    <xf numFmtId="165" fontId="5" fillId="3" borderId="1" pivotButton="0" quotePrefix="0" xfId="0"/>
    <xf numFmtId="0" fontId="5" fillId="3" borderId="1" pivotButton="0" quotePrefix="0" xfId="0"/>
    <xf numFmtId="10" fontId="5" fillId="3" borderId="1" pivotButton="0" quotePrefix="0" xfId="0"/>
    <xf numFmtId="2" fontId="5" fillId="3" borderId="1" pivotButton="0" quotePrefix="0" xfId="0"/>
    <xf numFmtId="166" fontId="6" fillId="4" borderId="1" pivotButton="0" quotePrefix="0" xfId="0"/>
    <xf numFmtId="166" fontId="0" fillId="0" borderId="1" pivotButton="0" quotePrefix="0" xfId="0"/>
    <xf numFmtId="164" fontId="6" fillId="4" borderId="1" pivotButton="0" quotePrefix="0" xfId="0"/>
    <xf numFmtId="167" fontId="0" fillId="0" borderId="0" pivotButton="0" quotePrefix="0" xfId="0"/>
    <xf numFmtId="164" fontId="0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168" fontId="6" fillId="4" borderId="1" pivotButton="0" quotePrefix="0" xfId="0"/>
    <xf numFmtId="10" fontId="0" fillId="0" borderId="0" pivotButton="0" quotePrefix="0" xfId="0"/>
    <xf numFmtId="2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4" fillId="2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5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0" fillId="6" borderId="1" pivotButton="0" quotePrefix="0" xfId="0"/>
    <xf numFmtId="3" fontId="7" fillId="0" borderId="0" pivotButton="0" quotePrefix="0" xfId="0"/>
    <xf numFmtId="0" fontId="11" fillId="0" borderId="0" pivotButton="0" quotePrefix="0" xfId="0"/>
    <xf numFmtId="3" fontId="0" fillId="0" borderId="0" pivotButton="0" quotePrefix="0" xfId="0"/>
    <xf numFmtId="0" fontId="1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168" fontId="7" fillId="0" borderId="0" pivotButton="0" quotePrefix="0" xfId="0"/>
    <xf numFmtId="169" fontId="12" fillId="2" borderId="0" pivotButton="0" quotePrefix="0" xfId="0"/>
    <xf numFmtId="168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17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8" fontId="0" fillId="0" borderId="1" applyAlignment="1" pivotButton="0" quotePrefix="0" xfId="0">
      <alignment vertical="top" wrapText="1"/>
    </xf>
    <xf numFmtId="0" fontId="7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30" customWidth="1" min="6" max="6"/>
  </cols>
  <sheetData>
    <row r="1">
      <c r="A1" s="1" t="inlineStr">
        <is>
          <t>MAGNOLIA TERRACE — UNDERWRITING SUMMARY</t>
        </is>
      </c>
    </row>
    <row r="2">
      <c r="A2" s="2" t="inlineStr">
        <is>
          <t>Raleigh, NC | Multifamily | 48 units | As-of date 2026-08-31</t>
        </is>
      </c>
    </row>
    <row r="3">
      <c r="A3" s="3" t="inlineStr">
        <is>
          <t>Original fictional CRE Bench evaluation material — no real transaction represented</t>
        </is>
      </c>
    </row>
    <row r="5" ht="20" customHeight="1">
      <c r="A5" s="4" t="inlineStr">
        <is>
          <t>INPUT CELLS (yellow) — edit to flex model</t>
        </is>
      </c>
      <c r="B5" s="5" t="n"/>
      <c r="C5" s="5" t="n"/>
      <c r="D5" s="5" t="n"/>
      <c r="E5" s="5" t="n"/>
      <c r="F5" s="5" t="n"/>
    </row>
    <row r="6">
      <c r="A6" t="inlineStr">
        <is>
          <t>Gross potential rent (annual, before economic loss)</t>
        </is>
      </c>
      <c r="B6" s="6" t="n">
        <v>925680</v>
      </c>
      <c r="C6" t="inlineStr">
        <is>
          <t>gross_potential_rent</t>
        </is>
      </c>
    </row>
    <row r="7">
      <c r="A7" t="inlineStr">
        <is>
          <t>Capitalization rate</t>
        </is>
      </c>
      <c r="B7" s="7" t="n">
        <v>0.0575</v>
      </c>
      <c r="C7" t="inlineStr">
        <is>
          <t>cap_rate</t>
        </is>
      </c>
    </row>
    <row r="8">
      <c r="A8" t="inlineStr">
        <is>
          <t>Sizing rate (greater of note 6.25% or floor 6.00%)</t>
        </is>
      </c>
      <c r="B8" s="7" t="n">
        <v>0.0625</v>
      </c>
      <c r="C8" t="inlineStr">
        <is>
          <t>sizing_rate</t>
        </is>
      </c>
    </row>
    <row r="9">
      <c r="A9" t="inlineStr">
        <is>
          <t>Note rate</t>
        </is>
      </c>
      <c r="B9" s="7" t="n">
        <v>0.0625</v>
      </c>
    </row>
    <row r="10">
      <c r="A10" t="inlineStr">
        <is>
          <t>Rate floor</t>
        </is>
      </c>
      <c r="B10" s="7" t="n">
        <v>0.06</v>
      </c>
    </row>
    <row r="11">
      <c r="A11" t="inlineStr">
        <is>
          <t>Amortization (years)</t>
        </is>
      </c>
      <c r="B11" s="8" t="n">
        <v>30</v>
      </c>
    </row>
    <row r="12">
      <c r="A12" t="inlineStr">
        <is>
          <t>Economic loss %</t>
        </is>
      </c>
      <c r="B12" s="9" t="n">
        <v>0.05</v>
      </c>
    </row>
    <row r="13">
      <c r="A13" t="inlineStr">
        <is>
          <t>Other income $/unit/yr</t>
        </is>
      </c>
      <c r="B13" s="6" t="n">
        <v>350</v>
      </c>
    </row>
    <row r="14">
      <c r="A14" t="inlineStr">
        <is>
          <t>Total units</t>
        </is>
      </c>
      <c r="B14" s="8" t="n">
        <v>48</v>
      </c>
    </row>
    <row r="15">
      <c r="A15" t="inlineStr">
        <is>
          <t>Tax expense (annual)</t>
        </is>
      </c>
      <c r="B15" s="6" t="n">
        <v>102312</v>
      </c>
    </row>
    <row r="16">
      <c r="A16" t="inlineStr">
        <is>
          <t>Insurance expense (annual)</t>
        </is>
      </c>
      <c r="B16" s="6" t="n">
        <v>34104</v>
      </c>
    </row>
    <row r="17">
      <c r="A17" t="inlineStr">
        <is>
          <t>Other recurring operating expenses</t>
        </is>
      </c>
      <c r="B17" s="6" t="n">
        <v>136416</v>
      </c>
    </row>
    <row r="18">
      <c r="A18" t="inlineStr">
        <is>
          <t>Management fee % of EGI</t>
        </is>
      </c>
      <c r="B18" s="9" t="n">
        <v>0.03</v>
      </c>
    </row>
    <row r="19">
      <c r="A19" t="inlineStr">
        <is>
          <t>Replacement reserve $/unit/yr</t>
        </is>
      </c>
      <c r="B19" s="6" t="n">
        <v>300</v>
      </c>
    </row>
    <row r="20">
      <c r="A20" t="inlineStr">
        <is>
          <t>Max LTV</t>
        </is>
      </c>
      <c r="B20" s="9" t="n">
        <v>0.65</v>
      </c>
    </row>
    <row r="21">
      <c r="A21" t="inlineStr">
        <is>
          <t>Min DSCR</t>
        </is>
      </c>
      <c r="B21" s="10" t="n">
        <v>1.25</v>
      </c>
    </row>
    <row r="22">
      <c r="A22" t="inlineStr">
        <is>
          <t>Min debt yield (on NCF)</t>
        </is>
      </c>
      <c r="B22" s="9" t="n">
        <v>0.09</v>
      </c>
    </row>
    <row r="23">
      <c r="A23" t="inlineStr">
        <is>
          <t>Origination fee %</t>
        </is>
      </c>
      <c r="B23" s="9" t="n">
        <v>0.01</v>
      </c>
    </row>
    <row r="24">
      <c r="A24" t="inlineStr">
        <is>
          <t>Closing costs (fixed)</t>
        </is>
      </c>
      <c r="B24" s="6" t="n">
        <v>45000</v>
      </c>
    </row>
    <row r="25">
      <c r="A25" t="inlineStr">
        <is>
          <t>Existing loan payoff</t>
        </is>
      </c>
      <c r="B25" s="6" t="n">
        <v>4200000</v>
      </c>
    </row>
    <row r="27" ht="20" customHeight="1">
      <c r="A27" s="4" t="inlineStr">
        <is>
          <t>OUTPUT CELLS (green) — derived from inputs</t>
        </is>
      </c>
      <c r="B27" s="5" t="n"/>
      <c r="C27" s="5" t="n"/>
      <c r="D27" s="5" t="n"/>
      <c r="E27" s="5" t="n"/>
      <c r="F27" s="5" t="n"/>
    </row>
    <row r="28">
      <c r="A28" t="inlineStr">
        <is>
          <t>Effective gross income (EGI)</t>
        </is>
      </c>
      <c r="B28" s="11">
        <f>B6*(1-B12)+B13*B14</f>
        <v/>
      </c>
      <c r="C28" t="inlineStr">
        <is>
          <t>uw_egi</t>
        </is>
      </c>
    </row>
    <row r="29">
      <c r="A29" t="inlineStr">
        <is>
          <t>Total operating expenses</t>
        </is>
      </c>
      <c r="B29" s="12">
        <f>B15+B16+B17+B18*B28</f>
        <v/>
      </c>
    </row>
    <row r="30">
      <c r="A30" t="inlineStr">
        <is>
          <t>Net operating income (NOI)</t>
        </is>
      </c>
      <c r="B30" s="11">
        <f>B28-B29</f>
        <v/>
      </c>
      <c r="C30" t="inlineStr">
        <is>
          <t>uw_noi</t>
        </is>
      </c>
    </row>
    <row r="31">
      <c r="A31" t="inlineStr">
        <is>
          <t>Replacement reserves</t>
        </is>
      </c>
      <c r="B31" s="12">
        <f>B19*B14</f>
        <v/>
      </c>
    </row>
    <row r="32">
      <c r="A32" t="inlineStr">
        <is>
          <t>Net cash flow (NCF, after reserves)</t>
        </is>
      </c>
      <c r="B32" s="11">
        <f>B30-B31</f>
        <v/>
      </c>
      <c r="C32" t="inlineStr">
        <is>
          <t>uw_ncf</t>
        </is>
      </c>
    </row>
    <row r="33">
      <c r="A33" t="inlineStr">
        <is>
          <t>Capitalization value (NOI / cap_rate)</t>
        </is>
      </c>
      <c r="B33" s="13">
        <f>B30/B7</f>
        <v/>
      </c>
      <c r="C33" t="inlineStr">
        <is>
          <t>capitalization_value</t>
        </is>
      </c>
    </row>
    <row r="35" ht="20" customHeight="1">
      <c r="A35" s="4" t="inlineStr">
        <is>
          <t>DEBT SIZING</t>
        </is>
      </c>
      <c r="B35" s="5" t="n"/>
      <c r="C35" s="5" t="n"/>
      <c r="D35" s="5" t="n"/>
      <c r="E35" s="5" t="n"/>
      <c r="F35" s="5" t="n"/>
    </row>
    <row r="36">
      <c r="A36" t="inlineStr">
        <is>
          <t>Monthly sizing rate</t>
        </is>
      </c>
      <c r="B36" s="14">
        <f>B8/12</f>
        <v/>
      </c>
    </row>
    <row r="37">
      <c r="A37" t="inlineStr">
        <is>
          <t>Number of payments</t>
        </is>
      </c>
      <c r="B37">
        <f>B11*12</f>
        <v/>
      </c>
    </row>
    <row r="38">
      <c r="A38" t="inlineStr">
        <is>
          <t>Mortgage constant (annual)</t>
        </is>
      </c>
      <c r="B38" s="14">
        <f>12*B36*(1+B36)^B37/((1+B36)^B37-1)</f>
        <v/>
      </c>
    </row>
    <row r="39">
      <c r="A39" t="inlineStr">
        <is>
          <t>LTV-constrained loan</t>
        </is>
      </c>
      <c r="B39" s="15">
        <f>B20*B33</f>
        <v/>
      </c>
    </row>
    <row r="40">
      <c r="A40" t="inlineStr">
        <is>
          <t>DSCR-constrained loan (NCF / (DSCR × constant))</t>
        </is>
      </c>
      <c r="B40" s="15">
        <f>B32/(B21*B38)</f>
        <v/>
      </c>
    </row>
    <row r="41">
      <c r="A41" t="inlineStr">
        <is>
          <t>Debt-yield-constrained loan (NCF / min DY)</t>
        </is>
      </c>
      <c r="B41" s="15">
        <f>B32/B22</f>
        <v/>
      </c>
    </row>
    <row r="42">
      <c r="A42" t="inlineStr">
        <is>
          <t>Maximum loan (min of three constraints)</t>
        </is>
      </c>
      <c r="B42" s="13">
        <f>MIN(B39,B40,B41)</f>
        <v/>
      </c>
      <c r="C42" t="inlineStr">
        <is>
          <t>maximum_loan</t>
        </is>
      </c>
    </row>
    <row r="43">
      <c r="A43" t="inlineStr">
        <is>
          <t>Binding constraint</t>
        </is>
      </c>
      <c r="B43" s="16">
        <f>IF(B42=B39,"LTV",IF(B42=B40,"DSCR","Debt yield"))</f>
        <v/>
      </c>
    </row>
    <row r="45" ht="20" customHeight="1">
      <c r="A45" s="4" t="inlineStr">
        <is>
          <t>SOURCES &amp; USES / NET CASH-OUT</t>
        </is>
      </c>
      <c r="B45" s="5" t="n"/>
      <c r="C45" s="5" t="n"/>
      <c r="D45" s="5" t="n"/>
      <c r="E45" s="5" t="n"/>
      <c r="F45" s="5" t="n"/>
    </row>
    <row r="46">
      <c r="A46" t="inlineStr">
        <is>
          <t>Sources: loan proceeds</t>
        </is>
      </c>
      <c r="B46" s="15">
        <f>B42</f>
        <v/>
      </c>
    </row>
    <row r="47">
      <c r="A47" t="inlineStr">
        <is>
          <t>Uses: existing loan payoff</t>
        </is>
      </c>
      <c r="B47" s="15">
        <f>B25</f>
        <v/>
      </c>
    </row>
    <row r="48">
      <c r="A48" t="inlineStr">
        <is>
          <t>Uses: origination fee</t>
        </is>
      </c>
      <c r="B48" s="15">
        <f>B23*B42</f>
        <v/>
      </c>
    </row>
    <row r="49">
      <c r="A49" t="inlineStr">
        <is>
          <t>Uses: closing costs</t>
        </is>
      </c>
      <c r="B49" s="15">
        <f>B24</f>
        <v/>
      </c>
    </row>
    <row r="50">
      <c r="A50" t="inlineStr">
        <is>
          <t>Total uses</t>
        </is>
      </c>
      <c r="B50" s="17">
        <f>B47+B48+B49</f>
        <v/>
      </c>
    </row>
    <row r="51">
      <c r="A51" t="inlineStr">
        <is>
          <t>Net cash-out (Sources − Uses; negative = equity in)</t>
        </is>
      </c>
      <c r="B51" s="18">
        <f>B46-B50</f>
        <v/>
      </c>
      <c r="C51" t="inlineStr">
        <is>
          <t>net_cash_out</t>
        </is>
      </c>
    </row>
    <row r="53" ht="20" customHeight="1">
      <c r="A53" s="4" t="inlineStr">
        <is>
          <t>KEY UNDERWRITING METRICS</t>
        </is>
      </c>
      <c r="B53" s="5" t="n"/>
      <c r="C53" s="5" t="n"/>
      <c r="D53" s="5" t="n"/>
      <c r="E53" s="5" t="n"/>
      <c r="F53" s="5" t="n"/>
    </row>
    <row r="54">
      <c r="A54" t="inlineStr">
        <is>
          <t>Loan-to-value</t>
        </is>
      </c>
      <c r="B54" s="19">
        <f>B42/B33</f>
        <v/>
      </c>
    </row>
    <row r="55">
      <c r="A55" t="inlineStr">
        <is>
          <t>Debt yield (NCF)</t>
        </is>
      </c>
      <c r="B55" s="19">
        <f>B32/B42</f>
        <v/>
      </c>
    </row>
    <row r="56">
      <c r="A56" t="inlineStr">
        <is>
          <t>DSCR (NCF)</t>
        </is>
      </c>
      <c r="B56" s="20">
        <f>B32/(B42*B38)</f>
        <v/>
      </c>
    </row>
    <row r="57">
      <c r="A57" t="inlineStr">
        <is>
          <t>Annual debt service</t>
        </is>
      </c>
      <c r="B57" s="15">
        <f>B42*B38</f>
        <v/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8" customWidth="1" min="4" max="4"/>
    <col width="18" customWidth="1" min="5" max="5"/>
    <col width="15" customWidth="1" min="6" max="6"/>
    <col width="30" customWidth="1" min="7" max="7"/>
  </cols>
  <sheetData>
    <row r="1">
      <c r="A1" s="21" t="inlineStr">
        <is>
          <t>MAGNOLIA TERRACE — CERTIFIED RENT ROLL</t>
        </is>
      </c>
    </row>
    <row r="2">
      <c r="A2" s="22" t="inlineStr">
        <is>
          <t>Source: rent-roll-certified.xlsx | As of 2026-08-31 | Controls over 2026-06-30 archive</t>
        </is>
      </c>
    </row>
    <row r="4">
      <c r="A4" s="23" t="inlineStr">
        <is>
          <t>Suite</t>
        </is>
      </c>
      <c r="B4" s="23" t="inlineStr">
        <is>
          <t>Unit type</t>
        </is>
      </c>
      <c r="C4" s="23" t="inlineStr">
        <is>
          <t>Area SF</t>
        </is>
      </c>
      <c r="D4" s="23" t="inlineStr">
        <is>
          <t>Possession</t>
        </is>
      </c>
      <c r="E4" s="23" t="inlineStr">
        <is>
          <t>Monthly rent</t>
        </is>
      </c>
      <c r="F4" s="23" t="inlineStr">
        <is>
          <t>Lease exp</t>
        </is>
      </c>
      <c r="G4" s="23" t="inlineStr">
        <is>
          <t>Note</t>
        </is>
      </c>
    </row>
    <row r="5">
      <c r="A5" s="24" t="inlineStr">
        <is>
          <t>001</t>
        </is>
      </c>
      <c r="B5" s="24" t="inlineStr">
        <is>
          <t>Studio</t>
        </is>
      </c>
      <c r="C5" s="25" t="n">
        <v>700</v>
      </c>
      <c r="D5" s="26" t="inlineStr">
        <is>
          <t>active</t>
        </is>
      </c>
      <c r="E5" s="27" t="n">
        <v>1500</v>
      </c>
      <c r="F5" s="24" t="inlineStr">
        <is>
          <t>2029-08-31</t>
        </is>
      </c>
      <c r="G5" s="24" t="inlineStr"/>
    </row>
    <row r="6">
      <c r="A6" s="24" t="inlineStr">
        <is>
          <t>002</t>
        </is>
      </c>
      <c r="B6" s="24" t="inlineStr">
        <is>
          <t>1BR</t>
        </is>
      </c>
      <c r="C6" s="25" t="n">
        <v>820</v>
      </c>
      <c r="D6" s="26" t="inlineStr">
        <is>
          <t>active</t>
        </is>
      </c>
      <c r="E6" s="27" t="n">
        <v>1650</v>
      </c>
      <c r="F6" s="24" t="inlineStr">
        <is>
          <t>2029-08-31</t>
        </is>
      </c>
      <c r="G6" s="24" t="inlineStr"/>
    </row>
    <row r="7">
      <c r="A7" s="24" t="inlineStr">
        <is>
          <t>003</t>
        </is>
      </c>
      <c r="B7" s="24" t="inlineStr">
        <is>
          <t>2BR</t>
        </is>
      </c>
      <c r="C7" s="25" t="n">
        <v>1030</v>
      </c>
      <c r="D7" s="26" t="inlineStr">
        <is>
          <t>active</t>
        </is>
      </c>
      <c r="E7" s="27" t="n">
        <v>1925</v>
      </c>
      <c r="F7" s="24" t="inlineStr">
        <is>
          <t>2029-08-31</t>
        </is>
      </c>
      <c r="G7" s="24" t="inlineStr"/>
    </row>
    <row r="8">
      <c r="A8" s="24" t="inlineStr">
        <is>
          <t>004</t>
        </is>
      </c>
      <c r="B8" s="24" t="inlineStr">
        <is>
          <t>Studio</t>
        </is>
      </c>
      <c r="C8" s="25" t="n">
        <v>700</v>
      </c>
      <c r="D8" s="26" t="inlineStr">
        <is>
          <t>active</t>
        </is>
      </c>
      <c r="E8" s="27" t="n">
        <v>1500</v>
      </c>
      <c r="F8" s="24" t="inlineStr">
        <is>
          <t>2029-08-31</t>
        </is>
      </c>
      <c r="G8" s="24" t="inlineStr"/>
    </row>
    <row r="9">
      <c r="A9" s="24" t="inlineStr">
        <is>
          <t>005</t>
        </is>
      </c>
      <c r="B9" s="24" t="inlineStr">
        <is>
          <t>1BR</t>
        </is>
      </c>
      <c r="C9" s="25" t="n">
        <v>820</v>
      </c>
      <c r="D9" s="26" t="inlineStr">
        <is>
          <t>active</t>
        </is>
      </c>
      <c r="E9" s="27" t="n">
        <v>1650</v>
      </c>
      <c r="F9" s="24" t="inlineStr">
        <is>
          <t>2029-08-31</t>
        </is>
      </c>
      <c r="G9" s="24" t="inlineStr"/>
    </row>
    <row r="10">
      <c r="A10" s="24" t="inlineStr">
        <is>
          <t>006</t>
        </is>
      </c>
      <c r="B10" s="24" t="inlineStr">
        <is>
          <t>2BR</t>
        </is>
      </c>
      <c r="C10" s="25" t="n">
        <v>1030</v>
      </c>
      <c r="D10" s="26" t="inlineStr">
        <is>
          <t>active</t>
        </is>
      </c>
      <c r="E10" s="27" t="n">
        <v>1925</v>
      </c>
      <c r="F10" s="24" t="inlineStr">
        <is>
          <t>2029-08-31</t>
        </is>
      </c>
      <c r="G10" s="24" t="inlineStr"/>
    </row>
    <row r="11">
      <c r="A11" s="24" t="inlineStr">
        <is>
          <t>007</t>
        </is>
      </c>
      <c r="B11" s="24" t="inlineStr">
        <is>
          <t>Studio</t>
        </is>
      </c>
      <c r="C11" s="25" t="n">
        <v>700</v>
      </c>
      <c r="D11" s="26" t="inlineStr">
        <is>
          <t>active</t>
        </is>
      </c>
      <c r="E11" s="27" t="n">
        <v>1500</v>
      </c>
      <c r="F11" s="24" t="inlineStr">
        <is>
          <t>2029-08-31</t>
        </is>
      </c>
      <c r="G11" s="24" t="inlineStr"/>
    </row>
    <row r="12">
      <c r="A12" s="24" t="inlineStr">
        <is>
          <t>008</t>
        </is>
      </c>
      <c r="B12" s="24" t="inlineStr">
        <is>
          <t>1BR</t>
        </is>
      </c>
      <c r="C12" s="25" t="n">
        <v>820</v>
      </c>
      <c r="D12" s="26" t="inlineStr">
        <is>
          <t>active</t>
        </is>
      </c>
      <c r="E12" s="27" t="n">
        <v>1650</v>
      </c>
      <c r="F12" s="24" t="inlineStr">
        <is>
          <t>2029-08-31</t>
        </is>
      </c>
      <c r="G12" s="24" t="inlineStr"/>
    </row>
    <row r="13">
      <c r="A13" s="24" t="inlineStr">
        <is>
          <t>009</t>
        </is>
      </c>
      <c r="B13" s="24" t="inlineStr">
        <is>
          <t>2BR</t>
        </is>
      </c>
      <c r="C13" s="25" t="n">
        <v>1030</v>
      </c>
      <c r="D13" s="26" t="inlineStr">
        <is>
          <t>active</t>
        </is>
      </c>
      <c r="E13" s="27" t="n">
        <v>1925</v>
      </c>
      <c r="F13" s="24" t="inlineStr">
        <is>
          <t>2029-08-31</t>
        </is>
      </c>
      <c r="G13" s="24" t="inlineStr"/>
    </row>
    <row r="14">
      <c r="A14" s="24" t="inlineStr">
        <is>
          <t>010</t>
        </is>
      </c>
      <c r="B14" s="24" t="inlineStr">
        <is>
          <t>Studio</t>
        </is>
      </c>
      <c r="C14" s="25" t="n">
        <v>700</v>
      </c>
      <c r="D14" s="26" t="inlineStr">
        <is>
          <t>active</t>
        </is>
      </c>
      <c r="E14" s="27" t="n">
        <v>1500</v>
      </c>
      <c r="F14" s="24" t="inlineStr">
        <is>
          <t>2029-08-31</t>
        </is>
      </c>
      <c r="G14" s="24" t="inlineStr"/>
    </row>
    <row r="15">
      <c r="A15" s="24" t="inlineStr">
        <is>
          <t>011</t>
        </is>
      </c>
      <c r="B15" s="24" t="inlineStr">
        <is>
          <t>1BR</t>
        </is>
      </c>
      <c r="C15" s="25" t="n">
        <v>820</v>
      </c>
      <c r="D15" s="26" t="inlineStr">
        <is>
          <t>active</t>
        </is>
      </c>
      <c r="E15" s="27" t="n">
        <v>1650</v>
      </c>
      <c r="F15" s="24" t="inlineStr">
        <is>
          <t>2029-08-31</t>
        </is>
      </c>
      <c r="G15" s="24" t="inlineStr"/>
    </row>
    <row r="16">
      <c r="A16" s="24" t="inlineStr">
        <is>
          <t>012</t>
        </is>
      </c>
      <c r="B16" s="24" t="inlineStr">
        <is>
          <t>2BR</t>
        </is>
      </c>
      <c r="C16" s="25" t="n">
        <v>1030</v>
      </c>
      <c r="D16" s="26" t="inlineStr">
        <is>
          <t>active</t>
        </is>
      </c>
      <c r="E16" s="27" t="n">
        <v>1925</v>
      </c>
      <c r="F16" s="24" t="inlineStr">
        <is>
          <t>2029-08-31</t>
        </is>
      </c>
      <c r="G16" s="24" t="inlineStr"/>
    </row>
    <row r="17">
      <c r="A17" s="24" t="inlineStr">
        <is>
          <t>013</t>
        </is>
      </c>
      <c r="B17" s="24" t="inlineStr">
        <is>
          <t>Studio</t>
        </is>
      </c>
      <c r="C17" s="25" t="n">
        <v>700</v>
      </c>
      <c r="D17" s="26" t="inlineStr">
        <is>
          <t>active</t>
        </is>
      </c>
      <c r="E17" s="27" t="n">
        <v>1500</v>
      </c>
      <c r="F17" s="24" t="inlineStr">
        <is>
          <t>2029-08-31</t>
        </is>
      </c>
      <c r="G17" s="24" t="inlineStr"/>
    </row>
    <row r="18">
      <c r="A18" s="24" t="inlineStr">
        <is>
          <t>014</t>
        </is>
      </c>
      <c r="B18" s="24" t="inlineStr">
        <is>
          <t>1BR</t>
        </is>
      </c>
      <c r="C18" s="25" t="n">
        <v>820</v>
      </c>
      <c r="D18" s="26" t="inlineStr">
        <is>
          <t>active</t>
        </is>
      </c>
      <c r="E18" s="27" t="n">
        <v>1650</v>
      </c>
      <c r="F18" s="24" t="inlineStr">
        <is>
          <t>2029-08-31</t>
        </is>
      </c>
      <c r="G18" s="24" t="inlineStr"/>
    </row>
    <row r="19">
      <c r="A19" s="24" t="inlineStr">
        <is>
          <t>015</t>
        </is>
      </c>
      <c r="B19" s="24" t="inlineStr">
        <is>
          <t>2BR</t>
        </is>
      </c>
      <c r="C19" s="25" t="n">
        <v>1030</v>
      </c>
      <c r="D19" s="26" t="inlineStr">
        <is>
          <t>active</t>
        </is>
      </c>
      <c r="E19" s="27" t="n">
        <v>1925</v>
      </c>
      <c r="F19" s="24" t="inlineStr">
        <is>
          <t>2029-08-31</t>
        </is>
      </c>
      <c r="G19" s="24" t="inlineStr"/>
    </row>
    <row r="20">
      <c r="A20" s="24" t="inlineStr">
        <is>
          <t>016</t>
        </is>
      </c>
      <c r="B20" s="24" t="inlineStr">
        <is>
          <t>Studio</t>
        </is>
      </c>
      <c r="C20" s="25" t="n">
        <v>700</v>
      </c>
      <c r="D20" s="26" t="inlineStr">
        <is>
          <t>active</t>
        </is>
      </c>
      <c r="E20" s="27" t="n">
        <v>1500</v>
      </c>
      <c r="F20" s="24" t="inlineStr">
        <is>
          <t>2029-08-31</t>
        </is>
      </c>
      <c r="G20" s="24" t="inlineStr"/>
    </row>
    <row r="21">
      <c r="A21" s="24" t="inlineStr">
        <is>
          <t>017</t>
        </is>
      </c>
      <c r="B21" s="24" t="inlineStr">
        <is>
          <t>1BR</t>
        </is>
      </c>
      <c r="C21" s="25" t="n">
        <v>820</v>
      </c>
      <c r="D21" s="26" t="inlineStr">
        <is>
          <t>active</t>
        </is>
      </c>
      <c r="E21" s="27" t="n">
        <v>1650</v>
      </c>
      <c r="F21" s="24" t="inlineStr">
        <is>
          <t>2029-08-31</t>
        </is>
      </c>
      <c r="G21" s="24" t="inlineStr"/>
    </row>
    <row r="22">
      <c r="A22" s="24" t="inlineStr">
        <is>
          <t>018</t>
        </is>
      </c>
      <c r="B22" s="24" t="inlineStr">
        <is>
          <t>2BR</t>
        </is>
      </c>
      <c r="C22" s="25" t="n">
        <v>1030</v>
      </c>
      <c r="D22" s="26" t="inlineStr">
        <is>
          <t>active</t>
        </is>
      </c>
      <c r="E22" s="27" t="n">
        <v>1925</v>
      </c>
      <c r="F22" s="24" t="inlineStr">
        <is>
          <t>2029-08-31</t>
        </is>
      </c>
      <c r="G22" s="24" t="inlineStr"/>
    </row>
    <row r="23">
      <c r="A23" s="24" t="inlineStr">
        <is>
          <t>019</t>
        </is>
      </c>
      <c r="B23" s="24" t="inlineStr">
        <is>
          <t>Studio</t>
        </is>
      </c>
      <c r="C23" s="25" t="n">
        <v>700</v>
      </c>
      <c r="D23" s="26" t="inlineStr">
        <is>
          <t>active</t>
        </is>
      </c>
      <c r="E23" s="27" t="n">
        <v>1500</v>
      </c>
      <c r="F23" s="24" t="inlineStr">
        <is>
          <t>2029-08-31</t>
        </is>
      </c>
      <c r="G23" s="24" t="inlineStr"/>
    </row>
    <row r="24">
      <c r="A24" s="24" t="inlineStr">
        <is>
          <t>020</t>
        </is>
      </c>
      <c r="B24" s="24" t="inlineStr">
        <is>
          <t>1BR</t>
        </is>
      </c>
      <c r="C24" s="25" t="n">
        <v>820</v>
      </c>
      <c r="D24" s="26" t="inlineStr">
        <is>
          <t>active</t>
        </is>
      </c>
      <c r="E24" s="27" t="n">
        <v>1650</v>
      </c>
      <c r="F24" s="24" t="inlineStr">
        <is>
          <t>2029-08-31</t>
        </is>
      </c>
      <c r="G24" s="24" t="inlineStr"/>
    </row>
    <row r="25">
      <c r="A25" s="24" t="inlineStr">
        <is>
          <t>021</t>
        </is>
      </c>
      <c r="B25" s="24" t="inlineStr">
        <is>
          <t>2BR</t>
        </is>
      </c>
      <c r="C25" s="25" t="n">
        <v>1030</v>
      </c>
      <c r="D25" s="26" t="inlineStr">
        <is>
          <t>active</t>
        </is>
      </c>
      <c r="E25" s="27" t="n">
        <v>1925</v>
      </c>
      <c r="F25" s="24" t="inlineStr">
        <is>
          <t>2029-08-31</t>
        </is>
      </c>
      <c r="G25" s="24" t="inlineStr"/>
    </row>
    <row r="26">
      <c r="A26" s="24" t="inlineStr">
        <is>
          <t>022</t>
        </is>
      </c>
      <c r="B26" s="24" t="inlineStr">
        <is>
          <t>Studio</t>
        </is>
      </c>
      <c r="C26" s="25" t="n">
        <v>700</v>
      </c>
      <c r="D26" s="26" t="inlineStr">
        <is>
          <t>active</t>
        </is>
      </c>
      <c r="E26" s="27" t="n">
        <v>1500</v>
      </c>
      <c r="F26" s="24" t="inlineStr">
        <is>
          <t>2029-08-31</t>
        </is>
      </c>
      <c r="G26" s="24" t="inlineStr"/>
    </row>
    <row r="27">
      <c r="A27" s="24" t="inlineStr">
        <is>
          <t>023</t>
        </is>
      </c>
      <c r="B27" s="24" t="inlineStr">
        <is>
          <t>1BR</t>
        </is>
      </c>
      <c r="C27" s="25" t="n">
        <v>820</v>
      </c>
      <c r="D27" s="26" t="inlineStr">
        <is>
          <t>active</t>
        </is>
      </c>
      <c r="E27" s="27" t="n">
        <v>1650</v>
      </c>
      <c r="F27" s="24" t="inlineStr">
        <is>
          <t>2029-08-31</t>
        </is>
      </c>
      <c r="G27" s="24" t="inlineStr"/>
    </row>
    <row r="28">
      <c r="A28" s="24" t="inlineStr">
        <is>
          <t>024</t>
        </is>
      </c>
      <c r="B28" s="24" t="inlineStr">
        <is>
          <t>2BR</t>
        </is>
      </c>
      <c r="C28" s="25" t="n">
        <v>1030</v>
      </c>
      <c r="D28" s="26" t="inlineStr">
        <is>
          <t>active</t>
        </is>
      </c>
      <c r="E28" s="27" t="n">
        <v>1925</v>
      </c>
      <c r="F28" s="24" t="inlineStr">
        <is>
          <t>2029-08-31</t>
        </is>
      </c>
      <c r="G28" s="24" t="inlineStr"/>
    </row>
    <row r="29">
      <c r="A29" s="24" t="inlineStr">
        <is>
          <t>025</t>
        </is>
      </c>
      <c r="B29" s="24" t="inlineStr">
        <is>
          <t>Studio</t>
        </is>
      </c>
      <c r="C29" s="25" t="n">
        <v>700</v>
      </c>
      <c r="D29" s="26" t="inlineStr">
        <is>
          <t>active</t>
        </is>
      </c>
      <c r="E29" s="27" t="n">
        <v>1500</v>
      </c>
      <c r="F29" s="24" t="inlineStr">
        <is>
          <t>2029-08-31</t>
        </is>
      </c>
      <c r="G29" s="24" t="inlineStr"/>
    </row>
    <row r="30">
      <c r="A30" s="24" t="inlineStr">
        <is>
          <t>026</t>
        </is>
      </c>
      <c r="B30" s="24" t="inlineStr">
        <is>
          <t>1BR</t>
        </is>
      </c>
      <c r="C30" s="25" t="n">
        <v>820</v>
      </c>
      <c r="D30" s="26" t="inlineStr">
        <is>
          <t>active</t>
        </is>
      </c>
      <c r="E30" s="27" t="n">
        <v>1650</v>
      </c>
      <c r="F30" s="24" t="inlineStr">
        <is>
          <t>2029-08-31</t>
        </is>
      </c>
      <c r="G30" s="24" t="inlineStr"/>
    </row>
    <row r="31">
      <c r="A31" s="24" t="inlineStr">
        <is>
          <t>027</t>
        </is>
      </c>
      <c r="B31" s="24" t="inlineStr">
        <is>
          <t>2BR</t>
        </is>
      </c>
      <c r="C31" s="25" t="n">
        <v>1030</v>
      </c>
      <c r="D31" s="26" t="inlineStr">
        <is>
          <t>active</t>
        </is>
      </c>
      <c r="E31" s="27" t="n">
        <v>1925</v>
      </c>
      <c r="F31" s="24" t="inlineStr">
        <is>
          <t>2029-08-31</t>
        </is>
      </c>
      <c r="G31" s="24" t="inlineStr"/>
    </row>
    <row r="32">
      <c r="A32" s="24" t="inlineStr">
        <is>
          <t>028</t>
        </is>
      </c>
      <c r="B32" s="24" t="inlineStr">
        <is>
          <t>Studio</t>
        </is>
      </c>
      <c r="C32" s="25" t="n">
        <v>700</v>
      </c>
      <c r="D32" s="26" t="inlineStr">
        <is>
          <t>active</t>
        </is>
      </c>
      <c r="E32" s="27" t="n">
        <v>1500</v>
      </c>
      <c r="F32" s="24" t="inlineStr">
        <is>
          <t>2029-08-31</t>
        </is>
      </c>
      <c r="G32" s="24" t="inlineStr"/>
    </row>
    <row r="33">
      <c r="A33" s="24" t="inlineStr">
        <is>
          <t>029</t>
        </is>
      </c>
      <c r="B33" s="24" t="inlineStr">
        <is>
          <t>1BR</t>
        </is>
      </c>
      <c r="C33" s="25" t="n">
        <v>820</v>
      </c>
      <c r="D33" s="26" t="inlineStr">
        <is>
          <t>active</t>
        </is>
      </c>
      <c r="E33" s="27" t="n">
        <v>1650</v>
      </c>
      <c r="F33" s="24" t="inlineStr">
        <is>
          <t>2029-08-31</t>
        </is>
      </c>
      <c r="G33" s="24" t="inlineStr"/>
    </row>
    <row r="34">
      <c r="A34" s="24" t="inlineStr">
        <is>
          <t>030</t>
        </is>
      </c>
      <c r="B34" s="24" t="inlineStr">
        <is>
          <t>2BR</t>
        </is>
      </c>
      <c r="C34" s="25" t="n">
        <v>1030</v>
      </c>
      <c r="D34" s="26" t="inlineStr">
        <is>
          <t>active</t>
        </is>
      </c>
      <c r="E34" s="27" t="n">
        <v>1925</v>
      </c>
      <c r="F34" s="24" t="inlineStr">
        <is>
          <t>2029-08-31</t>
        </is>
      </c>
      <c r="G34" s="24" t="inlineStr"/>
    </row>
    <row r="35">
      <c r="A35" s="24" t="inlineStr">
        <is>
          <t>031</t>
        </is>
      </c>
      <c r="B35" s="24" t="inlineStr">
        <is>
          <t>Studio</t>
        </is>
      </c>
      <c r="C35" s="25" t="n">
        <v>700</v>
      </c>
      <c r="D35" s="26" t="inlineStr">
        <is>
          <t>active</t>
        </is>
      </c>
      <c r="E35" s="27" t="n">
        <v>1500</v>
      </c>
      <c r="F35" s="24" t="inlineStr">
        <is>
          <t>2029-08-31</t>
        </is>
      </c>
      <c r="G35" s="24" t="inlineStr"/>
    </row>
    <row r="36">
      <c r="A36" s="24" t="inlineStr">
        <is>
          <t>032</t>
        </is>
      </c>
      <c r="B36" s="24" t="inlineStr">
        <is>
          <t>1BR</t>
        </is>
      </c>
      <c r="C36" s="25" t="n">
        <v>820</v>
      </c>
      <c r="D36" s="26" t="inlineStr">
        <is>
          <t>active</t>
        </is>
      </c>
      <c r="E36" s="27" t="n">
        <v>1650</v>
      </c>
      <c r="F36" s="24" t="inlineStr">
        <is>
          <t>2029-08-31</t>
        </is>
      </c>
      <c r="G36" s="24" t="inlineStr"/>
    </row>
    <row r="37">
      <c r="A37" s="24" t="inlineStr">
        <is>
          <t>033</t>
        </is>
      </c>
      <c r="B37" s="24" t="inlineStr">
        <is>
          <t>2BR</t>
        </is>
      </c>
      <c r="C37" s="25" t="n">
        <v>1030</v>
      </c>
      <c r="D37" s="26" t="inlineStr">
        <is>
          <t>active</t>
        </is>
      </c>
      <c r="E37" s="27" t="n">
        <v>1925</v>
      </c>
      <c r="F37" s="24" t="inlineStr">
        <is>
          <t>2029-08-31</t>
        </is>
      </c>
      <c r="G37" s="24" t="inlineStr"/>
    </row>
    <row r="38">
      <c r="A38" s="24" t="inlineStr">
        <is>
          <t>034</t>
        </is>
      </c>
      <c r="B38" s="24" t="inlineStr">
        <is>
          <t>Studio</t>
        </is>
      </c>
      <c r="C38" s="25" t="n">
        <v>700</v>
      </c>
      <c r="D38" s="26" t="inlineStr">
        <is>
          <t>active</t>
        </is>
      </c>
      <c r="E38" s="27" t="n">
        <v>1500</v>
      </c>
      <c r="F38" s="24" t="inlineStr">
        <is>
          <t>2029-08-31</t>
        </is>
      </c>
      <c r="G38" s="24" t="inlineStr"/>
    </row>
    <row r="39">
      <c r="A39" s="24" t="inlineStr">
        <is>
          <t>035</t>
        </is>
      </c>
      <c r="B39" s="24" t="inlineStr">
        <is>
          <t>1BR</t>
        </is>
      </c>
      <c r="C39" s="25" t="n">
        <v>820</v>
      </c>
      <c r="D39" s="26" t="inlineStr">
        <is>
          <t>active</t>
        </is>
      </c>
      <c r="E39" s="27" t="n">
        <v>1650</v>
      </c>
      <c r="F39" s="24" t="inlineStr">
        <is>
          <t>2029-08-31</t>
        </is>
      </c>
      <c r="G39" s="24" t="inlineStr"/>
    </row>
    <row r="40">
      <c r="A40" s="24" t="inlineStr">
        <is>
          <t>036</t>
        </is>
      </c>
      <c r="B40" s="24" t="inlineStr">
        <is>
          <t>2BR</t>
        </is>
      </c>
      <c r="C40" s="25" t="n">
        <v>1030</v>
      </c>
      <c r="D40" s="26" t="inlineStr">
        <is>
          <t>active</t>
        </is>
      </c>
      <c r="E40" s="27" t="n">
        <v>1925</v>
      </c>
      <c r="F40" s="24" t="inlineStr">
        <is>
          <t>2029-08-31</t>
        </is>
      </c>
      <c r="G40" s="24" t="inlineStr"/>
    </row>
    <row r="41">
      <c r="A41" s="24" t="inlineStr">
        <is>
          <t>037</t>
        </is>
      </c>
      <c r="B41" s="24" t="inlineStr">
        <is>
          <t>Studio</t>
        </is>
      </c>
      <c r="C41" s="25" t="n">
        <v>700</v>
      </c>
      <c r="D41" s="26" t="inlineStr">
        <is>
          <t>active</t>
        </is>
      </c>
      <c r="E41" s="27" t="n">
        <v>1500</v>
      </c>
      <c r="F41" s="24" t="inlineStr">
        <is>
          <t>2029-08-31</t>
        </is>
      </c>
      <c r="G41" s="24" t="inlineStr"/>
    </row>
    <row r="42">
      <c r="A42" s="24" t="inlineStr">
        <is>
          <t>038</t>
        </is>
      </c>
      <c r="B42" s="24" t="inlineStr">
        <is>
          <t>1BR</t>
        </is>
      </c>
      <c r="C42" s="25" t="n">
        <v>820</v>
      </c>
      <c r="D42" s="26" t="inlineStr">
        <is>
          <t>active</t>
        </is>
      </c>
      <c r="E42" s="27" t="n">
        <v>1650</v>
      </c>
      <c r="F42" s="24" t="inlineStr">
        <is>
          <t>2029-08-31</t>
        </is>
      </c>
      <c r="G42" s="24" t="inlineStr"/>
    </row>
    <row r="43">
      <c r="A43" s="24" t="inlineStr">
        <is>
          <t>039</t>
        </is>
      </c>
      <c r="B43" s="24" t="inlineStr">
        <is>
          <t>2BR</t>
        </is>
      </c>
      <c r="C43" s="25" t="n">
        <v>1030</v>
      </c>
      <c r="D43" s="26" t="inlineStr">
        <is>
          <t>active</t>
        </is>
      </c>
      <c r="E43" s="27" t="n">
        <v>1925</v>
      </c>
      <c r="F43" s="24" t="inlineStr">
        <is>
          <t>2029-08-31</t>
        </is>
      </c>
      <c r="G43" s="24" t="inlineStr"/>
    </row>
    <row r="44">
      <c r="A44" s="24" t="inlineStr">
        <is>
          <t>040</t>
        </is>
      </c>
      <c r="B44" s="24" t="inlineStr">
        <is>
          <t>Studio</t>
        </is>
      </c>
      <c r="C44" s="25" t="n">
        <v>700</v>
      </c>
      <c r="D44" s="26" t="inlineStr">
        <is>
          <t>active</t>
        </is>
      </c>
      <c r="E44" s="27" t="n">
        <v>1500</v>
      </c>
      <c r="F44" s="24" t="inlineStr">
        <is>
          <t>2029-08-31</t>
        </is>
      </c>
      <c r="G44" s="24" t="inlineStr"/>
    </row>
    <row r="45">
      <c r="A45" s="24" t="inlineStr">
        <is>
          <t>041</t>
        </is>
      </c>
      <c r="B45" s="24" t="inlineStr">
        <is>
          <t>1BR</t>
        </is>
      </c>
      <c r="C45" s="25" t="n">
        <v>820</v>
      </c>
      <c r="D45" s="26" t="inlineStr">
        <is>
          <t>active</t>
        </is>
      </c>
      <c r="E45" s="27" t="n">
        <v>1650</v>
      </c>
      <c r="F45" s="24" t="inlineStr">
        <is>
          <t>2029-08-31</t>
        </is>
      </c>
      <c r="G45" s="24" t="inlineStr"/>
    </row>
    <row r="46">
      <c r="A46" s="24" t="inlineStr">
        <is>
          <t>042</t>
        </is>
      </c>
      <c r="B46" s="24" t="inlineStr">
        <is>
          <t>2BR</t>
        </is>
      </c>
      <c r="C46" s="25" t="n">
        <v>1030</v>
      </c>
      <c r="D46" s="26" t="inlineStr">
        <is>
          <t>active</t>
        </is>
      </c>
      <c r="E46" s="27" t="n">
        <v>1925</v>
      </c>
      <c r="F46" s="24" t="inlineStr">
        <is>
          <t>2029-08-31</t>
        </is>
      </c>
      <c r="G46" s="24" t="inlineStr"/>
    </row>
    <row r="47">
      <c r="A47" s="24" t="inlineStr">
        <is>
          <t>043</t>
        </is>
      </c>
      <c r="B47" s="24" t="inlineStr">
        <is>
          <t>Studio</t>
        </is>
      </c>
      <c r="C47" s="25" t="n">
        <v>700</v>
      </c>
      <c r="D47" s="26" t="inlineStr">
        <is>
          <t>active</t>
        </is>
      </c>
      <c r="E47" s="27" t="n">
        <v>1500</v>
      </c>
      <c r="F47" s="24" t="inlineStr">
        <is>
          <t>2029-08-31</t>
        </is>
      </c>
      <c r="G47" s="24" t="inlineStr"/>
    </row>
    <row r="48">
      <c r="A48" s="24" t="inlineStr">
        <is>
          <t>044</t>
        </is>
      </c>
      <c r="B48" s="24" t="inlineStr">
        <is>
          <t>1BR</t>
        </is>
      </c>
      <c r="C48" s="25" t="n">
        <v>820</v>
      </c>
      <c r="D48" s="26" t="inlineStr">
        <is>
          <t>active</t>
        </is>
      </c>
      <c r="E48" s="27" t="n">
        <v>1650</v>
      </c>
      <c r="F48" s="24" t="inlineStr">
        <is>
          <t>2029-08-31</t>
        </is>
      </c>
      <c r="G48" s="24" t="inlineStr"/>
    </row>
    <row r="49">
      <c r="A49" s="24" t="inlineStr">
        <is>
          <t>045</t>
        </is>
      </c>
      <c r="B49" s="24" t="inlineStr">
        <is>
          <t>2BR</t>
        </is>
      </c>
      <c r="C49" s="25" t="n">
        <v>1030</v>
      </c>
      <c r="D49" s="28" t="inlineStr">
        <is>
          <t>pending</t>
        </is>
      </c>
      <c r="E49" s="27" t="n">
        <v>1925</v>
      </c>
      <c r="F49" s="24" t="inlineStr">
        <is>
          <t>2029-08-31</t>
        </is>
      </c>
      <c r="G49" s="24" t="inlineStr">
        <is>
          <t>Pending means not yet in possession</t>
        </is>
      </c>
    </row>
    <row r="50">
      <c r="A50" s="24" t="inlineStr">
        <is>
          <t>046</t>
        </is>
      </c>
      <c r="B50" s="24" t="inlineStr">
        <is>
          <t>Studio</t>
        </is>
      </c>
      <c r="C50" s="25" t="n">
        <v>700</v>
      </c>
      <c r="D50" s="29" t="inlineStr">
        <is>
          <t>vacant</t>
        </is>
      </c>
      <c r="E50" s="27" t="n">
        <v>1500</v>
      </c>
      <c r="F50" s="24" t="inlineStr">
        <is>
          <t>2029-08-31</t>
        </is>
      </c>
      <c r="G50" s="24" t="inlineStr"/>
    </row>
    <row r="51">
      <c r="A51" s="24" t="inlineStr">
        <is>
          <t>047</t>
        </is>
      </c>
      <c r="B51" s="24" t="inlineStr">
        <is>
          <t>1BR</t>
        </is>
      </c>
      <c r="C51" s="25" t="n">
        <v>820</v>
      </c>
      <c r="D51" s="29" t="inlineStr">
        <is>
          <t>vacant</t>
        </is>
      </c>
      <c r="E51" s="27" t="n">
        <v>1650</v>
      </c>
      <c r="F51" s="24" t="inlineStr">
        <is>
          <t>2029-08-31</t>
        </is>
      </c>
      <c r="G51" s="24" t="inlineStr"/>
    </row>
    <row r="52">
      <c r="A52" s="24" t="inlineStr">
        <is>
          <t>048</t>
        </is>
      </c>
      <c r="B52" s="24" t="inlineStr">
        <is>
          <t>2BR</t>
        </is>
      </c>
      <c r="C52" s="25" t="n">
        <v>1030</v>
      </c>
      <c r="D52" s="29" t="inlineStr">
        <is>
          <t>vacant</t>
        </is>
      </c>
      <c r="E52" s="27" t="n">
        <v>1925</v>
      </c>
      <c r="F52" s="24" t="inlineStr">
        <is>
          <t>2029-08-31</t>
        </is>
      </c>
      <c r="G52" s="24" t="inlineStr"/>
    </row>
    <row r="53">
      <c r="A53" s="16" t="inlineStr">
        <is>
          <t>TOTALS</t>
        </is>
      </c>
      <c r="C53" s="30">
        <f>SUM(C5:C52)</f>
        <v/>
      </c>
      <c r="E53" s="17">
        <f>SUM(E5:E52)</f>
        <v/>
      </c>
    </row>
    <row r="56">
      <c r="A56" s="16" t="inlineStr">
        <is>
          <t>OCCUPANCY SUMMARY (physical, possession-based)</t>
        </is>
      </c>
    </row>
    <row r="57">
      <c r="A57" s="31" t="inlineStr">
        <is>
          <t>Total units</t>
        </is>
      </c>
      <c r="B57">
        <f>COUNTA(A5:A52)</f>
        <v/>
      </c>
    </row>
    <row r="58">
      <c r="A58" s="31" t="inlineStr">
        <is>
          <t>Active (occupied) units</t>
        </is>
      </c>
      <c r="B58">
        <f>COUNTIF(D5:D52,"active")</f>
        <v/>
      </c>
    </row>
    <row r="59">
      <c r="A59" s="31" t="inlineStr">
        <is>
          <t>Pending units (not in possession)</t>
        </is>
      </c>
      <c r="B59">
        <f>COUNTIF(D5:D52,"pending")</f>
        <v/>
      </c>
    </row>
    <row r="60">
      <c r="A60" s="31" t="inlineStr">
        <is>
          <t>Vacant units</t>
        </is>
      </c>
      <c r="B60">
        <f>COUNTIF(D5:D52,"vacant")</f>
        <v/>
      </c>
    </row>
    <row r="61">
      <c r="A61" s="31" t="inlineStr">
        <is>
          <t>Unit occupancy (active / total)</t>
        </is>
      </c>
      <c r="B61" s="19">
        <f>B58/B57</f>
        <v/>
      </c>
    </row>
    <row r="62">
      <c r="A62" s="31" t="inlineStr">
        <is>
          <t>Total area SF</t>
        </is>
      </c>
      <c r="B62" s="32">
        <f>SUM(C5:C52)</f>
        <v/>
      </c>
    </row>
    <row r="63">
      <c r="A63" s="31" t="inlineStr">
        <is>
          <t>Occupied area SF</t>
        </is>
      </c>
      <c r="B63" s="32">
        <f>SUMIF(D5:D52,"active",C5:C52)</f>
        <v/>
      </c>
    </row>
    <row r="64">
      <c r="A64" s="31" t="inlineStr">
        <is>
          <t>Area occupancy (occupied SF / total SF)</t>
        </is>
      </c>
      <c r="B64" s="19">
        <f>B63/B62</f>
        <v/>
      </c>
    </row>
    <row r="65">
      <c r="A65" s="31" t="inlineStr">
        <is>
          <t>In-place monthly rent (all suites, certified)</t>
        </is>
      </c>
      <c r="B65" s="15">
        <f>SUM(E5:E52)</f>
        <v/>
      </c>
    </row>
    <row r="66">
      <c r="A66" s="31" t="inlineStr">
        <is>
          <t>Annual in-place rent (× 12)</t>
        </is>
      </c>
      <c r="B66" s="15">
        <f>B65*12</f>
        <v/>
      </c>
    </row>
    <row r="69">
      <c r="A69" s="33" t="inlineStr">
        <is>
          <t>UNIT TYPE MIX (A=Studio, B=1BR, C=2BR per manager mapping)</t>
        </is>
      </c>
    </row>
    <row r="70">
      <c r="A70" s="16" t="inlineStr">
        <is>
          <t>Group / Type</t>
        </is>
      </c>
      <c r="B70" s="16" t="inlineStr">
        <is>
          <t>Units</t>
        </is>
      </c>
      <c r="C70" s="16" t="inlineStr">
        <is>
          <t>Occupied</t>
        </is>
      </c>
      <c r="D70" s="16" t="inlineStr">
        <is>
          <t>Area SF/unit</t>
        </is>
      </c>
    </row>
    <row r="71">
      <c r="A71" t="inlineStr">
        <is>
          <t>A — Studio</t>
        </is>
      </c>
      <c r="B71">
        <f>COUNTIF(B5:B52,"Studio")</f>
        <v/>
      </c>
      <c r="C71">
        <f>COUNTIFS(B5:B52,"Studio",D5:D52,"active")</f>
        <v/>
      </c>
      <c r="D71" t="n">
        <v>700</v>
      </c>
    </row>
    <row r="72">
      <c r="A72" t="inlineStr">
        <is>
          <t>B — 1BR</t>
        </is>
      </c>
      <c r="B72">
        <f>COUNTIF(B5:B52,"1BR")</f>
        <v/>
      </c>
      <c r="C72">
        <f>COUNTIFS(B5:B52,"1BR",D5:D52,"active")</f>
        <v/>
      </c>
      <c r="D72" t="n">
        <v>820</v>
      </c>
    </row>
    <row r="73">
      <c r="A73" t="inlineStr">
        <is>
          <t>C — 2BR</t>
        </is>
      </c>
      <c r="B73">
        <f>COUNTIF(B5:B52,"2BR")</f>
        <v/>
      </c>
      <c r="C73">
        <f>COUNTIFS(B5:B52,"2BR",D5:D52,"active")</f>
        <v/>
      </c>
      <c r="D73" t="n">
        <v>1030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40" customWidth="1" min="4" max="4"/>
  </cols>
  <sheetData>
    <row r="1">
      <c r="A1" s="21" t="inlineStr">
        <is>
          <t>UNDERWRITING P&amp;L — HISTORICAL vs UNDERWRITTEN</t>
        </is>
      </c>
    </row>
    <row r="3">
      <c r="A3" s="23" t="inlineStr">
        <is>
          <t>Line item</t>
        </is>
      </c>
      <c r="B3" s="23" t="inlineStr">
        <is>
          <t>Historical T12</t>
        </is>
      </c>
      <c r="C3" s="23" t="inlineStr">
        <is>
          <t>Underwritten</t>
        </is>
      </c>
      <c r="D3" s="23" t="inlineStr">
        <is>
          <t>Basis / note</t>
        </is>
      </c>
    </row>
    <row r="4">
      <c r="A4" t="inlineStr">
        <is>
          <t>Rental &amp; ancillary collections (T12)</t>
        </is>
      </c>
      <c r="B4" s="15" t="n">
        <v>876960</v>
      </c>
      <c r="D4" t="inlineStr">
        <is>
          <t>operating-statement.pdf — 2025-09 through 2026-08</t>
        </is>
      </c>
    </row>
    <row r="5">
      <c r="A5" t="inlineStr">
        <is>
          <t>Gross potential rent (all suites × 12, pre-amendment)</t>
        </is>
      </c>
      <c r="C5" s="15">
        <f>Summary!B6</f>
        <v/>
      </c>
      <c r="D5" t="inlineStr">
        <is>
          <t>underwriting-instructions.pdf: certified roll × 12, before Suite 001 amendment</t>
        </is>
      </c>
    </row>
    <row r="6">
      <c r="A6" t="inlineStr">
        <is>
          <t>Less: economic loss (5%)</t>
        </is>
      </c>
      <c r="C6" s="34">
        <f>-Summary!B6*Summary!B12</f>
        <v/>
      </c>
      <c r="D6" t="inlineStr">
        <is>
          <t>underwriting-instructions.pdf</t>
        </is>
      </c>
    </row>
    <row r="7">
      <c r="A7" t="inlineStr">
        <is>
          <t>Plus: other income ($350/unit × 48)</t>
        </is>
      </c>
      <c r="C7" s="15">
        <f>Summary!B13*Summary!B14</f>
        <v/>
      </c>
      <c r="D7" t="inlineStr">
        <is>
          <t>underwriting-instructions.pdf; reimbursement already inside T12/roll — do not double-count</t>
        </is>
      </c>
    </row>
    <row r="8">
      <c r="A8" t="inlineStr">
        <is>
          <t>Effective gross income (EGI)</t>
        </is>
      </c>
      <c r="C8" s="17">
        <f>Summary!B28</f>
        <v/>
      </c>
    </row>
    <row r="10">
      <c r="A10" t="inlineStr">
        <is>
          <t>Real estate taxes</t>
        </is>
      </c>
      <c r="B10" s="34" t="n">
        <v>-102312</v>
      </c>
      <c r="C10" s="34">
        <f>-Summary!B15</f>
        <v/>
      </c>
      <c r="D10" t="inlineStr">
        <is>
          <t>operating-statement.pdf; underwriting-instructions.pdf</t>
        </is>
      </c>
    </row>
    <row r="11">
      <c r="A11" t="inlineStr">
        <is>
          <t>Insurance</t>
        </is>
      </c>
      <c r="B11" s="34" t="n">
        <v>-34104</v>
      </c>
      <c r="C11" s="34">
        <f>-Summary!B16</f>
        <v/>
      </c>
      <c r="D11" t="inlineStr">
        <is>
          <t>operating-statement.pdf (expense, distinct from policy limit $2M in insurance.pdf)</t>
        </is>
      </c>
    </row>
    <row r="12">
      <c r="A12" t="inlineStr">
        <is>
          <t>Other recurring operating expenses</t>
        </is>
      </c>
      <c r="B12" s="34" t="n">
        <v>-136416</v>
      </c>
      <c r="C12" s="34">
        <f>-Summary!B17</f>
        <v/>
      </c>
      <c r="D12" t="inlineStr">
        <is>
          <t>operating-statement.pdf; underwriting-instructions.pdf</t>
        </is>
      </c>
    </row>
    <row r="13">
      <c r="A13" t="inlineStr">
        <is>
          <t>Management fee (3% of EGI)</t>
        </is>
      </c>
      <c r="C13" s="34">
        <f>-Summary!B18*Summary!B28</f>
        <v/>
      </c>
      <c r="D13" t="inlineStr">
        <is>
          <t>underwriting-instructions.pdf</t>
        </is>
      </c>
    </row>
    <row r="14">
      <c r="A14" t="inlineStr">
        <is>
          <t>Roof replacement (capital; NOT in opex)</t>
        </is>
      </c>
      <c r="B14" s="15" t="n">
        <v>0</v>
      </c>
      <c r="D14" t="inlineStr">
        <is>
          <t>operating-statement.pdf: roof is capital, no recurring repair booked</t>
        </is>
      </c>
    </row>
    <row r="15">
      <c r="A15" t="inlineStr">
        <is>
          <t>Reported NOI (as stated)</t>
        </is>
      </c>
      <c r="B15" s="17" t="n">
        <v>604128</v>
      </c>
      <c r="C15" s="17">
        <f>Summary!B30</f>
        <v/>
      </c>
      <c r="D15" t="inlineStr">
        <is>
          <t>Historical: reported. Underwritten: derived (NOI before reserves)</t>
        </is>
      </c>
    </row>
    <row r="17">
      <c r="A17" t="inlineStr">
        <is>
          <t>Replacement reserves ($300/unit)</t>
        </is>
      </c>
      <c r="C17" s="34">
        <f>-Summary!B31</f>
        <v/>
      </c>
      <c r="D17" t="inlineStr">
        <is>
          <t>underwriting-instructions.pdf</t>
        </is>
      </c>
    </row>
    <row r="18">
      <c r="A18" t="inlineStr">
        <is>
          <t>Net cash flow (NCF, after reserves)</t>
        </is>
      </c>
      <c r="C18" s="17">
        <f>Summary!B32</f>
        <v/>
      </c>
    </row>
    <row r="20">
      <c r="A20" s="33" t="inlineStr">
        <is>
          <t>Reconciliation notes</t>
        </is>
      </c>
    </row>
    <row r="21">
      <c r="A21" t="inlineStr">
        <is>
          <t>• Historical T12 collections ($876,960) are actual cash — NOT an annualized rent-roll total (per operating-statement.pdf).</t>
        </is>
      </c>
    </row>
    <row r="22">
      <c r="A22" t="inlineStr">
        <is>
          <t>• UW GPR uses certified all-suite scheduled rent × 12 = $974,400 (per underwriting-instructions.pdf), BEFORE Suite 001 amendment.</t>
        </is>
      </c>
    </row>
    <row r="23">
      <c r="A23" t="inlineStr">
        <is>
          <t>• Historical NOI ($604,128) is calculated before reserves; UW NCF is after $14,400 reserves. Definitions differ — labeled explicitly.</t>
        </is>
      </c>
    </row>
    <row r="24">
      <c r="A24" t="inlineStr">
        <is>
          <t>• Roof replacement is capital; operating statement confirms it was NOT booked to opex.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40" customWidth="1" min="3" max="3"/>
  </cols>
  <sheetData>
    <row r="1">
      <c r="A1" s="21" t="inlineStr">
        <is>
          <t>DEBT SIZING &amp; SOURCES / USES</t>
        </is>
      </c>
    </row>
    <row r="3">
      <c r="A3" t="inlineStr">
        <is>
          <t>Sizing rate (greater of note or floor)</t>
        </is>
      </c>
      <c r="B3" s="35">
        <f>Summary!B8</f>
        <v/>
      </c>
    </row>
    <row r="4">
      <c r="A4" t="inlineStr">
        <is>
          <t>Note rate</t>
        </is>
      </c>
      <c r="B4" s="35">
        <f>Summary!B9</f>
        <v/>
      </c>
    </row>
    <row r="5">
      <c r="A5" t="inlineStr">
        <is>
          <t>Floor</t>
        </is>
      </c>
      <c r="B5" s="35">
        <f>Summary!B10</f>
        <v/>
      </c>
    </row>
    <row r="6">
      <c r="A6" t="inlineStr">
        <is>
          <t>Sizing rate binding vs floor?</t>
        </is>
      </c>
      <c r="B6">
        <f>IF(Summary!B9&gt;=Summary!B10,"Note binds (floor not binding)","Floor binds")</f>
        <v/>
      </c>
    </row>
    <row r="7">
      <c r="A7" t="inlineStr">
        <is>
          <t>Amortization (yrs)</t>
        </is>
      </c>
      <c r="B7">
        <f>Summary!B11</f>
        <v/>
      </c>
    </row>
    <row r="8">
      <c r="A8" t="inlineStr">
        <is>
          <t>Annual mortgage constant</t>
        </is>
      </c>
      <c r="B8" s="14">
        <f>Summary!B38</f>
        <v/>
      </c>
    </row>
    <row r="10">
      <c r="A10" t="inlineStr">
        <is>
          <t>Cap value (NOI / cap)</t>
        </is>
      </c>
      <c r="B10" s="15">
        <f>Summary!B33</f>
        <v/>
      </c>
    </row>
    <row r="11">
      <c r="A11" t="inlineStr">
        <is>
          <t>NCF</t>
        </is>
      </c>
      <c r="B11" s="15">
        <f>Summary!B32</f>
        <v/>
      </c>
    </row>
    <row r="13">
      <c r="A13" t="inlineStr">
        <is>
          <t>LTV cap loan (65% × value)</t>
        </is>
      </c>
      <c r="B13" s="15">
        <f>Summary!B39</f>
        <v/>
      </c>
    </row>
    <row r="14">
      <c r="A14" t="inlineStr">
        <is>
          <t>DSCR cap loan (NCF / 1.25 / constant)</t>
        </is>
      </c>
      <c r="B14" s="15">
        <f>Summary!B40</f>
        <v/>
      </c>
    </row>
    <row r="15">
      <c r="A15" t="inlineStr">
        <is>
          <t>DY cap loan (NCF / 9%)</t>
        </is>
      </c>
      <c r="B15" s="15">
        <f>Summary!B41</f>
        <v/>
      </c>
    </row>
    <row r="16">
      <c r="A16" t="inlineStr">
        <is>
          <t>MAXIMUM LOAN</t>
        </is>
      </c>
      <c r="B16" s="17">
        <f>Summary!B42</f>
        <v/>
      </c>
    </row>
    <row r="17">
      <c r="A17" t="inlineStr">
        <is>
          <t>Binding constraint</t>
        </is>
      </c>
      <c r="B17" s="16">
        <f>Summary!B43</f>
        <v/>
      </c>
    </row>
    <row r="19">
      <c r="A19" s="33" t="inlineStr">
        <is>
          <t>SOURCES &amp; USES</t>
        </is>
      </c>
    </row>
    <row r="20">
      <c r="A20" t="inlineStr">
        <is>
          <t>Sources: new loan</t>
        </is>
      </c>
      <c r="B20" s="15">
        <f>Summary!B46</f>
        <v/>
      </c>
    </row>
    <row r="21">
      <c r="A21" t="inlineStr">
        <is>
          <t>Uses: existing payoff</t>
        </is>
      </c>
      <c r="B21" s="15">
        <f>Summary!B47</f>
        <v/>
      </c>
    </row>
    <row r="22">
      <c r="A22" t="inlineStr">
        <is>
          <t>Uses: origination (1%)</t>
        </is>
      </c>
      <c r="B22" s="15">
        <f>Summary!B48</f>
        <v/>
      </c>
    </row>
    <row r="23">
      <c r="A23" t="inlineStr">
        <is>
          <t>Uses: closing costs</t>
        </is>
      </c>
      <c r="B23" s="15">
        <f>Summary!B49</f>
        <v/>
      </c>
    </row>
    <row r="24">
      <c r="A24" t="inlineStr">
        <is>
          <t>Total uses</t>
        </is>
      </c>
      <c r="B24" s="17">
        <f>Summary!B50</f>
        <v/>
      </c>
    </row>
    <row r="25">
      <c r="A25" t="inlineStr">
        <is>
          <t>Net cash-out (Sources − Uses)</t>
        </is>
      </c>
      <c r="B25" s="36">
        <f>Summary!B51</f>
        <v/>
      </c>
      <c r="C25" t="inlineStr">
        <is>
          <t>Negative = additional equity required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1" t="inlineStr">
        <is>
          <t>SENSITIVITY — Maximum loan and net cash-out</t>
        </is>
      </c>
    </row>
    <row r="2">
      <c r="A2" s="22" t="inlineStr">
        <is>
          <t>Rows: cap rate | Columns: sizing rate. Live formulas — will recompute if you change assumptions.</t>
        </is>
      </c>
    </row>
    <row r="4">
      <c r="A4" s="33" t="inlineStr">
        <is>
          <t>TABLE 1: Maximum Loan ($)</t>
        </is>
      </c>
    </row>
    <row r="5">
      <c r="A5" s="16" t="inlineStr">
        <is>
          <t>Cap ↓ / Sizing rate →</t>
        </is>
      </c>
      <c r="B5" s="37" t="n">
        <v>0.055</v>
      </c>
      <c r="C5" s="37" t="n">
        <v>0.06</v>
      </c>
      <c r="D5" s="37" t="n">
        <v>0.0625</v>
      </c>
      <c r="E5" s="37" t="n">
        <v>0.065</v>
      </c>
      <c r="F5" s="37" t="n">
        <v>0.07000000000000001</v>
      </c>
      <c r="G5" s="37" t="n">
        <v>0.075</v>
      </c>
    </row>
    <row r="6">
      <c r="A6" s="37" t="n">
        <v>0.05</v>
      </c>
      <c r="B6" s="27">
        <f>MIN(Summary!$B$20*Summary!$B$30/$A6,Summary!$B$32/(Summary!$B$21*12*(B$5/12)*(1+B$5/12)^(Summary!$B$11*12)/((1+B$5/12)^(Summary!$B$11*12)-1)),Summary!$B$32/Summary!$B$22)</f>
        <v/>
      </c>
      <c r="C6" s="27">
        <f>MIN(Summary!$B$20*Summary!$B$30/$A6,Summary!$B$32/(Summary!$B$21*12*(C$5/12)*(1+C$5/12)^(Summary!$B$11*12)/((1+C$5/12)^(Summary!$B$11*12)-1)),Summary!$B$32/Summary!$B$22)</f>
        <v/>
      </c>
      <c r="D6" s="27">
        <f>MIN(Summary!$B$20*Summary!$B$30/$A6,Summary!$B$32/(Summary!$B$21*12*(D$5/12)*(1+D$5/12)^(Summary!$B$11*12)/((1+D$5/12)^(Summary!$B$11*12)-1)),Summary!$B$32/Summary!$B$22)</f>
        <v/>
      </c>
      <c r="E6" s="27">
        <f>MIN(Summary!$B$20*Summary!$B$30/$A6,Summary!$B$32/(Summary!$B$21*12*(E$5/12)*(1+E$5/12)^(Summary!$B$11*12)/((1+E$5/12)^(Summary!$B$11*12)-1)),Summary!$B$32/Summary!$B$22)</f>
        <v/>
      </c>
      <c r="F6" s="27">
        <f>MIN(Summary!$B$20*Summary!$B$30/$A6,Summary!$B$32/(Summary!$B$21*12*(F$5/12)*(1+F$5/12)^(Summary!$B$11*12)/((1+F$5/12)^(Summary!$B$11*12)-1)),Summary!$B$32/Summary!$B$22)</f>
        <v/>
      </c>
      <c r="G6" s="27">
        <f>MIN(Summary!$B$20*Summary!$B$30/$A6,Summary!$B$32/(Summary!$B$21*12*(G$5/12)*(1+G$5/12)^(Summary!$B$11*12)/((1+G$5/12)^(Summary!$B$11*12)-1)),Summary!$B$32/Summary!$B$22)</f>
        <v/>
      </c>
    </row>
    <row r="7">
      <c r="A7" s="37" t="n">
        <v>0.055</v>
      </c>
      <c r="B7" s="27">
        <f>MIN(Summary!$B$20*Summary!$B$30/$A7,Summary!$B$32/(Summary!$B$21*12*(B$5/12)*(1+B$5/12)^(Summary!$B$11*12)/((1+B$5/12)^(Summary!$B$11*12)-1)),Summary!$B$32/Summary!$B$22)</f>
        <v/>
      </c>
      <c r="C7" s="27">
        <f>MIN(Summary!$B$20*Summary!$B$30/$A7,Summary!$B$32/(Summary!$B$21*12*(C$5/12)*(1+C$5/12)^(Summary!$B$11*12)/((1+C$5/12)^(Summary!$B$11*12)-1)),Summary!$B$32/Summary!$B$22)</f>
        <v/>
      </c>
      <c r="D7" s="27">
        <f>MIN(Summary!$B$20*Summary!$B$30/$A7,Summary!$B$32/(Summary!$B$21*12*(D$5/12)*(1+D$5/12)^(Summary!$B$11*12)/((1+D$5/12)^(Summary!$B$11*12)-1)),Summary!$B$32/Summary!$B$22)</f>
        <v/>
      </c>
      <c r="E7" s="27">
        <f>MIN(Summary!$B$20*Summary!$B$30/$A7,Summary!$B$32/(Summary!$B$21*12*(E$5/12)*(1+E$5/12)^(Summary!$B$11*12)/((1+E$5/12)^(Summary!$B$11*12)-1)),Summary!$B$32/Summary!$B$22)</f>
        <v/>
      </c>
      <c r="F7" s="27">
        <f>MIN(Summary!$B$20*Summary!$B$30/$A7,Summary!$B$32/(Summary!$B$21*12*(F$5/12)*(1+F$5/12)^(Summary!$B$11*12)/((1+F$5/12)^(Summary!$B$11*12)-1)),Summary!$B$32/Summary!$B$22)</f>
        <v/>
      </c>
      <c r="G7" s="27">
        <f>MIN(Summary!$B$20*Summary!$B$30/$A7,Summary!$B$32/(Summary!$B$21*12*(G$5/12)*(1+G$5/12)^(Summary!$B$11*12)/((1+G$5/12)^(Summary!$B$11*12)-1)),Summary!$B$32/Summary!$B$22)</f>
        <v/>
      </c>
    </row>
    <row r="8">
      <c r="A8" s="37" t="n">
        <v>0.0575</v>
      </c>
      <c r="B8" s="27">
        <f>MIN(Summary!$B$20*Summary!$B$30/$A8,Summary!$B$32/(Summary!$B$21*12*(B$5/12)*(1+B$5/12)^(Summary!$B$11*12)/((1+B$5/12)^(Summary!$B$11*12)-1)),Summary!$B$32/Summary!$B$22)</f>
        <v/>
      </c>
      <c r="C8" s="27">
        <f>MIN(Summary!$B$20*Summary!$B$30/$A8,Summary!$B$32/(Summary!$B$21*12*(C$5/12)*(1+C$5/12)^(Summary!$B$11*12)/((1+C$5/12)^(Summary!$B$11*12)-1)),Summary!$B$32/Summary!$B$22)</f>
        <v/>
      </c>
      <c r="D8" s="27">
        <f>MIN(Summary!$B$20*Summary!$B$30/$A8,Summary!$B$32/(Summary!$B$21*12*(D$5/12)*(1+D$5/12)^(Summary!$B$11*12)/((1+D$5/12)^(Summary!$B$11*12)-1)),Summary!$B$32/Summary!$B$22)</f>
        <v/>
      </c>
      <c r="E8" s="27">
        <f>MIN(Summary!$B$20*Summary!$B$30/$A8,Summary!$B$32/(Summary!$B$21*12*(E$5/12)*(1+E$5/12)^(Summary!$B$11*12)/((1+E$5/12)^(Summary!$B$11*12)-1)),Summary!$B$32/Summary!$B$22)</f>
        <v/>
      </c>
      <c r="F8" s="27">
        <f>MIN(Summary!$B$20*Summary!$B$30/$A8,Summary!$B$32/(Summary!$B$21*12*(F$5/12)*(1+F$5/12)^(Summary!$B$11*12)/((1+F$5/12)^(Summary!$B$11*12)-1)),Summary!$B$32/Summary!$B$22)</f>
        <v/>
      </c>
      <c r="G8" s="27">
        <f>MIN(Summary!$B$20*Summary!$B$30/$A8,Summary!$B$32/(Summary!$B$21*12*(G$5/12)*(1+G$5/12)^(Summary!$B$11*12)/((1+G$5/12)^(Summary!$B$11*12)-1)),Summary!$B$32/Summary!$B$22)</f>
        <v/>
      </c>
    </row>
    <row r="9">
      <c r="A9" s="37" t="n">
        <v>0.06</v>
      </c>
      <c r="B9" s="27">
        <f>MIN(Summary!$B$20*Summary!$B$30/$A9,Summary!$B$32/(Summary!$B$21*12*(B$5/12)*(1+B$5/12)^(Summary!$B$11*12)/((1+B$5/12)^(Summary!$B$11*12)-1)),Summary!$B$32/Summary!$B$22)</f>
        <v/>
      </c>
      <c r="C9" s="27">
        <f>MIN(Summary!$B$20*Summary!$B$30/$A9,Summary!$B$32/(Summary!$B$21*12*(C$5/12)*(1+C$5/12)^(Summary!$B$11*12)/((1+C$5/12)^(Summary!$B$11*12)-1)),Summary!$B$32/Summary!$B$22)</f>
        <v/>
      </c>
      <c r="D9" s="27">
        <f>MIN(Summary!$B$20*Summary!$B$30/$A9,Summary!$B$32/(Summary!$B$21*12*(D$5/12)*(1+D$5/12)^(Summary!$B$11*12)/((1+D$5/12)^(Summary!$B$11*12)-1)),Summary!$B$32/Summary!$B$22)</f>
        <v/>
      </c>
      <c r="E9" s="27">
        <f>MIN(Summary!$B$20*Summary!$B$30/$A9,Summary!$B$32/(Summary!$B$21*12*(E$5/12)*(1+E$5/12)^(Summary!$B$11*12)/((1+E$5/12)^(Summary!$B$11*12)-1)),Summary!$B$32/Summary!$B$22)</f>
        <v/>
      </c>
      <c r="F9" s="27">
        <f>MIN(Summary!$B$20*Summary!$B$30/$A9,Summary!$B$32/(Summary!$B$21*12*(F$5/12)*(1+F$5/12)^(Summary!$B$11*12)/((1+F$5/12)^(Summary!$B$11*12)-1)),Summary!$B$32/Summary!$B$22)</f>
        <v/>
      </c>
      <c r="G9" s="27">
        <f>MIN(Summary!$B$20*Summary!$B$30/$A9,Summary!$B$32/(Summary!$B$21*12*(G$5/12)*(1+G$5/12)^(Summary!$B$11*12)/((1+G$5/12)^(Summary!$B$11*12)-1)),Summary!$B$32/Summary!$B$22)</f>
        <v/>
      </c>
    </row>
    <row r="10">
      <c r="A10" s="37" t="n">
        <v>0.065</v>
      </c>
      <c r="B10" s="27">
        <f>MIN(Summary!$B$20*Summary!$B$30/$A10,Summary!$B$32/(Summary!$B$21*12*(B$5/12)*(1+B$5/12)^(Summary!$B$11*12)/((1+B$5/12)^(Summary!$B$11*12)-1)),Summary!$B$32/Summary!$B$22)</f>
        <v/>
      </c>
      <c r="C10" s="27">
        <f>MIN(Summary!$B$20*Summary!$B$30/$A10,Summary!$B$32/(Summary!$B$21*12*(C$5/12)*(1+C$5/12)^(Summary!$B$11*12)/((1+C$5/12)^(Summary!$B$11*12)-1)),Summary!$B$32/Summary!$B$22)</f>
        <v/>
      </c>
      <c r="D10" s="27">
        <f>MIN(Summary!$B$20*Summary!$B$30/$A10,Summary!$B$32/(Summary!$B$21*12*(D$5/12)*(1+D$5/12)^(Summary!$B$11*12)/((1+D$5/12)^(Summary!$B$11*12)-1)),Summary!$B$32/Summary!$B$22)</f>
        <v/>
      </c>
      <c r="E10" s="27">
        <f>MIN(Summary!$B$20*Summary!$B$30/$A10,Summary!$B$32/(Summary!$B$21*12*(E$5/12)*(1+E$5/12)^(Summary!$B$11*12)/((1+E$5/12)^(Summary!$B$11*12)-1)),Summary!$B$32/Summary!$B$22)</f>
        <v/>
      </c>
      <c r="F10" s="27">
        <f>MIN(Summary!$B$20*Summary!$B$30/$A10,Summary!$B$32/(Summary!$B$21*12*(F$5/12)*(1+F$5/12)^(Summary!$B$11*12)/((1+F$5/12)^(Summary!$B$11*12)-1)),Summary!$B$32/Summary!$B$22)</f>
        <v/>
      </c>
      <c r="G10" s="27">
        <f>MIN(Summary!$B$20*Summary!$B$30/$A10,Summary!$B$32/(Summary!$B$21*12*(G$5/12)*(1+G$5/12)^(Summary!$B$11*12)/((1+G$5/12)^(Summary!$B$11*12)-1)),Summary!$B$32/Summary!$B$22)</f>
        <v/>
      </c>
    </row>
    <row r="11">
      <c r="A11" s="37" t="n">
        <v>0.07000000000000001</v>
      </c>
      <c r="B11" s="27">
        <f>MIN(Summary!$B$20*Summary!$B$30/$A11,Summary!$B$32/(Summary!$B$21*12*(B$5/12)*(1+B$5/12)^(Summary!$B$11*12)/((1+B$5/12)^(Summary!$B$11*12)-1)),Summary!$B$32/Summary!$B$22)</f>
        <v/>
      </c>
      <c r="C11" s="27">
        <f>MIN(Summary!$B$20*Summary!$B$30/$A11,Summary!$B$32/(Summary!$B$21*12*(C$5/12)*(1+C$5/12)^(Summary!$B$11*12)/((1+C$5/12)^(Summary!$B$11*12)-1)),Summary!$B$32/Summary!$B$22)</f>
        <v/>
      </c>
      <c r="D11" s="27">
        <f>MIN(Summary!$B$20*Summary!$B$30/$A11,Summary!$B$32/(Summary!$B$21*12*(D$5/12)*(1+D$5/12)^(Summary!$B$11*12)/((1+D$5/12)^(Summary!$B$11*12)-1)),Summary!$B$32/Summary!$B$22)</f>
        <v/>
      </c>
      <c r="E11" s="27">
        <f>MIN(Summary!$B$20*Summary!$B$30/$A11,Summary!$B$32/(Summary!$B$21*12*(E$5/12)*(1+E$5/12)^(Summary!$B$11*12)/((1+E$5/12)^(Summary!$B$11*12)-1)),Summary!$B$32/Summary!$B$22)</f>
        <v/>
      </c>
      <c r="F11" s="27">
        <f>MIN(Summary!$B$20*Summary!$B$30/$A11,Summary!$B$32/(Summary!$B$21*12*(F$5/12)*(1+F$5/12)^(Summary!$B$11*12)/((1+F$5/12)^(Summary!$B$11*12)-1)),Summary!$B$32/Summary!$B$22)</f>
        <v/>
      </c>
      <c r="G11" s="27">
        <f>MIN(Summary!$B$20*Summary!$B$30/$A11,Summary!$B$32/(Summary!$B$21*12*(G$5/12)*(1+G$5/12)^(Summary!$B$11*12)/((1+G$5/12)^(Summary!$B$11*12)-1)),Summary!$B$32/Summary!$B$22)</f>
        <v/>
      </c>
    </row>
    <row r="14">
      <c r="A14" s="33" t="inlineStr">
        <is>
          <t>TABLE 2: Net Cash-Out ($) — (Max Loan) − (Existing Payoff + Orig 1% + Closing $45K)</t>
        </is>
      </c>
    </row>
    <row r="15">
      <c r="A15" s="16" t="inlineStr">
        <is>
          <t>Cap ↓ / Sizing rate →</t>
        </is>
      </c>
      <c r="B15" s="37" t="n">
        <v>0.055</v>
      </c>
      <c r="C15" s="37" t="n">
        <v>0.06</v>
      </c>
      <c r="D15" s="37" t="n">
        <v>0.0625</v>
      </c>
      <c r="E15" s="37" t="n">
        <v>0.065</v>
      </c>
      <c r="F15" s="37" t="n">
        <v>0.07000000000000001</v>
      </c>
      <c r="G15" s="37" t="n">
        <v>0.075</v>
      </c>
    </row>
    <row r="16">
      <c r="A16" s="37" t="n">
        <v>0.05</v>
      </c>
      <c r="B16" s="38">
        <f>B6-Summary!$B$25-Summary!$B$23*B6-Summary!$B$24</f>
        <v/>
      </c>
      <c r="C16" s="38">
        <f>C6-Summary!$B$25-Summary!$B$23*C6-Summary!$B$24</f>
        <v/>
      </c>
      <c r="D16" s="38">
        <f>D6-Summary!$B$25-Summary!$B$23*D6-Summary!$B$24</f>
        <v/>
      </c>
      <c r="E16" s="38">
        <f>E6-Summary!$B$25-Summary!$B$23*E6-Summary!$B$24</f>
        <v/>
      </c>
      <c r="F16" s="38">
        <f>F6-Summary!$B$25-Summary!$B$23*F6-Summary!$B$24</f>
        <v/>
      </c>
      <c r="G16" s="38">
        <f>G6-Summary!$B$25-Summary!$B$23*G6-Summary!$B$24</f>
        <v/>
      </c>
    </row>
    <row r="17">
      <c r="A17" s="37" t="n">
        <v>0.055</v>
      </c>
      <c r="B17" s="38">
        <f>B7-Summary!$B$25-Summary!$B$23*B7-Summary!$B$24</f>
        <v/>
      </c>
      <c r="C17" s="38">
        <f>C7-Summary!$B$25-Summary!$B$23*C7-Summary!$B$24</f>
        <v/>
      </c>
      <c r="D17" s="38">
        <f>D7-Summary!$B$25-Summary!$B$23*D7-Summary!$B$24</f>
        <v/>
      </c>
      <c r="E17" s="38">
        <f>E7-Summary!$B$25-Summary!$B$23*E7-Summary!$B$24</f>
        <v/>
      </c>
      <c r="F17" s="38">
        <f>F7-Summary!$B$25-Summary!$B$23*F7-Summary!$B$24</f>
        <v/>
      </c>
      <c r="G17" s="38">
        <f>G7-Summary!$B$25-Summary!$B$23*G7-Summary!$B$24</f>
        <v/>
      </c>
    </row>
    <row r="18">
      <c r="A18" s="37" t="n">
        <v>0.0575</v>
      </c>
      <c r="B18" s="38">
        <f>B8-Summary!$B$25-Summary!$B$23*B8-Summary!$B$24</f>
        <v/>
      </c>
      <c r="C18" s="38">
        <f>C8-Summary!$B$25-Summary!$B$23*C8-Summary!$B$24</f>
        <v/>
      </c>
      <c r="D18" s="38">
        <f>D8-Summary!$B$25-Summary!$B$23*D8-Summary!$B$24</f>
        <v/>
      </c>
      <c r="E18" s="38">
        <f>E8-Summary!$B$25-Summary!$B$23*E8-Summary!$B$24</f>
        <v/>
      </c>
      <c r="F18" s="38">
        <f>F8-Summary!$B$25-Summary!$B$23*F8-Summary!$B$24</f>
        <v/>
      </c>
      <c r="G18" s="38">
        <f>G8-Summary!$B$25-Summary!$B$23*G8-Summary!$B$24</f>
        <v/>
      </c>
    </row>
    <row r="19">
      <c r="A19" s="37" t="n">
        <v>0.06</v>
      </c>
      <c r="B19" s="38">
        <f>B9-Summary!$B$25-Summary!$B$23*B9-Summary!$B$24</f>
        <v/>
      </c>
      <c r="C19" s="38">
        <f>C9-Summary!$B$25-Summary!$B$23*C9-Summary!$B$24</f>
        <v/>
      </c>
      <c r="D19" s="38">
        <f>D9-Summary!$B$25-Summary!$B$23*D9-Summary!$B$24</f>
        <v/>
      </c>
      <c r="E19" s="38">
        <f>E9-Summary!$B$25-Summary!$B$23*E9-Summary!$B$24</f>
        <v/>
      </c>
      <c r="F19" s="38">
        <f>F9-Summary!$B$25-Summary!$B$23*F9-Summary!$B$24</f>
        <v/>
      </c>
      <c r="G19" s="38">
        <f>G9-Summary!$B$25-Summary!$B$23*G9-Summary!$B$24</f>
        <v/>
      </c>
    </row>
    <row r="20">
      <c r="A20" s="37" t="n">
        <v>0.065</v>
      </c>
      <c r="B20" s="38">
        <f>B10-Summary!$B$25-Summary!$B$23*B10-Summary!$B$24</f>
        <v/>
      </c>
      <c r="C20" s="38">
        <f>C10-Summary!$B$25-Summary!$B$23*C10-Summary!$B$24</f>
        <v/>
      </c>
      <c r="D20" s="38">
        <f>D10-Summary!$B$25-Summary!$B$23*D10-Summary!$B$24</f>
        <v/>
      </c>
      <c r="E20" s="38">
        <f>E10-Summary!$B$25-Summary!$B$23*E10-Summary!$B$24</f>
        <v/>
      </c>
      <c r="F20" s="38">
        <f>F10-Summary!$B$25-Summary!$B$23*F10-Summary!$B$24</f>
        <v/>
      </c>
      <c r="G20" s="38">
        <f>G10-Summary!$B$25-Summary!$B$23*G10-Summary!$B$24</f>
        <v/>
      </c>
    </row>
    <row r="21">
      <c r="A21" s="37" t="n">
        <v>0.07000000000000001</v>
      </c>
      <c r="B21" s="38">
        <f>B11-Summary!$B$25-Summary!$B$23*B11-Summary!$B$24</f>
        <v/>
      </c>
      <c r="C21" s="38">
        <f>C11-Summary!$B$25-Summary!$B$23*C11-Summary!$B$24</f>
        <v/>
      </c>
      <c r="D21" s="38">
        <f>D11-Summary!$B$25-Summary!$B$23*D11-Summary!$B$24</f>
        <v/>
      </c>
      <c r="E21" s="38">
        <f>E11-Summary!$B$25-Summary!$B$23*E11-Summary!$B$24</f>
        <v/>
      </c>
      <c r="F21" s="38">
        <f>F11-Summary!$B$25-Summary!$B$23*F11-Summary!$B$24</f>
        <v/>
      </c>
      <c r="G21" s="38">
        <f>G11-Summary!$B$25-Summary!$B$23*G11-Summary!$B$24</f>
        <v/>
      </c>
    </row>
  </sheetData>
  <mergeCells count="2">
    <mergeCell ref="A2:H2"/>
    <mergeCell ref="A1:H1"/>
  </mergeCells>
  <conditionalFormatting sqref="B16:G21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50" customWidth="1" min="3" max="3"/>
    <col width="45" customWidth="1" min="4" max="4"/>
  </cols>
  <sheetData>
    <row r="1">
      <c r="A1" s="21" t="inlineStr">
        <is>
          <t>SOURCE REGISTER — evidence per fact</t>
        </is>
      </c>
    </row>
    <row r="3">
      <c r="A3" s="23" t="inlineStr">
        <is>
          <t>Filename</t>
        </is>
      </c>
      <c r="B3" s="23" t="inlineStr">
        <is>
          <t>Page/Cell</t>
        </is>
      </c>
      <c r="C3" s="23" t="inlineStr">
        <is>
          <t>Fact / data captured</t>
        </is>
      </c>
      <c r="D3" s="23" t="inlineStr">
        <is>
          <t>Fields it supports</t>
        </is>
      </c>
    </row>
    <row r="4" ht="60" customHeight="1">
      <c r="A4" s="39" t="inlineStr">
        <is>
          <t>manager-cover.pdf</t>
        </is>
      </c>
      <c r="B4" s="39" t="inlineStr">
        <is>
          <t>p.1</t>
        </is>
      </c>
      <c r="C4" s="39" t="inlineStr">
        <is>
          <t>Property = Magnolia Terrace, Raleigh NC, multifamily. Manager mapping: A/B/C = Studio/1BR/2BR. Headline occupancy 45 of 48 counts pending as leased.</t>
        </is>
      </c>
      <c r="D4" s="39" t="inlineStr">
        <is>
          <t>asset id, type_a/b/c mapping, risk_pending_in_occupancy</t>
        </is>
      </c>
    </row>
    <row r="5" ht="60" customHeight="1">
      <c r="A5" s="39" t="inlineStr">
        <is>
          <t>rent-roll-certified.xlsx</t>
        </is>
      </c>
      <c r="B5" s="39" t="inlineStr">
        <is>
          <t>Sheet 'Rent Roll' A2 (date); rows 5–52</t>
        </is>
      </c>
      <c r="C5" s="39" t="inlineStr">
        <is>
          <t>48 units as of 2026-08-31. 44 active, 1 pending (045), 3 vacant (046–048). Unit-type areas &amp; rents controlling.</t>
        </is>
      </c>
      <c r="D5" s="39" t="inlineStr">
        <is>
          <t>total_units, occupied_units, pending_units, total_area_sf, occupied_area_sf, unit_occupancy, area_occupancy, annual_in_place_rent, unit_001_monthly_rent, gross_potential_rent, selected_roll_date, type_a/b/c_units + _occupied</t>
        </is>
      </c>
    </row>
    <row r="6" ht="60" customHeight="1">
      <c r="A6" s="39" t="inlineStr">
        <is>
          <t>rent-roll-archive.xlsx</t>
        </is>
      </c>
      <c r="B6" s="39" t="inlineStr">
        <is>
          <t>Sheet 'Rent Roll' A2</t>
        </is>
      </c>
      <c r="C6" s="39" t="inlineStr">
        <is>
          <t>As-of 2026-06-30. Stale — superseded by certified roll per diligence-status.pdf.</t>
        </is>
      </c>
      <c r="D6" s="39" t="inlineStr">
        <is>
          <t>selected_roll_date (excluded — stale archive)</t>
        </is>
      </c>
    </row>
    <row r="7" ht="60" customHeight="1">
      <c r="A7" s="39" t="inlineStr">
        <is>
          <t>lease-001.pdf</t>
        </is>
      </c>
      <c r="B7" s="39" t="inlineStr">
        <is>
          <t>p.1</t>
        </is>
      </c>
      <c r="C7" s="39" t="inlineStr">
        <is>
          <t>Suite 001 executed base $1,500/mo. Notes: signed later amendment controls conflicting terms; unsigned proposal does not change agreement.</t>
        </is>
      </c>
      <c r="D7" s="39" t="inlineStr">
        <is>
          <t>unit_001_monthly_rent, risk_unsigned_rent_change</t>
        </is>
      </c>
    </row>
    <row r="8" ht="60" customHeight="1">
      <c r="A8" s="39" t="inlineStr">
        <is>
          <t>lease-correspondence.pdf</t>
        </is>
      </c>
      <c r="B8" s="39" t="inlineStr">
        <is>
          <t>p.1</t>
        </is>
      </c>
      <c r="C8" s="39" t="inlineStr">
        <is>
          <t>Signed amendment effective 2026-08-01; both parties signed 2026-07-20. Monthly rent +$350; all other terms unchanged.</t>
        </is>
      </c>
      <c r="D8" s="39" t="inlineStr">
        <is>
          <t>unit_001_monthly_rent (in-place amended), source-conflict note</t>
        </is>
      </c>
    </row>
    <row r="9" ht="60" customHeight="1">
      <c r="A9" s="39" t="inlineStr">
        <is>
          <t>operating-statement.pdf</t>
        </is>
      </c>
      <c r="B9" s="39" t="inlineStr">
        <is>
          <t>p.1 table</t>
        </is>
      </c>
      <c r="C9" s="39" t="inlineStr">
        <is>
          <t>T12 2025-09-01 → 2026-08-31: Collections $876,960; Taxes $102,312; Insurance $34,104; Other opex $136,416; Roof capital $0; Reported NOI $604,128.</t>
        </is>
      </c>
      <c r="D9" s="39" t="inlineStr">
        <is>
          <t>reported_t12_noi, uw_tax, uw_insurance, uw_operating_expenses, risk_capital_in_opex</t>
        </is>
      </c>
    </row>
    <row r="10" ht="60" customHeight="1">
      <c r="A10" s="39" t="inlineStr">
        <is>
          <t>underwriting-instructions.pdf</t>
        </is>
      </c>
      <c r="B10" s="39" t="inlineStr">
        <is>
          <t>p.1</t>
        </is>
      </c>
      <c r="C10" s="39" t="inlineStr">
        <is>
          <t>UW rules: GPR = all-suite scheduled rent × 12 pre-amendment; econ loss 5%; other income $350/unit; mgmt 3% of EGI; reserve $300/unit; cap 5.75%; LTV 65%; DSCR 1.25; DY 9%; amort 30 yr monthly; note 6.25%; floor 6.00%; size on greater rate; orig 1%; closing $45,000; payoff $4,200,000.</t>
        </is>
      </c>
      <c r="D10" s="39" t="inlineStr">
        <is>
          <t>cap_rate, sizing_rate, ltv_limit, dscr_limit, debt_yield_limit, uw_egi (rules), maximum_loan, net_cash_out, risk_sizing_floor_binding</t>
        </is>
      </c>
    </row>
    <row r="11" ht="60" customHeight="1">
      <c r="A11" s="39" t="inlineStr">
        <is>
          <t>insurance.pdf</t>
        </is>
      </c>
      <c r="B11" s="39" t="inlineStr">
        <is>
          <t>p.1</t>
        </is>
      </c>
      <c r="C11" s="39" t="inlineStr">
        <is>
          <t>GL policy aggregate limit $2,000,000. Effective 2026-07-01 → 2026-06-30-2027. Distinct from operating insurance expense.</t>
        </is>
      </c>
      <c r="D11" s="39" t="inlineStr">
        <is>
          <t>insurance_policy_limit, risk_missing_insurance</t>
        </is>
      </c>
    </row>
    <row r="12" ht="60" customHeight="1">
      <c r="A12" s="39" t="inlineStr">
        <is>
          <t>diligence-status.pdf</t>
        </is>
      </c>
      <c r="B12" s="39" t="inlineStr">
        <is>
          <t>p.1</t>
        </is>
      </c>
      <c r="C12" s="39" t="inlineStr">
        <is>
          <t>Legal / environmental / PCA / title reviews NOT completed — routine pending, no defect asserted. Match documents to this property; historical NOI, UW NOI, NCF have different definitions.</t>
        </is>
      </c>
      <c r="D12" s="39" t="inlineStr">
        <is>
          <t>diligence status, definitional labeling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8" customWidth="1" min="3" max="3"/>
    <col width="45" customWidth="1" min="4" max="4"/>
    <col width="22" customWidth="1" min="5" max="5"/>
    <col width="55" customWidth="1" min="6" max="6"/>
  </cols>
  <sheetData>
    <row r="1">
      <c r="A1" s="21" t="inlineStr">
        <is>
          <t>NAMED FIELD DELIVERABLES — value + unit + evidence</t>
        </is>
      </c>
    </row>
    <row r="3">
      <c r="A3" s="23" t="inlineStr">
        <is>
          <t>Field id</t>
        </is>
      </c>
      <c r="B3" s="23" t="inlineStr">
        <is>
          <t>Value</t>
        </is>
      </c>
      <c r="C3" s="23" t="inlineStr">
        <is>
          <t>Unit</t>
        </is>
      </c>
      <c r="D3" s="23" t="inlineStr">
        <is>
          <t>Evidence (filename)</t>
        </is>
      </c>
      <c r="E3" s="23" t="inlineStr">
        <is>
          <t>Page/Cell</t>
        </is>
      </c>
      <c r="F3" s="23" t="inlineStr">
        <is>
          <t>Calculation / note</t>
        </is>
      </c>
    </row>
    <row r="4" ht="32" customHeight="1">
      <c r="A4" s="40" t="inlineStr">
        <is>
          <t>total_units</t>
        </is>
      </c>
      <c r="B4" s="39" t="n">
        <v>48</v>
      </c>
      <c r="C4" s="39" t="inlineStr">
        <is>
          <t>units</t>
        </is>
      </c>
      <c r="D4" s="39" t="inlineStr">
        <is>
          <t>rent-roll-certified.xlsx</t>
        </is>
      </c>
      <c r="E4" s="39" t="inlineStr">
        <is>
          <t>Sheet 'Rent Roll' rows 5–52</t>
        </is>
      </c>
      <c r="F4" s="39" t="inlineStr">
        <is>
          <t>Count of suites 001–048.</t>
        </is>
      </c>
    </row>
    <row r="5" ht="32" customHeight="1">
      <c r="A5" s="40" t="inlineStr">
        <is>
          <t>occupied_units</t>
        </is>
      </c>
      <c r="B5" s="39" t="n">
        <v>44</v>
      </c>
      <c r="C5" s="39" t="inlineStr">
        <is>
          <t>units</t>
        </is>
      </c>
      <c r="D5" s="39" t="inlineStr">
        <is>
          <t>rent-roll-certified.xlsx</t>
        </is>
      </c>
      <c r="E5" s="39" t="inlineStr">
        <is>
          <t>col D (Possession) rows 5–48</t>
        </is>
      </c>
      <c r="F5" s="39" t="inlineStr">
        <is>
          <t>COUNTIF possession="active". Pending (045) and vacant (046–048) excluded.</t>
        </is>
      </c>
    </row>
    <row r="6" ht="32" customHeight="1">
      <c r="A6" s="40" t="inlineStr">
        <is>
          <t>pending_units</t>
        </is>
      </c>
      <c r="B6" s="39" t="n">
        <v>1</v>
      </c>
      <c r="C6" s="39" t="inlineStr">
        <is>
          <t>units</t>
        </is>
      </c>
      <c r="D6" s="39" t="inlineStr">
        <is>
          <t>rent-roll-certified.xlsx</t>
        </is>
      </c>
      <c r="E6" s="39" t="inlineStr">
        <is>
          <t>row 49 (suite 045)</t>
        </is>
      </c>
      <c r="F6" s="39" t="inlineStr">
        <is>
          <t>Suite 045 — pending, not in possession.</t>
        </is>
      </c>
    </row>
    <row r="7" ht="32" customHeight="1">
      <c r="A7" s="40" t="inlineStr">
        <is>
          <t>total_area_sf</t>
        </is>
      </c>
      <c r="B7" s="39" t="n">
        <v>40800</v>
      </c>
      <c r="C7" s="39" t="inlineStr">
        <is>
          <t>SF</t>
        </is>
      </c>
      <c r="D7" s="39" t="inlineStr">
        <is>
          <t>rent-roll-certified.xlsx</t>
        </is>
      </c>
      <c r="E7" s="39" t="inlineStr">
        <is>
          <t>col C rows 5–52</t>
        </is>
      </c>
      <c r="F7" s="39" t="inlineStr">
        <is>
          <t>16×700 + 16×820 + 16×1030 = 11,200 + 13,120 + 16,480 = 40,800.</t>
        </is>
      </c>
    </row>
    <row r="8" ht="32" customHeight="1">
      <c r="A8" s="40" t="inlineStr">
        <is>
          <t>occupied_area_sf</t>
        </is>
      </c>
      <c r="B8" s="39" t="n">
        <v>36680</v>
      </c>
      <c r="C8" s="39" t="inlineStr">
        <is>
          <t>SF</t>
        </is>
      </c>
      <c r="D8" s="39" t="inlineStr">
        <is>
          <t>rent-roll-certified.xlsx</t>
        </is>
      </c>
      <c r="E8" s="39" t="inlineStr">
        <is>
          <t>col C where D='active'</t>
        </is>
      </c>
      <c r="F8" s="39" t="inlineStr">
        <is>
          <t>16 Studios + 16 1BR + 12 2BR = 11,200 + 13,120 + 12,360 = 36,680.</t>
        </is>
      </c>
    </row>
    <row r="9" ht="32" customHeight="1">
      <c r="A9" s="40" t="inlineStr">
        <is>
          <t>unit_occupancy</t>
        </is>
      </c>
      <c r="B9" s="41" t="n">
        <v>0.9167</v>
      </c>
      <c r="C9" s="39" t="inlineStr">
        <is>
          <t>decimal</t>
        </is>
      </c>
      <c r="D9" s="39" t="inlineStr">
        <is>
          <t>rent-roll-certified.xlsx</t>
        </is>
      </c>
      <c r="E9" s="39" t="inlineStr">
        <is>
          <t>derived</t>
        </is>
      </c>
      <c r="F9" s="39" t="inlineStr">
        <is>
          <t>44 / 48 = 0.9167. Physical, possession-based — excludes pending.</t>
        </is>
      </c>
    </row>
    <row r="10" ht="32" customHeight="1">
      <c r="A10" s="40" t="inlineStr">
        <is>
          <t>area_occupancy</t>
        </is>
      </c>
      <c r="B10" s="41" t="n">
        <v>0.899</v>
      </c>
      <c r="C10" s="39" t="inlineStr">
        <is>
          <t>decimal</t>
        </is>
      </c>
      <c r="D10" s="39" t="inlineStr">
        <is>
          <t>rent-roll-certified.xlsx</t>
        </is>
      </c>
      <c r="E10" s="39" t="inlineStr">
        <is>
          <t>derived</t>
        </is>
      </c>
      <c r="F10" s="39" t="inlineStr">
        <is>
          <t>36,680 / 40,800 = 0.8990.</t>
        </is>
      </c>
    </row>
    <row r="11" ht="32" customHeight="1">
      <c r="A11" s="40" t="inlineStr">
        <is>
          <t>annual_in_place_rent</t>
        </is>
      </c>
      <c r="B11" s="42" t="n">
        <v>974400</v>
      </c>
      <c r="C11" s="39" t="inlineStr">
        <is>
          <t>USD</t>
        </is>
      </c>
      <c r="D11" s="39" t="inlineStr">
        <is>
          <t>rent-roll-certified.xlsx</t>
        </is>
      </c>
      <c r="E11" s="39" t="inlineStr">
        <is>
          <t>col E × 12</t>
        </is>
      </c>
      <c r="F11" s="39" t="inlineStr">
        <is>
          <t>SUM(all suite monthly rents) × 12 = 81,200 × 12.</t>
        </is>
      </c>
    </row>
    <row r="12" ht="32" customHeight="1">
      <c r="A12" s="40" t="inlineStr">
        <is>
          <t>unit_001_monthly_rent</t>
        </is>
      </c>
      <c r="B12" s="42" t="n">
        <v>1850</v>
      </c>
      <c r="C12" s="39" t="inlineStr">
        <is>
          <t>USD/mo</t>
        </is>
      </c>
      <c r="D12" s="39" t="inlineStr">
        <is>
          <t>lease-001.pdf + lease-correspondence.pdf</t>
        </is>
      </c>
      <c r="E12" s="39" t="inlineStr">
        <is>
          <t>lease-001 p.1; correspondence p.1</t>
        </is>
      </c>
      <c r="F12" s="39" t="inlineStr">
        <is>
          <t>Base $1,500 + signed amendment +$350 (effective 2026-08-01) = $1,850 in-place. Certified roll ($1,500) is pre-amendment — known resolvable source conflict.</t>
        </is>
      </c>
    </row>
    <row r="13" ht="32" customHeight="1">
      <c r="A13" s="40" t="inlineStr">
        <is>
          <t>gross_potential_rent</t>
        </is>
      </c>
      <c r="B13" s="42" t="n">
        <v>974400</v>
      </c>
      <c r="C13" s="39" t="inlineStr">
        <is>
          <t>USD</t>
        </is>
      </c>
      <c r="D13" s="39" t="inlineStr">
        <is>
          <t>underwriting-instructions.pdf + rent-roll-certified.xlsx</t>
        </is>
      </c>
      <c r="E13" s="39" t="inlineStr">
        <is>
          <t>instructions p.1; roll rows 5–52</t>
        </is>
      </c>
      <c r="F13" s="39" t="inlineStr">
        <is>
          <t>Per instructions: all-suite scheduled rent × 12 BEFORE Suite 001 amendment.</t>
        </is>
      </c>
    </row>
    <row r="14" ht="32" customHeight="1">
      <c r="A14" s="40" t="inlineStr">
        <is>
          <t>uw_egi</t>
        </is>
      </c>
      <c r="B14" s="43" t="n">
        <v>942480</v>
      </c>
      <c r="C14" s="39" t="inlineStr">
        <is>
          <t>USD</t>
        </is>
      </c>
      <c r="D14" s="39" t="inlineStr">
        <is>
          <t>underwriting-instructions.pdf</t>
        </is>
      </c>
      <c r="E14" s="39" t="inlineStr">
        <is>
          <t>computed Summary!B28</t>
        </is>
      </c>
      <c r="F14" s="39" t="inlineStr">
        <is>
          <t>GPR × (1 − 5% econ loss) + $350 × 48 = 925,680 + 16,800 = 942,480.</t>
        </is>
      </c>
    </row>
    <row r="15" ht="32" customHeight="1">
      <c r="A15" s="40" t="inlineStr">
        <is>
          <t>uw_tax</t>
        </is>
      </c>
      <c r="B15" s="42" t="n">
        <v>102312</v>
      </c>
      <c r="C15" s="39" t="inlineStr">
        <is>
          <t>USD</t>
        </is>
      </c>
      <c r="D15" s="39" t="inlineStr">
        <is>
          <t>operating-statement.pdf + underwriting-instructions.pdf</t>
        </is>
      </c>
      <c r="E15" s="39" t="inlineStr">
        <is>
          <t>op stmt table row 'Real estate tax'</t>
        </is>
      </c>
      <c r="F15" s="39" t="inlineStr">
        <is>
          <t>Prescribed.</t>
        </is>
      </c>
    </row>
    <row r="16" ht="32" customHeight="1">
      <c r="A16" s="40" t="inlineStr">
        <is>
          <t>uw_insurance</t>
        </is>
      </c>
      <c r="B16" s="42" t="n">
        <v>34104</v>
      </c>
      <c r="C16" s="39" t="inlineStr">
        <is>
          <t>USD</t>
        </is>
      </c>
      <c r="D16" s="39" t="inlineStr">
        <is>
          <t>operating-statement.pdf + underwriting-instructions.pdf</t>
        </is>
      </c>
      <c r="E16" s="39" t="inlineStr">
        <is>
          <t>op stmt table row 'Insurance'</t>
        </is>
      </c>
      <c r="F16" s="39" t="inlineStr">
        <is>
          <t>Prescribed. Distinct from GL policy limit $2M.</t>
        </is>
      </c>
    </row>
    <row r="17" ht="32" customHeight="1">
      <c r="A17" s="40" t="inlineStr">
        <is>
          <t>uw_operating_expenses</t>
        </is>
      </c>
      <c r="B17" s="43" t="n">
        <v>301106.4</v>
      </c>
      <c r="C17" s="39" t="inlineStr">
        <is>
          <t>USD</t>
        </is>
      </c>
      <c r="D17" s="39" t="inlineStr">
        <is>
          <t>underwriting-instructions.pdf</t>
        </is>
      </c>
      <c r="E17" s="39" t="inlineStr">
        <is>
          <t>Summary!B29</t>
        </is>
      </c>
      <c r="F17" s="39" t="inlineStr">
        <is>
          <t>Tax + Ins + Other + 3% × EGI = 102,312 + 34,104 + 136,416 + 28,274.40.</t>
        </is>
      </c>
    </row>
    <row r="18" ht="32" customHeight="1">
      <c r="A18" s="40" t="inlineStr">
        <is>
          <t>uw_noi</t>
        </is>
      </c>
      <c r="B18" s="43" t="n">
        <v>641373.6</v>
      </c>
      <c r="C18" s="39" t="inlineStr">
        <is>
          <t>USD</t>
        </is>
      </c>
      <c r="D18" s="39" t="inlineStr">
        <is>
          <t>computed</t>
        </is>
      </c>
      <c r="E18" s="39" t="inlineStr">
        <is>
          <t>Summary!B30</t>
        </is>
      </c>
      <c r="F18" s="39" t="inlineStr">
        <is>
          <t>EGI − Opex = 942,480 − 301,106.40 (before reserves).</t>
        </is>
      </c>
    </row>
    <row r="19" ht="32" customHeight="1">
      <c r="A19" s="40" t="inlineStr">
        <is>
          <t>uw_ncf</t>
        </is>
      </c>
      <c r="B19" s="43" t="n">
        <v>626973.6</v>
      </c>
      <c r="C19" s="39" t="inlineStr">
        <is>
          <t>USD</t>
        </is>
      </c>
      <c r="D19" s="39" t="inlineStr">
        <is>
          <t>computed</t>
        </is>
      </c>
      <c r="E19" s="39" t="inlineStr">
        <is>
          <t>Summary!B32</t>
        </is>
      </c>
      <c r="F19" s="39" t="inlineStr">
        <is>
          <t>NOI − $300 × 48 reserves = 641,373.60 − 14,400.</t>
        </is>
      </c>
    </row>
    <row r="20" ht="32" customHeight="1">
      <c r="A20" s="40" t="inlineStr">
        <is>
          <t>sizing_rate</t>
        </is>
      </c>
      <c r="B20" s="41" t="n">
        <v>0.0625</v>
      </c>
      <c r="C20" s="39" t="inlineStr">
        <is>
          <t>decimal</t>
        </is>
      </c>
      <c r="D20" s="39" t="inlineStr">
        <is>
          <t>underwriting-instructions.pdf</t>
        </is>
      </c>
      <c r="E20" s="39" t="inlineStr">
        <is>
          <t>p.1</t>
        </is>
      </c>
      <c r="F20" s="39" t="inlineStr">
        <is>
          <t>Greater of note 6.25% or floor 6.00% = 6.25%. Note binds; floor not binding.</t>
        </is>
      </c>
    </row>
    <row r="21" ht="32" customHeight="1">
      <c r="A21" s="40" t="inlineStr">
        <is>
          <t>cap_rate</t>
        </is>
      </c>
      <c r="B21" s="41" t="n">
        <v>0.0575</v>
      </c>
      <c r="C21" s="39" t="inlineStr">
        <is>
          <t>decimal</t>
        </is>
      </c>
      <c r="D21" s="39" t="inlineStr">
        <is>
          <t>underwriting-instructions.pdf</t>
        </is>
      </c>
      <c r="E21" s="39" t="inlineStr">
        <is>
          <t>p.1</t>
        </is>
      </c>
      <c r="F21" s="39" t="inlineStr">
        <is>
          <t>Prescribed 5.75%.</t>
        </is>
      </c>
    </row>
    <row r="22" ht="32" customHeight="1">
      <c r="A22" s="40" t="inlineStr">
        <is>
          <t>capitalization_value</t>
        </is>
      </c>
      <c r="B22" s="42" t="n">
        <v>11154323</v>
      </c>
      <c r="C22" s="39" t="inlineStr">
        <is>
          <t>USD</t>
        </is>
      </c>
      <c r="D22" s="39" t="inlineStr">
        <is>
          <t>computed</t>
        </is>
      </c>
      <c r="E22" s="39" t="inlineStr">
        <is>
          <t>Summary!B33</t>
        </is>
      </c>
      <c r="F22" s="39" t="inlineStr">
        <is>
          <t>NOI / cap = 641,373.60 / 0.0575.</t>
        </is>
      </c>
    </row>
    <row r="23" ht="32" customHeight="1">
      <c r="A23" s="40" t="inlineStr">
        <is>
          <t>ltv_limit</t>
        </is>
      </c>
      <c r="B23" s="41" t="n">
        <v>0.65</v>
      </c>
      <c r="C23" s="39" t="inlineStr">
        <is>
          <t>decimal</t>
        </is>
      </c>
      <c r="D23" s="39" t="inlineStr">
        <is>
          <t>underwriting-instructions.pdf</t>
        </is>
      </c>
      <c r="E23" s="39" t="inlineStr">
        <is>
          <t>p.1</t>
        </is>
      </c>
      <c r="F23" s="39" t="inlineStr">
        <is>
          <t>Prescribed max 65%.</t>
        </is>
      </c>
    </row>
    <row r="24" ht="32" customHeight="1">
      <c r="A24" s="40" t="inlineStr">
        <is>
          <t>dscr_limit</t>
        </is>
      </c>
      <c r="B24" s="44" t="n">
        <v>1.25</v>
      </c>
      <c r="C24" s="39" t="inlineStr">
        <is>
          <t>ratio</t>
        </is>
      </c>
      <c r="D24" s="39" t="inlineStr">
        <is>
          <t>underwriting-instructions.pdf</t>
        </is>
      </c>
      <c r="E24" s="39" t="inlineStr">
        <is>
          <t>p.1</t>
        </is>
      </c>
      <c r="F24" s="39" t="inlineStr">
        <is>
          <t>Prescribed min 1.25 on NCF.</t>
        </is>
      </c>
    </row>
    <row r="25" ht="32" customHeight="1">
      <c r="A25" s="40" t="inlineStr">
        <is>
          <t>debt_yield_limit</t>
        </is>
      </c>
      <c r="B25" s="41" t="n">
        <v>0.09</v>
      </c>
      <c r="C25" s="39" t="inlineStr">
        <is>
          <t>decimal</t>
        </is>
      </c>
      <c r="D25" s="39" t="inlineStr">
        <is>
          <t>underwriting-instructions.pdf</t>
        </is>
      </c>
      <c r="E25" s="39" t="inlineStr">
        <is>
          <t>p.1</t>
        </is>
      </c>
      <c r="F25" s="39" t="inlineStr">
        <is>
          <t>Prescribed min 9% on NCF.</t>
        </is>
      </c>
    </row>
    <row r="26" ht="32" customHeight="1">
      <c r="A26" s="40" t="inlineStr">
        <is>
          <t>maximum_loan</t>
        </is>
      </c>
      <c r="B26" s="42">
        <f>Summary!B42</f>
        <v/>
      </c>
      <c r="C26" s="39" t="inlineStr">
        <is>
          <t>USD</t>
        </is>
      </c>
      <c r="D26" s="39" t="inlineStr">
        <is>
          <t>computed</t>
        </is>
      </c>
      <c r="E26" s="39" t="inlineStr">
        <is>
          <t>Summary!B42</t>
        </is>
      </c>
      <c r="F26" s="39" t="inlineStr">
        <is>
          <t>MIN(LTV, DSCR, DY) — see workbook for live value.</t>
        </is>
      </c>
    </row>
    <row r="27" ht="32" customHeight="1">
      <c r="A27" s="40" t="inlineStr">
        <is>
          <t>net_cash_out</t>
        </is>
      </c>
      <c r="B27" s="45">
        <f>Summary!B51</f>
        <v/>
      </c>
      <c r="C27" s="39" t="inlineStr">
        <is>
          <t>USD</t>
        </is>
      </c>
      <c r="D27" s="39" t="inlineStr">
        <is>
          <t>computed</t>
        </is>
      </c>
      <c r="E27" s="39" t="inlineStr">
        <is>
          <t>Summary!B51</t>
        </is>
      </c>
      <c r="F27" s="39" t="inlineStr">
        <is>
          <t>Max loan − ($4.2M payoff + 1% orig + $45K closing). Negative = equity required.</t>
        </is>
      </c>
    </row>
    <row r="28" ht="32" customHeight="1">
      <c r="A28" s="40" t="inlineStr">
        <is>
          <t>insurance_policy_limit</t>
        </is>
      </c>
      <c r="B28" s="42" t="n">
        <v>2000000</v>
      </c>
      <c r="C28" s="39" t="inlineStr">
        <is>
          <t>USD</t>
        </is>
      </c>
      <c r="D28" s="39" t="inlineStr">
        <is>
          <t>insurance.pdf</t>
        </is>
      </c>
      <c r="E28" s="39" t="inlineStr">
        <is>
          <t>p.1</t>
        </is>
      </c>
      <c r="F28" s="39" t="inlineStr">
        <is>
          <t>GL aggregate limit; NOT the annual insurance expense.</t>
        </is>
      </c>
    </row>
    <row r="29" ht="32" customHeight="1">
      <c r="A29" s="40" t="inlineStr">
        <is>
          <t>selected_roll_date</t>
        </is>
      </c>
      <c r="B29" s="39" t="inlineStr">
        <is>
          <t>2026-08-31</t>
        </is>
      </c>
      <c r="C29" s="39" t="inlineStr">
        <is>
          <t>date</t>
        </is>
      </c>
      <c r="D29" s="39" t="inlineStr">
        <is>
          <t>rent-roll-certified.xlsx</t>
        </is>
      </c>
      <c r="E29" s="39" t="inlineStr">
        <is>
          <t>A2</t>
        </is>
      </c>
      <c r="F29" s="39" t="inlineStr">
        <is>
          <t>Controlling roll. Archive dated 2026-06-30 is stale.</t>
        </is>
      </c>
    </row>
    <row r="30" ht="32" customHeight="1">
      <c r="A30" s="40" t="inlineStr">
        <is>
          <t>reported_t12_noi</t>
        </is>
      </c>
      <c r="B30" s="42" t="n">
        <v>604128</v>
      </c>
      <c r="C30" s="39" t="inlineStr">
        <is>
          <t>USD</t>
        </is>
      </c>
      <c r="D30" s="39" t="inlineStr">
        <is>
          <t>operating-statement.pdf</t>
        </is>
      </c>
      <c r="E30" s="39" t="inlineStr">
        <is>
          <t>p.1 table row 'Reported NOI'</t>
        </is>
      </c>
      <c r="F30" s="39" t="inlineStr">
        <is>
          <t>Historical, cash basis, before reserves. Definition differs from UW NCF.</t>
        </is>
      </c>
    </row>
    <row r="31" ht="32" customHeight="1">
      <c r="A31" s="40" t="inlineStr">
        <is>
          <t>type_a_units</t>
        </is>
      </c>
      <c r="B31" s="39" t="n">
        <v>16</v>
      </c>
      <c r="C31" s="39" t="inlineStr">
        <is>
          <t>units</t>
        </is>
      </c>
      <c r="D31" s="39" t="inlineStr">
        <is>
          <t>rent-roll-certified.xlsx + manager-cover.pdf</t>
        </is>
      </c>
      <c r="E31" s="39" t="inlineStr">
        <is>
          <t>col B (Studio); manager mapping</t>
        </is>
      </c>
      <c r="F31" s="39" t="inlineStr">
        <is>
          <t>A=Studio per manager. 16 Studios in roll.</t>
        </is>
      </c>
    </row>
    <row r="32" ht="32" customHeight="1">
      <c r="A32" s="40" t="inlineStr">
        <is>
          <t>type_a_occupied</t>
        </is>
      </c>
      <c r="B32" s="39" t="n">
        <v>16</v>
      </c>
      <c r="C32" s="39" t="inlineStr">
        <is>
          <t>units</t>
        </is>
      </c>
      <c r="D32" s="39" t="inlineStr">
        <is>
          <t>rent-roll-certified.xlsx</t>
        </is>
      </c>
      <c r="E32" s="39" t="inlineStr">
        <is>
          <t>col B=Studio, D=active</t>
        </is>
      </c>
      <c r="F32" s="39" t="inlineStr">
        <is>
          <t>All 16 Studios active.</t>
        </is>
      </c>
    </row>
    <row r="33" ht="32" customHeight="1">
      <c r="A33" s="40" t="inlineStr">
        <is>
          <t>type_b_units</t>
        </is>
      </c>
      <c r="B33" s="39" t="n">
        <v>16</v>
      </c>
      <c r="C33" s="39" t="inlineStr">
        <is>
          <t>units</t>
        </is>
      </c>
      <c r="D33" s="39" t="inlineStr">
        <is>
          <t>rent-roll-certified.xlsx + manager-cover.pdf</t>
        </is>
      </c>
      <c r="E33" s="39" t="inlineStr">
        <is>
          <t>col B (1BR); manager mapping</t>
        </is>
      </c>
      <c r="F33" s="39" t="inlineStr">
        <is>
          <t>B=1BR. 16 units.</t>
        </is>
      </c>
    </row>
    <row r="34" ht="32" customHeight="1">
      <c r="A34" s="40" t="inlineStr">
        <is>
          <t>type_b_occupied</t>
        </is>
      </c>
      <c r="B34" s="39" t="n">
        <v>16</v>
      </c>
      <c r="C34" s="39" t="inlineStr">
        <is>
          <t>units</t>
        </is>
      </c>
      <c r="D34" s="39" t="inlineStr">
        <is>
          <t>rent-roll-certified.xlsx</t>
        </is>
      </c>
      <c r="E34" s="39" t="inlineStr">
        <is>
          <t>col B=1BR, D=active</t>
        </is>
      </c>
      <c r="F34" s="39" t="inlineStr">
        <is>
          <t>All 16 1BRs active.</t>
        </is>
      </c>
    </row>
    <row r="35" ht="32" customHeight="1">
      <c r="A35" s="40" t="inlineStr">
        <is>
          <t>type_c_units</t>
        </is>
      </c>
      <c r="B35" s="39" t="n">
        <v>16</v>
      </c>
      <c r="C35" s="39" t="inlineStr">
        <is>
          <t>units</t>
        </is>
      </c>
      <c r="D35" s="39" t="inlineStr">
        <is>
          <t>rent-roll-certified.xlsx + manager-cover.pdf</t>
        </is>
      </c>
      <c r="E35" s="39" t="inlineStr">
        <is>
          <t>col B (2BR); manager mapping</t>
        </is>
      </c>
      <c r="F35" s="39" t="inlineStr">
        <is>
          <t>C=2BR. 16 units.</t>
        </is>
      </c>
    </row>
    <row r="36" ht="32" customHeight="1">
      <c r="A36" s="40" t="inlineStr">
        <is>
          <t>type_c_occupied</t>
        </is>
      </c>
      <c r="B36" s="39" t="n">
        <v>12</v>
      </c>
      <c r="C36" s="39" t="inlineStr">
        <is>
          <t>units</t>
        </is>
      </c>
      <c r="D36" s="39" t="inlineStr">
        <is>
          <t>rent-roll-certified.xlsx</t>
        </is>
      </c>
      <c r="E36" s="39" t="inlineStr">
        <is>
          <t>col B=2BR, D=active</t>
        </is>
      </c>
      <c r="F36" s="39" t="inlineStr">
        <is>
          <t>12 of 16 2BRs active (045 pending, 048 vacant).</t>
        </is>
      </c>
    </row>
    <row r="37" ht="32" customHeight="1">
      <c r="A37" s="40" t="inlineStr">
        <is>
          <t>risk_pending_in_occupancy</t>
        </is>
      </c>
      <c r="B37" s="39" t="inlineStr">
        <is>
          <t>present</t>
        </is>
      </c>
      <c r="C37" s="39" t="inlineStr">
        <is>
          <t>flag</t>
        </is>
      </c>
      <c r="D37" s="39" t="inlineStr">
        <is>
          <t>manager-cover.pdf</t>
        </is>
      </c>
      <c r="E37" s="39" t="inlineStr">
        <is>
          <t>p.1</t>
        </is>
      </c>
      <c r="F37" s="39" t="inlineStr">
        <is>
          <t>Manager headline 'leased 45 of 48' counts 1 pending as leased. Cover note explicitly states pending occupants have not taken possession.</t>
        </is>
      </c>
    </row>
    <row r="38" ht="32" customHeight="1">
      <c r="A38" s="40" t="inlineStr">
        <is>
          <t>risk_near_term_rollover</t>
        </is>
      </c>
      <c r="B38" s="39" t="inlineStr">
        <is>
          <t>absent</t>
        </is>
      </c>
      <c r="C38" s="39" t="inlineStr">
        <is>
          <t>flag</t>
        </is>
      </c>
      <c r="D38" s="39" t="inlineStr">
        <is>
          <t>rent-roll-certified.xlsx</t>
        </is>
      </c>
      <c r="E38" s="39" t="inlineStr">
        <is>
          <t>col F rows 5–52</t>
        </is>
      </c>
      <c r="F38" s="39" t="inlineStr">
        <is>
          <t>All lease expirations 2029-08-31 — none within 12 months of 2026-08-31.</t>
        </is>
      </c>
    </row>
    <row r="39" ht="32" customHeight="1">
      <c r="A39" s="40" t="inlineStr">
        <is>
          <t>risk_missing_insurance</t>
        </is>
      </c>
      <c r="B39" s="39" t="inlineStr">
        <is>
          <t>absent</t>
        </is>
      </c>
      <c r="C39" s="39" t="inlineStr">
        <is>
          <t>flag</t>
        </is>
      </c>
      <c r="D39" s="39" t="inlineStr">
        <is>
          <t>insurance.pdf</t>
        </is>
      </c>
      <c r="E39" s="39" t="inlineStr">
        <is>
          <t>p.1</t>
        </is>
      </c>
      <c r="F39" s="39" t="inlineStr">
        <is>
          <t>GL policy in force through 2027-06-30; expense captured in T12.</t>
        </is>
      </c>
    </row>
    <row r="40" ht="32" customHeight="1">
      <c r="A40" s="40" t="inlineStr">
        <is>
          <t>risk_capital_in_opex</t>
        </is>
      </c>
      <c r="B40" s="39" t="inlineStr">
        <is>
          <t>absent</t>
        </is>
      </c>
      <c r="C40" s="39" t="inlineStr">
        <is>
          <t>flag</t>
        </is>
      </c>
      <c r="D40" s="39" t="inlineStr">
        <is>
          <t>operating-statement.pdf</t>
        </is>
      </c>
      <c r="E40" s="39" t="inlineStr">
        <is>
          <t>p.1 row 'Roof replacement booked in repairs'</t>
        </is>
      </c>
      <c r="F40" s="39" t="inlineStr">
        <is>
          <t>Roof shown as $0 in repairs; explicitly labeled capital. Historical ledger classification is correct.</t>
        </is>
      </c>
    </row>
    <row r="41" ht="32" customHeight="1">
      <c r="A41" s="40" t="inlineStr">
        <is>
          <t>risk_unsigned_rent_change</t>
        </is>
      </c>
      <c r="B41" s="39" t="inlineStr">
        <is>
          <t>absent</t>
        </is>
      </c>
      <c r="C41" s="39" t="inlineStr">
        <is>
          <t>flag</t>
        </is>
      </c>
      <c r="D41" s="39" t="inlineStr">
        <is>
          <t>lease-001.pdf + lease-correspondence.pdf</t>
        </is>
      </c>
      <c r="E41" s="39" t="inlineStr">
        <is>
          <t>packet review</t>
        </is>
      </c>
      <c r="F41" s="39" t="inlineStr">
        <is>
          <t>The only rent change in the packet is a SIGNED amendment (both parties executed 2026-07-20). No unsigned proposal is present.</t>
        </is>
      </c>
    </row>
    <row r="42" ht="32" customHeight="1">
      <c r="A42" s="40" t="inlineStr">
        <is>
          <t>risk_temporary_free_rent</t>
        </is>
      </c>
      <c r="B42" s="39" t="inlineStr">
        <is>
          <t>absent</t>
        </is>
      </c>
      <c r="C42" s="39" t="inlineStr">
        <is>
          <t>flag</t>
        </is>
      </c>
      <c r="D42" s="39" t="inlineStr">
        <is>
          <t>lease-001.pdf</t>
        </is>
      </c>
      <c r="E42" s="39" t="inlineStr">
        <is>
          <t>p.1</t>
        </is>
      </c>
      <c r="F42" s="39" t="inlineStr">
        <is>
          <t>'No free-rent concession applies as of the evaluation date.'</t>
        </is>
      </c>
    </row>
    <row r="43" ht="32" customHeight="1">
      <c r="A43" s="40" t="inlineStr">
        <is>
          <t>risk_sizing_floor_binding</t>
        </is>
      </c>
      <c r="B43" s="39" t="inlineStr">
        <is>
          <t>absent</t>
        </is>
      </c>
      <c r="C43" s="39" t="inlineStr">
        <is>
          <t>flag</t>
        </is>
      </c>
      <c r="D43" s="39" t="inlineStr">
        <is>
          <t>underwriting-instructions.pdf</t>
        </is>
      </c>
      <c r="E43" s="39" t="inlineStr">
        <is>
          <t>p.1</t>
        </is>
      </c>
      <c r="F43" s="39" t="inlineStr">
        <is>
          <t>Note 6.25% &gt; floor 6.00%. Note rate binds; floor is not the binding constraint.</t>
        </is>
      </c>
    </row>
    <row r="44" ht="32" customHeight="1">
      <c r="A44" s="40" t="inlineStr">
        <is>
          <t>risk_refinance_shortfall</t>
        </is>
      </c>
      <c r="B44" s="39">
        <f>IF(Summary!B51&lt;0,"present","absent")</f>
        <v/>
      </c>
      <c r="C44" s="39" t="inlineStr">
        <is>
          <t>flag</t>
        </is>
      </c>
      <c r="D44" s="39" t="inlineStr">
        <is>
          <t>computed</t>
        </is>
      </c>
      <c r="E44" s="39" t="inlineStr">
        <is>
          <t>Summary!B51</t>
        </is>
      </c>
      <c r="F44" s="39" t="inlineStr">
        <is>
          <t>Present if net_cash_out &lt; 0 (loan proceeds &lt; payoff + costs); see workbook.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5" customWidth="1" min="3" max="3"/>
  </cols>
  <sheetData>
    <row r="1">
      <c r="A1" s="21" t="inlineStr">
        <is>
          <t>INPUT &amp; OUTPUT CELL MAP (interoperability)</t>
        </is>
      </c>
    </row>
    <row r="3">
      <c r="A3" s="33" t="inlineStr">
        <is>
          <t>INPUTS</t>
        </is>
      </c>
    </row>
    <row r="4">
      <c r="A4" s="23" t="inlineStr">
        <is>
          <t>Field</t>
        </is>
      </c>
      <c r="B4" s="23" t="inlineStr">
        <is>
          <t>Sheet!Cell</t>
        </is>
      </c>
      <c r="C4" s="23" t="inlineStr">
        <is>
          <t>Notes</t>
        </is>
      </c>
    </row>
    <row r="5">
      <c r="A5" s="46" t="inlineStr">
        <is>
          <t>gross_potential_rent</t>
        </is>
      </c>
      <c r="B5" s="24" t="inlineStr">
        <is>
          <t>Summary!B6</t>
        </is>
      </c>
      <c r="C5" s="24" t="inlineStr">
        <is>
          <t>Annual, before econ loss</t>
        </is>
      </c>
    </row>
    <row r="6">
      <c r="A6" s="46" t="inlineStr">
        <is>
          <t>cap_rate</t>
        </is>
      </c>
      <c r="B6" s="24" t="inlineStr">
        <is>
          <t>Summary!B7</t>
        </is>
      </c>
      <c r="C6" s="24" t="inlineStr">
        <is>
          <t>Decimal</t>
        </is>
      </c>
    </row>
    <row r="7">
      <c r="A7" s="46" t="inlineStr">
        <is>
          <t>sizing_rate</t>
        </is>
      </c>
      <c r="B7" s="24" t="inlineStr">
        <is>
          <t>Summary!B8</t>
        </is>
      </c>
      <c r="C7" s="24" t="inlineStr">
        <is>
          <t>Greater of note or floor</t>
        </is>
      </c>
    </row>
    <row r="9">
      <c r="A9" s="33" t="inlineStr">
        <is>
          <t>OUTPUTS</t>
        </is>
      </c>
    </row>
    <row r="10">
      <c r="A10" s="23" t="inlineStr">
        <is>
          <t>Field</t>
        </is>
      </c>
      <c r="B10" s="23" t="inlineStr">
        <is>
          <t>Sheet!Cell</t>
        </is>
      </c>
      <c r="C10" s="23" t="inlineStr">
        <is>
          <t>Notes</t>
        </is>
      </c>
    </row>
    <row r="11">
      <c r="A11" s="46" t="inlineStr">
        <is>
          <t>uw_egi</t>
        </is>
      </c>
      <c r="B11" s="24" t="inlineStr">
        <is>
          <t>Summary!B28</t>
        </is>
      </c>
      <c r="C11" s="24" t="inlineStr">
        <is>
          <t>Live formula</t>
        </is>
      </c>
    </row>
    <row r="12">
      <c r="A12" s="46" t="inlineStr">
        <is>
          <t>uw_noi</t>
        </is>
      </c>
      <c r="B12" s="24" t="inlineStr">
        <is>
          <t>Summary!B30</t>
        </is>
      </c>
      <c r="C12" s="24" t="inlineStr">
        <is>
          <t>Live formula (before reserves)</t>
        </is>
      </c>
    </row>
    <row r="13">
      <c r="A13" s="46" t="inlineStr">
        <is>
          <t>uw_ncf</t>
        </is>
      </c>
      <c r="B13" s="24" t="inlineStr">
        <is>
          <t>Summary!B32</t>
        </is>
      </c>
      <c r="C13" s="24" t="inlineStr">
        <is>
          <t>Live formula (after reserves)</t>
        </is>
      </c>
    </row>
    <row r="14">
      <c r="A14" s="46" t="inlineStr">
        <is>
          <t>capitalization_value</t>
        </is>
      </c>
      <c r="B14" s="24" t="inlineStr">
        <is>
          <t>Summary!B33</t>
        </is>
      </c>
      <c r="C14" s="24" t="inlineStr">
        <is>
          <t>NOI / cap_rate</t>
        </is>
      </c>
    </row>
    <row r="15">
      <c r="A15" s="46" t="inlineStr">
        <is>
          <t>maximum_loan</t>
        </is>
      </c>
      <c r="B15" s="24" t="inlineStr">
        <is>
          <t>Summary!B42</t>
        </is>
      </c>
      <c r="C15" s="24" t="inlineStr">
        <is>
          <t>MIN(LTV, DSCR, DY)</t>
        </is>
      </c>
    </row>
    <row r="16">
      <c r="A16" s="46" t="inlineStr">
        <is>
          <t>net_cash_out</t>
        </is>
      </c>
      <c r="B16" s="24" t="inlineStr">
        <is>
          <t>Summary!B51</t>
        </is>
      </c>
      <c r="C16" s="24" t="inlineStr">
        <is>
          <t>Sources − Uses; negative = equity required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2026-09-07T12:48:02Z</dcterms:created>
  <dcterms:modified xmlns:dcterms="http://purl.org/dc/terms/" xmlns:xsi="http://www.w3.org/2001/XMLSchema-instance" xsi:type="dcterms:W3CDTF">2026-09-07T13:00:12Z</dcterms:modified>
</cp:coreProperties>
</file>