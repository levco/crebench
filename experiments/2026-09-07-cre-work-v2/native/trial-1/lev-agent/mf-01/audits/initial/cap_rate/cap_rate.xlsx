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ntRoll_Certified" sheetId="2" state="visible" r:id="rId4"/>
    <sheet name="UW_P&amp;L" sheetId="3" state="visible" r:id="rId5"/>
    <sheet name="Debt_Sizing" sheetId="4" state="visible" r:id="rId6"/>
    <sheet name="Sensitivity" sheetId="5" state="visible" r:id="rId7"/>
    <sheet name="Source_Register" sheetId="6" state="visible" r:id="rId8"/>
    <sheet name="Named_Fields" sheetId="7" state="visible" r:id="rId9"/>
    <sheet name="IO_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<sst xmlns="http://schemas.openxmlformats.org/spreadsheetml/2006/main" count="642" uniqueCount="374">
  <si>
    <t xml:space="preserve">MAGNOLIA TERRACE — UNDERWRITING SUMMARY</t>
  </si>
  <si>
    <t xml:space="preserve">Raleigh, NC | Multifamily | 48 units | As-of date 2026-08-31</t>
  </si>
  <si>
    <t xml:space="preserve">Original fictional CRE Bench evaluation material — no real transaction represented</t>
  </si>
  <si>
    <t xml:space="preserve">INPUT CELLS (yellow) — edit to flex model</t>
  </si>
  <si>
    <t xml:space="preserve">Gross potential rent (annual, before economic loss)</t>
  </si>
  <si>
    <t xml:space="preserve">gross_potential_rent</t>
  </si>
  <si>
    <t xml:space="preserve">Capitalization rate</t>
  </si>
  <si>
    <t xml:space="preserve">cap_rate</t>
  </si>
  <si>
    <t xml:space="preserve">Sizing rate (greater of note 6.25% or floor 6.00%)</t>
  </si>
  <si>
    <t xml:space="preserve">sizing_rate</t>
  </si>
  <si>
    <t xml:space="preserve">Note rate</t>
  </si>
  <si>
    <t xml:space="preserve">Rate floor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</si>
  <si>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</si>
  <si>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</si>
  <si>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</si>
  <si>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</si>
  <si>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</si>
  <si>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</si>
  <si>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</si>
  <si>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</si>
  <si>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</si>
  <si>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</si>
  <si>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</si>
  <si>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</si>
  <si>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</si>
  <si>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</si>
  <si>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</t>
  </si>
  <si>
    <t xml:space="preserve">OUTPUT CELLS (green) — derived from inputs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</si>
  <si>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</si>
  <si>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</si>
  <si>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</si>
  <si>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</si>
  <si>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</si>
  <si>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</si>
  <si>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</si>
  <si>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</si>
  <si>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</si>
  <si>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</si>
  <si>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</si>
  <si>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</si>
  <si>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</si>
  <si>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</si>
  <si>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</si>
  <si>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</si>
  <si>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</si>
  <si>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</si>
  <si>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</si>
  <si>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</si>
  <si>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</si>
  <si>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</si>
  <si>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</si>
  <si>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</si>
  <si>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</si>
  <si>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</si>
  <si>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in)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</si>
  <si>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</si>
  <si>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</si>
  <si>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</si>
  <si>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</si>
  <si>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</si>
  <si>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</si>
  <si>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MAGNOLIA TERRACE — CERTIFIED RENT ROLL</t>
  </si>
  <si>
    <t xml:space="preserve">Source: rent-roll-certified.xlsx | As of 2026-08-31 | Controls over 2026-06-30 archive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</si>
  <si>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</si>
  <si>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</si>
  <si>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</si>
  <si>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</si>
  <si>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</si>
  <si>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</si>
  <si>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</si>
  <si>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</si>
  <si>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</si>
  <si>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active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</si>
  <si>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</si>
  <si>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</si>
  <si>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</si>
  <si>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</si>
  <si>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</si>
  <si>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</si>
  <si>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</si>
  <si>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</si>
  <si>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</si>
  <si>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</si>
  <si>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</si>
  <si>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</si>
  <si>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</si>
  <si>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</si>
  <si>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</si>
  <si>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</si>
  <si>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</si>
  <si>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</si>
  <si>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</si>
  <si>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</si>
  <si>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</si>
  <si>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</si>
  <si>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</si>
  <si>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</si>
  <si>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</si>
  <si>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</si>
  <si>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</si>
  <si>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</si>
  <si>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</si>
  <si>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</si>
  <si>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</si>
  <si>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</si>
  <si>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</si>
  <si>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</si>
  <si>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</si>
  <si>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</si>
  <si>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</si>
  <si>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</si>
  <si>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</si>
  <si>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</si>
  <si>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</si>
  <si>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</si>
  <si>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</si>
  <si>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</si>
  <si>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</si>
  <si>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</si>
  <si>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</si>
  <si>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</si>
  <si>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means not yet in possession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</si>
  <si>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</si>
  <si>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</si>
  <si>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</si>
  <si>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</si>
  <si>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</si>
  <si>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</si>
  <si>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Active (occupied) units</t>
  </si>
  <si>
    <t xml:space="preserve">Pending units (not in possession)</t>
  </si>
  <si>
    <t xml:space="preserve">Vacant units</t>
  </si>
  <si>
    <t xml:space="preserve">Unit occupancy (active / total)</t>
  </si>
  <si>
    <t xml:space="preserve">Total area SF</t>
  </si>
  <si>
    <t xml:space="preserve">Occupied area SF</t>
  </si>
  <si>
    <t xml:space="preserve">Area occupancy (occupied SF / total SF)</t>
  </si>
  <si>
    <t xml:space="preserve">In-place monthly rent (all suites, certified)</t>
  </si>
  <si>
    <t xml:space="preserve">Annual in-place rent (× 12)</t>
  </si>
  <si>
    <t xml:space="preserve">UNIT TYPE MIX (A=Studio, B=1BR, C=2BR per manager mapping)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</si>
  <si>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</si>
  <si>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</si>
  <si>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</si>
  <si>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</si>
  <si>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</si>
  <si>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</si>
  <si>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</si>
  <si>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UNDERWRITING P&amp;L — HISTORICAL vs UNDERWRITTEN</t>
  </si>
  <si>
    <t xml:space="preserve">Line item</t>
  </si>
  <si>
    <t xml:space="preserve">Historical T12</t>
  </si>
  <si>
    <t xml:space="preserve">Underwritten</t>
  </si>
  <si>
    <t xml:space="preserve">Basis / note</t>
  </si>
  <si>
    <t xml:space="preserve">Rental &amp; ancillary collections (T12)</t>
  </si>
  <si>
    <t xml:space="preserve">operating-statement.pdf — 2025-09 through 2026-08</t>
  </si>
  <si>
    <t xml:space="preserve">Gross potential rent (all suites × 12, pre-amendment)</t>
  </si>
  <si>
    <t xml:space="preserve">underwriting-instructions.pdf: certified roll × 12, before Suite 001 amendment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</si>
  <si>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</si>
  <si>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</si>
  <si>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</si>
  <si>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underwriting-instructions.pdf; reimbursement already inside T12/roll — do not double-count</t>
  </si>
  <si>
    <t xml:space="preserve">Real estate taxes</t>
  </si>
  <si>
    <t xml:space="preserve">operating-statement.pdf; underwriting-instructions.pdf</t>
  </si>
  <si>
    <t xml:space="preserve">Insurance</t>
  </si>
  <si>
    <t xml:space="preserve">operating-statement.pdf (expense, distinct from policy limit $2M in insurance.pdf)</t>
  </si>
  <si>
    <t xml:space="preserve">Management fee (3% of EGI)</t>
  </si>
  <si>
    <t xml:space="preserve">Roof replacement (capital; NOT in opex)</t>
  </si>
  <si>
    <t xml:space="preserve">operating-statement.pdf: roof is capital, no recurring repair booked</t>
  </si>
  <si>
    <t xml:space="preserve">Reported NOI (as stated)</t>
  </si>
  <si>
    <t xml:space="preserve">Historical: reported. Underwritten: derived (NOI before reserves)</t>
  </si>
  <si>
    <t xml:space="preserve">Replacement reserves ($300/unit)</t>
  </si>
  <si>
    <t xml:space="preserve">Reconciliation notes</t>
  </si>
  <si>
    <t xml:space="preserve">• Historical T12 collections ($876,960) are actual cash — NOT an annualized rent-roll total (per operating-statement.pdf).</t>
  </si>
  <si>
    <t xml:space="preserve">• UW GPR uses certified all-suite scheduled rent × 12 = $974,400 (per underwriting-instructions.pdf), BEFORE Suite 001 amendment.</t>
  </si>
  <si>
    <t xml:space="preserve">• Historical NOI ($604,128) is calculated before reserves; UW NCF is after $14,400 reserves. Definitions differ — labeled explicitly.</t>
  </si>
  <si>
    <t xml:space="preserve">• Roof replacement is capital; operating statement confirms it was NOT booked to opex.</t>
  </si>
  <si>
    <t xml:space="preserve">DEBT SIZING &amp; SOURCES / USES</t>
  </si>
  <si>
    <t xml:space="preserve">Sizing rate (greater of note or floor)</t>
  </si>
  <si>
    <t xml:space="preserve">Floor</t>
  </si>
  <si>
    <t xml:space="preserve">Sizing rate binding vs floor?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</si>
  <si>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</si>
  <si>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</si>
  <si>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</si>
  <si>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</si>
  <si>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</si>
  <si>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 (NCF / 1.25 / constant)</t>
  </si>
  <si>
    <t xml:space="preserve">DY cap loan (NCF / 9%)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</si>
  <si>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</si>
  <si>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</si>
  <si>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</si>
  <si>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</si>
  <si>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</si>
  <si>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Net cash-out (Sources − Uses)</t>
  </si>
  <si>
    <t xml:space="preserve">Negative = additional equity required</t>
  </si>
  <si>
    <t xml:space="preserve">SENSITIVITY — Maximum loan and net cash-out</t>
  </si>
  <si>
    <t xml:space="preserve">Rows: cap rate | Columns: sizing rate. Live formulas — will recompute if you change assumptions.</t>
  </si>
  <si>
    <t xml:space="preserve">TABLE 1: Maximum Loan ($)</t>
  </si>
  <si>
    <t xml:space="preserve">Cap ↓ / Sizing rate →</t>
  </si>
  <si>
    <t xml:space="preserve">TABLE 2: Net Cash-Out ($) — (Max Loan) − (Existing Payoff + Orig 1% + Closing $45K)</t>
  </si>
  <si>
    <t xml:space="preserve">SOURCE REGISTER — evidence per fact</t>
  </si>
  <si>
    <t xml:space="preserve">Filename</t>
  </si>
  <si>
    <t xml:space="preserve">Page/Cell</t>
  </si>
  <si>
    <t xml:space="preserve">Fact / data captured</t>
  </si>
  <si>
    <t xml:space="preserve">Fields it supports</t>
  </si>
  <si>
    <t xml:space="preserve">manager-cover.pdf</t>
  </si>
  <si>
    <t xml:space="preserve">p.1</t>
  </si>
  <si>
    <t xml:space="preserve">Property = Magnolia Terrace, Raleigh NC, multifamily. Manager mapping: A/B/C = Studio/1BR/2BR. Headline occupancy 45 of 48 counts pending as leased.</t>
  </si>
  <si>
    <t xml:space="preserve">asset id, type_a/b/c mapping, risk_pending_in_occupancy</t>
  </si>
  <si>
    <t xml:space="preserve">rent-roll-certified.xlsx</t>
  </si>
  <si>
    <t xml:space="preserve">Sheet 'Rent Roll' A2 (date); rows 5–52</t>
  </si>
  <si>
    <t xml:space="preserve">48 units as of 2026-08-31. 44 active, 1 pending (045), 3 vacant (046–048). Unit-type areas &amp; rents controlling.</t>
  </si>
  <si>
    <t xml:space="preserve">total_units, occupied_units, pending_units, total_area_sf, occupied_area_sf, unit_occupancy, area_occupancy, annual_in_place_rent, unit_001_monthly_rent, gross_potential_rent, selected_roll_date, type_a/b/c_units + _occupied</t>
  </si>
  <si>
    <t xml:space="preserve">rent-roll-archive.xlsx</t>
  </si>
  <si>
    <t xml:space="preserve">Sheet 'Rent Roll' A2</t>
  </si>
  <si>
    <t xml:space="preserve">As-of 2026-06-30. Stale — superseded by certified roll per diligence-status.pdf.</t>
  </si>
  <si>
    <t xml:space="preserve">selected_roll_date (excluded — stale archive)</t>
  </si>
  <si>
    <t xml:space="preserve">lease-001.pdf</t>
  </si>
  <si>
    <t xml:space="preserve">Suite 001 executed base $1,500/mo. Notes: signed later amendment controls conflicting terms; unsigned proposal does not change agreement.</t>
  </si>
  <si>
    <t xml:space="preserve">unit_001_monthly_rent, risk_unsigned_rent_change</t>
  </si>
  <si>
    <t xml:space="preserve">lease-correspondence.pdf</t>
  </si>
  <si>
    <t xml:space="preserve">Signed amendment effective 2026-08-01; both parties signed 2026-07-20. Monthly rent +$350; all other terms unchanged.</t>
  </si>
  <si>
    <t xml:space="preserve">unit_001_monthly_rent (in-place amended), source-conflict note</t>
  </si>
  <si>
    <t xml:space="preserve">operating-statement.pdf</t>
  </si>
  <si>
    <t xml:space="preserve">p.1 table</t>
  </si>
  <si>
    <t xml:space="preserve">T12 2025-09-01 → 2026-08-31: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</si>
  <si>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</si>
  <si>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</si>
  <si>
    <t xml:space="preserve">cap_rate, sizing_rate, ltv_limit, dscr_limit, debt_yield_limit, uw_egi (rules), maximum_loan, net_cash_out, risk_sizing_floor_binding</t>
  </si>
  <si>
    <t xml:space="preserve">insurance.pdf</t>
  </si>
  <si>
    <t xml:space="preserve">GL policy aggregate limit $2,000,000. Effective 2026-07-01 → 2026-06-30-2027. Distinct from operating insurance expense.</t>
  </si>
  <si>
    <t xml:space="preserve">insurance_policy_limit, risk_missing_insurance</t>
  </si>
  <si>
    <t xml:space="preserve">diligence-status.pdf</t>
  </si>
  <si>
    <t xml:space="preserve">Legal / environmental / PCA / title reviews NOT completed — routine pending, no defect asserted. Match documents to this property; historical NOI, UW NOI, NCF have different definitions.</t>
  </si>
  <si>
    <t xml:space="preserve">diligence status, definitional labeling</t>
  </si>
  <si>
    <t xml:space="preserve">NAMED FIELD DELIVERABLES — value + unit + evidence</t>
  </si>
  <si>
    <t xml:space="preserve">Field id</t>
  </si>
  <si>
    <t xml:space="preserve">Value</t>
  </si>
  <si>
    <t xml:space="preserve">Unit</t>
  </si>
  <si>
    <t xml:space="preserve">Evidence (filename)</t>
  </si>
  <si>
    <t xml:space="preserve">Calculation / note</t>
  </si>
  <si>
    <t xml:space="preserve">total_units</t>
  </si>
  <si>
    <t xml:space="preserve">units</t>
  </si>
  <si>
    <t xml:space="preserve">Sheet 'Rent Roll' rows 5–52</t>
  </si>
  <si>
    <t xml:space="preserve">Count of suites 001–048.</t>
  </si>
  <si>
    <t xml:space="preserve">occupied_units</t>
  </si>
  <si>
    <t xml:space="preserve">col D (Possession) rows 5–48</t>
  </si>
  <si>
    <t xml:space="preserve">COUNTIF possession="active". Pending (045) and vacant (046–048) excluded.</t>
  </si>
  <si>
    <t xml:space="preserve">pending_units</t>
  </si>
  <si>
    <t xml:space="preserve">row 49 (suite 045)</t>
  </si>
  <si>
    <t xml:space="preserve">Suite 045 — pending, not in possession.</t>
  </si>
  <si>
    <t xml:space="preserve">total_area_sf</t>
  </si>
  <si>
    <t xml:space="preserve">SF</t>
  </si>
  <si>
    <t xml:space="preserve">col C rows 5–52</t>
  </si>
  <si>
    <t xml:space="preserve">16×700 + 16×820 + 16×1030 = 11,200 + 13,120 + 16,480 = 40,800.</t>
  </si>
  <si>
    <t xml:space="preserve">occupied_area_sf</t>
  </si>
  <si>
    <t xml:space="preserve">col C where D='active'</t>
  </si>
  <si>
    <t xml:space="preserve">16 Studios + 16 1BR + 12 2BR = 11,200 + 13,120 + 12,360 = 36,680.</t>
  </si>
  <si>
    <t xml:space="preserve">unit_occupancy</t>
  </si>
  <si>
    <t xml:space="preserve">decimal</t>
  </si>
  <si>
    <t xml:space="preserve">derived</t>
  </si>
  <si>
    <t xml:space="preserve">44 / 48 = 0.9167. Physical, possession-based — excludes pending.</t>
  </si>
  <si>
    <t xml:space="preserve">area_occupancy</t>
  </si>
  <si>
    <t xml:space="preserve">36,680 / 40,800 = 0.8990.</t>
  </si>
  <si>
    <t xml:space="preserve">annual_in_place_rent</t>
  </si>
  <si>
    <t xml:space="preserve">USD</t>
  </si>
  <si>
    <t xml:space="preserve">col E × 12</t>
  </si>
  <si>
    <t xml:space="preserve">SUM(all suite monthly rents) × 12 = 81,200 × 12.</t>
  </si>
  <si>
    <t xml:space="preserve">unit_001_monthly_rent</t>
  </si>
  <si>
    <t xml:space="preserve">USD/mo</t>
  </si>
  <si>
    <t xml:space="preserve">lease-001.pdf + lease-correspondence.pdf</t>
  </si>
  <si>
    <t xml:space="preserve">lease-001 p.1; correspondence p.1</t>
  </si>
  <si>
    <t xml:space="preserve">Base $1,500 + signed amendment +$350 (effective 2026-08-01) = $1,850 in-place. Certified roll ($1,500) is pre-amendment — known resolvable source conflict.</t>
  </si>
  <si>
    <t xml:space="preserve">underwriting-instructions.pdf + rent-roll-certified.xlsx</t>
  </si>
  <si>
    <t xml:space="preserve">instructions p.1; roll rows 5–52</t>
  </si>
  <si>
    <t xml:space="preserve">Per instructions: all-suite scheduled rent × 12 BEFORE Suite 001 amendment.</t>
  </si>
  <si>
    <t xml:space="preserve">computed Summary!B28</t>
  </si>
  <si>
    <t xml:space="preserve">GPR × (1 − 5% econ loss) + $350 × 48 = 925,680 + 16,800 = 942,480.</t>
  </si>
  <si>
    <t xml:space="preserve">uw_tax</t>
  </si>
  <si>
    <t xml:space="preserve">operating-statement.pdf + underwriting-instructions.pdf</t>
  </si>
  <si>
    <t xml:space="preserve">op stmt table row 'Real estate tax'</t>
  </si>
  <si>
    <t xml:space="preserve">Prescribed.</t>
  </si>
  <si>
    <t xml:space="preserve">uw_insurance</t>
  </si>
  <si>
    <t xml:space="preserve">op stmt table row 'Insurance'</t>
  </si>
  <si>
    <t xml:space="preserve">Prescribed. Distinct from GL policy limit $2M.</t>
  </si>
  <si>
    <t xml:space="preserve">uw_operating_expenses</t>
  </si>
  <si>
    <t xml:space="preserve">Summary!B29</t>
  </si>
  <si>
    <t xml:space="preserve">Tax + Ins + Other + 3% × EGI = 102,312 + 34,104 + 136,416 + 28,274.40.</t>
  </si>
  <si>
    <t xml:space="preserve">computed</t>
  </si>
  <si>
    <t xml:space="preserve">Summary!B30</t>
  </si>
  <si>
    <t xml:space="preserve">EGI − Opex = 942,480 − 301,106.40 (before reserves).</t>
  </si>
  <si>
    <t xml:space="preserve">Summary!B32</t>
  </si>
  <si>
    <t xml:space="preserve">NOI − $300 × 48 reserves = 641,373.60 − 14,400.</t>
  </si>
  <si>
    <t xml:space="preserve">Greater of note 6.25% or floor 6.00% = 6.25%. Note binds; floor not binding.</t>
  </si>
  <si>
    <t xml:space="preserve">Prescribed 5.75%.</t>
  </si>
  <si>
    <t xml:space="preserve">Summary!B33</t>
  </si>
  <si>
    <t xml:space="preserve">NOI / cap = 641,373.60 / 0.0575.</t>
  </si>
  <si>
    <t xml:space="preserve">ltv_limit</t>
  </si>
  <si>
    <t xml:space="preserve">Prescribed max 65%.</t>
  </si>
  <si>
    <t xml:space="preserve">dscr_limit</t>
  </si>
  <si>
    <t xml:space="preserve">ratio</t>
  </si>
  <si>
    <t xml:space="preserve">Prescribed min 1.25 on NCF.</t>
  </si>
  <si>
    <t xml:space="preserve">debt_yield_limit</t>
  </si>
  <si>
    <t xml:space="preserve">Prescribed min 9% on NCF.</t>
  </si>
  <si>
    <t xml:space="preserve">Summary!B42</t>
  </si>
  <si>
    <t xml:space="preserve">MIN(LTV, DSCR, DY) — see workbook for live value.</t>
  </si>
  <si>
    <t xml:space="preserve">Summary!B51</t>
  </si>
  <si>
    <t xml:space="preserve">Max loan − ($4.2M payoff + 1% orig + $45K closing). Negative = equity required.</t>
  </si>
  <si>
    <t xml:space="preserve">insurance_policy_limit</t>
  </si>
  <si>
    <t xml:space="preserve">GL aggregate limit; NOT the annual insurance expense.</t>
  </si>
  <si>
    <t xml:space="preserve">selected_roll_date</t>
  </si>
  <si>
    <t xml:space="preserve">2026-08-31</t>
  </si>
  <si>
    <t xml:space="preserve">date</t>
  </si>
  <si>
    <t xml:space="preserve">A2</t>
  </si>
  <si>
    <t xml:space="preserve">Controlling roll. Archive dated 2026-06-30 is stale.</t>
  </si>
  <si>
    <t xml:space="preserve">reported_t12_noi</t>
  </si>
  <si>
    <t xml:space="preserve">p.1 table row 'Reported NOI'</t>
  </si>
  <si>
    <t xml:space="preserve">Historical, cash basis, before reserves. Definition differs from UW NCF.</t>
  </si>
  <si>
    <t xml:space="preserve">type_a_units</t>
  </si>
  <si>
    <t xml:space="preserve">rent-roll-certified.xlsx + manager-cover.pdf</t>
  </si>
  <si>
    <t xml:space="preserve">col B (Studio); manager mapping</t>
  </si>
  <si>
    <t xml:space="preserve">A=Studio per manager. 16 Studios in roll.</t>
  </si>
  <si>
    <t xml:space="preserve">type_a_occupied</t>
  </si>
  <si>
    <t xml:space="preserve">col B=Studio, D=active</t>
  </si>
  <si>
    <t xml:space="preserve">All 16 Studios active.</t>
  </si>
  <si>
    <t xml:space="preserve">type_b_units</t>
  </si>
  <si>
    <t xml:space="preserve">col B (1BR); manager mapping</t>
  </si>
  <si>
    <t xml:space="preserve">B=1BR. 16 units.</t>
  </si>
  <si>
    <t xml:space="preserve">type_b_occupied</t>
  </si>
  <si>
    <t xml:space="preserve">col B=1BR, D=active</t>
  </si>
  <si>
    <t xml:space="preserve">All 16 1BRs active.</t>
  </si>
  <si>
    <t xml:space="preserve">type_c_units</t>
  </si>
  <si>
    <t xml:space="preserve">col B (2BR); manager mapping</t>
  </si>
  <si>
    <t xml:space="preserve">C=2BR. 16 units.</t>
  </si>
  <si>
    <t xml:space="preserve">type_c_occupied</t>
  </si>
  <si>
    <t xml:space="preserve">col B=2BR, D=active</t>
  </si>
  <si>
    <t xml:space="preserve">12 of 16 2BRs active (045 pending, 048 vacant).</t>
  </si>
  <si>
    <t xml:space="preserve">risk_pending_in_occupancy</t>
  </si>
  <si>
    <t xml:space="preserve">present</t>
  </si>
  <si>
    <t xml:space="preserve">flag</t>
  </si>
  <si>
    <t xml:space="preserve">Manager headline 'leased 45 of 48' counts 1 pending as leased. Cover note explicitly states pending occupants have not taken possession.</t>
  </si>
  <si>
    <t xml:space="preserve">risk_near_term_rollover</t>
  </si>
  <si>
    <t xml:space="preserve">absent</t>
  </si>
  <si>
    <t xml:space="preserve">col F rows 5–52</t>
  </si>
  <si>
    <t xml:space="preserve">All lease expirations 2029-08-31 — none within 12 months of 2026-08-31.</t>
  </si>
  <si>
    <t xml:space="preserve">risk_missing_insurance</t>
  </si>
  <si>
    <t xml:space="preserve">GL policy in force through 2027-06-30; expense captured in T12.</t>
  </si>
  <si>
    <t xml:space="preserve">risk_capital_in_opex</t>
  </si>
  <si>
    <t xml:space="preserve">p.1 row 'Roof replacement booked in repairs'</t>
  </si>
  <si>
    <t xml:space="preserve">Roof shown as $0 in repairs; explicitly labeled capital. Historical ledger classification is correct.</t>
  </si>
  <si>
    <t xml:space="preserve">risk_unsigned_rent_change</t>
  </si>
  <si>
    <t xml:space="preserve">packet review</t>
  </si>
  <si>
    <t xml:space="preserve">The only rent change in the packet is a SIGNED amendment (both parties executed 2026-07-20). No unsigned proposal is present.</t>
  </si>
  <si>
    <t xml:space="preserve">risk_temporary_free_rent</t>
  </si>
  <si>
    <t xml:space="preserve">'No free-rent concession applies as of the evaluation date.'</t>
  </si>
  <si>
    <t xml:space="preserve">risk_sizing_floor_binding</t>
  </si>
  <si>
    <t xml:space="preserve">Note 6.25% &gt; floor 6.00%. Note rate binds; floor is not the binding constraint.</t>
  </si>
  <si>
    <t xml:space="preserve">risk_refinance_shortfall</t>
  </si>
  <si>
    <t xml:space="preserve">Present if net_cash_out &lt; 0 (loan proceeds &lt; payoff + costs); see workbook.</t>
  </si>
  <si>
    <t xml:space="preserve">INPUT &amp; OUTPUT CELL MAP (interoperability)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</si>
  <si>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</si>
  <si>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</si>
  <si>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</si>
  <si>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</si>
  <si>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</si>
  <si>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Annual, before econ loss</t>
  </si>
  <si>
    <t xml:space="preserve">Summary!B7</t>
  </si>
  <si>
    <t xml:space="preserve">Decimal</t>
  </si>
  <si>
    <t xml:space="preserve">Summary!B8</t>
  </si>
  <si>
    <t xml:space="preserve">Greater of note or floor</t>
  </si>
  <si>
    <t xml:space="preserve">OUTPUTS</t>
  </si>
  <si>
    <t xml:space="preserve">Summary!B28</t>
  </si>
  <si>
    <t xml:space="preserve">Live formula</t>
  </si>
  <si>
    <t xml:space="preserve">Live formula (before reserves)</t>
  </si>
  <si>
    <t xml:space="preserve">Live formula (after reserves)</t>
  </si>
  <si>
    <t xml:space="preserve">NOI / cap_rate</t>
  </si>
  <si>
    <t xml:space="preserve">MIN(LTV, DSCR, DY)</t>
  </si>
  <si>
    <t xml:space="preserve">Sources − Uses; negative = equity required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</si>
</sst>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974400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0.0625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0.0625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0.0625</v>
      </c>
    </row>
    <row r="10" customFormat="false" ht="15" hidden="false" customHeight="false" outlineLevel="0" collapsed="false">
      <c r="A10" s="0" t="s">
        <v>11</v>
      </c>
      <c r="B10" s="7" t="n">
        <v>0.06</v>
      </c>
    </row>
    <row r="11" customFormat="false" ht="15" hidden="false" customHeight="false" outlineLevel="0" collapsed="false">
      <c r="A11" s="0" t="s">
        <v>12</v>
      </c>
      <c r="B11" s="8" t="n">
        <v>30</v>
      </c>
    </row>
    <row r="12" customFormat="false" ht="15" hidden="false" customHeight="false" outlineLevel="0" collapsed="false">
      <c r="A12" s="0" t="s">
        <v>13</v>
      </c>
      <c r="B12" s="9" t="n">
        <v>0.05</v>
      </c>
    </row>
    <row r="13" customFormat="false" ht="15" hidden="false" customHeight="false" outlineLevel="0" collapsed="false">
      <c r="A13" s="0" t="s">
        <v>14</v>
      </c>
      <c r="B13" s="6" t="n">
        <v>350</v>
      </c>
    </row>
    <row r="14" customFormat="false" ht="15" hidden="false" customHeight="false" outlineLevel="0" collapsed="false">
      <c r="A14" s="0" t="s">
        <v>15</v>
      </c>
      <c r="B14" s="8" t="n">
        <v>48</v>
      </c>
    </row>
    <row r="15" customFormat="false" ht="15" hidden="false" customHeight="false" outlineLevel="0" collapsed="false">
      <c r="A15" s="0" t="s">
        <v>16</v>
      </c>
      <c r="B15" s="6" t="n">
        <v>102312</v>
      </c>
    </row>
    <row r="16" customFormat="false" ht="15" hidden="false" customHeight="false" outlineLevel="0" collapsed="false">
      <c r="A16" s="0" t="s">
        <v>17</v>
      </c>
      <c r="B16" s="6" t="n">
        <v>34104</v>
      </c>
    </row>
    <row r="17" customFormat="false" ht="15" hidden="false" customHeight="false" outlineLevel="0" collapsed="false">
      <c r="A17" s="0" t="s">
        <v>18</v>
      </c>
      <c r="B17" s="6" t="n">
        <v>136416</v>
      </c>
    </row>
    <row r="18" customFormat="false" ht="15" hidden="false" customHeight="false" outlineLevel="0" collapsed="false">
      <c r="A18" s="0" t="s">
        <v>19</v>
      </c>
      <c r="B18" s="9" t="n">
        <v>0.03</v>
      </c>
    </row>
    <row r="19" customFormat="false" ht="15" hidden="false" customHeight="false" outlineLevel="0" collapsed="false">
      <c r="A19" s="0" t="s">
        <v>20</v>
      </c>
      <c r="B19" s="6" t="n">
        <v>300</v>
      </c>
    </row>
    <row r="20" customFormat="false" ht="15" hidden="false" customHeight="false" outlineLevel="0" collapsed="false">
      <c r="A20" s="0" t="s">
        <v>21</v>
      </c>
      <c r="B20" s="9" t="n">
        <v>0.65</v>
      </c>
    </row>
    <row r="21" customFormat="false" ht="15" hidden="false" customHeight="false" outlineLevel="0" collapsed="false">
      <c r="A21" s="0" t="s">
        <v>22</v>
      </c>
      <c r="B21" s="10" t="n">
        <v>1.25</v>
      </c>
    </row>
    <row r="22" customFormat="false" ht="15" hidden="false" customHeight="false" outlineLevel="0" collapsed="false">
      <c r="A22" s="0" t="s">
        <v>23</v>
      </c>
      <c r="B22" s="9" t="n">
        <v>0.09</v>
      </c>
    </row>
    <row r="23" customFormat="false" ht="15" hidden="false" customHeight="false" outlineLevel="0" collapsed="false">
      <c r="A23" s="0" t="s">
        <v>24</v>
      </c>
      <c r="B23" s="9" t="n">
        <v>0.01</v>
      </c>
    </row>
    <row r="24" customFormat="false" ht="15" hidden="false" customHeight="false" outlineLevel="0" collapsed="false">
      <c r="A24" s="0" t="s">
        <v>25</v>
      </c>
      <c r="B24" s="6" t="n">
        <v>45000</v>
      </c>
    </row>
    <row r="25" customFormat="false" ht="15" hidden="false" customHeight="false" outlineLevel="0" collapsed="false">
      <c r="A25" s="0" t="s">
        <v>26</v>
      </c>
      <c r="B25" s="6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1" t="n">
        <f aca="false">B6*(1-B12)+B13*B14</f>
        <v>942480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2" t="n">
        <f aca="false">B15+B16+B17+B18*B28</f>
        <v>301106.4</v>
      </c>
    </row>
    <row r="30" customFormat="false" ht="15" hidden="false" customHeight="false" outlineLevel="0" collapsed="false">
      <c r="A30" s="0" t="s">
        <v>31</v>
      </c>
      <c r="B30" s="11" t="n">
        <f aca="false">B28-B29</f>
        <v>641373.6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2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1" t="n">
        <f aca="false">B30-B31</f>
        <v>626973.6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3" t="n">
        <f aca="false">B30/B7</f>
        <v>10261977.6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4" t="n">
        <f aca="false">B8/12</f>
        <v>0.00520833333333333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4" t="n">
        <f aca="false">12*B36*(1+B36)^B37/((1+B36)^B37-1)</f>
        <v>0.0738860640511674</v>
      </c>
    </row>
    <row r="39" customFormat="false" ht="15" hidden="false" customHeight="false" outlineLevel="0" collapsed="false">
      <c r="A39" s="0" t="s">
        <v>42</v>
      </c>
      <c r="B39" s="15" t="n">
        <f aca="false">B20*B33</f>
        <v>6670285.44</v>
      </c>
    </row>
    <row r="40" customFormat="false" ht="15" hidden="false" customHeight="false" outlineLevel="0" collapsed="false">
      <c r="A40" s="0" t="s">
        <v>43</v>
      </c>
      <c r="B40" s="15" t="n">
        <f aca="false">B32/(B21*B38)</f>
        <v>6788545.12608289</v>
      </c>
    </row>
    <row r="41" customFormat="false" ht="15" hidden="false" customHeight="false" outlineLevel="0" collapsed="false">
      <c r="A41" s="0" t="s">
        <v>44</v>
      </c>
      <c r="B41" s="15" t="n">
        <f aca="false">B32/B22</f>
        <v>6966373.33333333</v>
      </c>
    </row>
    <row r="42" customFormat="false" ht="15" hidden="false" customHeight="false" outlineLevel="0" collapsed="false">
      <c r="A42" s="0" t="s">
        <v>45</v>
      </c>
      <c r="B42" s="13" t="n">
        <f aca="false">MIN(B39,B40,B41)</f>
        <v>6670285.44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6" t="str">
        <f aca="false">IF(B42=B39,"LTV",IF(B42=B40,"DSCR","Debt yield"))</f>
        <v>LTV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5" t="n">
        <f aca="false">B42</f>
        <v>6670285.44</v>
      </c>
    </row>
    <row r="47" customFormat="false" ht="15" hidden="false" customHeight="false" outlineLevel="0" collapsed="false">
      <c r="A47" s="0" t="s">
        <v>50</v>
      </c>
      <c r="B47" s="15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5" t="n">
        <f aca="false">B23*B42</f>
        <v>66702.8544</v>
      </c>
    </row>
    <row r="49" customFormat="false" ht="15" hidden="false" customHeight="false" outlineLevel="0" collapsed="false">
      <c r="A49" s="0" t="s">
        <v>52</v>
      </c>
      <c r="B49" s="15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7" t="n">
        <f aca="false">B47+B48+B49</f>
        <v>4311702.8544</v>
      </c>
    </row>
    <row r="51" customFormat="false" ht="15" hidden="false" customHeight="false" outlineLevel="0" collapsed="false">
      <c r="A51" s="0" t="s">
        <v>54</v>
      </c>
      <c r="B51" s="18" t="n">
        <f aca="false">B46-B50</f>
        <v>2358582.5856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19" t="n">
        <f aca="false">B42/B33</f>
        <v>0.65</v>
      </c>
    </row>
    <row r="55" customFormat="false" ht="15" hidden="false" customHeight="false" outlineLevel="0" collapsed="false">
      <c r="A55" s="0" t="s">
        <v>58</v>
      </c>
      <c r="B55" s="19" t="n">
        <f aca="false">B32/B42</f>
        <v>0.0939950180003091</v>
      </c>
    </row>
    <row r="56" customFormat="false" ht="15" hidden="false" customHeight="false" outlineLevel="0" collapsed="false">
      <c r="A56" s="0" t="s">
        <v>59</v>
      </c>
      <c r="B56" s="20" t="n">
        <f aca="false">B32/(B42*B38)</f>
        <v>1.27216166143613</v>
      </c>
    </row>
    <row r="57" customFormat="false" ht="15" hidden="false" customHeight="false" outlineLevel="0" collapsed="false">
      <c r="A57" s="0" t="s">
        <v>60</v>
      </c>
      <c r="B57" s="15" t="n">
        <f aca="false">B42*B38</f>
        <v>492841.137259409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1" t="s">
        <v>61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62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23" t="s">
        <v>63</v>
      </c>
      <c r="B4" s="23" t="s">
        <v>64</v>
      </c>
      <c r="C4" s="23" t="s">
        <v>65</v>
      </c>
      <c r="D4" s="23" t="s">
        <v>66</v>
      </c>
      <c r="E4" s="23" t="s">
        <v>67</v>
      </c>
      <c r="F4" s="23" t="s">
        <v>68</v>
      </c>
      <c r="G4" s="23" t="s">
        <v>69</v>
      </c>
    </row>
    <row r="5" customFormat="false" ht="15" hidden="false" customHeight="false" outlineLevel="0" collapsed="false">
      <c r="A5" s="24" t="s">
        <v>70</v>
      </c>
      <c r="B5" s="24" t="s">
        <v>71</v>
      </c>
      <c r="C5" s="25" t="n">
        <v>700</v>
      </c>
      <c r="D5" s="26" t="s">
        <v>72</v>
      </c>
      <c r="E5" s="27" t="n">
        <v>1500</v>
      </c>
      <c r="F5" s="24" t="s">
        <v>73</v>
      </c>
      <c r="G5" s="24"/>
    </row>
    <row r="6" customFormat="false" ht="15" hidden="false" customHeight="false" outlineLevel="0" collapsed="false">
      <c r="A6" s="24" t="s">
        <v>74</v>
      </c>
      <c r="B6" s="24" t="s">
        <v>75</v>
      </c>
      <c r="C6" s="25" t="n">
        <v>820</v>
      </c>
      <c r="D6" s="26" t="s">
        <v>72</v>
      </c>
      <c r="E6" s="27" t="n">
        <v>1650</v>
      </c>
      <c r="F6" s="24" t="s">
        <v>73</v>
      </c>
      <c r="G6" s="24"/>
    </row>
    <row r="7" customFormat="false" ht="15" hidden="false" customHeight="false" outlineLevel="0" collapsed="false">
      <c r="A7" s="24" t="s">
        <v>76</v>
      </c>
      <c r="B7" s="24" t="s">
        <v>77</v>
      </c>
      <c r="C7" s="25" t="n">
        <v>1030</v>
      </c>
      <c r="D7" s="26" t="s">
        <v>72</v>
      </c>
      <c r="E7" s="27" t="n">
        <v>1925</v>
      </c>
      <c r="F7" s="24" t="s">
        <v>73</v>
      </c>
      <c r="G7" s="24"/>
    </row>
    <row r="8" customFormat="false" ht="15" hidden="false" customHeight="false" outlineLevel="0" collapsed="false">
      <c r="A8" s="24" t="s">
        <v>78</v>
      </c>
      <c r="B8" s="24" t="s">
        <v>71</v>
      </c>
      <c r="C8" s="25" t="n">
        <v>700</v>
      </c>
      <c r="D8" s="26" t="s">
        <v>72</v>
      </c>
      <c r="E8" s="27" t="n">
        <v>1500</v>
      </c>
      <c r="F8" s="24" t="s">
        <v>73</v>
      </c>
      <c r="G8" s="24"/>
    </row>
    <row r="9" customFormat="false" ht="15" hidden="false" customHeight="false" outlineLevel="0" collapsed="false">
      <c r="A9" s="24" t="s">
        <v>79</v>
      </c>
      <c r="B9" s="24" t="s">
        <v>75</v>
      </c>
      <c r="C9" s="25" t="n">
        <v>820</v>
      </c>
      <c r="D9" s="26" t="s">
        <v>72</v>
      </c>
      <c r="E9" s="27" t="n">
        <v>1650</v>
      </c>
      <c r="F9" s="24" t="s">
        <v>73</v>
      </c>
      <c r="G9" s="24"/>
    </row>
    <row r="10" customFormat="false" ht="15" hidden="false" customHeight="false" outlineLevel="0" collapsed="false">
      <c r="A10" s="24" t="s">
        <v>80</v>
      </c>
      <c r="B10" s="24" t="s">
        <v>77</v>
      </c>
      <c r="C10" s="25" t="n">
        <v>1030</v>
      </c>
      <c r="D10" s="26" t="s">
        <v>72</v>
      </c>
      <c r="E10" s="27" t="n">
        <v>1925</v>
      </c>
      <c r="F10" s="24" t="s">
        <v>73</v>
      </c>
      <c r="G10" s="24"/>
    </row>
    <row r="11" customFormat="false" ht="15" hidden="false" customHeight="false" outlineLevel="0" collapsed="false">
      <c r="A11" s="24" t="s">
        <v>81</v>
      </c>
      <c r="B11" s="24" t="s">
        <v>71</v>
      </c>
      <c r="C11" s="25" t="n">
        <v>700</v>
      </c>
      <c r="D11" s="26" t="s">
        <v>72</v>
      </c>
      <c r="E11" s="27" t="n">
        <v>1500</v>
      </c>
      <c r="F11" s="24" t="s">
        <v>73</v>
      </c>
      <c r="G11" s="24"/>
    </row>
    <row r="12" customFormat="false" ht="15" hidden="false" customHeight="false" outlineLevel="0" collapsed="false">
      <c r="A12" s="24" t="s">
        <v>82</v>
      </c>
      <c r="B12" s="24" t="s">
        <v>75</v>
      </c>
      <c r="C12" s="25" t="n">
        <v>820</v>
      </c>
      <c r="D12" s="26" t="s">
        <v>72</v>
      </c>
      <c r="E12" s="27" t="n">
        <v>1650</v>
      </c>
      <c r="F12" s="24" t="s">
        <v>73</v>
      </c>
      <c r="G12" s="24"/>
    </row>
    <row r="13" customFormat="false" ht="15" hidden="false" customHeight="false" outlineLevel="0" collapsed="false">
      <c r="A13" s="24" t="s">
        <v>83</v>
      </c>
      <c r="B13" s="24" t="s">
        <v>77</v>
      </c>
      <c r="C13" s="25" t="n">
        <v>1030</v>
      </c>
      <c r="D13" s="26" t="s">
        <v>72</v>
      </c>
      <c r="E13" s="27" t="n">
        <v>1925</v>
      </c>
      <c r="F13" s="24" t="s">
        <v>73</v>
      </c>
      <c r="G13" s="24"/>
    </row>
    <row r="14" customFormat="false" ht="15" hidden="false" customHeight="false" outlineLevel="0" collapsed="false">
      <c r="A14" s="24" t="s">
        <v>84</v>
      </c>
      <c r="B14" s="24" t="s">
        <v>71</v>
      </c>
      <c r="C14" s="25" t="n">
        <v>700</v>
      </c>
      <c r="D14" s="26" t="s">
        <v>72</v>
      </c>
      <c r="E14" s="27" t="n">
        <v>1500</v>
      </c>
      <c r="F14" s="24" t="s">
        <v>73</v>
      </c>
      <c r="G14" s="24"/>
    </row>
    <row r="15" customFormat="false" ht="15" hidden="false" customHeight="false" outlineLevel="0" collapsed="false">
      <c r="A15" s="24" t="s">
        <v>85</v>
      </c>
      <c r="B15" s="24" t="s">
        <v>75</v>
      </c>
      <c r="C15" s="25" t="n">
        <v>820</v>
      </c>
      <c r="D15" s="26" t="s">
        <v>72</v>
      </c>
      <c r="E15" s="27" t="n">
        <v>1650</v>
      </c>
      <c r="F15" s="24" t="s">
        <v>73</v>
      </c>
      <c r="G15" s="24"/>
    </row>
    <row r="16" customFormat="false" ht="15" hidden="false" customHeight="false" outlineLevel="0" collapsed="false">
      <c r="A16" s="24" t="s">
        <v>86</v>
      </c>
      <c r="B16" s="24" t="s">
        <v>77</v>
      </c>
      <c r="C16" s="25" t="n">
        <v>1030</v>
      </c>
      <c r="D16" s="26" t="s">
        <v>72</v>
      </c>
      <c r="E16" s="27" t="n">
        <v>1925</v>
      </c>
      <c r="F16" s="24" t="s">
        <v>73</v>
      </c>
      <c r="G16" s="24"/>
    </row>
    <row r="17" customFormat="false" ht="15" hidden="false" customHeight="false" outlineLevel="0" collapsed="false">
      <c r="A17" s="24" t="s">
        <v>87</v>
      </c>
      <c r="B17" s="24" t="s">
        <v>71</v>
      </c>
      <c r="C17" s="25" t="n">
        <v>700</v>
      </c>
      <c r="D17" s="26" t="s">
        <v>72</v>
      </c>
      <c r="E17" s="27" t="n">
        <v>1500</v>
      </c>
      <c r="F17" s="24" t="s">
        <v>73</v>
      </c>
      <c r="G17" s="24"/>
    </row>
    <row r="18" customFormat="false" ht="15" hidden="false" customHeight="false" outlineLevel="0" collapsed="false">
      <c r="A18" s="24" t="s">
        <v>88</v>
      </c>
      <c r="B18" s="24" t="s">
        <v>75</v>
      </c>
      <c r="C18" s="25" t="n">
        <v>820</v>
      </c>
      <c r="D18" s="26" t="s">
        <v>72</v>
      </c>
      <c r="E18" s="27" t="n">
        <v>1650</v>
      </c>
      <c r="F18" s="24" t="s">
        <v>73</v>
      </c>
      <c r="G18" s="24"/>
    </row>
    <row r="19" customFormat="false" ht="15" hidden="false" customHeight="false" outlineLevel="0" collapsed="false">
      <c r="A19" s="24" t="s">
        <v>89</v>
      </c>
      <c r="B19" s="24" t="s">
        <v>77</v>
      </c>
      <c r="C19" s="25" t="n">
        <v>1030</v>
      </c>
      <c r="D19" s="26" t="s">
        <v>72</v>
      </c>
      <c r="E19" s="27" t="n">
        <v>1925</v>
      </c>
      <c r="F19" s="24" t="s">
        <v>73</v>
      </c>
      <c r="G19" s="24"/>
    </row>
    <row r="20" customFormat="false" ht="15" hidden="false" customHeight="false" outlineLevel="0" collapsed="false">
      <c r="A20" s="24" t="s">
        <v>90</v>
      </c>
      <c r="B20" s="24" t="s">
        <v>71</v>
      </c>
      <c r="C20" s="25" t="n">
        <v>700</v>
      </c>
      <c r="D20" s="26" t="s">
        <v>72</v>
      </c>
      <c r="E20" s="27" t="n">
        <v>1500</v>
      </c>
      <c r="F20" s="24" t="s">
        <v>73</v>
      </c>
      <c r="G20" s="24"/>
    </row>
    <row r="21" customFormat="false" ht="15" hidden="false" customHeight="false" outlineLevel="0" collapsed="false">
      <c r="A21" s="24" t="s">
        <v>91</v>
      </c>
      <c r="B21" s="24" t="s">
        <v>75</v>
      </c>
      <c r="C21" s="25" t="n">
        <v>820</v>
      </c>
      <c r="D21" s="26" t="s">
        <v>72</v>
      </c>
      <c r="E21" s="27" t="n">
        <v>1650</v>
      </c>
      <c r="F21" s="24" t="s">
        <v>73</v>
      </c>
      <c r="G21" s="24"/>
    </row>
    <row r="22" customFormat="false" ht="15" hidden="false" customHeight="false" outlineLevel="0" collapsed="false">
      <c r="A22" s="24" t="s">
        <v>92</v>
      </c>
      <c r="B22" s="24" t="s">
        <v>77</v>
      </c>
      <c r="C22" s="25" t="n">
        <v>1030</v>
      </c>
      <c r="D22" s="26" t="s">
        <v>72</v>
      </c>
      <c r="E22" s="27" t="n">
        <v>1925</v>
      </c>
      <c r="F22" s="24" t="s">
        <v>73</v>
      </c>
      <c r="G22" s="24"/>
    </row>
    <row r="23" customFormat="false" ht="15" hidden="false" customHeight="false" outlineLevel="0" collapsed="false">
      <c r="A23" s="24" t="s">
        <v>93</v>
      </c>
      <c r="B23" s="24" t="s">
        <v>71</v>
      </c>
      <c r="C23" s="25" t="n">
        <v>700</v>
      </c>
      <c r="D23" s="26" t="s">
        <v>72</v>
      </c>
      <c r="E23" s="27" t="n">
        <v>1500</v>
      </c>
      <c r="F23" s="24" t="s">
        <v>73</v>
      </c>
      <c r="G23" s="24"/>
    </row>
    <row r="24" customFormat="false" ht="15" hidden="false" customHeight="false" outlineLevel="0" collapsed="false">
      <c r="A24" s="24" t="s">
        <v>94</v>
      </c>
      <c r="B24" s="24" t="s">
        <v>75</v>
      </c>
      <c r="C24" s="25" t="n">
        <v>820</v>
      </c>
      <c r="D24" s="26" t="s">
        <v>72</v>
      </c>
      <c r="E24" s="27" t="n">
        <v>1650</v>
      </c>
      <c r="F24" s="24" t="s">
        <v>73</v>
      </c>
      <c r="G24" s="24"/>
    </row>
    <row r="25" customFormat="false" ht="15" hidden="false" customHeight="false" outlineLevel="0" collapsed="false">
      <c r="A25" s="24" t="s">
        <v>95</v>
      </c>
      <c r="B25" s="24" t="s">
        <v>77</v>
      </c>
      <c r="C25" s="25" t="n">
        <v>1030</v>
      </c>
      <c r="D25" s="26" t="s">
        <v>72</v>
      </c>
      <c r="E25" s="27" t="n">
        <v>1925</v>
      </c>
      <c r="F25" s="24" t="s">
        <v>73</v>
      </c>
      <c r="G25" s="24"/>
    </row>
    <row r="26" customFormat="false" ht="15" hidden="false" customHeight="false" outlineLevel="0" collapsed="false">
      <c r="A26" s="24" t="s">
        <v>96</v>
      </c>
      <c r="B26" s="24" t="s">
        <v>71</v>
      </c>
      <c r="C26" s="25" t="n">
        <v>700</v>
      </c>
      <c r="D26" s="26" t="s">
        <v>72</v>
      </c>
      <c r="E26" s="27" t="n">
        <v>1500</v>
      </c>
      <c r="F26" s="24" t="s">
        <v>73</v>
      </c>
      <c r="G26" s="24"/>
    </row>
    <row r="27" customFormat="false" ht="15" hidden="false" customHeight="false" outlineLevel="0" collapsed="false">
      <c r="A27" s="24" t="s">
        <v>97</v>
      </c>
      <c r="B27" s="24" t="s">
        <v>75</v>
      </c>
      <c r="C27" s="25" t="n">
        <v>820</v>
      </c>
      <c r="D27" s="26" t="s">
        <v>72</v>
      </c>
      <c r="E27" s="27" t="n">
        <v>1650</v>
      </c>
      <c r="F27" s="24" t="s">
        <v>73</v>
      </c>
      <c r="G27" s="24"/>
    </row>
    <row r="28" customFormat="false" ht="15" hidden="false" customHeight="false" outlineLevel="0" collapsed="false">
      <c r="A28" s="24" t="s">
        <v>98</v>
      </c>
      <c r="B28" s="24" t="s">
        <v>77</v>
      </c>
      <c r="C28" s="25" t="n">
        <v>1030</v>
      </c>
      <c r="D28" s="26" t="s">
        <v>72</v>
      </c>
      <c r="E28" s="27" t="n">
        <v>1925</v>
      </c>
      <c r="F28" s="24" t="s">
        <v>73</v>
      </c>
      <c r="G28" s="24"/>
    </row>
    <row r="29" customFormat="false" ht="15" hidden="false" customHeight="false" outlineLevel="0" collapsed="false">
      <c r="A29" s="24" t="s">
        <v>99</v>
      </c>
      <c r="B29" s="24" t="s">
        <v>71</v>
      </c>
      <c r="C29" s="25" t="n">
        <v>700</v>
      </c>
      <c r="D29" s="26" t="s">
        <v>72</v>
      </c>
      <c r="E29" s="27" t="n">
        <v>1500</v>
      </c>
      <c r="F29" s="24" t="s">
        <v>73</v>
      </c>
      <c r="G29" s="24"/>
    </row>
    <row r="30" customFormat="false" ht="15" hidden="false" customHeight="false" outlineLevel="0" collapsed="false">
      <c r="A30" s="24" t="s">
        <v>100</v>
      </c>
      <c r="B30" s="24" t="s">
        <v>75</v>
      </c>
      <c r="C30" s="25" t="n">
        <v>820</v>
      </c>
      <c r="D30" s="26" t="s">
        <v>72</v>
      </c>
      <c r="E30" s="27" t="n">
        <v>1650</v>
      </c>
      <c r="F30" s="24" t="s">
        <v>73</v>
      </c>
      <c r="G30" s="24"/>
    </row>
    <row r="31" customFormat="false" ht="15" hidden="false" customHeight="false" outlineLevel="0" collapsed="false">
      <c r="A31" s="24" t="s">
        <v>101</v>
      </c>
      <c r="B31" s="24" t="s">
        <v>77</v>
      </c>
      <c r="C31" s="25" t="n">
        <v>1030</v>
      </c>
      <c r="D31" s="26" t="s">
        <v>72</v>
      </c>
      <c r="E31" s="27" t="n">
        <v>1925</v>
      </c>
      <c r="F31" s="24" t="s">
        <v>73</v>
      </c>
      <c r="G31" s="24"/>
    </row>
    <row r="32" customFormat="false" ht="15" hidden="false" customHeight="false" outlineLevel="0" collapsed="false">
      <c r="A32" s="24" t="s">
        <v>102</v>
      </c>
      <c r="B32" s="24" t="s">
        <v>71</v>
      </c>
      <c r="C32" s="25" t="n">
        <v>700</v>
      </c>
      <c r="D32" s="26" t="s">
        <v>72</v>
      </c>
      <c r="E32" s="27" t="n">
        <v>1500</v>
      </c>
      <c r="F32" s="24" t="s">
        <v>73</v>
      </c>
      <c r="G32" s="24"/>
    </row>
    <row r="33" customFormat="false" ht="15" hidden="false" customHeight="false" outlineLevel="0" collapsed="false">
      <c r="A33" s="24" t="s">
        <v>103</v>
      </c>
      <c r="B33" s="24" t="s">
        <v>75</v>
      </c>
      <c r="C33" s="25" t="n">
        <v>820</v>
      </c>
      <c r="D33" s="26" t="s">
        <v>72</v>
      </c>
      <c r="E33" s="27" t="n">
        <v>1650</v>
      </c>
      <c r="F33" s="24" t="s">
        <v>73</v>
      </c>
      <c r="G33" s="24"/>
    </row>
    <row r="34" customFormat="false" ht="15" hidden="false" customHeight="false" outlineLevel="0" collapsed="false">
      <c r="A34" s="24" t="s">
        <v>104</v>
      </c>
      <c r="B34" s="24" t="s">
        <v>77</v>
      </c>
      <c r="C34" s="25" t="n">
        <v>1030</v>
      </c>
      <c r="D34" s="26" t="s">
        <v>72</v>
      </c>
      <c r="E34" s="27" t="n">
        <v>1925</v>
      </c>
      <c r="F34" s="24" t="s">
        <v>73</v>
      </c>
      <c r="G34" s="24"/>
    </row>
    <row r="35" customFormat="false" ht="15" hidden="false" customHeight="false" outlineLevel="0" collapsed="false">
      <c r="A35" s="24" t="s">
        <v>105</v>
      </c>
      <c r="B35" s="24" t="s">
        <v>71</v>
      </c>
      <c r="C35" s="25" t="n">
        <v>700</v>
      </c>
      <c r="D35" s="26" t="s">
        <v>72</v>
      </c>
      <c r="E35" s="27" t="n">
        <v>1500</v>
      </c>
      <c r="F35" s="24" t="s">
        <v>73</v>
      </c>
      <c r="G35" s="24"/>
    </row>
    <row r="36" customFormat="false" ht="15" hidden="false" customHeight="false" outlineLevel="0" collapsed="false">
      <c r="A36" s="24" t="s">
        <v>106</v>
      </c>
      <c r="B36" s="24" t="s">
        <v>75</v>
      </c>
      <c r="C36" s="25" t="n">
        <v>820</v>
      </c>
      <c r="D36" s="26" t="s">
        <v>72</v>
      </c>
      <c r="E36" s="27" t="n">
        <v>1650</v>
      </c>
      <c r="F36" s="24" t="s">
        <v>73</v>
      </c>
      <c r="G36" s="24"/>
    </row>
    <row r="37" customFormat="false" ht="15" hidden="false" customHeight="false" outlineLevel="0" collapsed="false">
      <c r="A37" s="24" t="s">
        <v>107</v>
      </c>
      <c r="B37" s="24" t="s">
        <v>77</v>
      </c>
      <c r="C37" s="25" t="n">
        <v>1030</v>
      </c>
      <c r="D37" s="26" t="s">
        <v>72</v>
      </c>
      <c r="E37" s="27" t="n">
        <v>1925</v>
      </c>
      <c r="F37" s="24" t="s">
        <v>73</v>
      </c>
      <c r="G37" s="24"/>
    </row>
    <row r="38" customFormat="false" ht="15" hidden="false" customHeight="false" outlineLevel="0" collapsed="false">
      <c r="A38" s="24" t="s">
        <v>108</v>
      </c>
      <c r="B38" s="24" t="s">
        <v>71</v>
      </c>
      <c r="C38" s="25" t="n">
        <v>700</v>
      </c>
      <c r="D38" s="26" t="s">
        <v>72</v>
      </c>
      <c r="E38" s="27" t="n">
        <v>1500</v>
      </c>
      <c r="F38" s="24" t="s">
        <v>73</v>
      </c>
      <c r="G38" s="24"/>
    </row>
    <row r="39" customFormat="false" ht="15" hidden="false" customHeight="false" outlineLevel="0" collapsed="false">
      <c r="A39" s="24" t="s">
        <v>109</v>
      </c>
      <c r="B39" s="24" t="s">
        <v>75</v>
      </c>
      <c r="C39" s="25" t="n">
        <v>820</v>
      </c>
      <c r="D39" s="26" t="s">
        <v>72</v>
      </c>
      <c r="E39" s="27" t="n">
        <v>1650</v>
      </c>
      <c r="F39" s="24" t="s">
        <v>73</v>
      </c>
      <c r="G39" s="24"/>
    </row>
    <row r="40" customFormat="false" ht="15" hidden="false" customHeight="false" outlineLevel="0" collapsed="false">
      <c r="A40" s="24" t="s">
        <v>110</v>
      </c>
      <c r="B40" s="24" t="s">
        <v>77</v>
      </c>
      <c r="C40" s="25" t="n">
        <v>1030</v>
      </c>
      <c r="D40" s="26" t="s">
        <v>72</v>
      </c>
      <c r="E40" s="27" t="n">
        <v>1925</v>
      </c>
      <c r="F40" s="24" t="s">
        <v>73</v>
      </c>
      <c r="G40" s="24"/>
    </row>
    <row r="41" customFormat="false" ht="15" hidden="false" customHeight="false" outlineLevel="0" collapsed="false">
      <c r="A41" s="24" t="s">
        <v>111</v>
      </c>
      <c r="B41" s="24" t="s">
        <v>71</v>
      </c>
      <c r="C41" s="25" t="n">
        <v>700</v>
      </c>
      <c r="D41" s="26" t="s">
        <v>72</v>
      </c>
      <c r="E41" s="27" t="n">
        <v>1500</v>
      </c>
      <c r="F41" s="24" t="s">
        <v>73</v>
      </c>
      <c r="G41" s="24"/>
    </row>
    <row r="42" customFormat="false" ht="15" hidden="false" customHeight="false" outlineLevel="0" collapsed="false">
      <c r="A42" s="24" t="s">
        <v>112</v>
      </c>
      <c r="B42" s="24" t="s">
        <v>75</v>
      </c>
      <c r="C42" s="25" t="n">
        <v>820</v>
      </c>
      <c r="D42" s="26" t="s">
        <v>72</v>
      </c>
      <c r="E42" s="27" t="n">
        <v>1650</v>
      </c>
      <c r="F42" s="24" t="s">
        <v>73</v>
      </c>
      <c r="G42" s="24"/>
    </row>
    <row r="43" customFormat="false" ht="15" hidden="false" customHeight="false" outlineLevel="0" collapsed="false">
      <c r="A43" s="24" t="s">
        <v>113</v>
      </c>
      <c r="B43" s="24" t="s">
        <v>77</v>
      </c>
      <c r="C43" s="25" t="n">
        <v>1030</v>
      </c>
      <c r="D43" s="26" t="s">
        <v>72</v>
      </c>
      <c r="E43" s="27" t="n">
        <v>1925</v>
      </c>
      <c r="F43" s="24" t="s">
        <v>73</v>
      </c>
      <c r="G43" s="24"/>
    </row>
    <row r="44" customFormat="false" ht="15" hidden="false" customHeight="false" outlineLevel="0" collapsed="false">
      <c r="A44" s="24" t="s">
        <v>114</v>
      </c>
      <c r="B44" s="24" t="s">
        <v>71</v>
      </c>
      <c r="C44" s="25" t="n">
        <v>700</v>
      </c>
      <c r="D44" s="26" t="s">
        <v>72</v>
      </c>
      <c r="E44" s="27" t="n">
        <v>1500</v>
      </c>
      <c r="F44" s="24" t="s">
        <v>73</v>
      </c>
      <c r="G44" s="24"/>
    </row>
    <row r="45" customFormat="false" ht="15" hidden="false" customHeight="false" outlineLevel="0" collapsed="false">
      <c r="A45" s="24" t="s">
        <v>115</v>
      </c>
      <c r="B45" s="24" t="s">
        <v>75</v>
      </c>
      <c r="C45" s="25" t="n">
        <v>820</v>
      </c>
      <c r="D45" s="26" t="s">
        <v>72</v>
      </c>
      <c r="E45" s="27" t="n">
        <v>1650</v>
      </c>
      <c r="F45" s="24" t="s">
        <v>73</v>
      </c>
      <c r="G45" s="24"/>
    </row>
    <row r="46" customFormat="false" ht="15" hidden="false" customHeight="false" outlineLevel="0" collapsed="false">
      <c r="A46" s="24" t="s">
        <v>116</v>
      </c>
      <c r="B46" s="24" t="s">
        <v>77</v>
      </c>
      <c r="C46" s="25" t="n">
        <v>1030</v>
      </c>
      <c r="D46" s="26" t="s">
        <v>72</v>
      </c>
      <c r="E46" s="27" t="n">
        <v>1925</v>
      </c>
      <c r="F46" s="24" t="s">
        <v>73</v>
      </c>
      <c r="G46" s="24"/>
    </row>
    <row r="47" customFormat="false" ht="15" hidden="false" customHeight="false" outlineLevel="0" collapsed="false">
      <c r="A47" s="24" t="s">
        <v>117</v>
      </c>
      <c r="B47" s="24" t="s">
        <v>71</v>
      </c>
      <c r="C47" s="25" t="n">
        <v>700</v>
      </c>
      <c r="D47" s="26" t="s">
        <v>72</v>
      </c>
      <c r="E47" s="27" t="n">
        <v>1500</v>
      </c>
      <c r="F47" s="24" t="s">
        <v>73</v>
      </c>
      <c r="G47" s="24"/>
    </row>
    <row r="48" customFormat="false" ht="15" hidden="false" customHeight="false" outlineLevel="0" collapsed="false">
      <c r="A48" s="24" t="s">
        <v>118</v>
      </c>
      <c r="B48" s="24" t="s">
        <v>75</v>
      </c>
      <c r="C48" s="25" t="n">
        <v>820</v>
      </c>
      <c r="D48" s="26" t="s">
        <v>72</v>
      </c>
      <c r="E48" s="27" t="n">
        <v>1650</v>
      </c>
      <c r="F48" s="24" t="s">
        <v>73</v>
      </c>
      <c r="G48" s="24"/>
    </row>
    <row r="49" customFormat="false" ht="15" hidden="false" customHeight="false" outlineLevel="0" collapsed="false">
      <c r="A49" s="24" t="s">
        <v>119</v>
      </c>
      <c r="B49" s="24" t="s">
        <v>77</v>
      </c>
      <c r="C49" s="25" t="n">
        <v>1030</v>
      </c>
      <c r="D49" s="28" t="s">
        <v>120</v>
      </c>
      <c r="E49" s="27" t="n">
        <v>1925</v>
      </c>
      <c r="F49" s="24" t="s">
        <v>73</v>
      </c>
      <c r="G49" s="24" t="s">
        <v>121</v>
      </c>
    </row>
    <row r="50" customFormat="false" ht="15" hidden="false" customHeight="false" outlineLevel="0" collapsed="false">
      <c r="A50" s="24" t="s">
        <v>122</v>
      </c>
      <c r="B50" s="24" t="s">
        <v>71</v>
      </c>
      <c r="C50" s="25" t="n">
        <v>700</v>
      </c>
      <c r="D50" s="29" t="s">
        <v>123</v>
      </c>
      <c r="E50" s="27" t="n">
        <v>1500</v>
      </c>
      <c r="F50" s="24" t="s">
        <v>73</v>
      </c>
      <c r="G50" s="24"/>
    </row>
    <row r="51" customFormat="false" ht="15" hidden="false" customHeight="false" outlineLevel="0" collapsed="false">
      <c r="A51" s="24" t="s">
        <v>124</v>
      </c>
      <c r="B51" s="24" t="s">
        <v>75</v>
      </c>
      <c r="C51" s="25" t="n">
        <v>820</v>
      </c>
      <c r="D51" s="29" t="s">
        <v>123</v>
      </c>
      <c r="E51" s="27" t="n">
        <v>1650</v>
      </c>
      <c r="F51" s="24" t="s">
        <v>73</v>
      </c>
      <c r="G51" s="24"/>
    </row>
    <row r="52" customFormat="false" ht="15" hidden="false" customHeight="false" outlineLevel="0" collapsed="false">
      <c r="A52" s="24" t="s">
        <v>125</v>
      </c>
      <c r="B52" s="24" t="s">
        <v>77</v>
      </c>
      <c r="C52" s="25" t="n">
        <v>1030</v>
      </c>
      <c r="D52" s="29" t="s">
        <v>123</v>
      </c>
      <c r="E52" s="27" t="n">
        <v>1925</v>
      </c>
      <c r="F52" s="24" t="s">
        <v>73</v>
      </c>
      <c r="G52" s="24"/>
    </row>
    <row r="53" customFormat="false" ht="15" hidden="false" customHeight="false" outlineLevel="0" collapsed="false">
      <c r="A53" s="16" t="s">
        <v>126</v>
      </c>
      <c r="C53" s="30" t="n">
        <f aca="false">SUM(C5:C52)</f>
        <v>40800</v>
      </c>
      <c r="E53" s="17" t="n">
        <f aca="false">SUM(E5:E52)</f>
        <v>81200</v>
      </c>
    </row>
    <row r="56" customFormat="false" ht="15" hidden="false" customHeight="false" outlineLevel="0" collapsed="false">
      <c r="A56" s="16" t="s">
        <v>127</v>
      </c>
    </row>
    <row r="57" customFormat="false" ht="15" hidden="false" customHeight="false" outlineLevel="0" collapsed="false">
      <c r="A57" s="31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31" t="s">
        <v>128</v>
      </c>
      <c r="B58" s="0" t="n">
        <f aca="false">COUNTIF(D5:D52,"active")</f>
        <v>44</v>
      </c>
    </row>
    <row r="59" customFormat="false" ht="15" hidden="false" customHeight="false" outlineLevel="0" collapsed="false">
      <c r="A59" s="31" t="s">
        <v>129</v>
      </c>
      <c r="B59" s="0" t="n">
        <f aca="false">COUNTIF(D5:D52,"pending")</f>
        <v>1</v>
      </c>
    </row>
    <row r="60" customFormat="false" ht="15" hidden="false" customHeight="false" outlineLevel="0" collapsed="false">
      <c r="A60" s="31" t="s">
        <v>130</v>
      </c>
      <c r="B60" s="0" t="n">
        <f aca="false">COUNTIF(D5:D52,"vacant")</f>
        <v>3</v>
      </c>
    </row>
    <row r="61" customFormat="false" ht="15" hidden="false" customHeight="false" outlineLevel="0" collapsed="false">
      <c r="A61" s="31" t="s">
        <v>131</v>
      </c>
      <c r="B61" s="19" t="n">
        <f aca="false">B58/B57</f>
        <v>0.916666666666667</v>
      </c>
    </row>
    <row r="62" customFormat="false" ht="15" hidden="false" customHeight="false" outlineLevel="0" collapsed="false">
      <c r="A62" s="31" t="s">
        <v>132</v>
      </c>
      <c r="B62" s="32" t="n">
        <f aca="false">SUM(C5:C52)</f>
        <v>40800</v>
      </c>
    </row>
    <row r="63" customFormat="false" ht="15" hidden="false" customHeight="false" outlineLevel="0" collapsed="false">
      <c r="A63" s="31" t="s">
        <v>133</v>
      </c>
      <c r="B63" s="32" t="n">
        <f aca="false">SUMIF(D5:D52,"active",C5:C52)</f>
        <v>37220</v>
      </c>
    </row>
    <row r="64" customFormat="false" ht="15" hidden="false" customHeight="false" outlineLevel="0" collapsed="false">
      <c r="A64" s="31" t="s">
        <v>134</v>
      </c>
      <c r="B64" s="19" t="n">
        <f aca="false">B63/B62</f>
        <v>0.912254901960784</v>
      </c>
    </row>
    <row r="65" customFormat="false" ht="15" hidden="false" customHeight="false" outlineLevel="0" collapsed="false">
      <c r="A65" s="31" t="s">
        <v>135</v>
      </c>
      <c r="B65" s="15" t="n">
        <f aca="false">SUM(E5:E52)</f>
        <v>81200</v>
      </c>
    </row>
    <row r="66" customFormat="false" ht="15" hidden="false" customHeight="false" outlineLevel="0" collapsed="false">
      <c r="A66" s="31" t="s">
        <v>136</v>
      </c>
      <c r="B66" s="15" t="n">
        <f aca="false">B65*12</f>
        <v>974400</v>
      </c>
    </row>
    <row r="69" customFormat="false" ht="15" hidden="false" customHeight="false" outlineLevel="0" collapsed="false">
      <c r="A69" s="16" t="s">
        <v>137</v>
      </c>
    </row>
    <row r="70" customFormat="false" ht="15" hidden="false" customHeight="false" outlineLevel="0" collapsed="false">
      <c r="A70" s="16" t="s">
        <v>138</v>
      </c>
      <c r="B70" s="16" t="s">
        <v>139</v>
      </c>
      <c r="C70" s="16" t="s">
        <v>140</v>
      </c>
      <c r="D70" s="16" t="s">
        <v>141</v>
      </c>
    </row>
    <row r="71" customFormat="false" ht="15" hidden="false" customHeight="false" outlineLevel="0" collapsed="false">
      <c r="A71" s="0" t="s">
        <v>142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143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144</v>
      </c>
      <c r="B73" s="0" t="n">
        <f aca="false">COUNTIF(B5:B52,"2BR")</f>
        <v>16</v>
      </c>
      <c r="C73" s="0" t="n">
        <f aca="false">COUNTIFS(B5:B52,"2BR",D5:D52,"active")</f>
        <v>14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1" t="s">
        <v>145</v>
      </c>
      <c r="B1" s="21"/>
      <c r="C1" s="21"/>
      <c r="D1" s="21"/>
    </row>
    <row r="3" customFormat="false" ht="15" hidden="false" customHeight="false" outlineLevel="0" collapsed="false">
      <c r="A3" s="23" t="s">
        <v>146</v>
      </c>
      <c r="B3" s="23" t="s">
        <v>147</v>
      </c>
      <c r="C3" s="23" t="s">
        <v>148</v>
      </c>
      <c r="D3" s="23" t="s">
        <v>149</v>
      </c>
    </row>
    <row r="4" customFormat="false" ht="15" hidden="false" customHeight="false" outlineLevel="0" collapsed="false">
      <c r="A4" s="0" t="s">
        <v>150</v>
      </c>
      <c r="B4" s="15" t="n">
        <v>876960</v>
      </c>
      <c r="D4" s="0" t="s">
        <v>151</v>
      </c>
    </row>
    <row r="5" customFormat="false" ht="15" hidden="false" customHeight="false" outlineLevel="0" collapsed="false">
      <c r="A5" s="0" t="s">
        <v>152</v>
      </c>
      <c r="C5" s="15" t="n">
        <f aca="false">Summary!B6</f>
        <v>974400</v>
      </c>
      <c r="D5" s="0" t="s">
        <v>153</v>
      </c>
    </row>
    <row r="6" customFormat="false" ht="15" hidden="false" customHeight="false" outlineLevel="0" collapsed="false">
      <c r="A6" s="0" t="s">
        <v>154</v>
      </c>
      <c r="C6" s="33" t="n">
        <f aca="false">-Summary!B6*Summary!B12</f>
        <v>-48720</v>
      </c>
      <c r="D6" s="0" t="s">
        <v>155</v>
      </c>
    </row>
    <row r="7" customFormat="false" ht="15" hidden="false" customHeight="false" outlineLevel="0" collapsed="false">
      <c r="A7" s="0" t="s">
        <v>156</v>
      </c>
      <c r="C7" s="15" t="n">
        <f aca="false">Summary!B13*Summary!B14</f>
        <v>16800</v>
      </c>
      <c r="D7" s="0" t="s">
        <v>157</v>
      </c>
    </row>
    <row r="8" customFormat="false" ht="15" hidden="false" customHeight="false" outlineLevel="0" collapsed="false">
      <c r="A8" s="0" t="s">
        <v>28</v>
      </c>
      <c r="C8" s="17" t="n">
        <f aca="false">Summary!B28</f>
        <v>942480</v>
      </c>
    </row>
    <row r="10" customFormat="false" ht="15" hidden="false" customHeight="false" outlineLevel="0" collapsed="false">
      <c r="A10" s="0" t="s">
        <v>158</v>
      </c>
      <c r="B10" s="33" t="n">
        <v>-102312</v>
      </c>
      <c r="C10" s="33" t="n">
        <f aca="false">-Summary!B15</f>
        <v>-102312</v>
      </c>
      <c r="D10" s="0" t="s">
        <v>159</v>
      </c>
    </row>
    <row r="11" customFormat="false" ht="15" hidden="false" customHeight="false" outlineLevel="0" collapsed="false">
      <c r="A11" s="0" t="s">
        <v>160</v>
      </c>
      <c r="B11" s="33" t="n">
        <v>-34104</v>
      </c>
      <c r="C11" s="33" t="n">
        <f aca="false">-Summary!B16</f>
        <v>-34104</v>
      </c>
      <c r="D11" s="0" t="s">
        <v>161</v>
      </c>
    </row>
    <row r="12" customFormat="false" ht="15" hidden="false" customHeight="false" outlineLevel="0" collapsed="false">
      <c r="A12" s="0" t="s">
        <v>18</v>
      </c>
      <c r="B12" s="33" t="n">
        <v>-136416</v>
      </c>
      <c r="C12" s="33" t="n">
        <f aca="false">-Summary!B17</f>
        <v>-136416</v>
      </c>
      <c r="D12" s="0" t="s">
        <v>159</v>
      </c>
    </row>
    <row r="13" customFormat="false" ht="15" hidden="false" customHeight="false" outlineLevel="0" collapsed="false">
      <c r="A13" s="0" t="s">
        <v>162</v>
      </c>
      <c r="C13" s="33" t="n">
        <f aca="false">-Summary!B18*Summary!B28</f>
        <v>-28274.4</v>
      </c>
      <c r="D13" s="0" t="s">
        <v>155</v>
      </c>
    </row>
    <row r="14" customFormat="false" ht="15" hidden="false" customHeight="false" outlineLevel="0" collapsed="false">
      <c r="A14" s="0" t="s">
        <v>163</v>
      </c>
      <c r="B14" s="15" t="n">
        <v>0</v>
      </c>
      <c r="D14" s="0" t="s">
        <v>164</v>
      </c>
    </row>
    <row r="15" customFormat="false" ht="15" hidden="false" customHeight="false" outlineLevel="0" collapsed="false">
      <c r="A15" s="0" t="s">
        <v>165</v>
      </c>
      <c r="B15" s="17" t="n">
        <v>604128</v>
      </c>
      <c r="C15" s="17" t="n">
        <f aca="false">Summary!B30</f>
        <v>641373.6</v>
      </c>
      <c r="D15" s="0" t="s">
        <v>166</v>
      </c>
    </row>
    <row r="17" customFormat="false" ht="15" hidden="false" customHeight="false" outlineLevel="0" collapsed="false">
      <c r="A17" s="0" t="s">
        <v>167</v>
      </c>
      <c r="C17" s="33" t="n">
        <f aca="false">-Summary!B31</f>
        <v>-14400</v>
      </c>
      <c r="D17" s="0" t="s">
        <v>155</v>
      </c>
    </row>
    <row r="18" customFormat="false" ht="15" hidden="false" customHeight="false" outlineLevel="0" collapsed="false">
      <c r="A18" s="0" t="s">
        <v>34</v>
      </c>
      <c r="C18" s="17" t="n">
        <f aca="false">Summary!B32</f>
        <v>626973.6</v>
      </c>
    </row>
    <row r="20" customFormat="false" ht="15" hidden="false" customHeight="false" outlineLevel="0" collapsed="false">
      <c r="A20" s="16" t="s">
        <v>168</v>
      </c>
    </row>
    <row r="21" customFormat="false" ht="15" hidden="false" customHeight="false" outlineLevel="0" collapsed="false">
      <c r="A21" s="0" t="s">
        <v>169</v>
      </c>
    </row>
    <row r="22" customFormat="false" ht="15" hidden="false" customHeight="false" outlineLevel="0" collapsed="false">
      <c r="A22" s="0" t="s">
        <v>170</v>
      </c>
    </row>
    <row r="23" customFormat="false" ht="15" hidden="false" customHeight="false" outlineLevel="0" collapsed="false">
      <c r="A23" s="0" t="s">
        <v>171</v>
      </c>
    </row>
    <row r="24" customFormat="false" ht="15" hidden="false" customHeight="false" outlineLevel="0" collapsed="false">
      <c r="A24" s="0" t="s">
        <v>172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1" t="s">
        <v>173</v>
      </c>
      <c r="B1" s="21"/>
      <c r="C1" s="21"/>
    </row>
    <row r="3" customFormat="false" ht="15" hidden="false" customHeight="false" outlineLevel="0" collapsed="false">
      <c r="A3" s="0" t="s">
        <v>174</v>
      </c>
      <c r="B3" s="34" t="n">
        <f aca="false">Summary!B8</f>
        <v>0.0625</v>
      </c>
    </row>
    <row r="4" customFormat="false" ht="15" hidden="false" customHeight="false" outlineLevel="0" collapsed="false">
      <c r="A4" s="0" t="s">
        <v>10</v>
      </c>
      <c r="B4" s="34" t="n">
        <f aca="false">Summary!B9</f>
        <v>0.0625</v>
      </c>
    </row>
    <row r="5" customFormat="false" ht="15" hidden="false" customHeight="false" outlineLevel="0" collapsed="false">
      <c r="A5" s="0" t="s">
        <v>175</v>
      </c>
      <c r="B5" s="34" t="n">
        <f aca="false">Summary!B10</f>
        <v>0.06</v>
      </c>
    </row>
    <row r="6" customFormat="false" ht="15" hidden="false" customHeight="false" outlineLevel="0" collapsed="false">
      <c r="A6" s="0" t="s">
        <v>176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177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178</v>
      </c>
      <c r="B8" s="14" t="n">
        <f aca="false">Summary!B38</f>
        <v>0.0738860640511674</v>
      </c>
    </row>
    <row r="10" customFormat="false" ht="15" hidden="false" customHeight="false" outlineLevel="0" collapsed="false">
      <c r="A10" s="0" t="s">
        <v>179</v>
      </c>
      <c r="B10" s="15" t="n">
        <f aca="false">Summary!B33</f>
        <v>10261977.6</v>
      </c>
    </row>
    <row r="11" customFormat="false" ht="15" hidden="false" customHeight="false" outlineLevel="0" collapsed="false">
      <c r="A11" s="0" t="s">
        <v>180</v>
      </c>
      <c r="B11" s="15" t="n">
        <f aca="false">Summary!B32</f>
        <v>626973.6</v>
      </c>
    </row>
    <row r="13" customFormat="false" ht="15" hidden="false" customHeight="false" outlineLevel="0" collapsed="false">
      <c r="A13" s="0" t="s">
        <v>181</v>
      </c>
      <c r="B13" s="15" t="n">
        <f aca="false">Summary!B39</f>
        <v>6670285.44</v>
      </c>
    </row>
    <row r="14" customFormat="false" ht="15" hidden="false" customHeight="false" outlineLevel="0" collapsed="false">
      <c r="A14" s="0" t="s">
        <v>182</v>
      </c>
      <c r="B14" s="15" t="n">
        <f aca="false">Summary!B40</f>
        <v>6788545.12608289</v>
      </c>
    </row>
    <row r="15" customFormat="false" ht="15" hidden="false" customHeight="false" outlineLevel="0" collapsed="false">
      <c r="A15" s="0" t="s">
        <v>183</v>
      </c>
      <c r="B15" s="15" t="n">
        <f aca="false">Summary!B41</f>
        <v>6966373.33333333</v>
      </c>
    </row>
    <row r="16" customFormat="false" ht="15" hidden="false" customHeight="false" outlineLevel="0" collapsed="false">
      <c r="A16" s="0" t="s">
        <v>184</v>
      </c>
      <c r="B16" s="17" t="n">
        <f aca="false">Summary!B42</f>
        <v>6670285.44</v>
      </c>
    </row>
    <row r="17" customFormat="false" ht="15" hidden="false" customHeight="false" outlineLevel="0" collapsed="false">
      <c r="A17" s="0" t="s">
        <v>47</v>
      </c>
      <c r="B17" s="16" t="str">
        <f aca="false">Summary!B43</f>
        <v>LTV</v>
      </c>
    </row>
    <row r="19" customFormat="false" ht="15" hidden="false" customHeight="false" outlineLevel="0" collapsed="false">
      <c r="A19" s="16" t="s">
        <v>185</v>
      </c>
    </row>
    <row r="20" customFormat="false" ht="15" hidden="false" customHeight="false" outlineLevel="0" collapsed="false">
      <c r="A20" s="0" t="s">
        <v>186</v>
      </c>
      <c r="B20" s="15" t="n">
        <f aca="false">Summary!B46</f>
        <v>6670285.44</v>
      </c>
    </row>
    <row r="21" customFormat="false" ht="15" hidden="false" customHeight="false" outlineLevel="0" collapsed="false">
      <c r="A21" s="0" t="s">
        <v>187</v>
      </c>
      <c r="B21" s="15" t="n">
        <f aca="false">Summary!B47</f>
        <v>4200000</v>
      </c>
    </row>
    <row r="22" customFormat="false" ht="15" hidden="false" customHeight="false" outlineLevel="0" collapsed="false">
      <c r="A22" s="0" t="s">
        <v>188</v>
      </c>
      <c r="B22" s="15" t="n">
        <f aca="false">Summary!B48</f>
        <v>66702.8544</v>
      </c>
    </row>
    <row r="23" customFormat="false" ht="15" hidden="false" customHeight="false" outlineLevel="0" collapsed="false">
      <c r="A23" s="0" t="s">
        <v>52</v>
      </c>
      <c r="B23" s="15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7" t="n">
        <f aca="false">Summary!B50</f>
        <v>4311702.8544</v>
      </c>
    </row>
    <row r="25" customFormat="false" ht="15" hidden="false" customHeight="false" outlineLevel="0" collapsed="false">
      <c r="A25" s="0" t="s">
        <v>189</v>
      </c>
      <c r="B25" s="35" t="n">
        <f aca="false">Summary!B51</f>
        <v>2358582.5856</v>
      </c>
      <c r="C25" s="0" t="s">
        <v>190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1" t="s">
        <v>191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2" t="s">
        <v>192</v>
      </c>
      <c r="B2" s="22"/>
      <c r="C2" s="22"/>
      <c r="D2" s="22"/>
      <c r="E2" s="22"/>
      <c r="F2" s="22"/>
      <c r="G2" s="22"/>
      <c r="H2" s="22"/>
    </row>
    <row r="4" customFormat="false" ht="15" hidden="false" customHeight="false" outlineLevel="0" collapsed="false">
      <c r="A4" s="16" t="s">
        <v>193</v>
      </c>
    </row>
    <row r="5" customFormat="false" ht="15" hidden="false" customHeight="false" outlineLevel="0" collapsed="false">
      <c r="A5" s="16" t="s">
        <v>194</v>
      </c>
      <c r="B5" s="36" t="n">
        <v>0.055</v>
      </c>
      <c r="C5" s="36" t="n">
        <v>0.06</v>
      </c>
      <c r="D5" s="36" t="n">
        <v>0.0625</v>
      </c>
      <c r="E5" s="36" t="n">
        <v>0.065</v>
      </c>
      <c r="F5" s="36" t="n">
        <v>0.07</v>
      </c>
      <c r="G5" s="36" t="n">
        <v>0.075</v>
      </c>
    </row>
    <row r="6" customFormat="false" ht="15" hidden="false" customHeight="false" outlineLevel="0" collapsed="false">
      <c r="A6" s="36" t="n">
        <v>0.05</v>
      </c>
      <c r="B6" s="27" t="n">
        <f aca="false">MIN(Summary!$B$20*Summary!$B$30/$A6,Summary!$B$32/(Summary!$B$21*12*(B$5/12)*(1+B$5/12)^(Summary!$B$11*12)/((1+B$5/12)^(Summary!$B$11*12)-1)),Summary!$B$32/Summary!$B$22)</f>
        <v>6966373.33333333</v>
      </c>
      <c r="C6" s="27" t="n">
        <f aca="false">MIN(Summary!$B$20*Summary!$B$30/$A6,Summary!$B$32/(Summary!$B$21*12*(C$5/12)*(1+C$5/12)^(Summary!$B$11*12)/((1+C$5/12)^(Summary!$B$11*12)-1)),Summary!$B$32/Summary!$B$22)</f>
        <v>6966373.33333333</v>
      </c>
      <c r="D6" s="27" t="n">
        <f aca="false">MIN(Summary!$B$20*Summary!$B$30/$A6,Summary!$B$32/(Summary!$B$21*12*(D$5/12)*(1+D$5/12)^(Summary!$B$11*12)/((1+D$5/12)^(Summary!$B$11*12)-1)),Summary!$B$32/Summary!$B$22)</f>
        <v>6788545.12608289</v>
      </c>
      <c r="E6" s="27" t="n">
        <f aca="false">MIN(Summary!$B$20*Summary!$B$30/$A6,Summary!$B$32/(Summary!$B$21*12*(E$5/12)*(1+E$5/12)^(Summary!$B$11*12)/((1+E$5/12)^(Summary!$B$11*12)-1)),Summary!$B$32/Summary!$B$22)</f>
        <v>6612933.80560727</v>
      </c>
      <c r="F6" s="27" t="n">
        <f aca="false">MIN(Summary!$B$20*Summary!$B$30/$A6,Summary!$B$32/(Summary!$B$21*12*(F$5/12)*(1+F$5/12)^(Summary!$B$11*12)/((1+F$5/12)^(Summary!$B$11*12)-1)),Summary!$B$32/Summary!$B$22)</f>
        <v>6282591.79889934</v>
      </c>
      <c r="G6" s="27" t="n">
        <f aca="false">MIN(Summary!$B$20*Summary!$B$30/$A6,Summary!$B$32/(Summary!$B$21*12*(G$5/12)*(1+G$5/12)^(Summary!$B$11*12)/((1+G$5/12)^(Summary!$B$11*12)-1)),Summary!$B$32/Summary!$B$22)</f>
        <v>5977885.11089585</v>
      </c>
    </row>
    <row r="7" customFormat="false" ht="15" hidden="false" customHeight="false" outlineLevel="0" collapsed="false">
      <c r="A7" s="36" t="n">
        <v>0.055</v>
      </c>
      <c r="B7" s="27" t="n">
        <f aca="false">MIN(Summary!$B$20*Summary!$B$30/$A7,Summary!$B$32/(Summary!$B$21*12*(B$5/12)*(1+B$5/12)^(Summary!$B$11*12)/((1+B$5/12)^(Summary!$B$11*12)-1)),Summary!$B$32/Summary!$B$22)</f>
        <v>6966373.33333333</v>
      </c>
      <c r="C7" s="27" t="n">
        <f aca="false">MIN(Summary!$B$20*Summary!$B$30/$A7,Summary!$B$32/(Summary!$B$21*12*(C$5/12)*(1+C$5/12)^(Summary!$B$11*12)/((1+C$5/12)^(Summary!$B$11*12)-1)),Summary!$B$32/Summary!$B$22)</f>
        <v>6966373.33333333</v>
      </c>
      <c r="D7" s="27" t="n">
        <f aca="false">MIN(Summary!$B$20*Summary!$B$30/$A7,Summary!$B$32/(Summary!$B$21*12*(D$5/12)*(1+D$5/12)^(Summary!$B$11*12)/((1+D$5/12)^(Summary!$B$11*12)-1)),Summary!$B$32/Summary!$B$22)</f>
        <v>6788545.12608289</v>
      </c>
      <c r="E7" s="27" t="n">
        <f aca="false">MIN(Summary!$B$20*Summary!$B$30/$A7,Summary!$B$32/(Summary!$B$21*12*(E$5/12)*(1+E$5/12)^(Summary!$B$11*12)/((1+E$5/12)^(Summary!$B$11*12)-1)),Summary!$B$32/Summary!$B$22)</f>
        <v>6612933.80560727</v>
      </c>
      <c r="F7" s="27" t="n">
        <f aca="false">MIN(Summary!$B$20*Summary!$B$30/$A7,Summary!$B$32/(Summary!$B$21*12*(F$5/12)*(1+F$5/12)^(Summary!$B$11*12)/((1+F$5/12)^(Summary!$B$11*12)-1)),Summary!$B$32/Summary!$B$22)</f>
        <v>6282591.79889934</v>
      </c>
      <c r="G7" s="27" t="n">
        <f aca="false">MIN(Summary!$B$20*Summary!$B$30/$A7,Summary!$B$32/(Summary!$B$21*12*(G$5/12)*(1+G$5/12)^(Summary!$B$11*12)/((1+G$5/12)^(Summary!$B$11*12)-1)),Summary!$B$32/Summary!$B$22)</f>
        <v>5977885.11089585</v>
      </c>
    </row>
    <row r="8" customFormat="false" ht="15" hidden="false" customHeight="false" outlineLevel="0" collapsed="false">
      <c r="A8" s="36" t="n">
        <v>0.0575</v>
      </c>
      <c r="B8" s="27" t="n">
        <f aca="false">MIN(Summary!$B$20*Summary!$B$30/$A8,Summary!$B$32/(Summary!$B$21*12*(B$5/12)*(1+B$5/12)^(Summary!$B$11*12)/((1+B$5/12)^(Summary!$B$11*12)-1)),Summary!$B$32/Summary!$B$22)</f>
        <v>6966373.33333333</v>
      </c>
      <c r="C8" s="27" t="n">
        <f aca="false">MIN(Summary!$B$20*Summary!$B$30/$A8,Summary!$B$32/(Summary!$B$21*12*(C$5/12)*(1+C$5/12)^(Summary!$B$11*12)/((1+C$5/12)^(Summary!$B$11*12)-1)),Summary!$B$32/Summary!$B$22)</f>
        <v>6966373.33333333</v>
      </c>
      <c r="D8" s="27" t="n">
        <f aca="false">MIN(Summary!$B$20*Summary!$B$30/$A8,Summary!$B$32/(Summary!$B$21*12*(D$5/12)*(1+D$5/12)^(Summary!$B$11*12)/((1+D$5/12)^(Summary!$B$11*12)-1)),Summary!$B$32/Summary!$B$22)</f>
        <v>6788545.12608289</v>
      </c>
      <c r="E8" s="27" t="n">
        <f aca="false">MIN(Summary!$B$20*Summary!$B$30/$A8,Summary!$B$32/(Summary!$B$21*12*(E$5/12)*(1+E$5/12)^(Summary!$B$11*12)/((1+E$5/12)^(Summary!$B$11*12)-1)),Summary!$B$32/Summary!$B$22)</f>
        <v>6612933.80560727</v>
      </c>
      <c r="F8" s="27" t="n">
        <f aca="false">MIN(Summary!$B$20*Summary!$B$30/$A8,Summary!$B$32/(Summary!$B$21*12*(F$5/12)*(1+F$5/12)^(Summary!$B$11*12)/((1+F$5/12)^(Summary!$B$11*12)-1)),Summary!$B$32/Summary!$B$22)</f>
        <v>6282591.79889934</v>
      </c>
      <c r="G8" s="27" t="n">
        <f aca="false">MIN(Summary!$B$20*Summary!$B$30/$A8,Summary!$B$32/(Summary!$B$21*12*(G$5/12)*(1+G$5/12)^(Summary!$B$11*12)/((1+G$5/12)^(Summary!$B$11*12)-1)),Summary!$B$32/Summary!$B$22)</f>
        <v>5977885.11089585</v>
      </c>
    </row>
    <row r="9" customFormat="false" ht="15" hidden="false" customHeight="false" outlineLevel="0" collapsed="false">
      <c r="A9" s="36" t="n">
        <v>0.06</v>
      </c>
      <c r="B9" s="27" t="n">
        <f aca="false">MIN(Summary!$B$20*Summary!$B$30/$A9,Summary!$B$32/(Summary!$B$21*12*(B$5/12)*(1+B$5/12)^(Summary!$B$11*12)/((1+B$5/12)^(Summary!$B$11*12)-1)),Summary!$B$32/Summary!$B$22)</f>
        <v>6948214</v>
      </c>
      <c r="C9" s="27" t="n">
        <f aca="false">MIN(Summary!$B$20*Summary!$B$30/$A9,Summary!$B$32/(Summary!$B$21*12*(C$5/12)*(1+C$5/12)^(Summary!$B$11*12)/((1+C$5/12)^(Summary!$B$11*12)-1)),Summary!$B$32/Summary!$B$22)</f>
        <v>6948214</v>
      </c>
      <c r="D9" s="27" t="n">
        <f aca="false">MIN(Summary!$B$20*Summary!$B$30/$A9,Summary!$B$32/(Summary!$B$21*12*(D$5/12)*(1+D$5/12)^(Summary!$B$11*12)/((1+D$5/12)^(Summary!$B$11*12)-1)),Summary!$B$32/Summary!$B$22)</f>
        <v>6788545.12608289</v>
      </c>
      <c r="E9" s="27" t="n">
        <f aca="false">MIN(Summary!$B$20*Summary!$B$30/$A9,Summary!$B$32/(Summary!$B$21*12*(E$5/12)*(1+E$5/12)^(Summary!$B$11*12)/((1+E$5/12)^(Summary!$B$11*12)-1)),Summary!$B$32/Summary!$B$22)</f>
        <v>6612933.80560727</v>
      </c>
      <c r="F9" s="27" t="n">
        <f aca="false">MIN(Summary!$B$20*Summary!$B$30/$A9,Summary!$B$32/(Summary!$B$21*12*(F$5/12)*(1+F$5/12)^(Summary!$B$11*12)/((1+F$5/12)^(Summary!$B$11*12)-1)),Summary!$B$32/Summary!$B$22)</f>
        <v>6282591.79889934</v>
      </c>
      <c r="G9" s="27" t="n">
        <f aca="false">MIN(Summary!$B$20*Summary!$B$30/$A9,Summary!$B$32/(Summary!$B$21*12*(G$5/12)*(1+G$5/12)^(Summary!$B$11*12)/((1+G$5/12)^(Summary!$B$11*12)-1)),Summary!$B$32/Summary!$B$22)</f>
        <v>5977885.11089585</v>
      </c>
    </row>
    <row r="10" customFormat="false" ht="15" hidden="false" customHeight="false" outlineLevel="0" collapsed="false">
      <c r="A10" s="36" t="n">
        <v>0.065</v>
      </c>
      <c r="B10" s="27" t="n">
        <f aca="false">MIN(Summary!$B$20*Summary!$B$30/$A10,Summary!$B$32/(Summary!$B$21*12*(B$5/12)*(1+B$5/12)^(Summary!$B$11*12)/((1+B$5/12)^(Summary!$B$11*12)-1)),Summary!$B$32/Summary!$B$22)</f>
        <v>6413736</v>
      </c>
      <c r="C10" s="27" t="n">
        <f aca="false">MIN(Summary!$B$20*Summary!$B$30/$A10,Summary!$B$32/(Summary!$B$21*12*(C$5/12)*(1+C$5/12)^(Summary!$B$11*12)/((1+C$5/12)^(Summary!$B$11*12)-1)),Summary!$B$32/Summary!$B$22)</f>
        <v>6413736</v>
      </c>
      <c r="D10" s="27" t="n">
        <f aca="false">MIN(Summary!$B$20*Summary!$B$30/$A10,Summary!$B$32/(Summary!$B$21*12*(D$5/12)*(1+D$5/12)^(Summary!$B$11*12)/((1+D$5/12)^(Summary!$B$11*12)-1)),Summary!$B$32/Summary!$B$22)</f>
        <v>6413736</v>
      </c>
      <c r="E10" s="27" t="n">
        <f aca="false">MIN(Summary!$B$20*Summary!$B$30/$A10,Summary!$B$32/(Summary!$B$21*12*(E$5/12)*(1+E$5/12)^(Summary!$B$11*12)/((1+E$5/12)^(Summary!$B$11*12)-1)),Summary!$B$32/Summary!$B$22)</f>
        <v>6413736</v>
      </c>
      <c r="F10" s="27" t="n">
        <f aca="false">MIN(Summary!$B$20*Summary!$B$30/$A10,Summary!$B$32/(Summary!$B$21*12*(F$5/12)*(1+F$5/12)^(Summary!$B$11*12)/((1+F$5/12)^(Summary!$B$11*12)-1)),Summary!$B$32/Summary!$B$22)</f>
        <v>6282591.79889934</v>
      </c>
      <c r="G10" s="27" t="n">
        <f aca="false">MIN(Summary!$B$20*Summary!$B$30/$A10,Summary!$B$32/(Summary!$B$21*12*(G$5/12)*(1+G$5/12)^(Summary!$B$11*12)/((1+G$5/12)^(Summary!$B$11*12)-1)),Summary!$B$32/Summary!$B$22)</f>
        <v>5977885.11089585</v>
      </c>
    </row>
    <row r="11" customFormat="false" ht="15" hidden="false" customHeight="false" outlineLevel="0" collapsed="false">
      <c r="A11" s="36" t="n">
        <v>0.07</v>
      </c>
      <c r="B11" s="27" t="n">
        <f aca="false">MIN(Summary!$B$20*Summary!$B$30/$A11,Summary!$B$32/(Summary!$B$21*12*(B$5/12)*(1+B$5/12)^(Summary!$B$11*12)/((1+B$5/12)^(Summary!$B$11*12)-1)),Summary!$B$32/Summary!$B$22)</f>
        <v>5955612</v>
      </c>
      <c r="C11" s="27" t="n">
        <f aca="false">MIN(Summary!$B$20*Summary!$B$30/$A11,Summary!$B$32/(Summary!$B$21*12*(C$5/12)*(1+C$5/12)^(Summary!$B$11*12)/((1+C$5/12)^(Summary!$B$11*12)-1)),Summary!$B$32/Summary!$B$22)</f>
        <v>5955612</v>
      </c>
      <c r="D11" s="27" t="n">
        <f aca="false">MIN(Summary!$B$20*Summary!$B$30/$A11,Summary!$B$32/(Summary!$B$21*12*(D$5/12)*(1+D$5/12)^(Summary!$B$11*12)/((1+D$5/12)^(Summary!$B$11*12)-1)),Summary!$B$32/Summary!$B$22)</f>
        <v>5955612</v>
      </c>
      <c r="E11" s="27" t="n">
        <f aca="false">MIN(Summary!$B$20*Summary!$B$30/$A11,Summary!$B$32/(Summary!$B$21*12*(E$5/12)*(1+E$5/12)^(Summary!$B$11*12)/((1+E$5/12)^(Summary!$B$11*12)-1)),Summary!$B$32/Summary!$B$22)</f>
        <v>5955612</v>
      </c>
      <c r="F11" s="27" t="n">
        <f aca="false">MIN(Summary!$B$20*Summary!$B$30/$A11,Summary!$B$32/(Summary!$B$21*12*(F$5/12)*(1+F$5/12)^(Summary!$B$11*12)/((1+F$5/12)^(Summary!$B$11*12)-1)),Summary!$B$32/Summary!$B$22)</f>
        <v>5955612</v>
      </c>
      <c r="G11" s="27" t="n">
        <f aca="false">MIN(Summary!$B$20*Summary!$B$30/$A11,Summary!$B$32/(Summary!$B$21*12*(G$5/12)*(1+G$5/12)^(Summary!$B$11*12)/((1+G$5/12)^(Summary!$B$11*12)-1)),Summary!$B$32/Summary!$B$22)</f>
        <v>5955612</v>
      </c>
    </row>
    <row r="14" customFormat="false" ht="15" hidden="false" customHeight="false" outlineLevel="0" collapsed="false">
      <c r="A14" s="16" t="s">
        <v>195</v>
      </c>
    </row>
    <row r="15" customFormat="false" ht="15" hidden="false" customHeight="false" outlineLevel="0" collapsed="false">
      <c r="A15" s="16" t="s">
        <v>194</v>
      </c>
      <c r="B15" s="36" t="n">
        <v>0.055</v>
      </c>
      <c r="C15" s="36" t="n">
        <v>0.06</v>
      </c>
      <c r="D15" s="36" t="n">
        <v>0.0625</v>
      </c>
      <c r="E15" s="36" t="n">
        <v>0.065</v>
      </c>
      <c r="F15" s="36" t="n">
        <v>0.07</v>
      </c>
      <c r="G15" s="36" t="n">
        <v>0.075</v>
      </c>
    </row>
    <row r="16" customFormat="false" ht="15" hidden="false" customHeight="false" outlineLevel="0" collapsed="false">
      <c r="A16" s="36" t="n">
        <v>0.05</v>
      </c>
      <c r="B16" s="37" t="n">
        <f aca="false">B6-Summary!$B$25-Summary!$B$23*B6-Summary!$B$24</f>
        <v>2651709.6</v>
      </c>
      <c r="C16" s="37" t="n">
        <f aca="false">C6-Summary!$B$25-Summary!$B$23*C6-Summary!$B$24</f>
        <v>2651709.6</v>
      </c>
      <c r="D16" s="37" t="n">
        <f aca="false">D6-Summary!$B$25-Summary!$B$23*D6-Summary!$B$24</f>
        <v>2475659.67482206</v>
      </c>
      <c r="E16" s="37" t="n">
        <f aca="false">E6-Summary!$B$25-Summary!$B$23*E6-Summary!$B$24</f>
        <v>2301804.4675512</v>
      </c>
      <c r="F16" s="37" t="n">
        <f aca="false">F6-Summary!$B$25-Summary!$B$23*F6-Summary!$B$24</f>
        <v>1974765.88091035</v>
      </c>
      <c r="G16" s="37" t="n">
        <f aca="false">G6-Summary!$B$25-Summary!$B$23*G6-Summary!$B$24</f>
        <v>1673106.25978689</v>
      </c>
    </row>
    <row r="17" customFormat="false" ht="15" hidden="false" customHeight="false" outlineLevel="0" collapsed="false">
      <c r="A17" s="36" t="n">
        <v>0.055</v>
      </c>
      <c r="B17" s="37" t="n">
        <f aca="false">B7-Summary!$B$25-Summary!$B$23*B7-Summary!$B$24</f>
        <v>2651709.6</v>
      </c>
      <c r="C17" s="37" t="n">
        <f aca="false">C7-Summary!$B$25-Summary!$B$23*C7-Summary!$B$24</f>
        <v>2651709.6</v>
      </c>
      <c r="D17" s="37" t="n">
        <f aca="false">D7-Summary!$B$25-Summary!$B$23*D7-Summary!$B$24</f>
        <v>2475659.67482206</v>
      </c>
      <c r="E17" s="37" t="n">
        <f aca="false">E7-Summary!$B$25-Summary!$B$23*E7-Summary!$B$24</f>
        <v>2301804.4675512</v>
      </c>
      <c r="F17" s="37" t="n">
        <f aca="false">F7-Summary!$B$25-Summary!$B$23*F7-Summary!$B$24</f>
        <v>1974765.88091035</v>
      </c>
      <c r="G17" s="37" t="n">
        <f aca="false">G7-Summary!$B$25-Summary!$B$23*G7-Summary!$B$24</f>
        <v>1673106.25978689</v>
      </c>
    </row>
    <row r="18" customFormat="false" ht="15" hidden="false" customHeight="false" outlineLevel="0" collapsed="false">
      <c r="A18" s="36" t="n">
        <v>0.0575</v>
      </c>
      <c r="B18" s="37" t="n">
        <f aca="false">B8-Summary!$B$25-Summary!$B$23*B8-Summary!$B$24</f>
        <v>2651709.6</v>
      </c>
      <c r="C18" s="37" t="n">
        <f aca="false">C8-Summary!$B$25-Summary!$B$23*C8-Summary!$B$24</f>
        <v>2651709.6</v>
      </c>
      <c r="D18" s="37" t="n">
        <f aca="false">D8-Summary!$B$25-Summary!$B$23*D8-Summary!$B$24</f>
        <v>2475659.67482206</v>
      </c>
      <c r="E18" s="37" t="n">
        <f aca="false">E8-Summary!$B$25-Summary!$B$23*E8-Summary!$B$24</f>
        <v>2301804.4675512</v>
      </c>
      <c r="F18" s="37" t="n">
        <f aca="false">F8-Summary!$B$25-Summary!$B$23*F8-Summary!$B$24</f>
        <v>1974765.88091035</v>
      </c>
      <c r="G18" s="37" t="n">
        <f aca="false">G8-Summary!$B$25-Summary!$B$23*G8-Summary!$B$24</f>
        <v>1673106.25978689</v>
      </c>
    </row>
    <row r="19" customFormat="false" ht="15" hidden="false" customHeight="false" outlineLevel="0" collapsed="false">
      <c r="A19" s="36" t="n">
        <v>0.06</v>
      </c>
      <c r="B19" s="37" t="n">
        <f aca="false">B9-Summary!$B$25-Summary!$B$23*B9-Summary!$B$24</f>
        <v>2633731.86</v>
      </c>
      <c r="C19" s="37" t="n">
        <f aca="false">C9-Summary!$B$25-Summary!$B$23*C9-Summary!$B$24</f>
        <v>2633731.86</v>
      </c>
      <c r="D19" s="37" t="n">
        <f aca="false">D9-Summary!$B$25-Summary!$B$23*D9-Summary!$B$24</f>
        <v>2475659.67482206</v>
      </c>
      <c r="E19" s="37" t="n">
        <f aca="false">E9-Summary!$B$25-Summary!$B$23*E9-Summary!$B$24</f>
        <v>2301804.4675512</v>
      </c>
      <c r="F19" s="37" t="n">
        <f aca="false">F9-Summary!$B$25-Summary!$B$23*F9-Summary!$B$24</f>
        <v>1974765.88091035</v>
      </c>
      <c r="G19" s="37" t="n">
        <f aca="false">G9-Summary!$B$25-Summary!$B$23*G9-Summary!$B$24</f>
        <v>1673106.25978689</v>
      </c>
    </row>
    <row r="20" customFormat="false" ht="15" hidden="false" customHeight="false" outlineLevel="0" collapsed="false">
      <c r="A20" s="36" t="n">
        <v>0.065</v>
      </c>
      <c r="B20" s="37" t="n">
        <f aca="false">B10-Summary!$B$25-Summary!$B$23*B10-Summary!$B$24</f>
        <v>2104598.64</v>
      </c>
      <c r="C20" s="37" t="n">
        <f aca="false">C10-Summary!$B$25-Summary!$B$23*C10-Summary!$B$24</f>
        <v>2104598.64</v>
      </c>
      <c r="D20" s="37" t="n">
        <f aca="false">D10-Summary!$B$25-Summary!$B$23*D10-Summary!$B$24</f>
        <v>2104598.64</v>
      </c>
      <c r="E20" s="37" t="n">
        <f aca="false">E10-Summary!$B$25-Summary!$B$23*E10-Summary!$B$24</f>
        <v>2104598.64</v>
      </c>
      <c r="F20" s="37" t="n">
        <f aca="false">F10-Summary!$B$25-Summary!$B$23*F10-Summary!$B$24</f>
        <v>1974765.88091035</v>
      </c>
      <c r="G20" s="37" t="n">
        <f aca="false">G10-Summary!$B$25-Summary!$B$23*G10-Summary!$B$24</f>
        <v>1673106.25978689</v>
      </c>
    </row>
    <row r="21" customFormat="false" ht="15" hidden="false" customHeight="false" outlineLevel="0" collapsed="false">
      <c r="A21" s="36" t="n">
        <v>0.07</v>
      </c>
      <c r="B21" s="37" t="n">
        <f aca="false">B11-Summary!$B$25-Summary!$B$23*B11-Summary!$B$24</f>
        <v>1651055.88</v>
      </c>
      <c r="C21" s="37" t="n">
        <f aca="false">C11-Summary!$B$25-Summary!$B$23*C11-Summary!$B$24</f>
        <v>1651055.88</v>
      </c>
      <c r="D21" s="37" t="n">
        <f aca="false">D11-Summary!$B$25-Summary!$B$23*D11-Summary!$B$24</f>
        <v>1651055.88</v>
      </c>
      <c r="E21" s="37" t="n">
        <f aca="false">E11-Summary!$B$25-Summary!$B$23*E11-Summary!$B$24</f>
        <v>1651055.88</v>
      </c>
      <c r="F21" s="37" t="n">
        <f aca="false">F11-Summary!$B$25-Summary!$B$23*F11-Summary!$B$24</f>
        <v>1651055.88</v>
      </c>
      <c r="G21" s="37" t="n">
        <f aca="false">G11-Summary!$B$25-Summary!$B$23*G11-Summary!$B$24</f>
        <v>1651055.88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1" t="s">
        <v>196</v>
      </c>
      <c r="B1" s="21"/>
      <c r="C1" s="21"/>
      <c r="D1" s="21"/>
    </row>
    <row r="3" customFormat="false" ht="15" hidden="false" customHeight="false" outlineLevel="0" collapsed="false">
      <c r="A3" s="23" t="s">
        <v>197</v>
      </c>
      <c r="B3" s="23" t="s">
        <v>198</v>
      </c>
      <c r="C3" s="23" t="s">
        <v>199</v>
      </c>
      <c r="D3" s="23" t="s">
        <v>200</v>
      </c>
    </row>
    <row r="4" customFormat="false" ht="60" hidden="false" customHeight="true" outlineLevel="0" collapsed="false">
      <c r="A4" s="38" t="s">
        <v>201</v>
      </c>
      <c r="B4" s="38" t="s">
        <v>202</v>
      </c>
      <c r="C4" s="38" t="s">
        <v>203</v>
      </c>
      <c r="D4" s="38" t="s">
        <v>204</v>
      </c>
    </row>
    <row r="5" customFormat="false" ht="60" hidden="false" customHeight="true" outlineLevel="0" collapsed="false">
      <c r="A5" s="38" t="s">
        <v>205</v>
      </c>
      <c r="B5" s="38" t="s">
        <v>206</v>
      </c>
      <c r="C5" s="38" t="s">
        <v>207</v>
      </c>
      <c r="D5" s="38" t="s">
        <v>208</v>
      </c>
    </row>
    <row r="6" customFormat="false" ht="60" hidden="false" customHeight="true" outlineLevel="0" collapsed="false">
      <c r="A6" s="38" t="s">
        <v>209</v>
      </c>
      <c r="B6" s="38" t="s">
        <v>210</v>
      </c>
      <c r="C6" s="38" t="s">
        <v>211</v>
      </c>
      <c r="D6" s="38" t="s">
        <v>212</v>
      </c>
    </row>
    <row r="7" customFormat="false" ht="60" hidden="false" customHeight="true" outlineLevel="0" collapsed="false">
      <c r="A7" s="38" t="s">
        <v>213</v>
      </c>
      <c r="B7" s="38" t="s">
        <v>202</v>
      </c>
      <c r="C7" s="38" t="s">
        <v>214</v>
      </c>
      <c r="D7" s="38" t="s">
        <v>215</v>
      </c>
    </row>
    <row r="8" customFormat="false" ht="60" hidden="false" customHeight="true" outlineLevel="0" collapsed="false">
      <c r="A8" s="38" t="s">
        <v>216</v>
      </c>
      <c r="B8" s="38" t="s">
        <v>202</v>
      </c>
      <c r="C8" s="38" t="s">
        <v>217</v>
      </c>
      <c r="D8" s="38" t="s">
        <v>218</v>
      </c>
    </row>
    <row r="9" customFormat="false" ht="60" hidden="false" customHeight="true" outlineLevel="0" collapsed="false">
      <c r="A9" s="38" t="s">
        <v>219</v>
      </c>
      <c r="B9" s="38" t="s">
        <v>220</v>
      </c>
      <c r="C9" s="38" t="s">
        <v>221</v>
      </c>
      <c r="D9" s="38" t="s">
        <v>222</v>
      </c>
    </row>
    <row r="10" customFormat="false" ht="60" hidden="false" customHeight="true" outlineLevel="0" collapsed="false">
      <c r="A10" s="38" t="s">
        <v>155</v>
      </c>
      <c r="B10" s="38" t="s">
        <v>202</v>
      </c>
      <c r="C10" s="38" t="s">
        <v>223</v>
      </c>
      <c r="D10" s="38" t="s">
        <v>224</v>
      </c>
    </row>
    <row r="11" customFormat="false" ht="60" hidden="false" customHeight="true" outlineLevel="0" collapsed="false">
      <c r="A11" s="38" t="s">
        <v>225</v>
      </c>
      <c r="B11" s="38" t="s">
        <v>202</v>
      </c>
      <c r="C11" s="38" t="s">
        <v>226</v>
      </c>
      <c r="D11" s="38" t="s">
        <v>227</v>
      </c>
    </row>
    <row r="12" customFormat="false" ht="60" hidden="false" customHeight="true" outlineLevel="0" collapsed="false">
      <c r="A12" s="38" t="s">
        <v>228</v>
      </c>
      <c r="B12" s="38" t="s">
        <v>202</v>
      </c>
      <c r="C12" s="38" t="s">
        <v>229</v>
      </c>
      <c r="D12" s="38" t="s">
        <v>230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1" t="s">
        <v>231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23" t="s">
        <v>232</v>
      </c>
      <c r="B3" s="23" t="s">
        <v>233</v>
      </c>
      <c r="C3" s="23" t="s">
        <v>234</v>
      </c>
      <c r="D3" s="23" t="s">
        <v>235</v>
      </c>
      <c r="E3" s="23" t="s">
        <v>198</v>
      </c>
      <c r="F3" s="23" t="s">
        <v>236</v>
      </c>
    </row>
    <row r="4" customFormat="false" ht="31.5" hidden="false" customHeight="true" outlineLevel="0" collapsed="false">
      <c r="A4" s="39" t="s">
        <v>237</v>
      </c>
      <c r="B4" s="38" t="n">
        <v>48</v>
      </c>
      <c r="C4" s="38" t="s">
        <v>238</v>
      </c>
      <c r="D4" s="38" t="s">
        <v>205</v>
      </c>
      <c r="E4" s="38" t="s">
        <v>239</v>
      </c>
      <c r="F4" s="38" t="s">
        <v>240</v>
      </c>
    </row>
    <row r="5" customFormat="false" ht="31.5" hidden="false" customHeight="true" outlineLevel="0" collapsed="false">
      <c r="A5" s="39" t="s">
        <v>241</v>
      </c>
      <c r="B5" s="38" t="n">
        <v>44</v>
      </c>
      <c r="C5" s="38" t="s">
        <v>238</v>
      </c>
      <c r="D5" s="38" t="s">
        <v>205</v>
      </c>
      <c r="E5" s="38" t="s">
        <v>242</v>
      </c>
      <c r="F5" s="38" t="s">
        <v>243</v>
      </c>
    </row>
    <row r="6" customFormat="false" ht="31.5" hidden="false" customHeight="true" outlineLevel="0" collapsed="false">
      <c r="A6" s="39" t="s">
        <v>244</v>
      </c>
      <c r="B6" s="38" t="n">
        <v>1</v>
      </c>
      <c r="C6" s="38" t="s">
        <v>238</v>
      </c>
      <c r="D6" s="38" t="s">
        <v>205</v>
      </c>
      <c r="E6" s="38" t="s">
        <v>245</v>
      </c>
      <c r="F6" s="38" t="s">
        <v>246</v>
      </c>
    </row>
    <row r="7" customFormat="false" ht="31.5" hidden="false" customHeight="true" outlineLevel="0" collapsed="false">
      <c r="A7" s="39" t="s">
        <v>247</v>
      </c>
      <c r="B7" s="38" t="n">
        <v>40800</v>
      </c>
      <c r="C7" s="38" t="s">
        <v>248</v>
      </c>
      <c r="D7" s="38" t="s">
        <v>205</v>
      </c>
      <c r="E7" s="38" t="s">
        <v>249</v>
      </c>
      <c r="F7" s="38" t="s">
        <v>250</v>
      </c>
    </row>
    <row r="8" customFormat="false" ht="31.5" hidden="false" customHeight="true" outlineLevel="0" collapsed="false">
      <c r="A8" s="39" t="s">
        <v>251</v>
      </c>
      <c r="B8" s="38" t="n">
        <v>36680</v>
      </c>
      <c r="C8" s="38" t="s">
        <v>248</v>
      </c>
      <c r="D8" s="38" t="s">
        <v>205</v>
      </c>
      <c r="E8" s="38" t="s">
        <v>252</v>
      </c>
      <c r="F8" s="38" t="s">
        <v>253</v>
      </c>
    </row>
    <row r="9" customFormat="false" ht="31.5" hidden="false" customHeight="true" outlineLevel="0" collapsed="false">
      <c r="A9" s="39" t="s">
        <v>254</v>
      </c>
      <c r="B9" s="40" t="n">
        <v>0.9167</v>
      </c>
      <c r="C9" s="38" t="s">
        <v>255</v>
      </c>
      <c r="D9" s="38" t="s">
        <v>205</v>
      </c>
      <c r="E9" s="38" t="s">
        <v>256</v>
      </c>
      <c r="F9" s="38" t="s">
        <v>257</v>
      </c>
    </row>
    <row r="10" customFormat="false" ht="31.5" hidden="false" customHeight="true" outlineLevel="0" collapsed="false">
      <c r="A10" s="39" t="s">
        <v>258</v>
      </c>
      <c r="B10" s="40" t="n">
        <v>0.899</v>
      </c>
      <c r="C10" s="38" t="s">
        <v>255</v>
      </c>
      <c r="D10" s="38" t="s">
        <v>205</v>
      </c>
      <c r="E10" s="38" t="s">
        <v>256</v>
      </c>
      <c r="F10" s="38" t="s">
        <v>259</v>
      </c>
    </row>
    <row r="11" customFormat="false" ht="31.5" hidden="false" customHeight="true" outlineLevel="0" collapsed="false">
      <c r="A11" s="39" t="s">
        <v>260</v>
      </c>
      <c r="B11" s="41" t="n">
        <v>974400</v>
      </c>
      <c r="C11" s="38" t="s">
        <v>261</v>
      </c>
      <c r="D11" s="38" t="s">
        <v>205</v>
      </c>
      <c r="E11" s="38" t="s">
        <v>262</v>
      </c>
      <c r="F11" s="38" t="s">
        <v>263</v>
      </c>
    </row>
    <row r="12" customFormat="false" ht="31.5" hidden="false" customHeight="true" outlineLevel="0" collapsed="false">
      <c r="A12" s="39" t="s">
        <v>264</v>
      </c>
      <c r="B12" s="41" t="n">
        <v>1850</v>
      </c>
      <c r="C12" s="38" t="s">
        <v>265</v>
      </c>
      <c r="D12" s="38" t="s">
        <v>266</v>
      </c>
      <c r="E12" s="38" t="s">
        <v>267</v>
      </c>
      <c r="F12" s="38" t="s">
        <v>268</v>
      </c>
    </row>
    <row r="13" customFormat="false" ht="31.5" hidden="false" customHeight="true" outlineLevel="0" collapsed="false">
      <c r="A13" s="39" t="s">
        <v>5</v>
      </c>
      <c r="B13" s="41" t="n">
        <v>974400</v>
      </c>
      <c r="C13" s="38" t="s">
        <v>261</v>
      </c>
      <c r="D13" s="38" t="s">
        <v>269</v>
      </c>
      <c r="E13" s="38" t="s">
        <v>270</v>
      </c>
      <c r="F13" s="38" t="s">
        <v>271</v>
      </c>
    </row>
    <row r="14" customFormat="false" ht="31.5" hidden="false" customHeight="true" outlineLevel="0" collapsed="false">
      <c r="A14" s="39" t="s">
        <v>29</v>
      </c>
      <c r="B14" s="42" t="n">
        <v>942480</v>
      </c>
      <c r="C14" s="38" t="s">
        <v>261</v>
      </c>
      <c r="D14" s="38" t="s">
        <v>155</v>
      </c>
      <c r="E14" s="38" t="s">
        <v>272</v>
      </c>
      <c r="F14" s="38" t="s">
        <v>273</v>
      </c>
    </row>
    <row r="15" customFormat="false" ht="31.5" hidden="false" customHeight="true" outlineLevel="0" collapsed="false">
      <c r="A15" s="39" t="s">
        <v>274</v>
      </c>
      <c r="B15" s="41" t="n">
        <v>102312</v>
      </c>
      <c r="C15" s="38" t="s">
        <v>261</v>
      </c>
      <c r="D15" s="38" t="s">
        <v>275</v>
      </c>
      <c r="E15" s="38" t="s">
        <v>276</v>
      </c>
      <c r="F15" s="38" t="s">
        <v>277</v>
      </c>
    </row>
    <row r="16" customFormat="false" ht="31.5" hidden="false" customHeight="true" outlineLevel="0" collapsed="false">
      <c r="A16" s="39" t="s">
        <v>278</v>
      </c>
      <c r="B16" s="41" t="n">
        <v>34104</v>
      </c>
      <c r="C16" s="38" t="s">
        <v>261</v>
      </c>
      <c r="D16" s="38" t="s">
        <v>275</v>
      </c>
      <c r="E16" s="38" t="s">
        <v>279</v>
      </c>
      <c r="F16" s="38" t="s">
        <v>280</v>
      </c>
    </row>
    <row r="17" customFormat="false" ht="31.5" hidden="false" customHeight="true" outlineLevel="0" collapsed="false">
      <c r="A17" s="39" t="s">
        <v>281</v>
      </c>
      <c r="B17" s="42" t="n">
        <v>301106.4</v>
      </c>
      <c r="C17" s="38" t="s">
        <v>261</v>
      </c>
      <c r="D17" s="38" t="s">
        <v>155</v>
      </c>
      <c r="E17" s="38" t="s">
        <v>282</v>
      </c>
      <c r="F17" s="38" t="s">
        <v>283</v>
      </c>
    </row>
    <row r="18" customFormat="false" ht="31.5" hidden="false" customHeight="true" outlineLevel="0" collapsed="false">
      <c r="A18" s="39" t="s">
        <v>32</v>
      </c>
      <c r="B18" s="42" t="n">
        <v>641373.6</v>
      </c>
      <c r="C18" s="38" t="s">
        <v>261</v>
      </c>
      <c r="D18" s="38" t="s">
        <v>284</v>
      </c>
      <c r="E18" s="38" t="s">
        <v>285</v>
      </c>
      <c r="F18" s="38" t="s">
        <v>286</v>
      </c>
    </row>
    <row r="19" customFormat="false" ht="31.5" hidden="false" customHeight="true" outlineLevel="0" collapsed="false">
      <c r="A19" s="39" t="s">
        <v>35</v>
      </c>
      <c r="B19" s="42" t="n">
        <v>626973.6</v>
      </c>
      <c r="C19" s="38" t="s">
        <v>261</v>
      </c>
      <c r="D19" s="38" t="s">
        <v>284</v>
      </c>
      <c r="E19" s="38" t="s">
        <v>287</v>
      </c>
      <c r="F19" s="38" t="s">
        <v>288</v>
      </c>
    </row>
    <row r="20" customFormat="false" ht="31.5" hidden="false" customHeight="true" outlineLevel="0" collapsed="false">
      <c r="A20" s="39" t="s">
        <v>9</v>
      </c>
      <c r="B20" s="40" t="n">
        <v>0.0625</v>
      </c>
      <c r="C20" s="38" t="s">
        <v>255</v>
      </c>
      <c r="D20" s="38" t="s">
        <v>155</v>
      </c>
      <c r="E20" s="38" t="s">
        <v>202</v>
      </c>
      <c r="F20" s="38" t="s">
        <v>289</v>
      </c>
    </row>
    <row r="21" customFormat="false" ht="31.5" hidden="false" customHeight="true" outlineLevel="0" collapsed="false">
      <c r="A21" s="39" t="s">
        <v>7</v>
      </c>
      <c r="B21" s="40" t="n">
        <v>0.0575</v>
      </c>
      <c r="C21" s="38" t="s">
        <v>255</v>
      </c>
      <c r="D21" s="38" t="s">
        <v>155</v>
      </c>
      <c r="E21" s="38" t="s">
        <v>202</v>
      </c>
      <c r="F21" s="38" t="s">
        <v>290</v>
      </c>
    </row>
    <row r="22" customFormat="false" ht="31.5" hidden="false" customHeight="true" outlineLevel="0" collapsed="false">
      <c r="A22" s="39" t="s">
        <v>37</v>
      </c>
      <c r="B22" s="41" t="n">
        <v>11154323</v>
      </c>
      <c r="C22" s="38" t="s">
        <v>261</v>
      </c>
      <c r="D22" s="38" t="s">
        <v>284</v>
      </c>
      <c r="E22" s="38" t="s">
        <v>291</v>
      </c>
      <c r="F22" s="38" t="s">
        <v>292</v>
      </c>
    </row>
    <row r="23" customFormat="false" ht="31.5" hidden="false" customHeight="true" outlineLevel="0" collapsed="false">
      <c r="A23" s="39" t="s">
        <v>293</v>
      </c>
      <c r="B23" s="40" t="n">
        <v>0.65</v>
      </c>
      <c r="C23" s="38" t="s">
        <v>255</v>
      </c>
      <c r="D23" s="38" t="s">
        <v>155</v>
      </c>
      <c r="E23" s="38" t="s">
        <v>202</v>
      </c>
      <c r="F23" s="38" t="s">
        <v>294</v>
      </c>
    </row>
    <row r="24" customFormat="false" ht="31.5" hidden="false" customHeight="true" outlineLevel="0" collapsed="false">
      <c r="A24" s="39" t="s">
        <v>295</v>
      </c>
      <c r="B24" s="43" t="n">
        <v>1.25</v>
      </c>
      <c r="C24" s="38" t="s">
        <v>296</v>
      </c>
      <c r="D24" s="38" t="s">
        <v>155</v>
      </c>
      <c r="E24" s="38" t="s">
        <v>202</v>
      </c>
      <c r="F24" s="38" t="s">
        <v>297</v>
      </c>
    </row>
    <row r="25" customFormat="false" ht="31.5" hidden="false" customHeight="true" outlineLevel="0" collapsed="false">
      <c r="A25" s="39" t="s">
        <v>298</v>
      </c>
      <c r="B25" s="40" t="n">
        <v>0.09</v>
      </c>
      <c r="C25" s="38" t="s">
        <v>255</v>
      </c>
      <c r="D25" s="38" t="s">
        <v>155</v>
      </c>
      <c r="E25" s="38" t="s">
        <v>202</v>
      </c>
      <c r="F25" s="38" t="s">
        <v>299</v>
      </c>
    </row>
    <row r="26" customFormat="false" ht="31.5" hidden="false" customHeight="true" outlineLevel="0" collapsed="false">
      <c r="A26" s="39" t="s">
        <v>46</v>
      </c>
      <c r="B26" s="41" t="n">
        <f aca="false">Summary!B42</f>
        <v>6670285.44</v>
      </c>
      <c r="C26" s="38" t="s">
        <v>261</v>
      </c>
      <c r="D26" s="38" t="s">
        <v>284</v>
      </c>
      <c r="E26" s="38" t="s">
        <v>300</v>
      </c>
      <c r="F26" s="38" t="s">
        <v>301</v>
      </c>
    </row>
    <row r="27" customFormat="false" ht="31.5" hidden="false" customHeight="true" outlineLevel="0" collapsed="false">
      <c r="A27" s="39" t="s">
        <v>55</v>
      </c>
      <c r="B27" s="44" t="n">
        <f aca="false">Summary!B51</f>
        <v>2358582.5856</v>
      </c>
      <c r="C27" s="38" t="s">
        <v>261</v>
      </c>
      <c r="D27" s="38" t="s">
        <v>284</v>
      </c>
      <c r="E27" s="38" t="s">
        <v>302</v>
      </c>
      <c r="F27" s="38" t="s">
        <v>303</v>
      </c>
    </row>
    <row r="28" customFormat="false" ht="31.5" hidden="false" customHeight="true" outlineLevel="0" collapsed="false">
      <c r="A28" s="39" t="s">
        <v>304</v>
      </c>
      <c r="B28" s="41" t="n">
        <v>2000000</v>
      </c>
      <c r="C28" s="38" t="s">
        <v>261</v>
      </c>
      <c r="D28" s="38" t="s">
        <v>225</v>
      </c>
      <c r="E28" s="38" t="s">
        <v>202</v>
      </c>
      <c r="F28" s="38" t="s">
        <v>305</v>
      </c>
    </row>
    <row r="29" customFormat="false" ht="31.5" hidden="false" customHeight="true" outlineLevel="0" collapsed="false">
      <c r="A29" s="39" t="s">
        <v>306</v>
      </c>
      <c r="B29" s="38" t="s">
        <v>307</v>
      </c>
      <c r="C29" s="38" t="s">
        <v>308</v>
      </c>
      <c r="D29" s="38" t="s">
        <v>205</v>
      </c>
      <c r="E29" s="38" t="s">
        <v>309</v>
      </c>
      <c r="F29" s="38" t="s">
        <v>310</v>
      </c>
    </row>
    <row r="30" customFormat="false" ht="31.5" hidden="false" customHeight="true" outlineLevel="0" collapsed="false">
      <c r="A30" s="39" t="s">
        <v>311</v>
      </c>
      <c r="B30" s="41" t="n">
        <v>604128</v>
      </c>
      <c r="C30" s="38" t="s">
        <v>261</v>
      </c>
      <c r="D30" s="38" t="s">
        <v>219</v>
      </c>
      <c r="E30" s="38" t="s">
        <v>312</v>
      </c>
      <c r="F30" s="38" t="s">
        <v>313</v>
      </c>
    </row>
    <row r="31" customFormat="false" ht="31.5" hidden="false" customHeight="true" outlineLevel="0" collapsed="false">
      <c r="A31" s="39" t="s">
        <v>314</v>
      </c>
      <c r="B31" s="38" t="n">
        <v>16</v>
      </c>
      <c r="C31" s="38" t="s">
        <v>238</v>
      </c>
      <c r="D31" s="38" t="s">
        <v>315</v>
      </c>
      <c r="E31" s="38" t="s">
        <v>316</v>
      </c>
      <c r="F31" s="38" t="s">
        <v>317</v>
      </c>
    </row>
    <row r="32" customFormat="false" ht="31.5" hidden="false" customHeight="true" outlineLevel="0" collapsed="false">
      <c r="A32" s="39" t="s">
        <v>318</v>
      </c>
      <c r="B32" s="38" t="n">
        <v>16</v>
      </c>
      <c r="C32" s="38" t="s">
        <v>238</v>
      </c>
      <c r="D32" s="38" t="s">
        <v>205</v>
      </c>
      <c r="E32" s="38" t="s">
        <v>319</v>
      </c>
      <c r="F32" s="38" t="s">
        <v>320</v>
      </c>
    </row>
    <row r="33" customFormat="false" ht="31.5" hidden="false" customHeight="true" outlineLevel="0" collapsed="false">
      <c r="A33" s="39" t="s">
        <v>321</v>
      </c>
      <c r="B33" s="38" t="n">
        <v>16</v>
      </c>
      <c r="C33" s="38" t="s">
        <v>238</v>
      </c>
      <c r="D33" s="38" t="s">
        <v>315</v>
      </c>
      <c r="E33" s="38" t="s">
        <v>322</v>
      </c>
      <c r="F33" s="38" t="s">
        <v>323</v>
      </c>
    </row>
    <row r="34" customFormat="false" ht="31.5" hidden="false" customHeight="true" outlineLevel="0" collapsed="false">
      <c r="A34" s="39" t="s">
        <v>324</v>
      </c>
      <c r="B34" s="38" t="n">
        <v>16</v>
      </c>
      <c r="C34" s="38" t="s">
        <v>238</v>
      </c>
      <c r="D34" s="38" t="s">
        <v>205</v>
      </c>
      <c r="E34" s="38" t="s">
        <v>325</v>
      </c>
      <c r="F34" s="38" t="s">
        <v>326</v>
      </c>
    </row>
    <row r="35" customFormat="false" ht="31.5" hidden="false" customHeight="true" outlineLevel="0" collapsed="false">
      <c r="A35" s="39" t="s">
        <v>327</v>
      </c>
      <c r="B35" s="38" t="n">
        <v>16</v>
      </c>
      <c r="C35" s="38" t="s">
        <v>238</v>
      </c>
      <c r="D35" s="38" t="s">
        <v>315</v>
      </c>
      <c r="E35" s="38" t="s">
        <v>328</v>
      </c>
      <c r="F35" s="38" t="s">
        <v>329</v>
      </c>
    </row>
    <row r="36" customFormat="false" ht="31.5" hidden="false" customHeight="true" outlineLevel="0" collapsed="false">
      <c r="A36" s="39" t="s">
        <v>330</v>
      </c>
      <c r="B36" s="38" t="n">
        <v>12</v>
      </c>
      <c r="C36" s="38" t="s">
        <v>238</v>
      </c>
      <c r="D36" s="38" t="s">
        <v>205</v>
      </c>
      <c r="E36" s="38" t="s">
        <v>331</v>
      </c>
      <c r="F36" s="38" t="s">
        <v>332</v>
      </c>
    </row>
    <row r="37" customFormat="false" ht="31.5" hidden="false" customHeight="true" outlineLevel="0" collapsed="false">
      <c r="A37" s="39" t="s">
        <v>333</v>
      </c>
      <c r="B37" s="38" t="s">
        <v>334</v>
      </c>
      <c r="C37" s="38" t="s">
        <v>335</v>
      </c>
      <c r="D37" s="38" t="s">
        <v>201</v>
      </c>
      <c r="E37" s="38" t="s">
        <v>202</v>
      </c>
      <c r="F37" s="38" t="s">
        <v>336</v>
      </c>
    </row>
    <row r="38" customFormat="false" ht="31.5" hidden="false" customHeight="true" outlineLevel="0" collapsed="false">
      <c r="A38" s="39" t="s">
        <v>337</v>
      </c>
      <c r="B38" s="38" t="s">
        <v>338</v>
      </c>
      <c r="C38" s="38" t="s">
        <v>335</v>
      </c>
      <c r="D38" s="38" t="s">
        <v>205</v>
      </c>
      <c r="E38" s="38" t="s">
        <v>339</v>
      </c>
      <c r="F38" s="38" t="s">
        <v>340</v>
      </c>
    </row>
    <row r="39" customFormat="false" ht="31.5" hidden="false" customHeight="true" outlineLevel="0" collapsed="false">
      <c r="A39" s="39" t="s">
        <v>341</v>
      </c>
      <c r="B39" s="38" t="s">
        <v>338</v>
      </c>
      <c r="C39" s="38" t="s">
        <v>335</v>
      </c>
      <c r="D39" s="38" t="s">
        <v>225</v>
      </c>
      <c r="E39" s="38" t="s">
        <v>202</v>
      </c>
      <c r="F39" s="38" t="s">
        <v>342</v>
      </c>
    </row>
    <row r="40" customFormat="false" ht="31.5" hidden="false" customHeight="true" outlineLevel="0" collapsed="false">
      <c r="A40" s="39" t="s">
        <v>343</v>
      </c>
      <c r="B40" s="38" t="s">
        <v>338</v>
      </c>
      <c r="C40" s="38" t="s">
        <v>335</v>
      </c>
      <c r="D40" s="38" t="s">
        <v>219</v>
      </c>
      <c r="E40" s="38" t="s">
        <v>344</v>
      </c>
      <c r="F40" s="38" t="s">
        <v>345</v>
      </c>
    </row>
    <row r="41" customFormat="false" ht="31.5" hidden="false" customHeight="true" outlineLevel="0" collapsed="false">
      <c r="A41" s="39" t="s">
        <v>346</v>
      </c>
      <c r="B41" s="38" t="s">
        <v>338</v>
      </c>
      <c r="C41" s="38" t="s">
        <v>335</v>
      </c>
      <c r="D41" s="38" t="s">
        <v>266</v>
      </c>
      <c r="E41" s="38" t="s">
        <v>347</v>
      </c>
      <c r="F41" s="38" t="s">
        <v>348</v>
      </c>
    </row>
    <row r="42" customFormat="false" ht="31.5" hidden="false" customHeight="true" outlineLevel="0" collapsed="false">
      <c r="A42" s="39" t="s">
        <v>349</v>
      </c>
      <c r="B42" s="38" t="s">
        <v>338</v>
      </c>
      <c r="C42" s="38" t="s">
        <v>335</v>
      </c>
      <c r="D42" s="38" t="s">
        <v>213</v>
      </c>
      <c r="E42" s="38" t="s">
        <v>202</v>
      </c>
      <c r="F42" s="38" t="s">
        <v>350</v>
      </c>
    </row>
    <row r="43" customFormat="false" ht="31.5" hidden="false" customHeight="true" outlineLevel="0" collapsed="false">
      <c r="A43" s="39" t="s">
        <v>351</v>
      </c>
      <c r="B43" s="38" t="s">
        <v>338</v>
      </c>
      <c r="C43" s="38" t="s">
        <v>335</v>
      </c>
      <c r="D43" s="38" t="s">
        <v>155</v>
      </c>
      <c r="E43" s="38" t="s">
        <v>202</v>
      </c>
      <c r="F43" s="38" t="s">
        <v>352</v>
      </c>
    </row>
    <row r="44" customFormat="false" ht="31.5" hidden="false" customHeight="true" outlineLevel="0" collapsed="false">
      <c r="A44" s="39" t="s">
        <v>353</v>
      </c>
      <c r="B44" s="38" t="str">
        <f aca="false">IF(Summary!B51&lt;0,"present","absent")</f>
        <v>absent</v>
      </c>
      <c r="C44" s="38" t="s">
        <v>335</v>
      </c>
      <c r="D44" s="38" t="s">
        <v>284</v>
      </c>
      <c r="E44" s="38" t="s">
        <v>302</v>
      </c>
      <c r="F44" s="38" t="s">
        <v>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1" t="s">
        <v>355</v>
      </c>
      <c r="B1" s="21"/>
      <c r="C1" s="21"/>
    </row>
    <row r="3" customFormat="false" ht="15" hidden="false" customHeight="false" outlineLevel="0" collapsed="false">
      <c r="A3" s="16" t="s">
        <v>356</v>
      </c>
    </row>
    <row r="4" customFormat="false" ht="15" hidden="false" customHeight="false" outlineLevel="0" collapsed="false">
      <c r="A4" s="23" t="s">
        <v>357</v>
      </c>
      <c r="B4" s="23" t="s">
        <v>358</v>
      </c>
      <c r="C4" s="23" t="s">
        <v>359</v>
      </c>
    </row>
    <row r="5" customFormat="false" ht="15" hidden="false" customHeight="false" outlineLevel="0" collapsed="false">
      <c r="A5" s="45" t="s">
        <v>5</v>
      </c>
      <c r="B5" s="24" t="s">
        <v>360</v>
      </c>
      <c r="C5" s="24" t="s">
        <v>361</v>
      </c>
    </row>
    <row r="6" customFormat="false" ht="15" hidden="false" customHeight="false" outlineLevel="0" collapsed="false">
      <c r="A6" s="45" t="s">
        <v>7</v>
      </c>
      <c r="B6" s="24" t="s">
        <v>362</v>
      </c>
      <c r="C6" s="24" t="s">
        <v>363</v>
      </c>
    </row>
    <row r="7" customFormat="false" ht="15" hidden="false" customHeight="false" outlineLevel="0" collapsed="false">
      <c r="A7" s="45" t="s">
        <v>9</v>
      </c>
      <c r="B7" s="24" t="s">
        <v>364</v>
      </c>
      <c r="C7" s="24" t="s">
        <v>365</v>
      </c>
    </row>
    <row r="9" customFormat="false" ht="15" hidden="false" customHeight="false" outlineLevel="0" collapsed="false">
      <c r="A9" s="16" t="s">
        <v>366</v>
      </c>
    </row>
    <row r="10" customFormat="false" ht="15" hidden="false" customHeight="false" outlineLevel="0" collapsed="false">
      <c r="A10" s="23" t="s">
        <v>357</v>
      </c>
      <c r="B10" s="23" t="s">
        <v>358</v>
      </c>
      <c r="C10" s="23" t="s">
        <v>359</v>
      </c>
    </row>
    <row r="11" customFormat="false" ht="15" hidden="false" customHeight="false" outlineLevel="0" collapsed="false">
      <c r="A11" s="45" t="s">
        <v>29</v>
      </c>
      <c r="B11" s="24" t="s">
        <v>367</v>
      </c>
      <c r="C11" s="24" t="s">
        <v>368</v>
      </c>
    </row>
    <row r="12" customFormat="false" ht="15" hidden="false" customHeight="false" outlineLevel="0" collapsed="false">
      <c r="A12" s="45" t="s">
        <v>32</v>
      </c>
      <c r="B12" s="24" t="s">
        <v>285</v>
      </c>
      <c r="C12" s="24" t="s">
        <v>369</v>
      </c>
    </row>
    <row r="13" customFormat="false" ht="15" hidden="false" customHeight="false" outlineLevel="0" collapsed="false">
      <c r="A13" s="45" t="s">
        <v>35</v>
      </c>
      <c r="B13" s="24" t="s">
        <v>287</v>
      </c>
      <c r="C13" s="24" t="s">
        <v>370</v>
      </c>
    </row>
    <row r="14" customFormat="false" ht="15" hidden="false" customHeight="false" outlineLevel="0" collapsed="false">
      <c r="A14" s="45" t="s">
        <v>37</v>
      </c>
      <c r="B14" s="24" t="s">
        <v>291</v>
      </c>
      <c r="C14" s="24" t="s">
        <v>371</v>
      </c>
    </row>
    <row r="15" customFormat="false" ht="15" hidden="false" customHeight="false" outlineLevel="0" collapsed="false">
      <c r="A15" s="45" t="s">
        <v>46</v>
      </c>
      <c r="B15" s="24" t="s">
        <v>300</v>
      </c>
      <c r="C15" s="24" t="s">
        <v>372</v>
      </c>
    </row>
    <row r="16" customFormat="false" ht="15" hidden="false" customHeight="false" outlineLevel="0" collapsed="false">
      <c r="A16" s="45" t="s">
        <v>55</v>
      </c>
      <c r="B16" s="24" t="s">
        <v>302</v>
      </c>
      <c r="C16" s="24" t="s">
        <v>373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2026-09-07T12:48:02Z</dcterms:created>
  <dc:creator>openpyxl</dc:creator>
  <dc:description/>
  <dc:language>en-US</dc:language>
  <cp:lastModifiedBy/>
  <dcterms:modified xsi:type="dcterms:W3CDTF">2026-09-07T13:00:11Z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