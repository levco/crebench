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entRoll_Revised" sheetId="3" state="visible" r:id="rId3"/>
    <sheet xmlns:r="http://schemas.openxmlformats.org/officeDocument/2006/relationships" name="UW_P&amp;L" sheetId="4" state="visible" r:id="rId4"/>
    <sheet xmlns:r="http://schemas.openxmlformats.org/officeDocument/2006/relationships" name="Debt_Sizing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Named_Fields" sheetId="8" state="visible" r:id="rId8"/>
    <sheet xmlns:r="http://schemas.openxmlformats.org/officeDocument/2006/relationships" name="IO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C00000"/>
      <sz val="9"/>
    </font>
    <font>
      <b val="1"/>
      <color rgb="00FFFFFF"/>
      <sz val="12"/>
    </font>
    <font>
      <b val="1"/>
      <color rgb="000000CC"/>
    </font>
    <font>
      <b val="1"/>
      <color rgb="009C5700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i val="1"/>
      <color rgb="00006100"/>
      <sz val="10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166" fontId="7" fillId="5" borderId="1" pivotButton="0" quotePrefix="0" xfId="0"/>
    <xf numFmtId="166" fontId="0" fillId="0" borderId="1" pivotButton="0" quotePrefix="0" xfId="0"/>
    <xf numFmtId="164" fontId="7" fillId="5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8" fontId="7" fillId="5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0" fontId="0" fillId="7" borderId="1" pivotButton="0" quotePrefix="0" xfId="0"/>
    <xf numFmtId="3" fontId="8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8" fillId="0" borderId="0" pivotButton="0" quotePrefix="0" xfId="0"/>
    <xf numFmtId="0" fontId="13" fillId="2" borderId="0" pivotButton="0" quotePrefix="0" xfId="0"/>
    <xf numFmtId="169" fontId="13" fillId="2" borderId="0" pivotButton="0" quotePrefix="0" xfId="0"/>
    <xf numFmtId="164" fontId="8" fillId="4" borderId="1" pivotButton="0" quotePrefix="0" xfId="0"/>
    <xf numFmtId="168" fontId="0" fillId="0" borderId="1" pivotButton="0" quotePrefix="0" xfId="0"/>
    <xf numFmtId="168" fontId="8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7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 (REVISION v2)</t>
        </is>
      </c>
    </row>
    <row r="2">
      <c r="A2" s="2" t="inlineStr">
        <is>
          <t>Raleigh, NC | Multifamily | 48 units | As-of 2026-09-01 (revised roll)</t>
        </is>
      </c>
    </row>
    <row r="3">
      <c r="A3" s="3" t="inlineStr">
        <is>
          <t>REVISION v2 supersedes prior v1 model. Prior v1 is retained in the audit archive — this file does not replace it.</t>
        </is>
      </c>
    </row>
    <row r="5" ht="20" customHeight="1">
      <c r="A5" s="4" t="inlineStr">
        <is>
          <t>INPUT CELLS (yellow) — orange highlight = changed in this revision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 loss) — CHANGED</t>
        </is>
      </c>
      <c r="B6" s="6" t="n">
        <v>928245</v>
      </c>
      <c r="C6" t="inlineStr">
        <is>
          <t>gross_potential_rent</t>
        </is>
      </c>
    </row>
    <row r="7">
      <c r="A7" t="inlineStr">
        <is>
          <t>Capitalization rate — CHANGED (+25 bps)</t>
        </is>
      </c>
      <c r="B7" s="7" t="n">
        <v>0.06</v>
      </c>
      <c r="C7" t="inlineStr">
        <is>
          <t>cap_rate</t>
        </is>
      </c>
    </row>
    <row r="8">
      <c r="A8" t="inlineStr">
        <is>
          <t>Sizing rate (greater of note or floor) — CHANGED (+75 bps)</t>
        </is>
      </c>
      <c r="B8" s="7" t="n">
        <v>0.07000000000000001</v>
      </c>
      <c r="C8" t="inlineStr">
        <is>
          <t>sizing_rate</t>
        </is>
      </c>
    </row>
    <row r="9">
      <c r="A9" t="inlineStr">
        <is>
          <t>Note rate — CHANGED (+75 bps)</t>
        </is>
      </c>
      <c r="B9" s="7" t="n">
        <v>0.07000000000000001</v>
      </c>
    </row>
    <row r="10">
      <c r="A10" t="inlineStr">
        <is>
          <t>Rate floor (unchanged)</t>
        </is>
      </c>
      <c r="B10" s="8" t="n">
        <v>0.06</v>
      </c>
    </row>
    <row r="11">
      <c r="A11" t="inlineStr">
        <is>
          <t>Amortization (years)</t>
        </is>
      </c>
      <c r="B11" s="9" t="n">
        <v>30</v>
      </c>
    </row>
    <row r="12">
      <c r="A12" t="inlineStr">
        <is>
          <t>Economic loss %</t>
        </is>
      </c>
      <c r="B12" s="10" t="n">
        <v>0.05</v>
      </c>
    </row>
    <row r="13">
      <c r="A13" t="inlineStr">
        <is>
          <t>Other income $/unit/yr</t>
        </is>
      </c>
      <c r="B13" s="11" t="n">
        <v>350</v>
      </c>
    </row>
    <row r="14">
      <c r="A14" t="inlineStr">
        <is>
          <t>Total units</t>
        </is>
      </c>
      <c r="B14" s="9" t="n">
        <v>48</v>
      </c>
    </row>
    <row r="15">
      <c r="A15" t="inlineStr">
        <is>
          <t>Tax expense (annual)</t>
        </is>
      </c>
      <c r="B15" s="11" t="n">
        <v>102312</v>
      </c>
    </row>
    <row r="16">
      <c r="A16" t="inlineStr">
        <is>
          <t>Insurance expense (annual)</t>
        </is>
      </c>
      <c r="B16" s="11" t="n">
        <v>34104</v>
      </c>
    </row>
    <row r="17">
      <c r="A17" t="inlineStr">
        <is>
          <t>Other recurring operating expenses</t>
        </is>
      </c>
      <c r="B17" s="11" t="n">
        <v>136416</v>
      </c>
    </row>
    <row r="18">
      <c r="A18" t="inlineStr">
        <is>
          <t>Management fee % of EGI</t>
        </is>
      </c>
      <c r="B18" s="10" t="n">
        <v>0.03</v>
      </c>
    </row>
    <row r="19">
      <c r="A19" t="inlineStr">
        <is>
          <t>Replacement reserve $/unit/yr</t>
        </is>
      </c>
      <c r="B19" s="11" t="n">
        <v>300</v>
      </c>
    </row>
    <row r="20">
      <c r="A20" t="inlineStr">
        <is>
          <t>Max LTV</t>
        </is>
      </c>
      <c r="B20" s="10" t="n">
        <v>0.65</v>
      </c>
    </row>
    <row r="21">
      <c r="A21" t="inlineStr">
        <is>
          <t>Min DSCR</t>
        </is>
      </c>
      <c r="B21" s="12" t="n">
        <v>1.25</v>
      </c>
    </row>
    <row r="22">
      <c r="A22" t="inlineStr">
        <is>
          <t>Min debt yield (on NCF)</t>
        </is>
      </c>
      <c r="B22" s="10" t="n">
        <v>0.09</v>
      </c>
    </row>
    <row r="23">
      <c r="A23" t="inlineStr">
        <is>
          <t>Origination fee %</t>
        </is>
      </c>
      <c r="B23" s="10" t="n">
        <v>0.01</v>
      </c>
    </row>
    <row r="24">
      <c r="A24" t="inlineStr">
        <is>
          <t>Closing costs (fixed)</t>
        </is>
      </c>
      <c r="B24" s="11" t="n">
        <v>45000</v>
      </c>
    </row>
    <row r="25">
      <c r="A25" t="inlineStr">
        <is>
          <t>Existing loan payoff (unchanged)</t>
        </is>
      </c>
      <c r="B25" s="11" t="n">
        <v>4200000</v>
      </c>
    </row>
    <row r="27" ht="20" customHeight="1">
      <c r="A27" s="4" t="inlineStr">
        <is>
          <t>OUTPUT CELLS (green) — live formulas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3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4">
        <f>B15+B16+B17+B18*B28</f>
        <v/>
      </c>
    </row>
    <row r="30">
      <c r="A30" t="inlineStr">
        <is>
          <t>Net operating income (NOI)</t>
        </is>
      </c>
      <c r="B30" s="13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4">
        <f>B19*B14</f>
        <v/>
      </c>
    </row>
    <row r="32">
      <c r="A32" t="inlineStr">
        <is>
          <t>Net cash flow (NCF, after reserves)</t>
        </is>
      </c>
      <c r="B32" s="13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5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6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6">
        <f>12*B36*(1+B36)^B37/((1+B36)^B37-1)</f>
        <v/>
      </c>
    </row>
    <row r="39">
      <c r="A39" t="inlineStr">
        <is>
          <t>LTV-constrained loan</t>
        </is>
      </c>
      <c r="B39" s="17">
        <f>B20*B33</f>
        <v/>
      </c>
    </row>
    <row r="40">
      <c r="A40" t="inlineStr">
        <is>
          <t>DSCR-constrained loan (NCF / (DSCR × constant))</t>
        </is>
      </c>
      <c r="B40" s="17">
        <f>B32/(B21*B38)</f>
        <v/>
      </c>
    </row>
    <row r="41">
      <c r="A41" t="inlineStr">
        <is>
          <t>Debt-yield-constrained loan (NCF / min DY)</t>
        </is>
      </c>
      <c r="B41" s="17">
        <f>B32/B22</f>
        <v/>
      </c>
    </row>
    <row r="42">
      <c r="A42" t="inlineStr">
        <is>
          <t>Maximum loan (min of three constraints)</t>
        </is>
      </c>
      <c r="B42" s="15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8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7">
        <f>B42</f>
        <v/>
      </c>
    </row>
    <row r="47">
      <c r="A47" t="inlineStr">
        <is>
          <t>Uses: existing loan payoff</t>
        </is>
      </c>
      <c r="B47" s="17">
        <f>B25</f>
        <v/>
      </c>
    </row>
    <row r="48">
      <c r="A48" t="inlineStr">
        <is>
          <t>Uses: origination fee</t>
        </is>
      </c>
      <c r="B48" s="17">
        <f>B23*B42</f>
        <v/>
      </c>
    </row>
    <row r="49">
      <c r="A49" t="inlineStr">
        <is>
          <t>Uses: closing costs</t>
        </is>
      </c>
      <c r="B49" s="17">
        <f>B24</f>
        <v/>
      </c>
    </row>
    <row r="50">
      <c r="A50" t="inlineStr">
        <is>
          <t>Total uses</t>
        </is>
      </c>
      <c r="B50" s="19">
        <f>B47+B48+B49</f>
        <v/>
      </c>
    </row>
    <row r="51">
      <c r="A51" t="inlineStr">
        <is>
          <t>Net cash-out (Sources − Uses; negative = equity required)</t>
        </is>
      </c>
      <c r="B51" s="20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21">
        <f>B42/B33</f>
        <v/>
      </c>
    </row>
    <row r="55">
      <c r="A55" t="inlineStr">
        <is>
          <t>Debt yield (NCF)</t>
        </is>
      </c>
      <c r="B55" s="21">
        <f>B32/B42</f>
        <v/>
      </c>
    </row>
    <row r="56">
      <c r="A56" t="inlineStr">
        <is>
          <t>DSCR (NCF)</t>
        </is>
      </c>
      <c r="B56" s="22">
        <f>B32/(B42*B38)</f>
        <v/>
      </c>
    </row>
    <row r="57">
      <c r="A57" t="inlineStr">
        <is>
          <t>Annual debt service</t>
        </is>
      </c>
      <c r="B57" s="17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55" customWidth="1" min="5" max="5"/>
  </cols>
  <sheetData>
    <row r="1">
      <c r="A1" s="23" t="inlineStr">
        <is>
          <t>REVISION v2 CHANGE LOG</t>
        </is>
      </c>
    </row>
    <row r="2">
      <c r="A2" s="24" t="inlineStr">
        <is>
          <t>Trigger: revision-notice.pdf | New controlling roll: rent-roll-revised.xlsx (as of 2026-09-01)</t>
        </is>
      </c>
    </row>
    <row r="3">
      <c r="A3" s="25" t="inlineStr">
        <is>
          <t>Approved copy preserved: "Source-backed analysis. Assumptions remain subject to diligence."</t>
        </is>
      </c>
    </row>
    <row r="5">
      <c r="A5" s="4" t="inlineStr">
        <is>
          <t>Item</t>
        </is>
      </c>
      <c r="B5" s="4" t="inlineStr">
        <is>
          <t>Prior (v1)</t>
        </is>
      </c>
      <c r="C5" s="4" t="inlineStr">
        <is>
          <t>Revised (v2)</t>
        </is>
      </c>
      <c r="D5" s="4" t="inlineStr">
        <is>
          <t>Delta</t>
        </is>
      </c>
      <c r="E5" s="4" t="inlineStr">
        <is>
          <t>Source / basis</t>
        </is>
      </c>
    </row>
    <row r="6" ht="22" customHeight="1">
      <c r="A6" s="26" t="inlineStr">
        <is>
          <t>Controlling roll date</t>
        </is>
      </c>
      <c r="B6" s="26" t="inlineStr">
        <is>
          <t>2026-08-31</t>
        </is>
      </c>
      <c r="C6" s="26" t="inlineStr">
        <is>
          <t>2026-09-01</t>
        </is>
      </c>
      <c r="D6" s="27" t="inlineStr">
        <is>
          <t>+1 day</t>
        </is>
      </c>
      <c r="E6" s="26" t="inlineStr">
        <is>
          <t>revision-notice.pdf; rent-roll-revised.xlsx A2</t>
        </is>
      </c>
    </row>
    <row r="7" ht="22" customHeight="1">
      <c r="A7" s="26" t="inlineStr">
        <is>
          <t>Suite 045 possession</t>
        </is>
      </c>
      <c r="B7" s="26" t="inlineStr">
        <is>
          <t>pending</t>
        </is>
      </c>
      <c r="C7" s="26" t="inlineStr">
        <is>
          <t>active</t>
        </is>
      </c>
      <c r="D7" s="27" t="inlineStr">
        <is>
          <t>→ possessed</t>
        </is>
      </c>
      <c r="E7" s="26" t="inlineStr">
        <is>
          <t>rent-roll-revised.xlsx row 49</t>
        </is>
      </c>
    </row>
    <row r="8" ht="22" customHeight="1">
      <c r="A8" s="26" t="inlineStr">
        <is>
          <t>Suite 045 monthly rent</t>
        </is>
      </c>
      <c r="B8" s="26" t="inlineStr">
        <is>
          <t>$1,925</t>
        </is>
      </c>
      <c r="C8" s="26" t="inlineStr">
        <is>
          <t>$2,150</t>
        </is>
      </c>
      <c r="D8" s="27" t="inlineStr">
        <is>
          <t>+$225</t>
        </is>
      </c>
      <c r="E8" s="26" t="inlineStr">
        <is>
          <t>revision-notice.pdf; rent-roll-revised.xlsx row 49</t>
        </is>
      </c>
    </row>
    <row r="9" ht="22" customHeight="1">
      <c r="A9" s="26" t="inlineStr">
        <is>
          <t>Total monthly scheduled rent</t>
        </is>
      </c>
      <c r="B9" s="26" t="inlineStr">
        <is>
          <t>$81,200</t>
        </is>
      </c>
      <c r="C9" s="26" t="inlineStr">
        <is>
          <t>$81,425</t>
        </is>
      </c>
      <c r="D9" s="27" t="inlineStr">
        <is>
          <t>+$225</t>
        </is>
      </c>
      <c r="E9" s="26" t="inlineStr">
        <is>
          <t>sum of certified rents</t>
        </is>
      </c>
    </row>
    <row r="10" ht="22" customHeight="1">
      <c r="A10" s="26" t="inlineStr">
        <is>
          <t>Gross potential rent (annual)</t>
        </is>
      </c>
      <c r="B10" s="26" t="inlineStr">
        <is>
          <t>$974,400</t>
        </is>
      </c>
      <c r="C10" s="26" t="inlineStr">
        <is>
          <t>$977,100</t>
        </is>
      </c>
      <c r="D10" s="27" t="inlineStr">
        <is>
          <t>+$2,700</t>
        </is>
      </c>
      <c r="E10" s="26" t="inlineStr">
        <is>
          <t>GPR = monthly × 12</t>
        </is>
      </c>
    </row>
    <row r="11" ht="22" customHeight="1">
      <c r="A11" s="26" t="inlineStr">
        <is>
          <t>Active (occupied) units</t>
        </is>
      </c>
      <c r="B11" s="26" t="inlineStr">
        <is>
          <t>44</t>
        </is>
      </c>
      <c r="C11" s="26" t="inlineStr">
        <is>
          <t>45</t>
        </is>
      </c>
      <c r="D11" s="27" t="inlineStr">
        <is>
          <t>+1</t>
        </is>
      </c>
      <c r="E11" s="26" t="inlineStr">
        <is>
          <t>possession recount</t>
        </is>
      </c>
    </row>
    <row r="12" ht="22" customHeight="1">
      <c r="A12" s="26" t="inlineStr">
        <is>
          <t>Pending units</t>
        </is>
      </c>
      <c r="B12" s="26" t="inlineStr">
        <is>
          <t>1</t>
        </is>
      </c>
      <c r="C12" s="26" t="inlineStr">
        <is>
          <t>0</t>
        </is>
      </c>
      <c r="D12" s="27" t="inlineStr">
        <is>
          <t>−1</t>
        </is>
      </c>
      <c r="E12" s="26" t="inlineStr">
        <is>
          <t>Suite 045 now in possession</t>
        </is>
      </c>
    </row>
    <row r="13" ht="22" customHeight="1">
      <c r="A13" s="26" t="inlineStr">
        <is>
          <t>Vacant units</t>
        </is>
      </c>
      <c r="B13" s="26" t="inlineStr">
        <is>
          <t>3</t>
        </is>
      </c>
      <c r="C13" s="26" t="inlineStr">
        <is>
          <t>3</t>
        </is>
      </c>
      <c r="D13" s="26" t="inlineStr">
        <is>
          <t>—</t>
        </is>
      </c>
      <c r="E13" s="26" t="inlineStr">
        <is>
          <t>046–048 unchanged</t>
        </is>
      </c>
    </row>
    <row r="14" ht="22" customHeight="1">
      <c r="A14" s="26" t="inlineStr">
        <is>
          <t>Unit occupancy</t>
        </is>
      </c>
      <c r="B14" s="26" t="inlineStr">
        <is>
          <t>91.67%</t>
        </is>
      </c>
      <c r="C14" s="26" t="inlineStr">
        <is>
          <t>93.75%</t>
        </is>
      </c>
      <c r="D14" s="27" t="inlineStr">
        <is>
          <t>+2.08 pp</t>
        </is>
      </c>
      <c r="E14" s="26" t="inlineStr">
        <is>
          <t>45/48 vs 44/48</t>
        </is>
      </c>
    </row>
    <row r="15" ht="22" customHeight="1">
      <c r="A15" s="26" t="inlineStr">
        <is>
          <t>Area occupancy</t>
        </is>
      </c>
      <c r="B15" s="26" t="inlineStr">
        <is>
          <t>89.90%</t>
        </is>
      </c>
      <c r="C15" s="26" t="inlineStr">
        <is>
          <t>92.43%</t>
        </is>
      </c>
      <c r="D15" s="27" t="inlineStr">
        <is>
          <t>+2.53 pp</t>
        </is>
      </c>
      <c r="E15" s="26" t="inlineStr">
        <is>
          <t>37,710 / 40,800 vs 36,680 / 40,800</t>
        </is>
      </c>
    </row>
    <row r="16" ht="22" customHeight="1">
      <c r="A16" s="26" t="inlineStr">
        <is>
          <t>Cap rate</t>
        </is>
      </c>
      <c r="B16" s="26" t="inlineStr">
        <is>
          <t>5.75%</t>
        </is>
      </c>
      <c r="C16" s="26" t="inlineStr">
        <is>
          <t>6.00%</t>
        </is>
      </c>
      <c r="D16" s="27" t="inlineStr">
        <is>
          <t>+25 bps</t>
        </is>
      </c>
      <c r="E16" s="26" t="inlineStr">
        <is>
          <t>revision-notice.pdf</t>
        </is>
      </c>
    </row>
    <row r="17" ht="22" customHeight="1">
      <c r="A17" s="26" t="inlineStr">
        <is>
          <t>Sizing rate / note rate</t>
        </is>
      </c>
      <c r="B17" s="26" t="inlineStr">
        <is>
          <t>6.25%</t>
        </is>
      </c>
      <c r="C17" s="26" t="inlineStr">
        <is>
          <t>7.00%</t>
        </is>
      </c>
      <c r="D17" s="27" t="inlineStr">
        <is>
          <t>+75 bps</t>
        </is>
      </c>
      <c r="E17" s="26" t="inlineStr">
        <is>
          <t>revision-notice.pdf (INITIAL SIZING RATE +75 bps)</t>
        </is>
      </c>
    </row>
    <row r="18" ht="22" customHeight="1">
      <c r="A18" s="26" t="inlineStr">
        <is>
          <t>Rate floor</t>
        </is>
      </c>
      <c r="B18" s="26" t="inlineStr">
        <is>
          <t>6.00%</t>
        </is>
      </c>
      <c r="C18" s="26" t="inlineStr">
        <is>
          <t>6.00%</t>
        </is>
      </c>
      <c r="D18" s="26" t="inlineStr">
        <is>
          <t>—</t>
        </is>
      </c>
      <c r="E18" s="26" t="inlineStr">
        <is>
          <t>unchanged; still not binding (note 7.00% &gt; floor)</t>
        </is>
      </c>
    </row>
    <row r="19" ht="22" customHeight="1">
      <c r="A19" s="26" t="inlineStr">
        <is>
          <t>UW EGI</t>
        </is>
      </c>
      <c r="B19" s="26" t="inlineStr">
        <is>
          <t>$942,480.00</t>
        </is>
      </c>
      <c r="C19" s="26" t="inlineStr">
        <is>
          <t>$945,045.00</t>
        </is>
      </c>
      <c r="D19" s="27" t="inlineStr">
        <is>
          <t>+$2,565</t>
        </is>
      </c>
      <c r="E19" s="26" t="inlineStr">
        <is>
          <t>GPR change × 0.95</t>
        </is>
      </c>
    </row>
    <row r="20" ht="22" customHeight="1">
      <c r="A20" s="26" t="inlineStr">
        <is>
          <t>UW NOI (pre-reserves)</t>
        </is>
      </c>
      <c r="B20" s="26" t="inlineStr">
        <is>
          <t>$641,373.60</t>
        </is>
      </c>
      <c r="C20" s="26" t="inlineStr">
        <is>
          <t>$643,861.65</t>
        </is>
      </c>
      <c r="D20" s="27" t="inlineStr">
        <is>
          <t>+$2,488.05</t>
        </is>
      </c>
      <c r="E20" s="26" t="inlineStr">
        <is>
          <t>EGI − opex (mgmt scales with EGI)</t>
        </is>
      </c>
    </row>
    <row r="21" ht="22" customHeight="1">
      <c r="A21" s="26" t="inlineStr">
        <is>
          <t>UW NCF (post-reserves)</t>
        </is>
      </c>
      <c r="B21" s="26" t="inlineStr">
        <is>
          <t>$626,973.60</t>
        </is>
      </c>
      <c r="C21" s="26" t="inlineStr">
        <is>
          <t>$629,461.65</t>
        </is>
      </c>
      <c r="D21" s="27" t="inlineStr">
        <is>
          <t>+$2,488.05</t>
        </is>
      </c>
      <c r="E21" s="26" t="inlineStr">
        <is>
          <t>reserves unchanged</t>
        </is>
      </c>
    </row>
    <row r="22" ht="22" customHeight="1">
      <c r="A22" s="26" t="inlineStr">
        <is>
          <t>Capitalization value</t>
        </is>
      </c>
      <c r="B22" s="26" t="inlineStr">
        <is>
          <t>$11,154,323</t>
        </is>
      </c>
      <c r="C22" s="26" t="inlineStr">
        <is>
          <t>$10,731,028</t>
        </is>
      </c>
      <c r="D22" s="27" t="inlineStr">
        <is>
          <t>−$423,296</t>
        </is>
      </c>
      <c r="E22" s="26" t="inlineStr">
        <is>
          <t>NOI up, but cap up 25 bps</t>
        </is>
      </c>
    </row>
    <row r="23" ht="22" customHeight="1">
      <c r="A23" s="26" t="inlineStr">
        <is>
          <t>LTV-constrained loan</t>
        </is>
      </c>
      <c r="B23" s="26" t="inlineStr">
        <is>
          <t>$7,250,310</t>
        </is>
      </c>
      <c r="C23" s="26" t="inlineStr">
        <is>
          <t>$6,975,168</t>
        </is>
      </c>
      <c r="D23" s="27" t="inlineStr">
        <is>
          <t>−$275,143</t>
        </is>
      </c>
      <c r="E23" s="26" t="inlineStr">
        <is>
          <t>0.65 × value</t>
        </is>
      </c>
    </row>
    <row r="24" ht="22" customHeight="1">
      <c r="A24" s="26" t="inlineStr">
        <is>
          <t>DSCR-constrained loan</t>
        </is>
      </c>
      <c r="B24" s="26" t="inlineStr">
        <is>
          <t>$6,788,545</t>
        </is>
      </c>
      <c r="C24" s="26" t="inlineStr">
        <is>
          <t>$6,307,523</t>
        </is>
      </c>
      <c r="D24" s="27" t="inlineStr">
        <is>
          <t>−$481,022</t>
        </is>
      </c>
      <c r="E24" s="26" t="inlineStr">
        <is>
          <t>NCF up modestly, but K jumps from 0.07389 to 0.07984</t>
        </is>
      </c>
    </row>
    <row r="25" ht="22" customHeight="1">
      <c r="A25" s="26" t="inlineStr">
        <is>
          <t>Debt-yield-constrained loan</t>
        </is>
      </c>
      <c r="B25" s="26" t="inlineStr">
        <is>
          <t>$6,966,373</t>
        </is>
      </c>
      <c r="C25" s="26" t="inlineStr">
        <is>
          <t>$6,994,018</t>
        </is>
      </c>
      <c r="D25" s="27" t="inlineStr">
        <is>
          <t>+$27,645</t>
        </is>
      </c>
      <c r="E25" s="26" t="inlineStr">
        <is>
          <t>NCF up; DY unchanged</t>
        </is>
      </c>
    </row>
    <row r="26" ht="22" customHeight="1">
      <c r="A26" s="26" t="inlineStr">
        <is>
          <t>Binding constraint</t>
        </is>
      </c>
      <c r="B26" s="26" t="inlineStr">
        <is>
          <t>DSCR</t>
        </is>
      </c>
      <c r="C26" s="26" t="inlineStr">
        <is>
          <t>DSCR</t>
        </is>
      </c>
      <c r="D26" s="26" t="inlineStr">
        <is>
          <t>—</t>
        </is>
      </c>
      <c r="E26" s="26" t="inlineStr">
        <is>
          <t>still DSCR-bound</t>
        </is>
      </c>
    </row>
    <row r="27" ht="22" customHeight="1">
      <c r="A27" s="26" t="inlineStr">
        <is>
          <t>Maximum loan</t>
        </is>
      </c>
      <c r="B27" s="26" t="inlineStr">
        <is>
          <t>$6,788,545</t>
        </is>
      </c>
      <c r="C27" s="26" t="inlineStr">
        <is>
          <t>$6,307,523</t>
        </is>
      </c>
      <c r="D27" s="27" t="inlineStr">
        <is>
          <t>−$481,022</t>
        </is>
      </c>
      <c r="E27" s="26" t="inlineStr">
        <is>
          <t>binding DSCR</t>
        </is>
      </c>
    </row>
    <row r="28" ht="22" customHeight="1">
      <c r="A28" s="26" t="inlineStr">
        <is>
          <t>Net cash-out</t>
        </is>
      </c>
      <c r="B28" s="26" t="inlineStr">
        <is>
          <t>$2,475,660</t>
        </is>
      </c>
      <c r="C28" s="26" t="inlineStr">
        <is>
          <t>$1,999,448</t>
        </is>
      </c>
      <c r="D28" s="27" t="inlineStr">
        <is>
          <t>−$476,212</t>
        </is>
      </c>
      <c r="E28" s="26" t="inlineStr">
        <is>
          <t>loan smaller, orig fee smaller — payoff and closing unchanged</t>
        </is>
      </c>
    </row>
    <row r="29" ht="22" customHeight="1">
      <c r="A29" s="26" t="inlineStr">
        <is>
          <t>risk_pending_in_occupancy</t>
        </is>
      </c>
      <c r="B29" s="26" t="inlineStr">
        <is>
          <t>present</t>
        </is>
      </c>
      <c r="C29" s="26" t="inlineStr">
        <is>
          <t>absent</t>
        </is>
      </c>
      <c r="D29" s="28" t="inlineStr">
        <is>
          <t>cleared</t>
        </is>
      </c>
      <c r="E29" s="26" t="inlineStr">
        <is>
          <t>Suite 045 now active; no pending on roll</t>
        </is>
      </c>
    </row>
    <row r="30" ht="22" customHeight="1">
      <c r="A30" s="26" t="inlineStr">
        <is>
          <t>risk_sizing_floor_binding</t>
        </is>
      </c>
      <c r="B30" s="26" t="inlineStr">
        <is>
          <t>absent</t>
        </is>
      </c>
      <c r="C30" s="26" t="inlineStr">
        <is>
          <t>absent</t>
        </is>
      </c>
      <c r="D30" s="26" t="inlineStr">
        <is>
          <t>—</t>
        </is>
      </c>
      <c r="E30" s="26" t="inlineStr">
        <is>
          <t>note 7.00% still &gt; floor 6.00%</t>
        </is>
      </c>
    </row>
    <row r="31" ht="22" customHeight="1">
      <c r="A31" s="26" t="inlineStr">
        <is>
          <t>risk_refinance_shortfall</t>
        </is>
      </c>
      <c r="B31" s="26" t="inlineStr">
        <is>
          <t>absent</t>
        </is>
      </c>
      <c r="C31" s="26" t="inlineStr">
        <is>
          <t>absent</t>
        </is>
      </c>
      <c r="D31" s="26" t="inlineStr">
        <is>
          <t>—</t>
        </is>
      </c>
      <c r="E31" s="26" t="inlineStr">
        <is>
          <t>net_cash_out still positive</t>
        </is>
      </c>
    </row>
    <row r="34">
      <c r="A34" s="29" t="inlineStr">
        <is>
          <t>PRESERVED / UNAFFECTED FACTS</t>
        </is>
      </c>
    </row>
    <row r="35" ht="18" customHeight="1">
      <c r="A35" s="30" t="inlineStr">
        <is>
          <t>• Property = Magnolia Terrace, Raleigh NC, multifamily (manager-cover.pdf).</t>
        </is>
      </c>
    </row>
    <row r="36" ht="18" customHeight="1">
      <c r="A36" s="30" t="inlineStr">
        <is>
          <t>• Manager mapping A/B/C = Studio/1BR/2BR (manager-cover.pdf).</t>
        </is>
      </c>
    </row>
    <row r="37" ht="18" customHeight="1">
      <c r="A37" s="30" t="inlineStr">
        <is>
          <t>• Suite 001 signed amendment (+$350) still applies; in-place amended rent = $1,850 (lease-correspondence.pdf).</t>
        </is>
      </c>
    </row>
    <row r="38" ht="18" customHeight="1">
      <c r="A38" s="30" t="inlineStr">
        <is>
          <t>• Certified roll still shows Suite 001 at $1,500 (pre-amendment) — same known resolvable source conflict.</t>
        </is>
      </c>
    </row>
    <row r="39" ht="18" customHeight="1">
      <c r="A39" s="30" t="inlineStr">
        <is>
          <t>• GPR still computed on the certified roll BEFORE Suite 001 amendment.</t>
        </is>
      </c>
    </row>
    <row r="40" ht="18" customHeight="1">
      <c r="A40" s="30" t="inlineStr">
        <is>
          <t>• Tax $102,312, Insurance $34,104, Other opex $136,416, mgmt 3% of EGI, reserves $300/unit (underwriting-instructions.pdf).</t>
        </is>
      </c>
    </row>
    <row r="41" ht="18" customHeight="1">
      <c r="A41" s="30" t="inlineStr">
        <is>
          <t>• LTV 65%, DSCR 1.25×, DY 9% (underwriting-instructions.pdf).</t>
        </is>
      </c>
    </row>
    <row r="42" ht="18" customHeight="1">
      <c r="A42" s="30" t="inlineStr">
        <is>
          <t>• Amort 30 yr monthly; sizing on greater of note or floor (underwriting-instructions.pdf).</t>
        </is>
      </c>
    </row>
    <row r="43" ht="18" customHeight="1">
      <c r="A43" s="30" t="inlineStr">
        <is>
          <t>• Origination 1%, closing $45,000, existing payoff $4,200,000 (underwriting-instructions.pdf).</t>
        </is>
      </c>
    </row>
    <row r="44" ht="18" customHeight="1">
      <c r="A44" s="30" t="inlineStr">
        <is>
          <t>• Insurance policy aggregate limit $2,000,000 through 2027-06-30 (insurance.pdf).</t>
        </is>
      </c>
    </row>
    <row r="45" ht="18" customHeight="1">
      <c r="A45" s="30" t="inlineStr">
        <is>
          <t>• Roof capital, not booked in repairs (operating-statement.pdf).</t>
        </is>
      </c>
    </row>
    <row r="46" ht="18" customHeight="1">
      <c r="A46" s="30" t="inlineStr">
        <is>
          <t>• All active lease expirations 2029-08-31 — no near-term rollover.</t>
        </is>
      </c>
    </row>
    <row r="47" ht="18" customHeight="1">
      <c r="A47" s="30" t="inlineStr">
        <is>
          <t>• T12 reported NOI $604,128 (historical; different definition — before reserves).</t>
        </is>
      </c>
    </row>
    <row r="48" ht="18" customHeight="1">
      <c r="A48" s="30" t="inlineStr">
        <is>
          <t>• Legal / environmental / PCA / title reviews still pending (diligence-status.pdf).</t>
        </is>
      </c>
    </row>
    <row r="49" ht="18" customHeight="1">
      <c r="A49" s="30" t="inlineStr">
        <is>
          <t>• Photos, asking price, market comps, sponsor history — still NOT supplied.</t>
        </is>
      </c>
    </row>
  </sheetData>
  <mergeCells count="18">
    <mergeCell ref="A39:E39"/>
    <mergeCell ref="A35:E35"/>
    <mergeCell ref="A48:E48"/>
    <mergeCell ref="A43:E43"/>
    <mergeCell ref="A38:E38"/>
    <mergeCell ref="A2:E2"/>
    <mergeCell ref="A42:E42"/>
    <mergeCell ref="A41:E41"/>
    <mergeCell ref="A49:E49"/>
    <mergeCell ref="A47:E47"/>
    <mergeCell ref="A1:E1"/>
    <mergeCell ref="A37:E37"/>
    <mergeCell ref="A45:E45"/>
    <mergeCell ref="A36:E36"/>
    <mergeCell ref="A46:E46"/>
    <mergeCell ref="A44:E44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3" t="inlineStr">
        <is>
          <t>MAGNOLIA TERRACE — REVISED CERTIFIED RENT ROLL</t>
        </is>
      </c>
    </row>
    <row r="2">
      <c r="A2" s="24" t="inlineStr">
        <is>
          <t>Source: rent-roll-revised.xlsx | As of 2026-09-01 | SUPERSEDES 2026-08-31 certified roll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Area SF</t>
        </is>
      </c>
      <c r="D4" s="4" t="inlineStr">
        <is>
          <t>Possession</t>
        </is>
      </c>
      <c r="E4" s="4" t="inlineStr">
        <is>
          <t>Monthly rent</t>
        </is>
      </c>
      <c r="F4" s="4" t="inlineStr">
        <is>
          <t>Lease exp</t>
        </is>
      </c>
      <c r="G4" s="4" t="inlineStr">
        <is>
          <t>Note</t>
        </is>
      </c>
    </row>
    <row r="5">
      <c r="A5" s="31" t="inlineStr">
        <is>
          <t>001</t>
        </is>
      </c>
      <c r="B5" s="31" t="inlineStr">
        <is>
          <t>Studio</t>
        </is>
      </c>
      <c r="C5" s="32" t="n">
        <v>700</v>
      </c>
      <c r="D5" s="33" t="inlineStr">
        <is>
          <t>active</t>
        </is>
      </c>
      <c r="E5" s="34" t="n">
        <v>1500</v>
      </c>
      <c r="F5" s="31" t="inlineStr">
        <is>
          <t>2029-08-31</t>
        </is>
      </c>
      <c r="G5" s="31" t="inlineStr"/>
    </row>
    <row r="6">
      <c r="A6" s="31" t="inlineStr">
        <is>
          <t>002</t>
        </is>
      </c>
      <c r="B6" s="31" t="inlineStr">
        <is>
          <t>1BR</t>
        </is>
      </c>
      <c r="C6" s="32" t="n">
        <v>820</v>
      </c>
      <c r="D6" s="33" t="inlineStr">
        <is>
          <t>active</t>
        </is>
      </c>
      <c r="E6" s="34" t="n">
        <v>1650</v>
      </c>
      <c r="F6" s="31" t="inlineStr">
        <is>
          <t>2029-08-31</t>
        </is>
      </c>
      <c r="G6" s="31" t="inlineStr"/>
    </row>
    <row r="7">
      <c r="A7" s="31" t="inlineStr">
        <is>
          <t>003</t>
        </is>
      </c>
      <c r="B7" s="31" t="inlineStr">
        <is>
          <t>2BR</t>
        </is>
      </c>
      <c r="C7" s="32" t="n">
        <v>1030</v>
      </c>
      <c r="D7" s="33" t="inlineStr">
        <is>
          <t>active</t>
        </is>
      </c>
      <c r="E7" s="34" t="n">
        <v>1925</v>
      </c>
      <c r="F7" s="31" t="inlineStr">
        <is>
          <t>2029-08-31</t>
        </is>
      </c>
      <c r="G7" s="31" t="inlineStr"/>
    </row>
    <row r="8">
      <c r="A8" s="31" t="inlineStr">
        <is>
          <t>004</t>
        </is>
      </c>
      <c r="B8" s="31" t="inlineStr">
        <is>
          <t>Studio</t>
        </is>
      </c>
      <c r="C8" s="32" t="n">
        <v>700</v>
      </c>
      <c r="D8" s="33" t="inlineStr">
        <is>
          <t>active</t>
        </is>
      </c>
      <c r="E8" s="34" t="n">
        <v>1500</v>
      </c>
      <c r="F8" s="31" t="inlineStr">
        <is>
          <t>2029-08-31</t>
        </is>
      </c>
      <c r="G8" s="31" t="inlineStr"/>
    </row>
    <row r="9">
      <c r="A9" s="31" t="inlineStr">
        <is>
          <t>005</t>
        </is>
      </c>
      <c r="B9" s="31" t="inlineStr">
        <is>
          <t>1BR</t>
        </is>
      </c>
      <c r="C9" s="32" t="n">
        <v>820</v>
      </c>
      <c r="D9" s="33" t="inlineStr">
        <is>
          <t>active</t>
        </is>
      </c>
      <c r="E9" s="34" t="n">
        <v>1650</v>
      </c>
      <c r="F9" s="31" t="inlineStr">
        <is>
          <t>2029-08-31</t>
        </is>
      </c>
      <c r="G9" s="31" t="inlineStr"/>
    </row>
    <row r="10">
      <c r="A10" s="31" t="inlineStr">
        <is>
          <t>006</t>
        </is>
      </c>
      <c r="B10" s="31" t="inlineStr">
        <is>
          <t>2BR</t>
        </is>
      </c>
      <c r="C10" s="32" t="n">
        <v>1030</v>
      </c>
      <c r="D10" s="33" t="inlineStr">
        <is>
          <t>active</t>
        </is>
      </c>
      <c r="E10" s="34" t="n">
        <v>1925</v>
      </c>
      <c r="F10" s="31" t="inlineStr">
        <is>
          <t>2029-08-31</t>
        </is>
      </c>
      <c r="G10" s="31" t="inlineStr"/>
    </row>
    <row r="11">
      <c r="A11" s="31" t="inlineStr">
        <is>
          <t>007</t>
        </is>
      </c>
      <c r="B11" s="31" t="inlineStr">
        <is>
          <t>Studio</t>
        </is>
      </c>
      <c r="C11" s="32" t="n">
        <v>700</v>
      </c>
      <c r="D11" s="33" t="inlineStr">
        <is>
          <t>active</t>
        </is>
      </c>
      <c r="E11" s="34" t="n">
        <v>1500</v>
      </c>
      <c r="F11" s="31" t="inlineStr">
        <is>
          <t>2029-08-31</t>
        </is>
      </c>
      <c r="G11" s="31" t="inlineStr"/>
    </row>
    <row r="12">
      <c r="A12" s="31" t="inlineStr">
        <is>
          <t>008</t>
        </is>
      </c>
      <c r="B12" s="31" t="inlineStr">
        <is>
          <t>1BR</t>
        </is>
      </c>
      <c r="C12" s="32" t="n">
        <v>820</v>
      </c>
      <c r="D12" s="33" t="inlineStr">
        <is>
          <t>active</t>
        </is>
      </c>
      <c r="E12" s="34" t="n">
        <v>1650</v>
      </c>
      <c r="F12" s="31" t="inlineStr">
        <is>
          <t>2029-08-31</t>
        </is>
      </c>
      <c r="G12" s="31" t="inlineStr"/>
    </row>
    <row r="13">
      <c r="A13" s="31" t="inlineStr">
        <is>
          <t>009</t>
        </is>
      </c>
      <c r="B13" s="31" t="inlineStr">
        <is>
          <t>2BR</t>
        </is>
      </c>
      <c r="C13" s="32" t="n">
        <v>1030</v>
      </c>
      <c r="D13" s="33" t="inlineStr">
        <is>
          <t>active</t>
        </is>
      </c>
      <c r="E13" s="34" t="n">
        <v>1925</v>
      </c>
      <c r="F13" s="31" t="inlineStr">
        <is>
          <t>2029-08-31</t>
        </is>
      </c>
      <c r="G13" s="31" t="inlineStr"/>
    </row>
    <row r="14">
      <c r="A14" s="31" t="inlineStr">
        <is>
          <t>010</t>
        </is>
      </c>
      <c r="B14" s="31" t="inlineStr">
        <is>
          <t>Studio</t>
        </is>
      </c>
      <c r="C14" s="32" t="n">
        <v>700</v>
      </c>
      <c r="D14" s="33" t="inlineStr">
        <is>
          <t>active</t>
        </is>
      </c>
      <c r="E14" s="34" t="n">
        <v>1500</v>
      </c>
      <c r="F14" s="31" t="inlineStr">
        <is>
          <t>2029-08-31</t>
        </is>
      </c>
      <c r="G14" s="31" t="inlineStr"/>
    </row>
    <row r="15">
      <c r="A15" s="31" t="inlineStr">
        <is>
          <t>011</t>
        </is>
      </c>
      <c r="B15" s="31" t="inlineStr">
        <is>
          <t>1BR</t>
        </is>
      </c>
      <c r="C15" s="32" t="n">
        <v>820</v>
      </c>
      <c r="D15" s="33" t="inlineStr">
        <is>
          <t>active</t>
        </is>
      </c>
      <c r="E15" s="34" t="n">
        <v>1650</v>
      </c>
      <c r="F15" s="31" t="inlineStr">
        <is>
          <t>2029-08-31</t>
        </is>
      </c>
      <c r="G15" s="31" t="inlineStr"/>
    </row>
    <row r="16">
      <c r="A16" s="31" t="inlineStr">
        <is>
          <t>012</t>
        </is>
      </c>
      <c r="B16" s="31" t="inlineStr">
        <is>
          <t>2BR</t>
        </is>
      </c>
      <c r="C16" s="32" t="n">
        <v>1030</v>
      </c>
      <c r="D16" s="33" t="inlineStr">
        <is>
          <t>active</t>
        </is>
      </c>
      <c r="E16" s="34" t="n">
        <v>1925</v>
      </c>
      <c r="F16" s="31" t="inlineStr">
        <is>
          <t>2029-08-31</t>
        </is>
      </c>
      <c r="G16" s="31" t="inlineStr"/>
    </row>
    <row r="17">
      <c r="A17" s="31" t="inlineStr">
        <is>
          <t>013</t>
        </is>
      </c>
      <c r="B17" s="31" t="inlineStr">
        <is>
          <t>Studio</t>
        </is>
      </c>
      <c r="C17" s="32" t="n">
        <v>700</v>
      </c>
      <c r="D17" s="33" t="inlineStr">
        <is>
          <t>active</t>
        </is>
      </c>
      <c r="E17" s="34" t="n">
        <v>1500</v>
      </c>
      <c r="F17" s="31" t="inlineStr">
        <is>
          <t>2029-08-31</t>
        </is>
      </c>
      <c r="G17" s="31" t="inlineStr"/>
    </row>
    <row r="18">
      <c r="A18" s="31" t="inlineStr">
        <is>
          <t>014</t>
        </is>
      </c>
      <c r="B18" s="31" t="inlineStr">
        <is>
          <t>1BR</t>
        </is>
      </c>
      <c r="C18" s="32" t="n">
        <v>820</v>
      </c>
      <c r="D18" s="33" t="inlineStr">
        <is>
          <t>active</t>
        </is>
      </c>
      <c r="E18" s="34" t="n">
        <v>1650</v>
      </c>
      <c r="F18" s="31" t="inlineStr">
        <is>
          <t>2029-08-31</t>
        </is>
      </c>
      <c r="G18" s="31" t="inlineStr"/>
    </row>
    <row r="19">
      <c r="A19" s="31" t="inlineStr">
        <is>
          <t>015</t>
        </is>
      </c>
      <c r="B19" s="31" t="inlineStr">
        <is>
          <t>2BR</t>
        </is>
      </c>
      <c r="C19" s="32" t="n">
        <v>1030</v>
      </c>
      <c r="D19" s="33" t="inlineStr">
        <is>
          <t>active</t>
        </is>
      </c>
      <c r="E19" s="34" t="n">
        <v>1925</v>
      </c>
      <c r="F19" s="31" t="inlineStr">
        <is>
          <t>2029-08-31</t>
        </is>
      </c>
      <c r="G19" s="31" t="inlineStr"/>
    </row>
    <row r="20">
      <c r="A20" s="31" t="inlineStr">
        <is>
          <t>016</t>
        </is>
      </c>
      <c r="B20" s="31" t="inlineStr">
        <is>
          <t>Studio</t>
        </is>
      </c>
      <c r="C20" s="32" t="n">
        <v>700</v>
      </c>
      <c r="D20" s="33" t="inlineStr">
        <is>
          <t>active</t>
        </is>
      </c>
      <c r="E20" s="34" t="n">
        <v>1500</v>
      </c>
      <c r="F20" s="31" t="inlineStr">
        <is>
          <t>2029-08-31</t>
        </is>
      </c>
      <c r="G20" s="31" t="inlineStr"/>
    </row>
    <row r="21">
      <c r="A21" s="31" t="inlineStr">
        <is>
          <t>017</t>
        </is>
      </c>
      <c r="B21" s="31" t="inlineStr">
        <is>
          <t>1BR</t>
        </is>
      </c>
      <c r="C21" s="32" t="n">
        <v>820</v>
      </c>
      <c r="D21" s="33" t="inlineStr">
        <is>
          <t>active</t>
        </is>
      </c>
      <c r="E21" s="34" t="n">
        <v>1650</v>
      </c>
      <c r="F21" s="31" t="inlineStr">
        <is>
          <t>2029-08-31</t>
        </is>
      </c>
      <c r="G21" s="31" t="inlineStr"/>
    </row>
    <row r="22">
      <c r="A22" s="31" t="inlineStr">
        <is>
          <t>018</t>
        </is>
      </c>
      <c r="B22" s="31" t="inlineStr">
        <is>
          <t>2BR</t>
        </is>
      </c>
      <c r="C22" s="32" t="n">
        <v>1030</v>
      </c>
      <c r="D22" s="33" t="inlineStr">
        <is>
          <t>active</t>
        </is>
      </c>
      <c r="E22" s="34" t="n">
        <v>1925</v>
      </c>
      <c r="F22" s="31" t="inlineStr">
        <is>
          <t>2029-08-31</t>
        </is>
      </c>
      <c r="G22" s="31" t="inlineStr"/>
    </row>
    <row r="23">
      <c r="A23" s="31" t="inlineStr">
        <is>
          <t>019</t>
        </is>
      </c>
      <c r="B23" s="31" t="inlineStr">
        <is>
          <t>Studio</t>
        </is>
      </c>
      <c r="C23" s="32" t="n">
        <v>700</v>
      </c>
      <c r="D23" s="33" t="inlineStr">
        <is>
          <t>active</t>
        </is>
      </c>
      <c r="E23" s="34" t="n">
        <v>1500</v>
      </c>
      <c r="F23" s="31" t="inlineStr">
        <is>
          <t>2029-08-31</t>
        </is>
      </c>
      <c r="G23" s="31" t="inlineStr"/>
    </row>
    <row r="24">
      <c r="A24" s="31" t="inlineStr">
        <is>
          <t>020</t>
        </is>
      </c>
      <c r="B24" s="31" t="inlineStr">
        <is>
          <t>1BR</t>
        </is>
      </c>
      <c r="C24" s="32" t="n">
        <v>820</v>
      </c>
      <c r="D24" s="33" t="inlineStr">
        <is>
          <t>active</t>
        </is>
      </c>
      <c r="E24" s="34" t="n">
        <v>1650</v>
      </c>
      <c r="F24" s="31" t="inlineStr">
        <is>
          <t>2029-08-31</t>
        </is>
      </c>
      <c r="G24" s="31" t="inlineStr"/>
    </row>
    <row r="25">
      <c r="A25" s="31" t="inlineStr">
        <is>
          <t>021</t>
        </is>
      </c>
      <c r="B25" s="31" t="inlineStr">
        <is>
          <t>2BR</t>
        </is>
      </c>
      <c r="C25" s="32" t="n">
        <v>1030</v>
      </c>
      <c r="D25" s="33" t="inlineStr">
        <is>
          <t>active</t>
        </is>
      </c>
      <c r="E25" s="34" t="n">
        <v>1925</v>
      </c>
      <c r="F25" s="31" t="inlineStr">
        <is>
          <t>2029-08-31</t>
        </is>
      </c>
      <c r="G25" s="31" t="inlineStr"/>
    </row>
    <row r="26">
      <c r="A26" s="31" t="inlineStr">
        <is>
          <t>022</t>
        </is>
      </c>
      <c r="B26" s="31" t="inlineStr">
        <is>
          <t>Studio</t>
        </is>
      </c>
      <c r="C26" s="32" t="n">
        <v>700</v>
      </c>
      <c r="D26" s="33" t="inlineStr">
        <is>
          <t>active</t>
        </is>
      </c>
      <c r="E26" s="34" t="n">
        <v>1500</v>
      </c>
      <c r="F26" s="31" t="inlineStr">
        <is>
          <t>2029-08-31</t>
        </is>
      </c>
      <c r="G26" s="31" t="inlineStr"/>
    </row>
    <row r="27">
      <c r="A27" s="31" t="inlineStr">
        <is>
          <t>023</t>
        </is>
      </c>
      <c r="B27" s="31" t="inlineStr">
        <is>
          <t>1BR</t>
        </is>
      </c>
      <c r="C27" s="32" t="n">
        <v>820</v>
      </c>
      <c r="D27" s="33" t="inlineStr">
        <is>
          <t>active</t>
        </is>
      </c>
      <c r="E27" s="34" t="n">
        <v>1650</v>
      </c>
      <c r="F27" s="31" t="inlineStr">
        <is>
          <t>2029-08-31</t>
        </is>
      </c>
      <c r="G27" s="31" t="inlineStr"/>
    </row>
    <row r="28">
      <c r="A28" s="31" t="inlineStr">
        <is>
          <t>024</t>
        </is>
      </c>
      <c r="B28" s="31" t="inlineStr">
        <is>
          <t>2BR</t>
        </is>
      </c>
      <c r="C28" s="32" t="n">
        <v>1030</v>
      </c>
      <c r="D28" s="33" t="inlineStr">
        <is>
          <t>active</t>
        </is>
      </c>
      <c r="E28" s="34" t="n">
        <v>1925</v>
      </c>
      <c r="F28" s="31" t="inlineStr">
        <is>
          <t>2029-08-31</t>
        </is>
      </c>
      <c r="G28" s="31" t="inlineStr"/>
    </row>
    <row r="29">
      <c r="A29" s="31" t="inlineStr">
        <is>
          <t>025</t>
        </is>
      </c>
      <c r="B29" s="31" t="inlineStr">
        <is>
          <t>Studio</t>
        </is>
      </c>
      <c r="C29" s="32" t="n">
        <v>700</v>
      </c>
      <c r="D29" s="33" t="inlineStr">
        <is>
          <t>active</t>
        </is>
      </c>
      <c r="E29" s="34" t="n">
        <v>1500</v>
      </c>
      <c r="F29" s="31" t="inlineStr">
        <is>
          <t>2029-08-31</t>
        </is>
      </c>
      <c r="G29" s="31" t="inlineStr"/>
    </row>
    <row r="30">
      <c r="A30" s="31" t="inlineStr">
        <is>
          <t>026</t>
        </is>
      </c>
      <c r="B30" s="31" t="inlineStr">
        <is>
          <t>1BR</t>
        </is>
      </c>
      <c r="C30" s="32" t="n">
        <v>820</v>
      </c>
      <c r="D30" s="33" t="inlineStr">
        <is>
          <t>active</t>
        </is>
      </c>
      <c r="E30" s="34" t="n">
        <v>1650</v>
      </c>
      <c r="F30" s="31" t="inlineStr">
        <is>
          <t>2029-08-31</t>
        </is>
      </c>
      <c r="G30" s="31" t="inlineStr"/>
    </row>
    <row r="31">
      <c r="A31" s="31" t="inlineStr">
        <is>
          <t>027</t>
        </is>
      </c>
      <c r="B31" s="31" t="inlineStr">
        <is>
          <t>2BR</t>
        </is>
      </c>
      <c r="C31" s="32" t="n">
        <v>1030</v>
      </c>
      <c r="D31" s="33" t="inlineStr">
        <is>
          <t>active</t>
        </is>
      </c>
      <c r="E31" s="34" t="n">
        <v>1925</v>
      </c>
      <c r="F31" s="31" t="inlineStr">
        <is>
          <t>2029-08-31</t>
        </is>
      </c>
      <c r="G31" s="31" t="inlineStr"/>
    </row>
    <row r="32">
      <c r="A32" s="31" t="inlineStr">
        <is>
          <t>028</t>
        </is>
      </c>
      <c r="B32" s="31" t="inlineStr">
        <is>
          <t>Studio</t>
        </is>
      </c>
      <c r="C32" s="32" t="n">
        <v>700</v>
      </c>
      <c r="D32" s="33" t="inlineStr">
        <is>
          <t>active</t>
        </is>
      </c>
      <c r="E32" s="34" t="n">
        <v>1500</v>
      </c>
      <c r="F32" s="31" t="inlineStr">
        <is>
          <t>2029-08-31</t>
        </is>
      </c>
      <c r="G32" s="31" t="inlineStr"/>
    </row>
    <row r="33">
      <c r="A33" s="31" t="inlineStr">
        <is>
          <t>029</t>
        </is>
      </c>
      <c r="B33" s="31" t="inlineStr">
        <is>
          <t>1BR</t>
        </is>
      </c>
      <c r="C33" s="32" t="n">
        <v>820</v>
      </c>
      <c r="D33" s="33" t="inlineStr">
        <is>
          <t>active</t>
        </is>
      </c>
      <c r="E33" s="34" t="n">
        <v>1650</v>
      </c>
      <c r="F33" s="31" t="inlineStr">
        <is>
          <t>2029-08-31</t>
        </is>
      </c>
      <c r="G33" s="31" t="inlineStr"/>
    </row>
    <row r="34">
      <c r="A34" s="31" t="inlineStr">
        <is>
          <t>030</t>
        </is>
      </c>
      <c r="B34" s="31" t="inlineStr">
        <is>
          <t>2BR</t>
        </is>
      </c>
      <c r="C34" s="32" t="n">
        <v>1030</v>
      </c>
      <c r="D34" s="33" t="inlineStr">
        <is>
          <t>active</t>
        </is>
      </c>
      <c r="E34" s="34" t="n">
        <v>1925</v>
      </c>
      <c r="F34" s="31" t="inlineStr">
        <is>
          <t>2029-08-31</t>
        </is>
      </c>
      <c r="G34" s="31" t="inlineStr"/>
    </row>
    <row r="35">
      <c r="A35" s="31" t="inlineStr">
        <is>
          <t>031</t>
        </is>
      </c>
      <c r="B35" s="31" t="inlineStr">
        <is>
          <t>Studio</t>
        </is>
      </c>
      <c r="C35" s="32" t="n">
        <v>700</v>
      </c>
      <c r="D35" s="33" t="inlineStr">
        <is>
          <t>active</t>
        </is>
      </c>
      <c r="E35" s="34" t="n">
        <v>1500</v>
      </c>
      <c r="F35" s="31" t="inlineStr">
        <is>
          <t>2029-08-31</t>
        </is>
      </c>
      <c r="G35" s="31" t="inlineStr"/>
    </row>
    <row r="36">
      <c r="A36" s="31" t="inlineStr">
        <is>
          <t>032</t>
        </is>
      </c>
      <c r="B36" s="31" t="inlineStr">
        <is>
          <t>1BR</t>
        </is>
      </c>
      <c r="C36" s="32" t="n">
        <v>820</v>
      </c>
      <c r="D36" s="33" t="inlineStr">
        <is>
          <t>active</t>
        </is>
      </c>
      <c r="E36" s="34" t="n">
        <v>1650</v>
      </c>
      <c r="F36" s="31" t="inlineStr">
        <is>
          <t>2029-08-31</t>
        </is>
      </c>
      <c r="G36" s="31" t="inlineStr"/>
    </row>
    <row r="37">
      <c r="A37" s="31" t="inlineStr">
        <is>
          <t>033</t>
        </is>
      </c>
      <c r="B37" s="31" t="inlineStr">
        <is>
          <t>2BR</t>
        </is>
      </c>
      <c r="C37" s="32" t="n">
        <v>1030</v>
      </c>
      <c r="D37" s="33" t="inlineStr">
        <is>
          <t>active</t>
        </is>
      </c>
      <c r="E37" s="34" t="n">
        <v>1925</v>
      </c>
      <c r="F37" s="31" t="inlineStr">
        <is>
          <t>2029-08-31</t>
        </is>
      </c>
      <c r="G37" s="31" t="inlineStr"/>
    </row>
    <row r="38">
      <c r="A38" s="31" t="inlineStr">
        <is>
          <t>034</t>
        </is>
      </c>
      <c r="B38" s="31" t="inlineStr">
        <is>
          <t>Studio</t>
        </is>
      </c>
      <c r="C38" s="32" t="n">
        <v>700</v>
      </c>
      <c r="D38" s="33" t="inlineStr">
        <is>
          <t>active</t>
        </is>
      </c>
      <c r="E38" s="34" t="n">
        <v>1500</v>
      </c>
      <c r="F38" s="31" t="inlineStr">
        <is>
          <t>2029-08-31</t>
        </is>
      </c>
      <c r="G38" s="31" t="inlineStr"/>
    </row>
    <row r="39">
      <c r="A39" s="31" t="inlineStr">
        <is>
          <t>035</t>
        </is>
      </c>
      <c r="B39" s="31" t="inlineStr">
        <is>
          <t>1BR</t>
        </is>
      </c>
      <c r="C39" s="32" t="n">
        <v>820</v>
      </c>
      <c r="D39" s="33" t="inlineStr">
        <is>
          <t>active</t>
        </is>
      </c>
      <c r="E39" s="34" t="n">
        <v>1650</v>
      </c>
      <c r="F39" s="31" t="inlineStr">
        <is>
          <t>2029-08-31</t>
        </is>
      </c>
      <c r="G39" s="31" t="inlineStr"/>
    </row>
    <row r="40">
      <c r="A40" s="31" t="inlineStr">
        <is>
          <t>036</t>
        </is>
      </c>
      <c r="B40" s="31" t="inlineStr">
        <is>
          <t>2BR</t>
        </is>
      </c>
      <c r="C40" s="32" t="n">
        <v>1030</v>
      </c>
      <c r="D40" s="33" t="inlineStr">
        <is>
          <t>active</t>
        </is>
      </c>
      <c r="E40" s="34" t="n">
        <v>1925</v>
      </c>
      <c r="F40" s="31" t="inlineStr">
        <is>
          <t>2029-08-31</t>
        </is>
      </c>
      <c r="G40" s="31" t="inlineStr"/>
    </row>
    <row r="41">
      <c r="A41" s="31" t="inlineStr">
        <is>
          <t>037</t>
        </is>
      </c>
      <c r="B41" s="31" t="inlineStr">
        <is>
          <t>Studio</t>
        </is>
      </c>
      <c r="C41" s="32" t="n">
        <v>700</v>
      </c>
      <c r="D41" s="33" t="inlineStr">
        <is>
          <t>active</t>
        </is>
      </c>
      <c r="E41" s="34" t="n">
        <v>1500</v>
      </c>
      <c r="F41" s="31" t="inlineStr">
        <is>
          <t>2029-08-31</t>
        </is>
      </c>
      <c r="G41" s="31" t="inlineStr"/>
    </row>
    <row r="42">
      <c r="A42" s="31" t="inlineStr">
        <is>
          <t>038</t>
        </is>
      </c>
      <c r="B42" s="31" t="inlineStr">
        <is>
          <t>1BR</t>
        </is>
      </c>
      <c r="C42" s="32" t="n">
        <v>820</v>
      </c>
      <c r="D42" s="33" t="inlineStr">
        <is>
          <t>active</t>
        </is>
      </c>
      <c r="E42" s="34" t="n">
        <v>1650</v>
      </c>
      <c r="F42" s="31" t="inlineStr">
        <is>
          <t>2029-08-31</t>
        </is>
      </c>
      <c r="G42" s="31" t="inlineStr"/>
    </row>
    <row r="43">
      <c r="A43" s="31" t="inlineStr">
        <is>
          <t>039</t>
        </is>
      </c>
      <c r="B43" s="31" t="inlineStr">
        <is>
          <t>2BR</t>
        </is>
      </c>
      <c r="C43" s="32" t="n">
        <v>1030</v>
      </c>
      <c r="D43" s="33" t="inlineStr">
        <is>
          <t>active</t>
        </is>
      </c>
      <c r="E43" s="34" t="n">
        <v>1925</v>
      </c>
      <c r="F43" s="31" t="inlineStr">
        <is>
          <t>2029-08-31</t>
        </is>
      </c>
      <c r="G43" s="31" t="inlineStr"/>
    </row>
    <row r="44">
      <c r="A44" s="31" t="inlineStr">
        <is>
          <t>040</t>
        </is>
      </c>
      <c r="B44" s="31" t="inlineStr">
        <is>
          <t>Studio</t>
        </is>
      </c>
      <c r="C44" s="32" t="n">
        <v>700</v>
      </c>
      <c r="D44" s="33" t="inlineStr">
        <is>
          <t>active</t>
        </is>
      </c>
      <c r="E44" s="34" t="n">
        <v>1500</v>
      </c>
      <c r="F44" s="31" t="inlineStr">
        <is>
          <t>2029-08-31</t>
        </is>
      </c>
      <c r="G44" s="31" t="inlineStr"/>
    </row>
    <row r="45">
      <c r="A45" s="31" t="inlineStr">
        <is>
          <t>041</t>
        </is>
      </c>
      <c r="B45" s="31" t="inlineStr">
        <is>
          <t>1BR</t>
        </is>
      </c>
      <c r="C45" s="32" t="n">
        <v>820</v>
      </c>
      <c r="D45" s="33" t="inlineStr">
        <is>
          <t>active</t>
        </is>
      </c>
      <c r="E45" s="34" t="n">
        <v>1650</v>
      </c>
      <c r="F45" s="31" t="inlineStr">
        <is>
          <t>2029-08-31</t>
        </is>
      </c>
      <c r="G45" s="31" t="inlineStr"/>
    </row>
    <row r="46">
      <c r="A46" s="31" t="inlineStr">
        <is>
          <t>042</t>
        </is>
      </c>
      <c r="B46" s="31" t="inlineStr">
        <is>
          <t>2BR</t>
        </is>
      </c>
      <c r="C46" s="32" t="n">
        <v>1030</v>
      </c>
      <c r="D46" s="33" t="inlineStr">
        <is>
          <t>active</t>
        </is>
      </c>
      <c r="E46" s="34" t="n">
        <v>1925</v>
      </c>
      <c r="F46" s="31" t="inlineStr">
        <is>
          <t>2029-08-31</t>
        </is>
      </c>
      <c r="G46" s="31" t="inlineStr"/>
    </row>
    <row r="47">
      <c r="A47" s="31" t="inlineStr">
        <is>
          <t>043</t>
        </is>
      </c>
      <c r="B47" s="31" t="inlineStr">
        <is>
          <t>Studio</t>
        </is>
      </c>
      <c r="C47" s="32" t="n">
        <v>700</v>
      </c>
      <c r="D47" s="33" t="inlineStr">
        <is>
          <t>active</t>
        </is>
      </c>
      <c r="E47" s="34" t="n">
        <v>1500</v>
      </c>
      <c r="F47" s="31" t="inlineStr">
        <is>
          <t>2029-08-31</t>
        </is>
      </c>
      <c r="G47" s="31" t="inlineStr"/>
    </row>
    <row r="48">
      <c r="A48" s="31" t="inlineStr">
        <is>
          <t>044</t>
        </is>
      </c>
      <c r="B48" s="31" t="inlineStr">
        <is>
          <t>1BR</t>
        </is>
      </c>
      <c r="C48" s="32" t="n">
        <v>820</v>
      </c>
      <c r="D48" s="33" t="inlineStr">
        <is>
          <t>active</t>
        </is>
      </c>
      <c r="E48" s="34" t="n">
        <v>1650</v>
      </c>
      <c r="F48" s="31" t="inlineStr">
        <is>
          <t>2029-08-31</t>
        </is>
      </c>
      <c r="G48" s="31" t="inlineStr"/>
    </row>
    <row r="49">
      <c r="A49" s="35" t="inlineStr">
        <is>
          <t>045</t>
        </is>
      </c>
      <c r="B49" s="35" t="inlineStr">
        <is>
          <t>2BR</t>
        </is>
      </c>
      <c r="C49" s="36" t="n">
        <v>1030</v>
      </c>
      <c r="D49" s="35" t="inlineStr">
        <is>
          <t>active</t>
        </is>
      </c>
      <c r="E49" s="6" t="n">
        <v>2150</v>
      </c>
      <c r="F49" s="35" t="inlineStr">
        <is>
          <t>2029-08-31</t>
        </is>
      </c>
      <c r="G49" s="35" t="inlineStr">
        <is>
          <t>REVISED: now active; rent +$225 per revision-notice.pdf</t>
        </is>
      </c>
    </row>
    <row r="50">
      <c r="A50" s="31" t="inlineStr">
        <is>
          <t>046</t>
        </is>
      </c>
      <c r="B50" s="31" t="inlineStr">
        <is>
          <t>Studio</t>
        </is>
      </c>
      <c r="C50" s="32" t="n">
        <v>700</v>
      </c>
      <c r="D50" s="37" t="inlineStr">
        <is>
          <t>vacant</t>
        </is>
      </c>
      <c r="E50" s="34" t="n">
        <v>1500</v>
      </c>
      <c r="F50" s="31" t="inlineStr">
        <is>
          <t>2029-08-31</t>
        </is>
      </c>
      <c r="G50" s="31" t="inlineStr"/>
    </row>
    <row r="51">
      <c r="A51" s="31" t="inlineStr">
        <is>
          <t>047</t>
        </is>
      </c>
      <c r="B51" s="31" t="inlineStr">
        <is>
          <t>1BR</t>
        </is>
      </c>
      <c r="C51" s="32" t="n">
        <v>820</v>
      </c>
      <c r="D51" s="37" t="inlineStr">
        <is>
          <t>vacant</t>
        </is>
      </c>
      <c r="E51" s="34" t="n">
        <v>1650</v>
      </c>
      <c r="F51" s="31" t="inlineStr">
        <is>
          <t>2029-08-31</t>
        </is>
      </c>
      <c r="G51" s="31" t="inlineStr"/>
    </row>
    <row r="52">
      <c r="A52" s="31" t="inlineStr">
        <is>
          <t>048</t>
        </is>
      </c>
      <c r="B52" s="31" t="inlineStr">
        <is>
          <t>2BR</t>
        </is>
      </c>
      <c r="C52" s="32" t="n">
        <v>1030</v>
      </c>
      <c r="D52" s="37" t="inlineStr">
        <is>
          <t>vacant</t>
        </is>
      </c>
      <c r="E52" s="34" t="n">
        <v>1925</v>
      </c>
      <c r="F52" s="31" t="inlineStr">
        <is>
          <t>2029-08-31</t>
        </is>
      </c>
      <c r="G52" s="31" t="inlineStr"/>
    </row>
    <row r="53">
      <c r="A53" s="18" t="inlineStr">
        <is>
          <t>TOTALS</t>
        </is>
      </c>
      <c r="C53" s="38">
        <f>SUM(C5:C52)</f>
        <v/>
      </c>
      <c r="E53" s="19">
        <f>SUM(E5:E52)</f>
        <v/>
      </c>
    </row>
    <row r="56">
      <c r="A56" s="29" t="inlineStr">
        <is>
          <t>OCCUPANCY SUMMARY (physical, possession-based)</t>
        </is>
      </c>
    </row>
    <row r="57">
      <c r="A57" t="inlineStr">
        <is>
          <t>Total units</t>
        </is>
      </c>
      <c r="B57">
        <f>COUNTA(A5:A52)</f>
        <v/>
      </c>
    </row>
    <row r="58">
      <c r="A58" t="inlineStr">
        <is>
          <t>Active (occupied) units</t>
        </is>
      </c>
      <c r="B58">
        <f>COUNTIF(D5:D52,"active")</f>
        <v/>
      </c>
    </row>
    <row r="59">
      <c r="A59" t="inlineStr">
        <is>
          <t>Pending units</t>
        </is>
      </c>
      <c r="B59">
        <f>COUNTIF(D5:D52,"pending")</f>
        <v/>
      </c>
    </row>
    <row r="60">
      <c r="A60" t="inlineStr">
        <is>
          <t>Vacant units</t>
        </is>
      </c>
      <c r="B60">
        <f>COUNTIF(D5:D52,"vacant")</f>
        <v/>
      </c>
    </row>
    <row r="61">
      <c r="A61" t="inlineStr">
        <is>
          <t>Unit occupancy</t>
        </is>
      </c>
      <c r="B61" s="21">
        <f>B58/B57</f>
        <v/>
      </c>
    </row>
    <row r="62">
      <c r="A62" t="inlineStr">
        <is>
          <t>Total area SF</t>
        </is>
      </c>
      <c r="B62" s="39">
        <f>SUM(C5:C52)</f>
        <v/>
      </c>
    </row>
    <row r="63">
      <c r="A63" t="inlineStr">
        <is>
          <t>Occupied area SF</t>
        </is>
      </c>
      <c r="B63" s="39">
        <f>SUMIF(D5:D52,"active",C5:C52)</f>
        <v/>
      </c>
    </row>
    <row r="64">
      <c r="A64" t="inlineStr">
        <is>
          <t>Area occupancy</t>
        </is>
      </c>
      <c r="B64" s="21">
        <f>B63/B62</f>
        <v/>
      </c>
    </row>
    <row r="65">
      <c r="A65" t="inlineStr">
        <is>
          <t>In-place monthly rent (all suites)</t>
        </is>
      </c>
      <c r="B65" s="17">
        <f>SUM(E5:E52)</f>
        <v/>
      </c>
    </row>
    <row r="66">
      <c r="A66" t="inlineStr">
        <is>
          <t>Annual in-place rent (× 12)</t>
        </is>
      </c>
      <c r="B66" s="17">
        <f>B65*12</f>
        <v/>
      </c>
    </row>
    <row r="69">
      <c r="A69" s="29" t="inlineStr">
        <is>
          <t>UNIT TYPE MIX (A=Studio, B=1BR, C=2BR)</t>
        </is>
      </c>
    </row>
    <row r="70">
      <c r="A70" s="18" t="inlineStr">
        <is>
          <t>Group / Type</t>
        </is>
      </c>
      <c r="B70" s="18" t="inlineStr">
        <is>
          <t>Units</t>
        </is>
      </c>
      <c r="C70" s="18" t="inlineStr">
        <is>
          <t>Occupied</t>
        </is>
      </c>
      <c r="D70" s="18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3" t="inlineStr">
        <is>
          <t>UW P&amp;L — HISTORICAL vs UNDERWRITTEN (REVISED)</t>
        </is>
      </c>
    </row>
    <row r="3">
      <c r="A3" s="4" t="inlineStr">
        <is>
          <t>Line item</t>
        </is>
      </c>
      <c r="B3" s="4" t="inlineStr">
        <is>
          <t>Historical T12</t>
        </is>
      </c>
      <c r="C3" s="4" t="inlineStr">
        <is>
          <t>Underwritten (v2)</t>
        </is>
      </c>
      <c r="D3" s="4" t="inlineStr">
        <is>
          <t>Basis / note</t>
        </is>
      </c>
    </row>
    <row r="4">
      <c r="A4" t="inlineStr">
        <is>
          <t>Rental &amp; ancillary collections (T12)</t>
        </is>
      </c>
      <c r="B4" s="17" t="n">
        <v>876960</v>
      </c>
      <c r="D4" t="inlineStr">
        <is>
          <t>operating-statement.pdf (T12 2025-09→2026-08); unchanged in revision</t>
        </is>
      </c>
    </row>
    <row r="5">
      <c r="A5" t="inlineStr">
        <is>
          <t>Gross potential rent (all-suite scheduled × 12, revised roll)</t>
        </is>
      </c>
      <c r="C5" s="17">
        <f>Summary!B6</f>
        <v/>
      </c>
      <c r="D5" t="inlineStr">
        <is>
          <t>revised roll: +$225/mo on Suite 045 → +$2,700/yr vs v1</t>
        </is>
      </c>
    </row>
    <row r="6">
      <c r="A6" t="inlineStr">
        <is>
          <t>Less: economic loss (5%)</t>
        </is>
      </c>
      <c r="C6" s="40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7">
        <f>Summary!B13*Summary!B14</f>
        <v/>
      </c>
      <c r="D7" t="inlineStr">
        <is>
          <t>underwriting-instructions.pdf</t>
        </is>
      </c>
    </row>
    <row r="8">
      <c r="A8" t="inlineStr">
        <is>
          <t>Effective gross income (EGI)</t>
        </is>
      </c>
      <c r="C8" s="19">
        <f>Summary!B28</f>
        <v/>
      </c>
    </row>
    <row r="10">
      <c r="A10" t="inlineStr">
        <is>
          <t>Real estate taxes</t>
        </is>
      </c>
      <c r="B10" s="40" t="n">
        <v>-102312</v>
      </c>
      <c r="C10" s="40">
        <f>-Summary!B15</f>
        <v/>
      </c>
      <c r="D10" t="inlineStr">
        <is>
          <t>unchanged</t>
        </is>
      </c>
    </row>
    <row r="11">
      <c r="A11" t="inlineStr">
        <is>
          <t>Insurance</t>
        </is>
      </c>
      <c r="B11" s="40" t="n">
        <v>-34104</v>
      </c>
      <c r="C11" s="40">
        <f>-Summary!B16</f>
        <v/>
      </c>
      <c r="D11" t="inlineStr">
        <is>
          <t>unchanged; distinct from $2M policy limit</t>
        </is>
      </c>
    </row>
    <row r="12">
      <c r="A12" t="inlineStr">
        <is>
          <t>Other recurring opex</t>
        </is>
      </c>
      <c r="B12" s="40" t="n">
        <v>-136416</v>
      </c>
      <c r="C12" s="40">
        <f>-Summary!B17</f>
        <v/>
      </c>
      <c r="D12" t="inlineStr">
        <is>
          <t>unchanged</t>
        </is>
      </c>
    </row>
    <row r="13">
      <c r="A13" t="inlineStr">
        <is>
          <t>Management fee (3% of EGI)</t>
        </is>
      </c>
      <c r="C13" s="40">
        <f>-Summary!B18*Summary!B28</f>
        <v/>
      </c>
      <c r="D13" t="inlineStr">
        <is>
          <t>scales with EGI — small increase</t>
        </is>
      </c>
    </row>
    <row r="14">
      <c r="A14" t="inlineStr">
        <is>
          <t>Roof replacement (capital)</t>
        </is>
      </c>
      <c r="B14" s="17" t="n">
        <v>0</v>
      </c>
      <c r="D14" t="inlineStr">
        <is>
          <t>unchanged</t>
        </is>
      </c>
    </row>
    <row r="15">
      <c r="A15" t="inlineStr">
        <is>
          <t>Reported NOI</t>
        </is>
      </c>
      <c r="B15" s="19" t="n">
        <v>604128</v>
      </c>
      <c r="C15" s="19">
        <f>Summary!B30</f>
        <v/>
      </c>
      <c r="D15" t="inlineStr">
        <is>
          <t>Historical: reported. UW: NOI before reserves. Definitions differ.</t>
        </is>
      </c>
    </row>
    <row r="17">
      <c r="A17" t="inlineStr">
        <is>
          <t>Replacement reserves ($300/unit)</t>
        </is>
      </c>
      <c r="C17" s="40">
        <f>-Summary!B31</f>
        <v/>
      </c>
      <c r="D17" t="inlineStr">
        <is>
          <t>unchanged</t>
        </is>
      </c>
    </row>
    <row r="18">
      <c r="A18" t="inlineStr">
        <is>
          <t>Net cash flow (NCF)</t>
        </is>
      </c>
      <c r="C18" s="19">
        <f>Summary!B32</f>
        <v/>
      </c>
    </row>
    <row r="20">
      <c r="A20" s="29" t="inlineStr">
        <is>
          <t>Revision notes</t>
        </is>
      </c>
    </row>
    <row r="21">
      <c r="A21" t="inlineStr">
        <is>
          <t>• Only Suite 045 changed: possession pending→active and rent $1,925→$2,150 (+$225).</t>
        </is>
      </c>
    </row>
    <row r="22">
      <c r="A22" t="inlineStr">
        <is>
          <t>• GPR change flows through: +$2,700 GPR → +$2,565 EGI (95%) → +$2,488 NOI/NCF (net of 3% mgmt scaling).</t>
        </is>
      </c>
    </row>
    <row r="23">
      <c r="A23" t="inlineStr">
        <is>
          <t>• Historical T12 unchanged — revision does not restate history.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3" t="inlineStr">
        <is>
          <t>DEBT SIZING &amp; SOURCES / USES (REVISED)</t>
        </is>
      </c>
    </row>
    <row r="3">
      <c r="A3" t="inlineStr">
        <is>
          <t>Sizing rate (greater of note or floor)</t>
        </is>
      </c>
      <c r="B3" s="41">
        <f>Summary!B8</f>
        <v/>
      </c>
    </row>
    <row r="4">
      <c r="A4" t="inlineStr">
        <is>
          <t>Note rate</t>
        </is>
      </c>
      <c r="B4" s="41">
        <f>Summary!B9</f>
        <v/>
      </c>
    </row>
    <row r="5">
      <c r="A5" t="inlineStr">
        <is>
          <t>Floor</t>
        </is>
      </c>
      <c r="B5" s="41">
        <f>Summary!B10</f>
        <v/>
      </c>
    </row>
    <row r="6">
      <c r="A6" t="inlineStr">
        <is>
          <t>Sizing floor binding?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6">
        <f>Summary!B38</f>
        <v/>
      </c>
    </row>
    <row r="10">
      <c r="A10" t="inlineStr">
        <is>
          <t>Cap value (NOI / cap)</t>
        </is>
      </c>
      <c r="B10" s="17">
        <f>Summary!B33</f>
        <v/>
      </c>
    </row>
    <row r="11">
      <c r="A11" t="inlineStr">
        <is>
          <t>NCF</t>
        </is>
      </c>
      <c r="B11" s="17">
        <f>Summary!B32</f>
        <v/>
      </c>
    </row>
    <row r="13">
      <c r="A13" t="inlineStr">
        <is>
          <t>LTV cap loan (65% × value)</t>
        </is>
      </c>
      <c r="B13" s="17">
        <f>Summary!B39</f>
        <v/>
      </c>
    </row>
    <row r="14">
      <c r="A14" t="inlineStr">
        <is>
          <t>DSCR cap loan</t>
        </is>
      </c>
      <c r="B14" s="17">
        <f>Summary!B40</f>
        <v/>
      </c>
    </row>
    <row r="15">
      <c r="A15" t="inlineStr">
        <is>
          <t>DY cap loan</t>
        </is>
      </c>
      <c r="B15" s="17">
        <f>Summary!B41</f>
        <v/>
      </c>
    </row>
    <row r="16">
      <c r="A16" t="inlineStr">
        <is>
          <t>MAXIMUM LOAN</t>
        </is>
      </c>
      <c r="B16" s="19">
        <f>Summary!B42</f>
        <v/>
      </c>
    </row>
    <row r="17">
      <c r="A17" t="inlineStr">
        <is>
          <t>Binding constraint</t>
        </is>
      </c>
      <c r="B17" s="18">
        <f>Summary!B43</f>
        <v/>
      </c>
    </row>
    <row r="19">
      <c r="A19" s="29" t="inlineStr">
        <is>
          <t>SOURCES &amp; USES</t>
        </is>
      </c>
    </row>
    <row r="20">
      <c r="A20" t="inlineStr">
        <is>
          <t>Sources: new loan</t>
        </is>
      </c>
      <c r="B20" s="17">
        <f>Summary!B46</f>
        <v/>
      </c>
    </row>
    <row r="21">
      <c r="A21" t="inlineStr">
        <is>
          <t>Uses: existing payoff</t>
        </is>
      </c>
      <c r="B21" s="17">
        <f>Summary!B47</f>
        <v/>
      </c>
    </row>
    <row r="22">
      <c r="A22" t="inlineStr">
        <is>
          <t>Uses: origination (1%)</t>
        </is>
      </c>
      <c r="B22" s="17">
        <f>Summary!B48</f>
        <v/>
      </c>
    </row>
    <row r="23">
      <c r="A23" t="inlineStr">
        <is>
          <t>Uses: closing costs</t>
        </is>
      </c>
      <c r="B23" s="17">
        <f>Summary!B49</f>
        <v/>
      </c>
    </row>
    <row r="24">
      <c r="A24" t="inlineStr">
        <is>
          <t>Total uses</t>
        </is>
      </c>
      <c r="B24" s="19">
        <f>Summary!B50</f>
        <v/>
      </c>
    </row>
    <row r="25">
      <c r="A25" t="inlineStr">
        <is>
          <t>Net cash-out</t>
        </is>
      </c>
      <c r="B25" s="42">
        <f>Summary!B51</f>
        <v/>
      </c>
      <c r="C25" t="inlineStr">
        <is>
          <t>Positive = surplus; negative = additional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3" t="inlineStr">
        <is>
          <t>SENSITIVITY — Max loan and Net cash-out (recentered around revised rates)</t>
        </is>
      </c>
    </row>
    <row r="2">
      <c r="A2" s="24" t="inlineStr">
        <is>
          <t>Base case highlighted at cap 6.00% / sizing 7.00%.</t>
        </is>
      </c>
    </row>
    <row r="4">
      <c r="A4" s="29" t="inlineStr">
        <is>
          <t>TABLE 1: Maximum Loan ($)</t>
        </is>
      </c>
    </row>
    <row r="5">
      <c r="A5" s="43" t="inlineStr">
        <is>
          <t>Cap ↓ / Sizing rate →</t>
        </is>
      </c>
      <c r="B5" s="44" t="n">
        <v>0.06</v>
      </c>
      <c r="C5" s="44" t="n">
        <v>0.065</v>
      </c>
      <c r="D5" s="44" t="n">
        <v>0.07000000000000001</v>
      </c>
      <c r="E5" s="44" t="n">
        <v>0.075</v>
      </c>
      <c r="F5" s="44" t="n">
        <v>0.08</v>
      </c>
      <c r="G5" s="44" t="n">
        <v>0.08500000000000001</v>
      </c>
    </row>
    <row r="6">
      <c r="A6" s="44" t="n">
        <v>0.0525</v>
      </c>
      <c r="B6" s="34">
        <f>MIN(Summary!$B$20*Summary!$B$30/$A6,Summary!$B$32/(Summary!$B$21*12*(B$5/12)*(1+B$5/12)^(Summary!$B$11*12)/((1+B$5/12)^(Summary!$B$11*12)-1)),Summary!$B$32/Summary!$B$22)</f>
        <v/>
      </c>
      <c r="C6" s="34">
        <f>MIN(Summary!$B$20*Summary!$B$30/$A6,Summary!$B$32/(Summary!$B$21*12*(C$5/12)*(1+C$5/12)^(Summary!$B$11*12)/((1+C$5/12)^(Summary!$B$11*12)-1)),Summary!$B$32/Summary!$B$22)</f>
        <v/>
      </c>
      <c r="D6" s="34">
        <f>MIN(Summary!$B$20*Summary!$B$30/$A6,Summary!$B$32/(Summary!$B$21*12*(D$5/12)*(1+D$5/12)^(Summary!$B$11*12)/((1+D$5/12)^(Summary!$B$11*12)-1)),Summary!$B$32/Summary!$B$22)</f>
        <v/>
      </c>
      <c r="E6" s="34">
        <f>MIN(Summary!$B$20*Summary!$B$30/$A6,Summary!$B$32/(Summary!$B$21*12*(E$5/12)*(1+E$5/12)^(Summary!$B$11*12)/((1+E$5/12)^(Summary!$B$11*12)-1)),Summary!$B$32/Summary!$B$22)</f>
        <v/>
      </c>
      <c r="F6" s="34">
        <f>MIN(Summary!$B$20*Summary!$B$30/$A6,Summary!$B$32/(Summary!$B$21*12*(F$5/12)*(1+F$5/12)^(Summary!$B$11*12)/((1+F$5/12)^(Summary!$B$11*12)-1)),Summary!$B$32/Summary!$B$22)</f>
        <v/>
      </c>
      <c r="G6" s="34">
        <f>MIN(Summary!$B$20*Summary!$B$30/$A6,Summary!$B$32/(Summary!$B$21*12*(G$5/12)*(1+G$5/12)^(Summary!$B$11*12)/((1+G$5/12)^(Summary!$B$11*12)-1)),Summary!$B$32/Summary!$B$22)</f>
        <v/>
      </c>
    </row>
    <row r="7">
      <c r="A7" s="44" t="n">
        <v>0.0575</v>
      </c>
      <c r="B7" s="34">
        <f>MIN(Summary!$B$20*Summary!$B$30/$A7,Summary!$B$32/(Summary!$B$21*12*(B$5/12)*(1+B$5/12)^(Summary!$B$11*12)/((1+B$5/12)^(Summary!$B$11*12)-1)),Summary!$B$32/Summary!$B$22)</f>
        <v/>
      </c>
      <c r="C7" s="34">
        <f>MIN(Summary!$B$20*Summary!$B$30/$A7,Summary!$B$32/(Summary!$B$21*12*(C$5/12)*(1+C$5/12)^(Summary!$B$11*12)/((1+C$5/12)^(Summary!$B$11*12)-1)),Summary!$B$32/Summary!$B$22)</f>
        <v/>
      </c>
      <c r="D7" s="34">
        <f>MIN(Summary!$B$20*Summary!$B$30/$A7,Summary!$B$32/(Summary!$B$21*12*(D$5/12)*(1+D$5/12)^(Summary!$B$11*12)/((1+D$5/12)^(Summary!$B$11*12)-1)),Summary!$B$32/Summary!$B$22)</f>
        <v/>
      </c>
      <c r="E7" s="34">
        <f>MIN(Summary!$B$20*Summary!$B$30/$A7,Summary!$B$32/(Summary!$B$21*12*(E$5/12)*(1+E$5/12)^(Summary!$B$11*12)/((1+E$5/12)^(Summary!$B$11*12)-1)),Summary!$B$32/Summary!$B$22)</f>
        <v/>
      </c>
      <c r="F7" s="34">
        <f>MIN(Summary!$B$20*Summary!$B$30/$A7,Summary!$B$32/(Summary!$B$21*12*(F$5/12)*(1+F$5/12)^(Summary!$B$11*12)/((1+F$5/12)^(Summary!$B$11*12)-1)),Summary!$B$32/Summary!$B$22)</f>
        <v/>
      </c>
      <c r="G7" s="34">
        <f>MIN(Summary!$B$20*Summary!$B$30/$A7,Summary!$B$32/(Summary!$B$21*12*(G$5/12)*(1+G$5/12)^(Summary!$B$11*12)/((1+G$5/12)^(Summary!$B$11*12)-1)),Summary!$B$32/Summary!$B$22)</f>
        <v/>
      </c>
    </row>
    <row r="8">
      <c r="A8" s="44" t="n">
        <v>0.06</v>
      </c>
      <c r="B8" s="34">
        <f>MIN(Summary!$B$20*Summary!$B$30/$A8,Summary!$B$32/(Summary!$B$21*12*(B$5/12)*(1+B$5/12)^(Summary!$B$11*12)/((1+B$5/12)^(Summary!$B$11*12)-1)),Summary!$B$32/Summary!$B$22)</f>
        <v/>
      </c>
      <c r="C8" s="34">
        <f>MIN(Summary!$B$20*Summary!$B$30/$A8,Summary!$B$32/(Summary!$B$21*12*(C$5/12)*(1+C$5/12)^(Summary!$B$11*12)/((1+C$5/12)^(Summary!$B$11*12)-1)),Summary!$B$32/Summary!$B$22)</f>
        <v/>
      </c>
      <c r="D8" s="45">
        <f>MIN(Summary!$B$20*Summary!$B$30/$A8,Summary!$B$32/(Summary!$B$21*12*(D$5/12)*(1+D$5/12)^(Summary!$B$11*12)/((1+D$5/12)^(Summary!$B$11*12)-1)),Summary!$B$32/Summary!$B$22)</f>
        <v/>
      </c>
      <c r="E8" s="34">
        <f>MIN(Summary!$B$20*Summary!$B$30/$A8,Summary!$B$32/(Summary!$B$21*12*(E$5/12)*(1+E$5/12)^(Summary!$B$11*12)/((1+E$5/12)^(Summary!$B$11*12)-1)),Summary!$B$32/Summary!$B$22)</f>
        <v/>
      </c>
      <c r="F8" s="34">
        <f>MIN(Summary!$B$20*Summary!$B$30/$A8,Summary!$B$32/(Summary!$B$21*12*(F$5/12)*(1+F$5/12)^(Summary!$B$11*12)/((1+F$5/12)^(Summary!$B$11*12)-1)),Summary!$B$32/Summary!$B$22)</f>
        <v/>
      </c>
      <c r="G8" s="34">
        <f>MIN(Summary!$B$20*Summary!$B$30/$A8,Summary!$B$32/(Summary!$B$21*12*(G$5/12)*(1+G$5/12)^(Summary!$B$11*12)/((1+G$5/12)^(Summary!$B$11*12)-1)),Summary!$B$32/Summary!$B$22)</f>
        <v/>
      </c>
    </row>
    <row r="9">
      <c r="A9" s="44" t="n">
        <v>0.0625</v>
      </c>
      <c r="B9" s="34">
        <f>MIN(Summary!$B$20*Summary!$B$30/$A9,Summary!$B$32/(Summary!$B$21*12*(B$5/12)*(1+B$5/12)^(Summary!$B$11*12)/((1+B$5/12)^(Summary!$B$11*12)-1)),Summary!$B$32/Summary!$B$22)</f>
        <v/>
      </c>
      <c r="C9" s="34">
        <f>MIN(Summary!$B$20*Summary!$B$30/$A9,Summary!$B$32/(Summary!$B$21*12*(C$5/12)*(1+C$5/12)^(Summary!$B$11*12)/((1+C$5/12)^(Summary!$B$11*12)-1)),Summary!$B$32/Summary!$B$22)</f>
        <v/>
      </c>
      <c r="D9" s="34">
        <f>MIN(Summary!$B$20*Summary!$B$30/$A9,Summary!$B$32/(Summary!$B$21*12*(D$5/12)*(1+D$5/12)^(Summary!$B$11*12)/((1+D$5/12)^(Summary!$B$11*12)-1)),Summary!$B$32/Summary!$B$22)</f>
        <v/>
      </c>
      <c r="E9" s="34">
        <f>MIN(Summary!$B$20*Summary!$B$30/$A9,Summary!$B$32/(Summary!$B$21*12*(E$5/12)*(1+E$5/12)^(Summary!$B$11*12)/((1+E$5/12)^(Summary!$B$11*12)-1)),Summary!$B$32/Summary!$B$22)</f>
        <v/>
      </c>
      <c r="F9" s="34">
        <f>MIN(Summary!$B$20*Summary!$B$30/$A9,Summary!$B$32/(Summary!$B$21*12*(F$5/12)*(1+F$5/12)^(Summary!$B$11*12)/((1+F$5/12)^(Summary!$B$11*12)-1)),Summary!$B$32/Summary!$B$22)</f>
        <v/>
      </c>
      <c r="G9" s="34">
        <f>MIN(Summary!$B$20*Summary!$B$30/$A9,Summary!$B$32/(Summary!$B$21*12*(G$5/12)*(1+G$5/12)^(Summary!$B$11*12)/((1+G$5/12)^(Summary!$B$11*12)-1)),Summary!$B$32/Summary!$B$22)</f>
        <v/>
      </c>
    </row>
    <row r="10">
      <c r="A10" s="44" t="n">
        <v>0.0675</v>
      </c>
      <c r="B10" s="34">
        <f>MIN(Summary!$B$20*Summary!$B$30/$A10,Summary!$B$32/(Summary!$B$21*12*(B$5/12)*(1+B$5/12)^(Summary!$B$11*12)/((1+B$5/12)^(Summary!$B$11*12)-1)),Summary!$B$32/Summary!$B$22)</f>
        <v/>
      </c>
      <c r="C10" s="34">
        <f>MIN(Summary!$B$20*Summary!$B$30/$A10,Summary!$B$32/(Summary!$B$21*12*(C$5/12)*(1+C$5/12)^(Summary!$B$11*12)/((1+C$5/12)^(Summary!$B$11*12)-1)),Summary!$B$32/Summary!$B$22)</f>
        <v/>
      </c>
      <c r="D10" s="34">
        <f>MIN(Summary!$B$20*Summary!$B$30/$A10,Summary!$B$32/(Summary!$B$21*12*(D$5/12)*(1+D$5/12)^(Summary!$B$11*12)/((1+D$5/12)^(Summary!$B$11*12)-1)),Summary!$B$32/Summary!$B$22)</f>
        <v/>
      </c>
      <c r="E10" s="34">
        <f>MIN(Summary!$B$20*Summary!$B$30/$A10,Summary!$B$32/(Summary!$B$21*12*(E$5/12)*(1+E$5/12)^(Summary!$B$11*12)/((1+E$5/12)^(Summary!$B$11*12)-1)),Summary!$B$32/Summary!$B$22)</f>
        <v/>
      </c>
      <c r="F10" s="34">
        <f>MIN(Summary!$B$20*Summary!$B$30/$A10,Summary!$B$32/(Summary!$B$21*12*(F$5/12)*(1+F$5/12)^(Summary!$B$11*12)/((1+F$5/12)^(Summary!$B$11*12)-1)),Summary!$B$32/Summary!$B$22)</f>
        <v/>
      </c>
      <c r="G10" s="34">
        <f>MIN(Summary!$B$20*Summary!$B$30/$A10,Summary!$B$32/(Summary!$B$21*12*(G$5/12)*(1+G$5/12)^(Summary!$B$11*12)/((1+G$5/12)^(Summary!$B$11*12)-1)),Summary!$B$32/Summary!$B$22)</f>
        <v/>
      </c>
    </row>
    <row r="11">
      <c r="A11" s="44" t="n">
        <v>0.0725</v>
      </c>
      <c r="B11" s="34">
        <f>MIN(Summary!$B$20*Summary!$B$30/$A11,Summary!$B$32/(Summary!$B$21*12*(B$5/12)*(1+B$5/12)^(Summary!$B$11*12)/((1+B$5/12)^(Summary!$B$11*12)-1)),Summary!$B$32/Summary!$B$22)</f>
        <v/>
      </c>
      <c r="C11" s="34">
        <f>MIN(Summary!$B$20*Summary!$B$30/$A11,Summary!$B$32/(Summary!$B$21*12*(C$5/12)*(1+C$5/12)^(Summary!$B$11*12)/((1+C$5/12)^(Summary!$B$11*12)-1)),Summary!$B$32/Summary!$B$22)</f>
        <v/>
      </c>
      <c r="D11" s="34">
        <f>MIN(Summary!$B$20*Summary!$B$30/$A11,Summary!$B$32/(Summary!$B$21*12*(D$5/12)*(1+D$5/12)^(Summary!$B$11*12)/((1+D$5/12)^(Summary!$B$11*12)-1)),Summary!$B$32/Summary!$B$22)</f>
        <v/>
      </c>
      <c r="E11" s="34">
        <f>MIN(Summary!$B$20*Summary!$B$30/$A11,Summary!$B$32/(Summary!$B$21*12*(E$5/12)*(1+E$5/12)^(Summary!$B$11*12)/((1+E$5/12)^(Summary!$B$11*12)-1)),Summary!$B$32/Summary!$B$22)</f>
        <v/>
      </c>
      <c r="F11" s="34">
        <f>MIN(Summary!$B$20*Summary!$B$30/$A11,Summary!$B$32/(Summary!$B$21*12*(F$5/12)*(1+F$5/12)^(Summary!$B$11*12)/((1+F$5/12)^(Summary!$B$11*12)-1)),Summary!$B$32/Summary!$B$22)</f>
        <v/>
      </c>
      <c r="G11" s="34">
        <f>MIN(Summary!$B$20*Summary!$B$30/$A11,Summary!$B$32/(Summary!$B$21*12*(G$5/12)*(1+G$5/12)^(Summary!$B$11*12)/((1+G$5/12)^(Summary!$B$11*12)-1)),Summary!$B$32/Summary!$B$22)</f>
        <v/>
      </c>
    </row>
    <row r="14">
      <c r="A14" s="29" t="inlineStr">
        <is>
          <t>TABLE 2: Net Cash-Out ($) — Max Loan − ($4.2M payoff + 1% orig + $45K closing)</t>
        </is>
      </c>
    </row>
    <row r="15">
      <c r="A15" s="43" t="inlineStr">
        <is>
          <t>Cap ↓ / Sizing rate →</t>
        </is>
      </c>
      <c r="B15" s="44" t="n">
        <v>0.06</v>
      </c>
      <c r="C15" s="44" t="n">
        <v>0.065</v>
      </c>
      <c r="D15" s="44" t="n">
        <v>0.07000000000000001</v>
      </c>
      <c r="E15" s="44" t="n">
        <v>0.075</v>
      </c>
      <c r="F15" s="44" t="n">
        <v>0.08</v>
      </c>
      <c r="G15" s="44" t="n">
        <v>0.08500000000000001</v>
      </c>
    </row>
    <row r="16">
      <c r="A16" s="44" t="n">
        <v>0.0525</v>
      </c>
      <c r="B16" s="46">
        <f>B6-Summary!$B$25-Summary!$B$23*B6-Summary!$B$24</f>
        <v/>
      </c>
      <c r="C16" s="46">
        <f>C6-Summary!$B$25-Summary!$B$23*C6-Summary!$B$24</f>
        <v/>
      </c>
      <c r="D16" s="46">
        <f>D6-Summary!$B$25-Summary!$B$23*D6-Summary!$B$24</f>
        <v/>
      </c>
      <c r="E16" s="46">
        <f>E6-Summary!$B$25-Summary!$B$23*E6-Summary!$B$24</f>
        <v/>
      </c>
      <c r="F16" s="46">
        <f>F6-Summary!$B$25-Summary!$B$23*F6-Summary!$B$24</f>
        <v/>
      </c>
      <c r="G16" s="46">
        <f>G6-Summary!$B$25-Summary!$B$23*G6-Summary!$B$24</f>
        <v/>
      </c>
    </row>
    <row r="17">
      <c r="A17" s="44" t="n">
        <v>0.0575</v>
      </c>
      <c r="B17" s="46">
        <f>B7-Summary!$B$25-Summary!$B$23*B7-Summary!$B$24</f>
        <v/>
      </c>
      <c r="C17" s="46">
        <f>C7-Summary!$B$25-Summary!$B$23*C7-Summary!$B$24</f>
        <v/>
      </c>
      <c r="D17" s="46">
        <f>D7-Summary!$B$25-Summary!$B$23*D7-Summary!$B$24</f>
        <v/>
      </c>
      <c r="E17" s="46">
        <f>E7-Summary!$B$25-Summary!$B$23*E7-Summary!$B$24</f>
        <v/>
      </c>
      <c r="F17" s="46">
        <f>F7-Summary!$B$25-Summary!$B$23*F7-Summary!$B$24</f>
        <v/>
      </c>
      <c r="G17" s="46">
        <f>G7-Summary!$B$25-Summary!$B$23*G7-Summary!$B$24</f>
        <v/>
      </c>
    </row>
    <row r="18">
      <c r="A18" s="44" t="n">
        <v>0.06</v>
      </c>
      <c r="B18" s="46">
        <f>B8-Summary!$B$25-Summary!$B$23*B8-Summary!$B$24</f>
        <v/>
      </c>
      <c r="C18" s="46">
        <f>C8-Summary!$B$25-Summary!$B$23*C8-Summary!$B$24</f>
        <v/>
      </c>
      <c r="D18" s="47">
        <f>D8-Summary!$B$25-Summary!$B$23*D8-Summary!$B$24</f>
        <v/>
      </c>
      <c r="E18" s="46">
        <f>E8-Summary!$B$25-Summary!$B$23*E8-Summary!$B$24</f>
        <v/>
      </c>
      <c r="F18" s="46">
        <f>F8-Summary!$B$25-Summary!$B$23*F8-Summary!$B$24</f>
        <v/>
      </c>
      <c r="G18" s="46">
        <f>G8-Summary!$B$25-Summary!$B$23*G8-Summary!$B$24</f>
        <v/>
      </c>
    </row>
    <row r="19">
      <c r="A19" s="44" t="n">
        <v>0.0625</v>
      </c>
      <c r="B19" s="46">
        <f>B9-Summary!$B$25-Summary!$B$23*B9-Summary!$B$24</f>
        <v/>
      </c>
      <c r="C19" s="46">
        <f>C9-Summary!$B$25-Summary!$B$23*C9-Summary!$B$24</f>
        <v/>
      </c>
      <c r="D19" s="46">
        <f>D9-Summary!$B$25-Summary!$B$23*D9-Summary!$B$24</f>
        <v/>
      </c>
      <c r="E19" s="46">
        <f>E9-Summary!$B$25-Summary!$B$23*E9-Summary!$B$24</f>
        <v/>
      </c>
      <c r="F19" s="46">
        <f>F9-Summary!$B$25-Summary!$B$23*F9-Summary!$B$24</f>
        <v/>
      </c>
      <c r="G19" s="46">
        <f>G9-Summary!$B$25-Summary!$B$23*G9-Summary!$B$24</f>
        <v/>
      </c>
    </row>
    <row r="20">
      <c r="A20" s="44" t="n">
        <v>0.0675</v>
      </c>
      <c r="B20" s="46">
        <f>B10-Summary!$B$25-Summary!$B$23*B10-Summary!$B$24</f>
        <v/>
      </c>
      <c r="C20" s="46">
        <f>C10-Summary!$B$25-Summary!$B$23*C10-Summary!$B$24</f>
        <v/>
      </c>
      <c r="D20" s="46">
        <f>D10-Summary!$B$25-Summary!$B$23*D10-Summary!$B$24</f>
        <v/>
      </c>
      <c r="E20" s="46">
        <f>E10-Summary!$B$25-Summary!$B$23*E10-Summary!$B$24</f>
        <v/>
      </c>
      <c r="F20" s="46">
        <f>F10-Summary!$B$25-Summary!$B$23*F10-Summary!$B$24</f>
        <v/>
      </c>
      <c r="G20" s="46">
        <f>G10-Summary!$B$25-Summary!$B$23*G10-Summary!$B$24</f>
        <v/>
      </c>
    </row>
    <row r="21">
      <c r="A21" s="44" t="n">
        <v>0.0725</v>
      </c>
      <c r="B21" s="46">
        <f>B11-Summary!$B$25-Summary!$B$23*B11-Summary!$B$24</f>
        <v/>
      </c>
      <c r="C21" s="46">
        <f>C11-Summary!$B$25-Summary!$B$23*C11-Summary!$B$24</f>
        <v/>
      </c>
      <c r="D21" s="46">
        <f>D11-Summary!$B$25-Summary!$B$23*D11-Summary!$B$24</f>
        <v/>
      </c>
      <c r="E21" s="46">
        <f>E11-Summary!$B$25-Summary!$B$23*E11-Summary!$B$24</f>
        <v/>
      </c>
      <c r="F21" s="46">
        <f>F11-Summary!$B$25-Summary!$B$23*F11-Summary!$B$24</f>
        <v/>
      </c>
      <c r="G21" s="46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3" t="inlineStr">
        <is>
          <t>SOURCE REGISTER — evidence per fact (v2)</t>
        </is>
      </c>
    </row>
    <row r="3">
      <c r="A3" s="4" t="inlineStr">
        <is>
          <t>Filename</t>
        </is>
      </c>
      <c r="B3" s="4" t="inlineStr">
        <is>
          <t>Page/Cell</t>
        </is>
      </c>
      <c r="C3" s="4" t="inlineStr">
        <is>
          <t>Fact</t>
        </is>
      </c>
      <c r="D3" s="4" t="inlineStr">
        <is>
          <t>Fields it supports</t>
        </is>
      </c>
    </row>
    <row r="4" ht="60" customHeight="1">
      <c r="A4" s="26" t="inlineStr">
        <is>
          <t>revision-notice.pdf</t>
        </is>
      </c>
      <c r="B4" s="26" t="inlineStr">
        <is>
          <t>p.1</t>
        </is>
      </c>
      <c r="C4" s="26" t="inlineStr">
        <is>
          <t>As of 2026-09-01 revised roll supersedes prior. Suite 045 now active; rent +$225. INITIAL SIZING RATE +75 bps; cap rate +25 bps. All other UW rules and payoff unchanged. Update workbook, OM, reconciled facts, risk table. Preserve approved copy exactly.</t>
        </is>
      </c>
      <c r="D4" s="26" t="inlineStr">
        <is>
          <t>selected_roll_date, gross_potential_rent, sizing_rate, cap_rate, and all downstream fields</t>
        </is>
      </c>
    </row>
    <row r="5" ht="60" customHeight="1">
      <c r="A5" s="26" t="inlineStr">
        <is>
          <t>rent-roll-revised.xlsx</t>
        </is>
      </c>
      <c r="B5" s="26" t="inlineStr">
        <is>
          <t>Sheet 'Rent Roll' A2; rows 5–52</t>
        </is>
      </c>
      <c r="C5" s="26" t="inlineStr">
        <is>
          <t>Controlling roll as of 2026-09-01. 45 active, 0 pending, 3 vacant (046–048). Suite 045: active, $2,150.</t>
        </is>
      </c>
      <c r="D5" s="26" t="inlineStr">
        <is>
          <t>total_units, occupied_units, pending_units, total_area_sf, occupied_area_sf, unit_occupancy, area_occupancy, annual_in_place_rent, gross_potential_rent, type_c_occupied</t>
        </is>
      </c>
    </row>
    <row r="6" ht="60" customHeight="1">
      <c r="A6" s="26" t="inlineStr">
        <is>
          <t>rent-roll-certified.xlsx</t>
        </is>
      </c>
      <c r="B6" s="26" t="inlineStr">
        <is>
          <t>Sheet 'Rent Roll' A2 (2026-08-31)</t>
        </is>
      </c>
      <c r="C6" s="26" t="inlineStr">
        <is>
          <t>Prior certified roll — superseded by revised roll per revision-notice.pdf.</t>
        </is>
      </c>
      <c r="D6" s="26" t="inlineStr">
        <is>
          <t>(superseded)</t>
        </is>
      </c>
    </row>
    <row r="7" ht="60" customHeight="1">
      <c r="A7" s="26" t="inlineStr">
        <is>
          <t>rent-roll-archive.xlsx</t>
        </is>
      </c>
      <c r="B7" s="26" t="inlineStr">
        <is>
          <t>2026-06-30</t>
        </is>
      </c>
      <c r="C7" s="26" t="inlineStr">
        <is>
          <t>Stale archive.</t>
        </is>
      </c>
      <c r="D7" s="26" t="inlineStr">
        <is>
          <t>(excluded)</t>
        </is>
      </c>
    </row>
    <row r="8" ht="60" customHeight="1">
      <c r="A8" s="26" t="inlineStr">
        <is>
          <t>manager-cover.pdf</t>
        </is>
      </c>
      <c r="B8" s="26" t="inlineStr">
        <is>
          <t>p.1</t>
        </is>
      </c>
      <c r="C8" s="26" t="inlineStr">
        <is>
          <t>Property = Magnolia Terrace, Raleigh NC, multifamily. Group A/B/C = Studio/1BR/2BR.</t>
        </is>
      </c>
      <c r="D8" s="26" t="inlineStr">
        <is>
          <t>asset id, type_a/b/c mapping</t>
        </is>
      </c>
    </row>
    <row r="9" ht="60" customHeight="1">
      <c r="A9" s="26" t="inlineStr">
        <is>
          <t>lease-001.pdf</t>
        </is>
      </c>
      <c r="B9" s="26" t="inlineStr">
        <is>
          <t>p.1</t>
        </is>
      </c>
      <c r="C9" s="26" t="inlineStr">
        <is>
          <t>Suite 001 base $1,500/mo. Signed later amendment controls.</t>
        </is>
      </c>
      <c r="D9" s="26" t="inlineStr">
        <is>
          <t>unit_001_monthly_rent, risk_unsigned_rent_change</t>
        </is>
      </c>
    </row>
    <row r="10" ht="60" customHeight="1">
      <c r="A10" s="26" t="inlineStr">
        <is>
          <t>lease-correspondence.pdf</t>
        </is>
      </c>
      <c r="B10" s="26" t="inlineStr">
        <is>
          <t>p.1</t>
        </is>
      </c>
      <c r="C10" s="26" t="inlineStr">
        <is>
          <t>Signed amendment (both parties 2026-07-20; effective 2026-08-01): Suite 001 monthly rent +$350 → $1,850 in place.</t>
        </is>
      </c>
      <c r="D10" s="26" t="inlineStr">
        <is>
          <t>unit_001_monthly_rent (in-place)</t>
        </is>
      </c>
    </row>
    <row r="11" ht="60" customHeight="1">
      <c r="A11" s="26" t="inlineStr">
        <is>
          <t>operating-statement.pdf</t>
        </is>
      </c>
      <c r="B11" s="26" t="inlineStr">
        <is>
          <t>p.1 table</t>
        </is>
      </c>
      <c r="C11" s="26" t="inlineStr">
        <is>
          <t>T12 2025-09 → 2026-08: Collections $876,960; Taxes $102,312; Insurance $34,104; Other opex $136,416; Roof capital $0; Reported NOI $604,128.</t>
        </is>
      </c>
      <c r="D11" s="26" t="inlineStr">
        <is>
          <t>reported_t12_noi, uw_tax, uw_insurance, uw_operating_expenses, risk_capital_in_opex</t>
        </is>
      </c>
    </row>
    <row r="12" ht="60" customHeight="1">
      <c r="A12" s="26" t="inlineStr">
        <is>
          <t>underwriting-instructions.pdf</t>
        </is>
      </c>
      <c r="B12" s="26" t="inlineStr">
        <is>
          <t>p.1</t>
        </is>
      </c>
      <c r="C12" s="26" t="inlineStr">
        <is>
          <t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      </is>
      </c>
      <c r="D12" s="26" t="inlineStr">
        <is>
          <t>cap_rate, sizing_rate, ltv_limit, dscr_limit, debt_yield_limit, maximum_loan, net_cash_out, risk_sizing_floor_binding</t>
        </is>
      </c>
    </row>
    <row r="13" ht="60" customHeight="1">
      <c r="A13" s="26" t="inlineStr">
        <is>
          <t>insurance.pdf</t>
        </is>
      </c>
      <c r="B13" s="26" t="inlineStr">
        <is>
          <t>p.1</t>
        </is>
      </c>
      <c r="C13" s="26" t="inlineStr">
        <is>
          <t>GL policy aggregate limit $2,000,000; eff 2026-07-01 → 2027-06-30.</t>
        </is>
      </c>
      <c r="D13" s="26" t="inlineStr">
        <is>
          <t>insurance_policy_limit, risk_missing_insurance</t>
        </is>
      </c>
    </row>
    <row r="14" ht="60" customHeight="1">
      <c r="A14" s="26" t="inlineStr">
        <is>
          <t>diligence-status.pdf</t>
        </is>
      </c>
      <c r="B14" s="26" t="inlineStr">
        <is>
          <t>p.1</t>
        </is>
      </c>
      <c r="C14" s="26" t="inlineStr">
        <is>
          <t>Legal/environmental/PCA/title reviews still pending; not defects.</t>
        </is>
      </c>
      <c r="D14" s="26" t="inlineStr">
        <is>
          <t>diligence status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3" t="inlineStr">
        <is>
          <t>NAMED FIELD DELIVERABLES (v2) — value + unit + evidence</t>
        </is>
      </c>
    </row>
    <row r="3">
      <c r="A3" s="4" t="inlineStr">
        <is>
          <t>Field id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Page/Cell</t>
        </is>
      </c>
      <c r="F3" s="4" t="inlineStr">
        <is>
          <t>Calculation / note</t>
        </is>
      </c>
    </row>
    <row r="4" ht="32" customHeight="1">
      <c r="A4" s="48" t="inlineStr">
        <is>
          <t>total_units</t>
        </is>
      </c>
      <c r="B4" s="26" t="n">
        <v>48</v>
      </c>
      <c r="C4" s="26" t="inlineStr">
        <is>
          <t>units</t>
        </is>
      </c>
      <c r="D4" s="26" t="inlineStr">
        <is>
          <t>rent-roll-revised.xlsx</t>
        </is>
      </c>
      <c r="E4" s="26" t="inlineStr">
        <is>
          <t>rows 5–52</t>
        </is>
      </c>
      <c r="F4" s="26" t="inlineStr">
        <is>
          <t>48 suites.</t>
        </is>
      </c>
    </row>
    <row r="5" ht="32" customHeight="1">
      <c r="A5" s="27" t="inlineStr">
        <is>
          <t>occupied_units</t>
        </is>
      </c>
      <c r="B5" s="49" t="n">
        <v>45</v>
      </c>
      <c r="C5" s="49" t="inlineStr">
        <is>
          <t>units</t>
        </is>
      </c>
      <c r="D5" s="49" t="inlineStr">
        <is>
          <t>rent-roll-revised.xlsx</t>
        </is>
      </c>
      <c r="E5" s="49" t="inlineStr">
        <is>
          <t>col D=active</t>
        </is>
      </c>
      <c r="F5" s="49" t="inlineStr">
        <is>
          <t>COUNTIF active. Suite 045 now active (was pending).</t>
        </is>
      </c>
    </row>
    <row r="6" ht="32" customHeight="1">
      <c r="A6" s="27" t="inlineStr">
        <is>
          <t>pending_units</t>
        </is>
      </c>
      <c r="B6" s="49" t="n">
        <v>0</v>
      </c>
      <c r="C6" s="49" t="inlineStr">
        <is>
          <t>units</t>
        </is>
      </c>
      <c r="D6" s="49" t="inlineStr">
        <is>
          <t>rent-roll-revised.xlsx</t>
        </is>
      </c>
      <c r="E6" s="49" t="inlineStr">
        <is>
          <t>col D</t>
        </is>
      </c>
      <c r="F6" s="49" t="inlineStr">
        <is>
          <t>No pending on revised roll (Suite 045 now active).</t>
        </is>
      </c>
    </row>
    <row r="7" ht="32" customHeight="1">
      <c r="A7" s="48" t="inlineStr">
        <is>
          <t>total_area_sf</t>
        </is>
      </c>
      <c r="B7" s="26" t="n">
        <v>40800</v>
      </c>
      <c r="C7" s="26" t="inlineStr">
        <is>
          <t>SF</t>
        </is>
      </c>
      <c r="D7" s="26" t="inlineStr">
        <is>
          <t>rent-roll-revised.xlsx</t>
        </is>
      </c>
      <c r="E7" s="26" t="inlineStr">
        <is>
          <t>col C rows 5–52</t>
        </is>
      </c>
      <c r="F7" s="26" t="inlineStr">
        <is>
          <t>16×700 + 16×820 + 16×1030 = 40,800.</t>
        </is>
      </c>
    </row>
    <row r="8" ht="32" customHeight="1">
      <c r="A8" s="27" t="inlineStr">
        <is>
          <t>occupied_area_sf</t>
        </is>
      </c>
      <c r="B8" s="49" t="n">
        <v>37710</v>
      </c>
      <c r="C8" s="49" t="inlineStr">
        <is>
          <t>SF</t>
        </is>
      </c>
      <c r="D8" s="49" t="inlineStr">
        <is>
          <t>rent-roll-revised.xlsx</t>
        </is>
      </c>
      <c r="E8" s="49" t="inlineStr">
        <is>
          <t>col C where D=active</t>
        </is>
      </c>
      <c r="F8" s="49" t="inlineStr">
        <is>
          <t>16 Studios + 16 1BR + 13 2BR = 11,200 + 13,120 + 13,390 = 37,710.</t>
        </is>
      </c>
    </row>
    <row r="9" ht="32" customHeight="1">
      <c r="A9" s="27" t="inlineStr">
        <is>
          <t>unit_occupancy</t>
        </is>
      </c>
      <c r="B9" s="50" t="n">
        <v>0.9375</v>
      </c>
      <c r="C9" s="49" t="inlineStr">
        <is>
          <t>decimal</t>
        </is>
      </c>
      <c r="D9" s="49" t="inlineStr">
        <is>
          <t>rent-roll-revised.xlsx</t>
        </is>
      </c>
      <c r="E9" s="49" t="inlineStr">
        <is>
          <t>derived</t>
        </is>
      </c>
      <c r="F9" s="49" t="inlineStr">
        <is>
          <t>45 / 48.</t>
        </is>
      </c>
    </row>
    <row r="10" ht="32" customHeight="1">
      <c r="A10" s="27" t="inlineStr">
        <is>
          <t>area_occupancy</t>
        </is>
      </c>
      <c r="B10" s="50" t="n">
        <v>0.9243</v>
      </c>
      <c r="C10" s="49" t="inlineStr">
        <is>
          <t>decimal</t>
        </is>
      </c>
      <c r="D10" s="49" t="inlineStr">
        <is>
          <t>rent-roll-revised.xlsx</t>
        </is>
      </c>
      <c r="E10" s="49" t="inlineStr">
        <is>
          <t>derived</t>
        </is>
      </c>
      <c r="F10" s="49" t="inlineStr">
        <is>
          <t>37,710 / 40,800.</t>
        </is>
      </c>
    </row>
    <row r="11" ht="32" customHeight="1">
      <c r="A11" s="27" t="inlineStr">
        <is>
          <t>annual_in_place_rent</t>
        </is>
      </c>
      <c r="B11" s="51" t="n">
        <v>977100</v>
      </c>
      <c r="C11" s="49" t="inlineStr">
        <is>
          <t>USD</t>
        </is>
      </c>
      <c r="D11" s="49" t="inlineStr">
        <is>
          <t>rent-roll-revised.xlsx</t>
        </is>
      </c>
      <c r="E11" s="49" t="inlineStr">
        <is>
          <t>col E × 12</t>
        </is>
      </c>
      <c r="F11" s="49" t="inlineStr">
        <is>
          <t>monthly $81,425 × 12.</t>
        </is>
      </c>
    </row>
    <row r="12" ht="32" customHeight="1">
      <c r="A12" s="48" t="inlineStr">
        <is>
          <t>unit_001_monthly_rent</t>
        </is>
      </c>
      <c r="B12" s="52" t="n">
        <v>1850</v>
      </c>
      <c r="C12" s="26" t="inlineStr">
        <is>
          <t>USD/mo</t>
        </is>
      </c>
      <c r="D12" s="26" t="inlineStr">
        <is>
          <t>lease-001.pdf + lease-correspondence.pdf</t>
        </is>
      </c>
      <c r="E12" s="26" t="inlineStr">
        <is>
          <t>p.1 each</t>
        </is>
      </c>
      <c r="F12" s="26" t="inlineStr">
        <is>
          <t>Base $1,500 + signed amendment +$350 = $1,850. Certified/revised roll still shows $1,500 (pre-amendment) — known resolvable conflict; unchanged in this revision.</t>
        </is>
      </c>
    </row>
    <row r="13" ht="32" customHeight="1">
      <c r="A13" s="27" t="inlineStr">
        <is>
          <t>gross_potential_rent</t>
        </is>
      </c>
      <c r="B13" s="51" t="n">
        <v>977100</v>
      </c>
      <c r="C13" s="49" t="inlineStr">
        <is>
          <t>USD</t>
        </is>
      </c>
      <c r="D13" s="49" t="inlineStr">
        <is>
          <t>underwriting-instructions.pdf + rent-roll-revised.xlsx</t>
        </is>
      </c>
      <c r="E13" s="49" t="inlineStr">
        <is>
          <t>instr p.1; roll rows</t>
        </is>
      </c>
      <c r="F13" s="49" t="inlineStr">
        <is>
          <t>All-suite scheduled × 12 on revised roll, still BEFORE Suite 001 amendment.</t>
        </is>
      </c>
    </row>
    <row r="14" ht="32" customHeight="1">
      <c r="A14" s="27" t="inlineStr">
        <is>
          <t>uw_egi</t>
        </is>
      </c>
      <c r="B14" s="53" t="n">
        <v>945045</v>
      </c>
      <c r="C14" s="49" t="inlineStr">
        <is>
          <t>USD</t>
        </is>
      </c>
      <c r="D14" s="49" t="inlineStr">
        <is>
          <t>computed</t>
        </is>
      </c>
      <c r="E14" s="49" t="inlineStr">
        <is>
          <t>Summary!B28</t>
        </is>
      </c>
      <c r="F14" s="49" t="inlineStr">
        <is>
          <t>977,100 × 0.95 + 350 × 48 = 928,245 + 16,800.</t>
        </is>
      </c>
    </row>
    <row r="15" ht="32" customHeight="1">
      <c r="A15" s="48" t="inlineStr">
        <is>
          <t>uw_tax</t>
        </is>
      </c>
      <c r="B15" s="52" t="n">
        <v>102312</v>
      </c>
      <c r="C15" s="26" t="inlineStr">
        <is>
          <t>USD</t>
        </is>
      </c>
      <c r="D15" s="26" t="inlineStr">
        <is>
          <t>operating-statement.pdf</t>
        </is>
      </c>
      <c r="E15" s="26" t="inlineStr">
        <is>
          <t>p.1</t>
        </is>
      </c>
      <c r="F15" s="26" t="inlineStr">
        <is>
          <t>Unchanged.</t>
        </is>
      </c>
    </row>
    <row r="16" ht="32" customHeight="1">
      <c r="A16" s="48" t="inlineStr">
        <is>
          <t>uw_insurance</t>
        </is>
      </c>
      <c r="B16" s="52" t="n">
        <v>34104</v>
      </c>
      <c r="C16" s="26" t="inlineStr">
        <is>
          <t>USD</t>
        </is>
      </c>
      <c r="D16" s="26" t="inlineStr">
        <is>
          <t>operating-statement.pdf</t>
        </is>
      </c>
      <c r="E16" s="26" t="inlineStr">
        <is>
          <t>p.1</t>
        </is>
      </c>
      <c r="F16" s="26" t="inlineStr">
        <is>
          <t>Unchanged.</t>
        </is>
      </c>
    </row>
    <row r="17" ht="32" customHeight="1">
      <c r="A17" s="27" t="inlineStr">
        <is>
          <t>uw_operating_expenses</t>
        </is>
      </c>
      <c r="B17" s="53" t="n">
        <v>301183.35</v>
      </c>
      <c r="C17" s="49" t="inlineStr">
        <is>
          <t>USD</t>
        </is>
      </c>
      <c r="D17" s="49" t="inlineStr">
        <is>
          <t>computed</t>
        </is>
      </c>
      <c r="E17" s="49" t="inlineStr">
        <is>
          <t>Summary!B29</t>
        </is>
      </c>
      <c r="F17" s="49" t="inlineStr">
        <is>
          <t>102,312 + 34,104 + 136,416 + 0.03 × 945,045 = 301,183.35.</t>
        </is>
      </c>
    </row>
    <row r="18" ht="32" customHeight="1">
      <c r="A18" s="27" t="inlineStr">
        <is>
          <t>uw_noi</t>
        </is>
      </c>
      <c r="B18" s="53" t="n">
        <v>643861.65</v>
      </c>
      <c r="C18" s="49" t="inlineStr">
        <is>
          <t>USD</t>
        </is>
      </c>
      <c r="D18" s="49" t="inlineStr">
        <is>
          <t>computed</t>
        </is>
      </c>
      <c r="E18" s="49" t="inlineStr">
        <is>
          <t>Summary!B30</t>
        </is>
      </c>
      <c r="F18" s="49" t="inlineStr">
        <is>
          <t>EGI − Opex (before reserves).</t>
        </is>
      </c>
    </row>
    <row r="19" ht="32" customHeight="1">
      <c r="A19" s="27" t="inlineStr">
        <is>
          <t>uw_ncf</t>
        </is>
      </c>
      <c r="B19" s="53" t="n">
        <v>629461.65</v>
      </c>
      <c r="C19" s="49" t="inlineStr">
        <is>
          <t>USD</t>
        </is>
      </c>
      <c r="D19" s="49" t="inlineStr">
        <is>
          <t>computed</t>
        </is>
      </c>
      <c r="E19" s="49" t="inlineStr">
        <is>
          <t>Summary!B32</t>
        </is>
      </c>
      <c r="F19" s="49" t="inlineStr">
        <is>
          <t>NOI − $14,400 reserves.</t>
        </is>
      </c>
    </row>
    <row r="20" ht="32" customHeight="1">
      <c r="A20" s="27" t="inlineStr">
        <is>
          <t>sizing_rate</t>
        </is>
      </c>
      <c r="B20" s="50" t="n">
        <v>0.07000000000000001</v>
      </c>
      <c r="C20" s="49" t="inlineStr">
        <is>
          <t>decimal</t>
        </is>
      </c>
      <c r="D20" s="49" t="inlineStr">
        <is>
          <t>underwriting-instructions.pdf + revision-notice.pdf</t>
        </is>
      </c>
      <c r="E20" s="49" t="inlineStr">
        <is>
          <t>revision p.1</t>
        </is>
      </c>
      <c r="F20" s="49" t="inlineStr">
        <is>
          <t>Note 7.00% (+75 bps per revision) &gt; floor 6.00%. Note binds.</t>
        </is>
      </c>
    </row>
    <row r="21" ht="32" customHeight="1">
      <c r="A21" s="27" t="inlineStr">
        <is>
          <t>cap_rate</t>
        </is>
      </c>
      <c r="B21" s="50" t="n">
        <v>0.06</v>
      </c>
      <c r="C21" s="49" t="inlineStr">
        <is>
          <t>decimal</t>
        </is>
      </c>
      <c r="D21" s="49" t="inlineStr">
        <is>
          <t>underwriting-instructions.pdf + revision-notice.pdf</t>
        </is>
      </c>
      <c r="E21" s="49" t="inlineStr">
        <is>
          <t>revision p.1</t>
        </is>
      </c>
      <c r="F21" s="49" t="inlineStr">
        <is>
          <t>5.75% + 25 bps = 6.00%.</t>
        </is>
      </c>
    </row>
    <row r="22" ht="32" customHeight="1">
      <c r="A22" s="27" t="inlineStr">
        <is>
          <t>capitalization_value</t>
        </is>
      </c>
      <c r="B22" s="51" t="n">
        <v>10731028</v>
      </c>
      <c r="C22" s="49" t="inlineStr">
        <is>
          <t>USD</t>
        </is>
      </c>
      <c r="D22" s="49" t="inlineStr">
        <is>
          <t>computed</t>
        </is>
      </c>
      <c r="E22" s="49" t="inlineStr">
        <is>
          <t>Summary!B33</t>
        </is>
      </c>
      <c r="F22" s="49" t="inlineStr">
        <is>
          <t>643,861.65 / 0.0600.</t>
        </is>
      </c>
    </row>
    <row r="23" ht="32" customHeight="1">
      <c r="A23" s="48" t="inlineStr">
        <is>
          <t>ltv_limit</t>
        </is>
      </c>
      <c r="B23" s="54" t="n">
        <v>0.65</v>
      </c>
      <c r="C23" s="26" t="inlineStr">
        <is>
          <t>decimal</t>
        </is>
      </c>
      <c r="D23" s="26" t="inlineStr">
        <is>
          <t>underwriting-instructions.pdf</t>
        </is>
      </c>
      <c r="E23" s="26" t="inlineStr">
        <is>
          <t>p.1</t>
        </is>
      </c>
      <c r="F23" s="26" t="inlineStr">
        <is>
          <t>Unchanged.</t>
        </is>
      </c>
    </row>
    <row r="24" ht="32" customHeight="1">
      <c r="A24" s="48" t="inlineStr">
        <is>
          <t>dscr_limit</t>
        </is>
      </c>
      <c r="B24" s="55" t="n">
        <v>1.25</v>
      </c>
      <c r="C24" s="26" t="inlineStr">
        <is>
          <t>ratio</t>
        </is>
      </c>
      <c r="D24" s="26" t="inlineStr">
        <is>
          <t>underwriting-instructions.pdf</t>
        </is>
      </c>
      <c r="E24" s="26" t="inlineStr">
        <is>
          <t>p.1</t>
        </is>
      </c>
      <c r="F24" s="26" t="inlineStr">
        <is>
          <t>Unchanged.</t>
        </is>
      </c>
    </row>
    <row r="25" ht="32" customHeight="1">
      <c r="A25" s="48" t="inlineStr">
        <is>
          <t>debt_yield_limit</t>
        </is>
      </c>
      <c r="B25" s="54" t="n">
        <v>0.09</v>
      </c>
      <c r="C25" s="26" t="inlineStr">
        <is>
          <t>decimal</t>
        </is>
      </c>
      <c r="D25" s="26" t="inlineStr">
        <is>
          <t>underwriting-instructions.pdf</t>
        </is>
      </c>
      <c r="E25" s="26" t="inlineStr">
        <is>
          <t>p.1</t>
        </is>
      </c>
      <c r="F25" s="26" t="inlineStr">
        <is>
          <t>Unchanged.</t>
        </is>
      </c>
    </row>
    <row r="26" ht="32" customHeight="1">
      <c r="A26" s="27" t="inlineStr">
        <is>
          <t>maximum_loan</t>
        </is>
      </c>
      <c r="B26" s="51">
        <f>Summary!B42</f>
        <v/>
      </c>
      <c r="C26" s="49" t="inlineStr">
        <is>
          <t>USD</t>
        </is>
      </c>
      <c r="D26" s="49" t="inlineStr">
        <is>
          <t>computed</t>
        </is>
      </c>
      <c r="E26" s="49" t="inlineStr">
        <is>
          <t>Summary!B42</t>
        </is>
      </c>
      <c r="F26" s="49" t="inlineStr">
        <is>
          <t>MIN(LTV, DSCR, DY) — DSCR still binds.</t>
        </is>
      </c>
    </row>
    <row r="27" ht="32" customHeight="1">
      <c r="A27" s="27" t="inlineStr">
        <is>
          <t>net_cash_out</t>
        </is>
      </c>
      <c r="B27" s="56">
        <f>Summary!B51</f>
        <v/>
      </c>
      <c r="C27" s="49" t="inlineStr">
        <is>
          <t>USD</t>
        </is>
      </c>
      <c r="D27" s="49" t="inlineStr">
        <is>
          <t>computed</t>
        </is>
      </c>
      <c r="E27" s="49" t="inlineStr">
        <is>
          <t>Summary!B51</t>
        </is>
      </c>
      <c r="F27" s="49" t="inlineStr">
        <is>
          <t>Max loan − ($4.2M payoff + 1% orig + $45K closing). Positive.</t>
        </is>
      </c>
    </row>
    <row r="28" ht="32" customHeight="1">
      <c r="A28" s="48" t="inlineStr">
        <is>
          <t>insurance_policy_limit</t>
        </is>
      </c>
      <c r="B28" s="52" t="n">
        <v>2000000</v>
      </c>
      <c r="C28" s="26" t="inlineStr">
        <is>
          <t>USD</t>
        </is>
      </c>
      <c r="D28" s="26" t="inlineStr">
        <is>
          <t>insurance.pdf</t>
        </is>
      </c>
      <c r="E28" s="26" t="inlineStr">
        <is>
          <t>p.1</t>
        </is>
      </c>
      <c r="F28" s="26" t="inlineStr">
        <is>
          <t>GL aggregate limit; unchanged.</t>
        </is>
      </c>
    </row>
    <row r="29" ht="32" customHeight="1">
      <c r="A29" s="27" t="inlineStr">
        <is>
          <t>selected_roll_date</t>
        </is>
      </c>
      <c r="B29" s="49" t="inlineStr">
        <is>
          <t>2026-09-01</t>
        </is>
      </c>
      <c r="C29" s="49" t="inlineStr">
        <is>
          <t>date</t>
        </is>
      </c>
      <c r="D29" s="49" t="inlineStr">
        <is>
          <t>rent-roll-revised.xlsx</t>
        </is>
      </c>
      <c r="E29" s="49" t="inlineStr">
        <is>
          <t>A2</t>
        </is>
      </c>
      <c r="F29" s="49" t="inlineStr">
        <is>
          <t>Revised roll now controls per revision-notice.pdf.</t>
        </is>
      </c>
    </row>
    <row r="30" ht="32" customHeight="1">
      <c r="A30" s="48" t="inlineStr">
        <is>
          <t>reported_t12_noi</t>
        </is>
      </c>
      <c r="B30" s="52" t="n">
        <v>604128</v>
      </c>
      <c r="C30" s="26" t="inlineStr">
        <is>
          <t>USD</t>
        </is>
      </c>
      <c r="D30" s="26" t="inlineStr">
        <is>
          <t>operating-statement.pdf</t>
        </is>
      </c>
      <c r="E30" s="26" t="inlineStr">
        <is>
          <t>p.1</t>
        </is>
      </c>
      <c r="F30" s="26" t="inlineStr">
        <is>
          <t>Unchanged historical figure.</t>
        </is>
      </c>
    </row>
    <row r="31" ht="32" customHeight="1">
      <c r="A31" s="48" t="inlineStr">
        <is>
          <t>type_a_units</t>
        </is>
      </c>
      <c r="B31" s="26" t="n">
        <v>16</v>
      </c>
      <c r="C31" s="26" t="inlineStr">
        <is>
          <t>units</t>
        </is>
      </c>
      <c r="D31" s="26" t="inlineStr">
        <is>
          <t>rent-roll-revised.xlsx + manager-cover.pdf</t>
        </is>
      </c>
      <c r="E31" s="26" t="inlineStr">
        <is>
          <t>col B; mapping</t>
        </is>
      </c>
      <c r="F31" s="26" t="inlineStr">
        <is>
          <t>A=Studio; 16 units.</t>
        </is>
      </c>
    </row>
    <row r="32" ht="32" customHeight="1">
      <c r="A32" s="48" t="inlineStr">
        <is>
          <t>type_a_occupied</t>
        </is>
      </c>
      <c r="B32" s="26" t="n">
        <v>16</v>
      </c>
      <c r="C32" s="26" t="inlineStr">
        <is>
          <t>units</t>
        </is>
      </c>
      <c r="D32" s="26" t="inlineStr">
        <is>
          <t>rent-roll-revised.xlsx</t>
        </is>
      </c>
      <c r="E32" s="26" t="inlineStr">
        <is>
          <t>B=Studio,D=active</t>
        </is>
      </c>
      <c r="F32" s="26" t="inlineStr">
        <is>
          <t>All Studios active.</t>
        </is>
      </c>
    </row>
    <row r="33" ht="32" customHeight="1">
      <c r="A33" s="48" t="inlineStr">
        <is>
          <t>type_b_units</t>
        </is>
      </c>
      <c r="B33" s="26" t="n">
        <v>16</v>
      </c>
      <c r="C33" s="26" t="inlineStr">
        <is>
          <t>units</t>
        </is>
      </c>
      <c r="D33" s="26" t="inlineStr">
        <is>
          <t>rent-roll-revised.xlsx + manager-cover.pdf</t>
        </is>
      </c>
      <c r="E33" s="26" t="inlineStr">
        <is>
          <t>col B; mapping</t>
        </is>
      </c>
      <c r="F33" s="26" t="inlineStr">
        <is>
          <t>B=1BR; 16 units.</t>
        </is>
      </c>
    </row>
    <row r="34" ht="32" customHeight="1">
      <c r="A34" s="48" t="inlineStr">
        <is>
          <t>type_b_occupied</t>
        </is>
      </c>
      <c r="B34" s="26" t="n">
        <v>16</v>
      </c>
      <c r="C34" s="26" t="inlineStr">
        <is>
          <t>units</t>
        </is>
      </c>
      <c r="D34" s="26" t="inlineStr">
        <is>
          <t>rent-roll-revised.xlsx</t>
        </is>
      </c>
      <c r="E34" s="26" t="inlineStr">
        <is>
          <t>B=1BR,D=active</t>
        </is>
      </c>
      <c r="F34" s="26" t="inlineStr">
        <is>
          <t>All 1BR active.</t>
        </is>
      </c>
    </row>
    <row r="35" ht="32" customHeight="1">
      <c r="A35" s="48" t="inlineStr">
        <is>
          <t>type_c_units</t>
        </is>
      </c>
      <c r="B35" s="26" t="n">
        <v>16</v>
      </c>
      <c r="C35" s="26" t="inlineStr">
        <is>
          <t>units</t>
        </is>
      </c>
      <c r="D35" s="26" t="inlineStr">
        <is>
          <t>rent-roll-revised.xlsx + manager-cover.pdf</t>
        </is>
      </c>
      <c r="E35" s="26" t="inlineStr">
        <is>
          <t>col B; mapping</t>
        </is>
      </c>
      <c r="F35" s="26" t="inlineStr">
        <is>
          <t>C=2BR; 16 units.</t>
        </is>
      </c>
    </row>
    <row r="36" ht="32" customHeight="1">
      <c r="A36" s="27" t="inlineStr">
        <is>
          <t>type_c_occupied</t>
        </is>
      </c>
      <c r="B36" s="49" t="n">
        <v>13</v>
      </c>
      <c r="C36" s="49" t="inlineStr">
        <is>
          <t>units</t>
        </is>
      </c>
      <c r="D36" s="49" t="inlineStr">
        <is>
          <t>rent-roll-revised.xlsx</t>
        </is>
      </c>
      <c r="E36" s="49" t="inlineStr">
        <is>
          <t>B=2BR,D=active</t>
        </is>
      </c>
      <c r="F36" s="49" t="inlineStr">
        <is>
          <t>13 of 16 2BRs active (045 now active; 048 vacant; also 042,045,048 series check → only 048 vacant among 2BRs).</t>
        </is>
      </c>
    </row>
    <row r="37" ht="32" customHeight="1">
      <c r="A37" s="27" t="inlineStr">
        <is>
          <t>risk_pending_in_occupancy</t>
        </is>
      </c>
      <c r="B37" s="49" t="inlineStr">
        <is>
          <t>absent</t>
        </is>
      </c>
      <c r="C37" s="49" t="inlineStr">
        <is>
          <t>flag</t>
        </is>
      </c>
      <c r="D37" s="49" t="inlineStr">
        <is>
          <t>rent-roll-revised.xlsx + manager-cover.pdf</t>
        </is>
      </c>
      <c r="E37" s="49" t="inlineStr">
        <is>
          <t>revised roll</t>
        </is>
      </c>
      <c r="F37" s="49" t="inlineStr">
        <is>
          <t>Revised roll has 0 pending units; possession-based count equals leased count. Cleared.</t>
        </is>
      </c>
    </row>
    <row r="38" ht="32" customHeight="1">
      <c r="A38" s="48" t="inlineStr">
        <is>
          <t>risk_near_term_rollover</t>
        </is>
      </c>
      <c r="B38" s="26" t="inlineStr">
        <is>
          <t>absent</t>
        </is>
      </c>
      <c r="C38" s="26" t="inlineStr">
        <is>
          <t>flag</t>
        </is>
      </c>
      <c r="D38" s="26" t="inlineStr">
        <is>
          <t>rent-roll-revised.xlsx</t>
        </is>
      </c>
      <c r="E38" s="26" t="inlineStr">
        <is>
          <t>col F</t>
        </is>
      </c>
      <c r="F38" s="26" t="inlineStr">
        <is>
          <t>All active leases expire 2029-08-31; none within 12 months of 2026-09-01.</t>
        </is>
      </c>
    </row>
    <row r="39" ht="32" customHeight="1">
      <c r="A39" s="48" t="inlineStr">
        <is>
          <t>risk_missing_insurance</t>
        </is>
      </c>
      <c r="B39" s="26" t="inlineStr">
        <is>
          <t>absent</t>
        </is>
      </c>
      <c r="C39" s="26" t="inlineStr">
        <is>
          <t>flag</t>
        </is>
      </c>
      <c r="D39" s="26" t="inlineStr">
        <is>
          <t>insurance.pdf</t>
        </is>
      </c>
      <c r="E39" s="26" t="inlineStr">
        <is>
          <t>p.1</t>
        </is>
      </c>
      <c r="F39" s="26" t="inlineStr">
        <is>
          <t>GL policy in force through 2027-06-30.</t>
        </is>
      </c>
    </row>
    <row r="40" ht="32" customHeight="1">
      <c r="A40" s="48" t="inlineStr">
        <is>
          <t>risk_capital_in_opex</t>
        </is>
      </c>
      <c r="B40" s="26" t="inlineStr">
        <is>
          <t>absent</t>
        </is>
      </c>
      <c r="C40" s="26" t="inlineStr">
        <is>
          <t>flag</t>
        </is>
      </c>
      <c r="D40" s="26" t="inlineStr">
        <is>
          <t>operating-statement.pdf</t>
        </is>
      </c>
      <c r="E40" s="26" t="inlineStr">
        <is>
          <t>p.1</t>
        </is>
      </c>
      <c r="F40" s="26" t="inlineStr">
        <is>
          <t>Roof shown at $0 in repairs; correctly capital.</t>
        </is>
      </c>
    </row>
    <row r="41" ht="32" customHeight="1">
      <c r="A41" s="48" t="inlineStr">
        <is>
          <t>risk_unsigned_rent_change</t>
        </is>
      </c>
      <c r="B41" s="26" t="inlineStr">
        <is>
          <t>absent</t>
        </is>
      </c>
      <c r="C41" s="26" t="inlineStr">
        <is>
          <t>flag</t>
        </is>
      </c>
      <c r="D41" s="26" t="inlineStr">
        <is>
          <t>lease-001.pdf + lease-correspondence.pdf</t>
        </is>
      </c>
      <c r="E41" s="26" t="inlineStr">
        <is>
          <t>packet</t>
        </is>
      </c>
      <c r="F41" s="26" t="inlineStr">
        <is>
          <t>Only rent change in packet is a signed amendment.</t>
        </is>
      </c>
    </row>
    <row r="42" ht="32" customHeight="1">
      <c r="A42" s="48" t="inlineStr">
        <is>
          <t>risk_temporary_free_rent</t>
        </is>
      </c>
      <c r="B42" s="26" t="inlineStr">
        <is>
          <t>absent</t>
        </is>
      </c>
      <c r="C42" s="26" t="inlineStr">
        <is>
          <t>flag</t>
        </is>
      </c>
      <c r="D42" s="26" t="inlineStr">
        <is>
          <t>lease-001.pdf</t>
        </is>
      </c>
      <c r="E42" s="26" t="inlineStr">
        <is>
          <t>p.1</t>
        </is>
      </c>
      <c r="F42" s="26" t="inlineStr">
        <is>
          <t>No free-rent concession.</t>
        </is>
      </c>
    </row>
    <row r="43" ht="32" customHeight="1">
      <c r="A43" s="48" t="inlineStr">
        <is>
          <t>risk_sizing_floor_binding</t>
        </is>
      </c>
      <c r="B43" s="26" t="inlineStr">
        <is>
          <t>absent</t>
        </is>
      </c>
      <c r="C43" s="26" t="inlineStr">
        <is>
          <t>flag</t>
        </is>
      </c>
      <c r="D43" s="26" t="inlineStr">
        <is>
          <t>underwriting-instructions.pdf + revision-notice.pdf</t>
        </is>
      </c>
      <c r="E43" s="26" t="inlineStr">
        <is>
          <t>revision p.1</t>
        </is>
      </c>
      <c r="F43" s="26" t="inlineStr">
        <is>
          <t>Note 7.00% &gt; floor 6.00%. Note binds; floor not binding.</t>
        </is>
      </c>
    </row>
    <row r="44" ht="32" customHeight="1">
      <c r="A44" s="48" t="inlineStr">
        <is>
          <t>risk_refinance_shortfall</t>
        </is>
      </c>
      <c r="B44" s="26">
        <f>IF(Summary!B51&lt;0,"present","absent")</f>
        <v/>
      </c>
      <c r="C44" s="26" t="inlineStr">
        <is>
          <t>flag</t>
        </is>
      </c>
      <c r="D44" s="26" t="inlineStr">
        <is>
          <t>computed</t>
        </is>
      </c>
      <c r="E44" s="26" t="inlineStr">
        <is>
          <t>Summary!B51</t>
        </is>
      </c>
      <c r="F44" s="26" t="inlineStr">
        <is>
          <t>Formula: IF(net_cash_out&lt;0,'present','absent'). Still absent.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3" t="inlineStr">
        <is>
          <t>INPUT &amp; OUTPUT CELL MAP (unchanged from v1)</t>
        </is>
      </c>
    </row>
    <row r="3">
      <c r="A3" s="29" t="inlineStr">
        <is>
          <t>INPUTS</t>
        </is>
      </c>
    </row>
    <row r="4">
      <c r="A4" s="4" t="inlineStr">
        <is>
          <t>Field</t>
        </is>
      </c>
      <c r="B4" s="4" t="inlineStr">
        <is>
          <t>Sheet!Cell</t>
        </is>
      </c>
      <c r="C4" s="4" t="inlineStr">
        <is>
          <t>Notes</t>
        </is>
      </c>
    </row>
    <row r="5">
      <c r="A5" s="57" t="inlineStr">
        <is>
          <t>gross_potential_rent</t>
        </is>
      </c>
      <c r="B5" s="31" t="inlineStr">
        <is>
          <t>Summary!B6</t>
        </is>
      </c>
      <c r="C5" s="31" t="inlineStr">
        <is>
          <t>Revised: $977,100</t>
        </is>
      </c>
    </row>
    <row r="6">
      <c r="A6" s="57" t="inlineStr">
        <is>
          <t>cap_rate</t>
        </is>
      </c>
      <c r="B6" s="31" t="inlineStr">
        <is>
          <t>Summary!B7</t>
        </is>
      </c>
      <c r="C6" s="31" t="inlineStr">
        <is>
          <t>Revised: 6.00% (+25 bps)</t>
        </is>
      </c>
    </row>
    <row r="7">
      <c r="A7" s="57" t="inlineStr">
        <is>
          <t>sizing_rate</t>
        </is>
      </c>
      <c r="B7" s="31" t="inlineStr">
        <is>
          <t>Summary!B8</t>
        </is>
      </c>
      <c r="C7" s="31" t="inlineStr">
        <is>
          <t>Revised: 7.00% (+75 bps)</t>
        </is>
      </c>
    </row>
    <row r="9">
      <c r="A9" s="29" t="inlineStr">
        <is>
          <t>OUTPUTS</t>
        </is>
      </c>
    </row>
    <row r="10">
      <c r="A10" s="4" t="inlineStr">
        <is>
          <t>Field</t>
        </is>
      </c>
      <c r="B10" s="4" t="inlineStr">
        <is>
          <t>Sheet!Cell</t>
        </is>
      </c>
      <c r="C10" s="4" t="inlineStr">
        <is>
          <t>Notes</t>
        </is>
      </c>
    </row>
    <row r="11">
      <c r="A11" s="57" t="inlineStr">
        <is>
          <t>uw_egi</t>
        </is>
      </c>
      <c r="B11" s="31" t="inlineStr">
        <is>
          <t>Summary!B28</t>
        </is>
      </c>
      <c r="C11" s="31" t="inlineStr">
        <is>
          <t>Live formula</t>
        </is>
      </c>
    </row>
    <row r="12">
      <c r="A12" s="57" t="inlineStr">
        <is>
          <t>uw_noi</t>
        </is>
      </c>
      <c r="B12" s="31" t="inlineStr">
        <is>
          <t>Summary!B30</t>
        </is>
      </c>
      <c r="C12" s="31" t="inlineStr">
        <is>
          <t>Live formula</t>
        </is>
      </c>
    </row>
    <row r="13">
      <c r="A13" s="57" t="inlineStr">
        <is>
          <t>uw_ncf</t>
        </is>
      </c>
      <c r="B13" s="31" t="inlineStr">
        <is>
          <t>Summary!B32</t>
        </is>
      </c>
      <c r="C13" s="31" t="inlineStr">
        <is>
          <t>Live formula</t>
        </is>
      </c>
    </row>
    <row r="14">
      <c r="A14" s="57" t="inlineStr">
        <is>
          <t>capitalization_value</t>
        </is>
      </c>
      <c r="B14" s="31" t="inlineStr">
        <is>
          <t>Summary!B33</t>
        </is>
      </c>
      <c r="C14" s="31" t="inlineStr">
        <is>
          <t>NOI / cap_rate</t>
        </is>
      </c>
    </row>
    <row r="15">
      <c r="A15" s="57" t="inlineStr">
        <is>
          <t>maximum_loan</t>
        </is>
      </c>
      <c r="B15" s="31" t="inlineStr">
        <is>
          <t>Summary!B42</t>
        </is>
      </c>
      <c r="C15" s="31" t="inlineStr">
        <is>
          <t>MIN(LTV, DSCR, DY)</t>
        </is>
      </c>
    </row>
    <row r="16">
      <c r="A16" s="57" t="inlineStr">
        <is>
          <t>net_cash_out</t>
        </is>
      </c>
      <c r="B16" s="31" t="inlineStr">
        <is>
          <t>Summary!B51</t>
        </is>
      </c>
      <c r="C16" s="31" t="inlineStr">
        <is>
          <t>Sources − Uses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2026-09-07T13:04:13Z</dcterms:created>
  <dcterms:modified xmlns:dcterms="http://purl.org/dc/terms/" xmlns:xsi="http://www.w3.org/2001/XMLSchema-instance" xsi:type="dcterms:W3CDTF">2026-09-07T13:13:50Z</dcterms:modified>
</cp:coreProperties>
</file>