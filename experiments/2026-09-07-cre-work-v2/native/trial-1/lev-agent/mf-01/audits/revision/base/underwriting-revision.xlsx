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hange_Log" sheetId="2" state="visible" r:id="rId4"/>
    <sheet name="RentRoll_Revised" sheetId="3" state="visible" r:id="rId5"/>
    <sheet name="UW_P&amp;L" sheetId="4" state="visible" r:id="rId6"/>
    <sheet name="Debt_Sizing" sheetId="5" state="visible" r:id="rId7"/>
    <sheet name="Sensitivity" sheetId="6" state="visible" r:id="rId8"/>
    <sheet name="Source_Register" sheetId="7" state="visible" r:id="rId9"/>
    <sheet name="Named_Fields" sheetId="8" state="visible" r:id="rId10"/>
    <sheet name="IO_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<sst xmlns="http://schemas.openxmlformats.org/spreadsheetml/2006/main" count="803" uniqueCount="491">
  <si>
    <t xml:space="preserve">MAGNOLIA TERRACE — UNDERWRITING SUMMARY (REVISION v2)</t>
  </si>
  <si>
    <t xml:space="preserve">Raleigh, NC | Multifamily | 48 units | As-of 2026-09-01 (revised roll)</t>
  </si>
  <si>
    <t xml:space="preserve">REVISION v2 supersedes prior v1 model. Prior v1 is retained in the audit archive — this file does not replace it.</t>
  </si>
  <si>
    <t xml:space="preserve">INPUT CELLS (yellow) — orange highlight = changed in this revision</t>
  </si>
  <si>
    <t xml:space="preserve">Gross potential rent (annual, before econ loss) — CHANGED</t>
  </si>
  <si>
    <t xml:space="preserve">gross_potential_rent</t>
  </si>
  <si>
    <t xml:space="preserve">Capitalization rate — CHANGED (+25 bps)</t>
  </si>
  <si>
    <t xml:space="preserve">cap_rate</t>
  </si>
  <si>
    <t xml:space="preserve">Sizing rate (greater of note or floor) — CHANGED (+75 bps)</t>
  </si>
  <si>
    <t xml:space="preserve">sizing_rate</t>
  </si>
  <si>
    <t xml:space="preserve">Note rate — CHANGED (+75 bps)</t>
  </si>
  <si>
    <t xml:space="preserve">Rate floor (unchanged)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</si>
  <si>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</si>
  <si>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</si>
  <si>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</si>
  <si>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</si>
  <si>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</si>
  <si>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</si>
  <si>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</si>
  <si>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</si>
  <si>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</si>
  <si>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</si>
  <si>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</si>
  <si>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</si>
  <si>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</si>
  <si>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</si>
  <si>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 (unchanged)</t>
  </si>
  <si>
    <t xml:space="preserve">OUTPUT CELLS (green) — live formulas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</si>
  <si>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</si>
  <si>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</si>
  <si>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</si>
  <si>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</si>
  <si>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</si>
  <si>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</si>
  <si>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</si>
  <si>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</si>
  <si>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</si>
  <si>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</si>
  <si>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</si>
  <si>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</si>
  <si>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</si>
  <si>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</si>
  <si>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</si>
  <si>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</si>
  <si>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</si>
  <si>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</si>
  <si>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</si>
  <si>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</si>
  <si>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</si>
  <si>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</si>
  <si>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</si>
  <si>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</si>
  <si>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</si>
  <si>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</si>
  <si>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required)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</si>
  <si>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</si>
  <si>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</si>
  <si>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</si>
  <si>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</si>
  <si>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</si>
  <si>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</si>
  <si>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REVISION v2 CHANGE LOG</t>
  </si>
  <si>
    <t xml:space="preserve">Trigger: revision-notice.pdf | New controlling roll: rent-roll-revised.xlsx (as of 2026-09-01)</t>
  </si>
  <si>
    <t xml:space="preserve">Approved copy preserved: "Source-backed analysis. Assumptions remain subject to diligence."</t>
  </si>
  <si>
    <t xml:space="preserve">Item</t>
  </si>
  <si>
    <t xml:space="preserve">Prior (v1)</t>
  </si>
  <si>
    <t xml:space="preserve">Revised (v2)</t>
  </si>
  <si>
    <t xml:space="preserve">Delta</t>
  </si>
  <si>
    <t xml:space="preserve">Source / basis</t>
  </si>
  <si>
    <t xml:space="preserve">Controlling roll date</t>
  </si>
  <si>
    <t xml:space="preserve">2026-08-31</t>
  </si>
  <si>
    <t xml:space="preserve">2026-09-01</t>
  </si>
  <si>
    <t xml:space="preserve">+1 day</t>
  </si>
  <si>
    <t xml:space="preserve">revision-notice.pdf; rent-roll-revised.xlsx A2</t>
  </si>
  <si>
    <t xml:space="preserve">Suite 045 possession</t>
  </si>
  <si>
    <t xml:space="preserve">pending</t>
  </si>
  <si>
    <t xml:space="preserve">active</t>
  </si>
  <si>
    <t xml:space="preserve">→ possessed</t>
  </si>
  <si>
    <t xml:space="preserve">rent-roll-revised.xlsx row 49</t>
  </si>
  <si>
    <t xml:space="preserve">Suite 045 monthly rent</t>
  </si>
  <si>
    <t xml:space="preserve">$1,925</t>
  </si>
  <si>
    <t xml:space="preserve">$2,150</t>
  </si>
  <si>
    <t xml:space="preserve">+$225</t>
  </si>
  <si>
    <t xml:space="preserve">revision-notice.pdf; rent-roll-revised.xlsx row 49</t>
  </si>
  <si>
    <t xml:space="preserve">Total monthly scheduled rent</t>
  </si>
  <si>
    <t xml:space="preserve">$81,200</t>
  </si>
  <si>
    <t xml:space="preserve">$81,425</t>
  </si>
  <si>
    <t xml:space="preserve">sum of certified rents</t>
  </si>
  <si>
    <t xml:space="preserve">Gross potential rent (annual)</t>
  </si>
  <si>
    <t xml:space="preserve">$974,400</t>
  </si>
  <si>
    <t xml:space="preserve">$977,100</t>
  </si>
  <si>
    <t xml:space="preserve">+$2,700</t>
  </si>
  <si>
    <t xml:space="preserve">GPR = monthly × 12</t>
  </si>
  <si>
    <t xml:space="preserve">Active (occupied) units</t>
  </si>
  <si>
    <t xml:space="preserve">44</t>
  </si>
  <si>
    <t xml:space="preserve">45</t>
  </si>
  <si>
    <t xml:space="preserve">+1</t>
  </si>
  <si>
    <t xml:space="preserve">possession recount</t>
  </si>
  <si>
    <t xml:space="preserve">Pending units</t>
  </si>
  <si>
    <t xml:space="preserve">1</t>
  </si>
  <si>
    <t xml:space="preserve">0</t>
  </si>
  <si>
    <t xml:space="preserve">−1</t>
  </si>
  <si>
    <t xml:space="preserve">Suite 045 now in possession</t>
  </si>
  <si>
    <t xml:space="preserve">Vacant units</t>
  </si>
  <si>
    <t xml:space="preserve">3</t>
  </si>
  <si>
    <t xml:space="preserve">—</t>
  </si>
  <si>
    <t xml:space="preserve">046–048 unchanged</t>
  </si>
  <si>
    <t xml:space="preserve">Unit occupancy</t>
  </si>
  <si>
    <t xml:space="preserve">91.67%</t>
  </si>
  <si>
    <t xml:space="preserve">93.75%</t>
  </si>
  <si>
    <t xml:space="preserve">+2.08 pp</t>
  </si>
  <si>
    <t xml:space="preserve">45/48 vs 44/48</t>
  </si>
  <si>
    <t xml:space="preserve">Area occupancy</t>
  </si>
  <si>
    <t xml:space="preserve">89.90%</t>
  </si>
  <si>
    <t xml:space="preserve">92.43%</t>
  </si>
  <si>
    <t xml:space="preserve">+2.53 pp</t>
  </si>
  <si>
    <t xml:space="preserve">37,710 / 40,800 vs 36,680 / 40,800</t>
  </si>
  <si>
    <t xml:space="preserve">Cap rate</t>
  </si>
  <si>
    <t xml:space="preserve">5.75%</t>
  </si>
  <si>
    <t xml:space="preserve">6.00%</t>
  </si>
  <si>
    <t xml:space="preserve">+25 bps</t>
  </si>
  <si>
    <t xml:space="preserve">revision-notice.pdf</t>
  </si>
  <si>
    <t xml:space="preserve">Sizing rate / note rate</t>
  </si>
  <si>
    <t xml:space="preserve">6.25%</t>
  </si>
  <si>
    <t xml:space="preserve">7.00%</t>
  </si>
  <si>
    <t xml:space="preserve">+75 bps</t>
  </si>
  <si>
    <t xml:space="preserve">revision-notice.pdf (INITIAL SIZING RATE +75 bps)</t>
  </si>
  <si>
    <t xml:space="preserve">Rate floor</t>
  </si>
  <si>
    <t xml:space="preserve">unchanged; still not binding (note 7.00% &gt; floor)</t>
  </si>
  <si>
    <t xml:space="preserve">UW EGI</t>
  </si>
  <si>
    <t xml:space="preserve">$942,480.00</t>
  </si>
  <si>
    <t xml:space="preserve">$945,045.00</t>
  </si>
  <si>
    <t xml:space="preserve">+$2,565</t>
  </si>
  <si>
    <t xml:space="preserve">GPR change × 0.95</t>
  </si>
  <si>
    <t xml:space="preserve">UW NOI (pre-reserves)</t>
  </si>
  <si>
    <t xml:space="preserve">$641,373.60</t>
  </si>
  <si>
    <t xml:space="preserve">$643,861.65</t>
  </si>
  <si>
    <t xml:space="preserve">+$2,488.05</t>
  </si>
  <si>
    <t xml:space="preserve">EGI − opex (mgmt scales with EGI)</t>
  </si>
  <si>
    <t xml:space="preserve">UW NCF (post-reserves)</t>
  </si>
  <si>
    <t xml:space="preserve">$626,973.60</t>
  </si>
  <si>
    <t xml:space="preserve">$629,461.65</t>
  </si>
  <si>
    <t xml:space="preserve">reserves unchanged</t>
  </si>
  <si>
    <t xml:space="preserve">Capitalization value</t>
  </si>
  <si>
    <t xml:space="preserve">$11,154,323</t>
  </si>
  <si>
    <t xml:space="preserve">$10,731,028</t>
  </si>
  <si>
    <t xml:space="preserve">−$423,296</t>
  </si>
  <si>
    <t xml:space="preserve">NOI up, but cap up 25 bps</t>
  </si>
  <si>
    <t xml:space="preserve">$7,250,310</t>
  </si>
  <si>
    <t xml:space="preserve">$6,975,168</t>
  </si>
  <si>
    <t xml:space="preserve">−$275,143</t>
  </si>
  <si>
    <t xml:space="preserve">0.65 × value</t>
  </si>
  <si>
    <t xml:space="preserve">DSCR-constrained loan</t>
  </si>
  <si>
    <t xml:space="preserve">$6,788,545</t>
  </si>
  <si>
    <t xml:space="preserve">$6,307,523</t>
  </si>
  <si>
    <t xml:space="preserve">−$481,022</t>
  </si>
  <si>
    <t xml:space="preserve">NCF up modestly, but K jumps from 0.07389 to 0.07984</t>
  </si>
  <si>
    <t xml:space="preserve">Debt-yield-constrained loan</t>
  </si>
  <si>
    <t xml:space="preserve">$6,966,373</t>
  </si>
  <si>
    <t xml:space="preserve">$6,994,018</t>
  </si>
  <si>
    <t xml:space="preserve">+$27,645</t>
  </si>
  <si>
    <t xml:space="preserve">NCF up; DY unchanged</t>
  </si>
  <si>
    <t xml:space="preserve">DSCR</t>
  </si>
  <si>
    <t xml:space="preserve">still DSCR-bound</t>
  </si>
  <si>
    <t xml:space="preserve">Maximum loan</t>
  </si>
  <si>
    <t xml:space="preserve">binding DSCR</t>
  </si>
  <si>
    <t xml:space="preserve">Net cash-out</t>
  </si>
  <si>
    <t xml:space="preserve">$2,475,660</t>
  </si>
  <si>
    <t xml:space="preserve">$1,999,448</t>
  </si>
  <si>
    <t xml:space="preserve">−$476,212</t>
  </si>
  <si>
    <t xml:space="preserve">loan smaller, orig fee smaller — payoff and closing unchanged</t>
  </si>
  <si>
    <t xml:space="preserve">risk_pending_in_occupancy</t>
  </si>
  <si>
    <t xml:space="preserve">present</t>
  </si>
  <si>
    <t xml:space="preserve">absent</t>
  </si>
  <si>
    <t xml:space="preserve">cleared</t>
  </si>
  <si>
    <t xml:space="preserve">Suite 045 now active; no pending on roll</t>
  </si>
  <si>
    <t xml:space="preserve">risk_sizing_floor_binding</t>
  </si>
  <si>
    <t xml:space="preserve">note 7.00% still &gt; floor 6.00%</t>
  </si>
  <si>
    <t xml:space="preserve">risk_refinance_shortfall</t>
  </si>
  <si>
    <t xml:space="preserve">net_cash_out still positive</t>
  </si>
  <si>
    <t xml:space="preserve">PRESERVED / UNAFFECTED FACTS</t>
  </si>
  <si>
    <t xml:space="preserve">• Property = Magnolia Terrace, Raleigh NC, multifamily (manager-cover.pdf).</t>
  </si>
  <si>
    <t xml:space="preserve">• Manager mapping A/B/C = Studio/1BR/2BR (manager-cover.pdf).</t>
  </si>
  <si>
    <t xml:space="preserve">• Suite 001 signed amendment (+$350) still applies; in-place amended rent = $1,850 (lease-correspondence.pdf).</t>
  </si>
  <si>
    <t xml:space="preserve">• Certified roll still shows Suite 001 at $1,500 (pre-amendment) — same known resolvable source conflict.</t>
  </si>
  <si>
    <t xml:space="preserve">• GPR still computed on the certified roll BEFORE Suite 001 amendment.</t>
  </si>
  <si>
    <t xml:space="preserve">• Tax $102,312, Insurance $34,104, Other opex $136,416, mgmt 3% of EGI, reserves $300/unit (underwriting-instructions.pdf).</t>
  </si>
  <si>
    <t xml:space="preserve">• LTV 65%, DSCR 1.25×, DY 9% (underwriting-instructions.pdf).</t>
  </si>
  <si>
    <t xml:space="preserve">• Amort 30 yr monthly; sizing on greater of note or floor (underwriting-instructions.pdf).</t>
  </si>
  <si>
    <t xml:space="preserve">• Origination 1%, closing $45,000, existing payoff $4,200,000 (underwriting-instructions.pdf).</t>
  </si>
  <si>
    <t xml:space="preserve">• Insurance policy aggregate limit $2,000,000 through 2027-06-30 (insurance.pdf).</t>
  </si>
  <si>
    <t xml:space="preserve">• Roof capital, not booked in repairs (operating-statement.pdf).</t>
  </si>
  <si>
    <t xml:space="preserve">• All active lease expirations 2029-08-31 — no near-term rollover.</t>
  </si>
  <si>
    <t xml:space="preserve">• T12 reported NOI $604,128 (historical; different definition — before reserves).</t>
  </si>
  <si>
    <t xml:space="preserve">• Legal / environmental / PCA / title reviews still pending (diligence-status.pdf).</t>
  </si>
  <si>
    <t xml:space="preserve">• Photos, asking price, market comps, sponsor history — still NOT supplied.</t>
  </si>
  <si>
    <t xml:space="preserve">MAGNOLIA TERRACE — REVISED CERTIFIED RENT ROLL</t>
  </si>
  <si>
    <t xml:space="preserve">Source: rent-roll-revised.xlsx | As of 2026-09-01 | SUPERSEDES 2026-08-31 certified roll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</si>
  <si>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</si>
  <si>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</si>
  <si>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</si>
  <si>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</si>
  <si>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</si>
  <si>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</si>
  <si>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</si>
  <si>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</si>
  <si>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</si>
  <si>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</si>
  <si>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</si>
  <si>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</si>
  <si>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</si>
  <si>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</si>
  <si>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</si>
  <si>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</si>
  <si>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</si>
  <si>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</si>
  <si>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</si>
  <si>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</si>
  <si>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</si>
  <si>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</si>
  <si>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</si>
  <si>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</si>
  <si>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</si>
  <si>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</si>
  <si>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</si>
  <si>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</si>
  <si>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</si>
  <si>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</si>
  <si>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</si>
  <si>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</si>
  <si>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</si>
  <si>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</si>
  <si>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</si>
  <si>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</si>
  <si>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</si>
  <si>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</si>
  <si>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</si>
  <si>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</si>
  <si>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</si>
  <si>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</si>
  <si>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</si>
  <si>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</si>
  <si>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</si>
  <si>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</si>
  <si>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</si>
  <si>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</si>
  <si>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</si>
  <si>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</si>
  <si>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</si>
  <si>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</si>
  <si>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</si>
  <si>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</si>
  <si>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</si>
  <si>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</si>
  <si>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REVISED: now active; rent +$225 per revision-notice.pdf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</si>
  <si>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</si>
  <si>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</si>
  <si>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</si>
  <si>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</si>
  <si>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</si>
  <si>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</si>
  <si>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Total area SF</t>
  </si>
  <si>
    <t xml:space="preserve">Occupied area SF</t>
  </si>
  <si>
    <t xml:space="preserve">In-place monthly rent (all suites)</t>
  </si>
  <si>
    <t xml:space="preserve">Annual in-place rent (× 12)</t>
  </si>
  <si>
    <t xml:space="preserve">UNIT TYPE MIX (A=Studio, B=1BR, C=2BR)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</si>
  <si>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</si>
  <si>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</si>
  <si>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</si>
  <si>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</si>
  <si>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</si>
  <si>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</si>
  <si>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</si>
  <si>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UW P&amp;L — HISTORICAL vs UNDERWRITTEN (REVISED)</t>
  </si>
  <si>
    <t xml:space="preserve">Line item</t>
  </si>
  <si>
    <t xml:space="preserve">Historical T12</t>
  </si>
  <si>
    <t xml:space="preserve">Underwritten (v2)</t>
  </si>
  <si>
    <t xml:space="preserve">Basis / note</t>
  </si>
  <si>
    <t xml:space="preserve">Rental &amp; ancillary collections (T12)</t>
  </si>
  <si>
    <t xml:space="preserve">operating-statement.pdf (T12 2025-09→2026-08); unchanged in revision</t>
  </si>
  <si>
    <t xml:space="preserve">Gross potential rent (all-suite scheduled × 12, revised roll)</t>
  </si>
  <si>
    <t xml:space="preserve">revised roll: +$225/mo on Suite 045 → +$2,700/yr vs v1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</si>
  <si>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</si>
  <si>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</si>
  <si>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</si>
  <si>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Real estate taxes</t>
  </si>
  <si>
    <t xml:space="preserve">unchanged</t>
  </si>
  <si>
    <t xml:space="preserve">Insurance</t>
  </si>
  <si>
    <t xml:space="preserve">unchanged; distinct from $2M policy limit</t>
  </si>
  <si>
    <t xml:space="preserve">Other recurring opex</t>
  </si>
  <si>
    <t xml:space="preserve">Management fee (3% of EGI)</t>
  </si>
  <si>
    <t xml:space="preserve">scales with EGI — small increase</t>
  </si>
  <si>
    <t xml:space="preserve">Roof replacement (capital)</t>
  </si>
  <si>
    <t xml:space="preserve">Reported NOI</t>
  </si>
  <si>
    <t xml:space="preserve">Historical: reported. UW: NOI before reserves. Definitions differ.</t>
  </si>
  <si>
    <t xml:space="preserve">Replacement reserves ($300/unit)</t>
  </si>
  <si>
    <t xml:space="preserve">Net cash flow (NCF)</t>
  </si>
  <si>
    <t xml:space="preserve">Revision notes</t>
  </si>
  <si>
    <t xml:space="preserve">• Only Suite 045 changed: possession pending→active and rent $1,925→$2,150 (+$225).</t>
  </si>
  <si>
    <t xml:space="preserve">• GPR change flows through: +$2,700 GPR → +$2,565 EGI (95%) → +$2,488 NOI/NCF (net of 3% mgmt scaling).</t>
  </si>
  <si>
    <t xml:space="preserve">• Historical T12 unchanged — revision does not restate history.</t>
  </si>
  <si>
    <t xml:space="preserve">DEBT SIZING &amp; SOURCES / USES (REVISED)</t>
  </si>
  <si>
    <t xml:space="preserve">Sizing rate (greater of note or floor)</t>
  </si>
  <si>
    <t xml:space="preserve">Note rate</t>
  </si>
  <si>
    <t xml:space="preserve">Floor</t>
  </si>
  <si>
    <t xml:space="preserve">Sizing floor binding?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</si>
  <si>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</si>
  <si>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</si>
  <si>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</si>
  <si>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</si>
  <si>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</si>
  <si>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</t>
  </si>
  <si>
    <t xml:space="preserve">DY cap loan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</si>
  <si>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</si>
  <si>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</si>
  <si>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</si>
  <si>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</si>
  <si>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</si>
  <si>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Positive = surplus; negative = additional equity</t>
  </si>
  <si>
    <t xml:space="preserve">SENSITIVITY — Max loan and Net cash-out (recentered around revised rates)</t>
  </si>
  <si>
    <t xml:space="preserve">Base case highlighted at cap 6.00% / sizing 7.00%.</t>
  </si>
  <si>
    <t xml:space="preserve">TABLE 1: Maximum Loan ($)</t>
  </si>
  <si>
    <t xml:space="preserve">Cap ↓ / Sizing rate →</t>
  </si>
  <si>
    <t xml:space="preserve">TABLE 2: Net Cash-Out ($) — Max Loan − ($4.2M payoff + 1% orig + $45K closing)</t>
  </si>
  <si>
    <t xml:space="preserve">SOURCE REGISTER — evidence per fact (v2)</t>
  </si>
  <si>
    <t xml:space="preserve">Filename</t>
  </si>
  <si>
    <t xml:space="preserve">Page/Cell</t>
  </si>
  <si>
    <t xml:space="preserve">Fact</t>
  </si>
  <si>
    <t xml:space="preserve">Fields it supports</t>
  </si>
  <si>
    <t xml:space="preserve">p.1</t>
  </si>
  <si>
    <t xml:space="preserve">As of 2026-09-01 revised roll supersedes prior. Suite 045 now active; rent +$225. INITIAL SIZING RATE +75 bps; cap rate +25 bps. All other UW rules and payoff unchanged. Update workbook, OM, reconciled facts, risk table. Preserve approved copy exactly.</t>
  </si>
  <si>
    <t xml:space="preserve">selected_roll_date, gross_potential_rent, sizing_rate, cap_rate, and all downstream fields</t>
  </si>
  <si>
    <t xml:space="preserve">rent-roll-revised.xlsx</t>
  </si>
  <si>
    <t xml:space="preserve">Sheet 'Rent Roll' A2; rows 5–52</t>
  </si>
  <si>
    <t xml:space="preserve">Controlling roll as of 2026-09-01. 45 active, 0 pending, 3 vacant (046–048). Suite 045: active, $2,150.</t>
  </si>
  <si>
    <t xml:space="preserve">total_units, occupied_units, pending_units, total_area_sf, occupied_area_sf, unit_occupancy, area_occupancy, annual_in_place_rent, gross_potential_rent, type_c_occupied</t>
  </si>
  <si>
    <t xml:space="preserve">rent-roll-certified.xlsx</t>
  </si>
  <si>
    <t xml:space="preserve">Sheet 'Rent Roll' A2 (2026-08-31)</t>
  </si>
  <si>
    <t xml:space="preserve">Prior certified roll — superseded by revised roll per revision-notice.pdf.</t>
  </si>
  <si>
    <t xml:space="preserve">(superseded)</t>
  </si>
  <si>
    <t xml:space="preserve">rent-roll-archive.xlsx</t>
  </si>
  <si>
    <t xml:space="preserve">2026-06-30</t>
  </si>
  <si>
    <t xml:space="preserve">Stale archive.</t>
  </si>
  <si>
    <t xml:space="preserve">(excluded)</t>
  </si>
  <si>
    <t xml:space="preserve">manager-cover.pdf</t>
  </si>
  <si>
    <t xml:space="preserve">Property = Magnolia Terrace, Raleigh NC, multifamily. Group A/B/C = Studio/1BR/2BR.</t>
  </si>
  <si>
    <t xml:space="preserve">asset id, type_a/b/c mapping</t>
  </si>
  <si>
    <t xml:space="preserve">lease-001.pdf</t>
  </si>
  <si>
    <t xml:space="preserve">Suite 001 base $1,500/mo. Signed later amendment controls.</t>
  </si>
  <si>
    <t xml:space="preserve">unit_001_monthly_rent, risk_unsigned_rent_change</t>
  </si>
  <si>
    <t xml:space="preserve">lease-correspondence.pdf</t>
  </si>
  <si>
    <t xml:space="preserve">Signed amendment (both parties 2026-07-20; effective 2026-08-01): Suite 001 monthly rent +$350 → $1,850 in place.</t>
  </si>
  <si>
    <t xml:space="preserve">unit_001_monthly_rent (in-place)</t>
  </si>
  <si>
    <t xml:space="preserve">operating-statement.pdf</t>
  </si>
  <si>
    <t xml:space="preserve">p.1 table</t>
  </si>
  <si>
    <t xml:space="preserve">T12 2025-09 → 2026-08: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</si>
  <si>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</si>
  <si>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</si>
  <si>
    <t xml:space="preserve">cap_rate, sizing_rate, ltv_limit, dscr_limit, debt_yield_limit, maximum_loan, net_cash_out, risk_sizing_floor_binding</t>
  </si>
  <si>
    <t xml:space="preserve">insurance.pdf</t>
  </si>
  <si>
    <t xml:space="preserve">GL policy aggregate limit $2,000,000; eff 2026-07-01 → 2027-06-30.</t>
  </si>
  <si>
    <t xml:space="preserve">insurance_policy_limit, risk_missing_insurance</t>
  </si>
  <si>
    <t xml:space="preserve">diligence-status.pdf</t>
  </si>
  <si>
    <t xml:space="preserve">Legal/environmental/PCA/title reviews still pending; not defects.</t>
  </si>
  <si>
    <t xml:space="preserve">diligence status</t>
  </si>
  <si>
    <t xml:space="preserve">NAMED FIELD DELIVERABLES (v2) — value + unit + evidence</t>
  </si>
  <si>
    <t xml:space="preserve">Field id</t>
  </si>
  <si>
    <t xml:space="preserve">Value</t>
  </si>
  <si>
    <t xml:space="preserve">Unit</t>
  </si>
  <si>
    <t xml:space="preserve">Evidence</t>
  </si>
  <si>
    <t xml:space="preserve">Calculation / note</t>
  </si>
  <si>
    <t xml:space="preserve">total_units</t>
  </si>
  <si>
    <t xml:space="preserve">units</t>
  </si>
  <si>
    <t xml:space="preserve">rows 5–52</t>
  </si>
  <si>
    <t xml:space="preserve">48 suites.</t>
  </si>
  <si>
    <t xml:space="preserve">occupied_units</t>
  </si>
  <si>
    <t xml:space="preserve">col D=active</t>
  </si>
  <si>
    <t xml:space="preserve">COUNTIF active. Suite 045 now active (was pending).</t>
  </si>
  <si>
    <t xml:space="preserve">pending_units</t>
  </si>
  <si>
    <t xml:space="preserve">col D</t>
  </si>
  <si>
    <t xml:space="preserve">No pending on revised roll (Suite 045 now active).</t>
  </si>
  <si>
    <t xml:space="preserve">total_area_sf</t>
  </si>
  <si>
    <t xml:space="preserve">SF</t>
  </si>
  <si>
    <t xml:space="preserve">col C rows 5–52</t>
  </si>
  <si>
    <t xml:space="preserve">16×700 + 16×820 + 16×1030 = 40,800.</t>
  </si>
  <si>
    <t xml:space="preserve">occupied_area_sf</t>
  </si>
  <si>
    <t xml:space="preserve">col C where D=active</t>
  </si>
  <si>
    <t xml:space="preserve">16 Studios + 16 1BR + 13 2BR = 11,200 + 13,120 + 13,390 = 37,710.</t>
  </si>
  <si>
    <t xml:space="preserve">unit_occupancy</t>
  </si>
  <si>
    <t xml:space="preserve">decimal</t>
  </si>
  <si>
    <t xml:space="preserve">derived</t>
  </si>
  <si>
    <t xml:space="preserve">45 / 48.</t>
  </si>
  <si>
    <t xml:space="preserve">area_occupancy</t>
  </si>
  <si>
    <t xml:space="preserve">37,710 / 40,800.</t>
  </si>
  <si>
    <t xml:space="preserve">annual_in_place_rent</t>
  </si>
  <si>
    <t xml:space="preserve">USD</t>
  </si>
  <si>
    <t xml:space="preserve">col E × 12</t>
  </si>
  <si>
    <t xml:space="preserve">monthly $81,425 × 12.</t>
  </si>
  <si>
    <t xml:space="preserve">unit_001_monthly_rent</t>
  </si>
  <si>
    <t xml:space="preserve">USD/mo</t>
  </si>
  <si>
    <t xml:space="preserve">lease-001.pdf + lease-correspondence.pdf</t>
  </si>
  <si>
    <t xml:space="preserve">p.1 each</t>
  </si>
  <si>
    <t xml:space="preserve">Base $1,500 + signed amendment +$350 = $1,850. Certified/revised roll still shows $1,500 (pre-amendment) — known resolvable conflict; unchanged in this revision.</t>
  </si>
  <si>
    <t xml:space="preserve">underwriting-instructions.pdf + rent-roll-revised.xlsx</t>
  </si>
  <si>
    <t xml:space="preserve">instr p.1; roll rows</t>
  </si>
  <si>
    <t xml:space="preserve">All-suite scheduled × 12 on revised roll, still BEFORE Suite 001 amendment.</t>
  </si>
  <si>
    <t xml:space="preserve">computed</t>
  </si>
  <si>
    <t xml:space="preserve">Summary!B28</t>
  </si>
  <si>
    <t xml:space="preserve">977,100 × 0.95 + 350 × 48 = 928,245 + 16,800.</t>
  </si>
  <si>
    <t xml:space="preserve">uw_tax</t>
  </si>
  <si>
    <t xml:space="preserve">Unchanged.</t>
  </si>
  <si>
    <t xml:space="preserve">uw_insurance</t>
  </si>
  <si>
    <t xml:space="preserve">uw_operating_expenses</t>
  </si>
  <si>
    <t xml:space="preserve">Summary!B29</t>
  </si>
  <si>
    <t xml:space="preserve">102,312 + 34,104 + 136,416 + 0.03 × 945,045 = 301,183.35.</t>
  </si>
  <si>
    <t xml:space="preserve">Summary!B30</t>
  </si>
  <si>
    <t xml:space="preserve">EGI − Opex (before reserves).</t>
  </si>
  <si>
    <t xml:space="preserve">Summary!B32</t>
  </si>
  <si>
    <t xml:space="preserve">NOI − $14,400 reserves.</t>
  </si>
  <si>
    <t xml:space="preserve">underwriting-instructions.pdf + revision-notice.pdf</t>
  </si>
  <si>
    <t xml:space="preserve">revision p.1</t>
  </si>
  <si>
    <t xml:space="preserve">Note 7.00% (+75 bps per revision) &gt; floor 6.00%. Note binds.</t>
  </si>
  <si>
    <t xml:space="preserve">5.75% + 25 bps = 6.00%.</t>
  </si>
  <si>
    <t xml:space="preserve">Summary!B33</t>
  </si>
  <si>
    <t xml:space="preserve">643,861.65 / 0.0600.</t>
  </si>
  <si>
    <t xml:space="preserve">ltv_limit</t>
  </si>
  <si>
    <t xml:space="preserve">dscr_limit</t>
  </si>
  <si>
    <t xml:space="preserve">ratio</t>
  </si>
  <si>
    <t xml:space="preserve">debt_yield_limit</t>
  </si>
  <si>
    <t xml:space="preserve">Summary!B42</t>
  </si>
  <si>
    <t xml:space="preserve">MIN(LTV, DSCR, DY) — DSCR still binds.</t>
  </si>
  <si>
    <t xml:space="preserve">Summary!B51</t>
  </si>
  <si>
    <t xml:space="preserve">Max loan − ($4.2M payoff + 1% orig + $45K closing). Positive.</t>
  </si>
  <si>
    <t xml:space="preserve">insurance_policy_limit</t>
  </si>
  <si>
    <t xml:space="preserve">GL aggregate limit; unchanged.</t>
  </si>
  <si>
    <t xml:space="preserve">selected_roll_date</t>
  </si>
  <si>
    <t xml:space="preserve">date</t>
  </si>
  <si>
    <t xml:space="preserve">A2</t>
  </si>
  <si>
    <t xml:space="preserve">Revised roll now controls per revision-notice.pdf.</t>
  </si>
  <si>
    <t xml:space="preserve">reported_t12_noi</t>
  </si>
  <si>
    <t xml:space="preserve">Unchanged historical figure.</t>
  </si>
  <si>
    <t xml:space="preserve">type_a_units</t>
  </si>
  <si>
    <t xml:space="preserve">rent-roll-revised.xlsx + manager-cover.pdf</t>
  </si>
  <si>
    <t xml:space="preserve">col B; mapping</t>
  </si>
  <si>
    <t xml:space="preserve">A=Studio; 16 units.</t>
  </si>
  <si>
    <t xml:space="preserve">type_a_occupied</t>
  </si>
  <si>
    <t xml:space="preserve">B=Studio,D=active</t>
  </si>
  <si>
    <t xml:space="preserve">All Studios active.</t>
  </si>
  <si>
    <t xml:space="preserve">type_b_units</t>
  </si>
  <si>
    <t xml:space="preserve">B=1BR; 16 units.</t>
  </si>
  <si>
    <t xml:space="preserve">type_b_occupied</t>
  </si>
  <si>
    <t xml:space="preserve">B=1BR,D=active</t>
  </si>
  <si>
    <t xml:space="preserve">All 1BR active.</t>
  </si>
  <si>
    <t xml:space="preserve">type_c_units</t>
  </si>
  <si>
    <t xml:space="preserve">C=2BR; 16 units.</t>
  </si>
  <si>
    <t xml:space="preserve">type_c_occupied</t>
  </si>
  <si>
    <t xml:space="preserve">B=2BR,D=active</t>
  </si>
  <si>
    <t xml:space="preserve">13 of 16 2BRs active (045 now active; 048 vacant; also 042,045,048 series check → only 048 vacant among 2BRs).</t>
  </si>
  <si>
    <t xml:space="preserve">flag</t>
  </si>
  <si>
    <t xml:space="preserve">revised roll</t>
  </si>
  <si>
    <t xml:space="preserve">Revised roll has 0 pending units; possession-based count equals leased count. Cleared.</t>
  </si>
  <si>
    <t xml:space="preserve">risk_near_term_rollover</t>
  </si>
  <si>
    <t xml:space="preserve">col F</t>
  </si>
  <si>
    <t xml:space="preserve">All active leases expire 2029-08-31; none within 12 months of 2026-09-01.</t>
  </si>
  <si>
    <t xml:space="preserve">risk_missing_insurance</t>
  </si>
  <si>
    <t xml:space="preserve">GL policy in force through 2027-06-30.</t>
  </si>
  <si>
    <t xml:space="preserve">risk_capital_in_opex</t>
  </si>
  <si>
    <t xml:space="preserve">Roof shown at $0 in repairs; correctly capital.</t>
  </si>
  <si>
    <t xml:space="preserve">risk_unsigned_rent_change</t>
  </si>
  <si>
    <t xml:space="preserve">packet</t>
  </si>
  <si>
    <t xml:space="preserve">Only rent change in packet is a signed amendment.</t>
  </si>
  <si>
    <t xml:space="preserve">risk_temporary_free_rent</t>
  </si>
  <si>
    <t xml:space="preserve">No free-rent concession.</t>
  </si>
  <si>
    <t xml:space="preserve">Note 7.00% &gt; floor 6.00%. Note binds; floor not binding.</t>
  </si>
  <si>
    <t xml:space="preserve">Formula: IF(net_cash_out&lt;0,'present','absent'). Still absent.</t>
  </si>
  <si>
    <t xml:space="preserve">INPUT &amp; OUTPUT CELL MAP (unchanged from v1)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</si>
  <si>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</si>
  <si>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</si>
  <si>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</si>
  <si>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</si>
  <si>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</si>
  <si>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Revised: $977,100</t>
  </si>
  <si>
    <t xml:space="preserve">Summary!B7</t>
  </si>
  <si>
    <t xml:space="preserve">Revised: 6.00% (+25 bps)</t>
  </si>
  <si>
    <t xml:space="preserve">Summary!B8</t>
  </si>
  <si>
    <t xml:space="preserve">Revised: 7.00% (+75 bps)</t>
  </si>
  <si>
    <t xml:space="preserve">OUTPUTS</t>
  </si>
  <si>
    <t xml:space="preserve">Live formula</t>
  </si>
  <si>
    <t xml:space="preserve">NOI / cap_rate</t>
  </si>
  <si>
    <t xml:space="preserve">MIN(LTV, DSCR, DY)</t>
  </si>
  <si>
    <t xml:space="preserve">Sources − Uses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</si>
</sst>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10"/>
      <color rgb="FF0061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977100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0.06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0.07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0.07</v>
      </c>
    </row>
    <row r="10" customFormat="false" ht="15" hidden="false" customHeight="false" outlineLevel="0" collapsed="false">
      <c r="A10" s="0" t="s">
        <v>11</v>
      </c>
      <c r="B10" s="8" t="n">
        <v>0.06</v>
      </c>
    </row>
    <row r="11" customFormat="false" ht="15" hidden="false" customHeight="false" outlineLevel="0" collapsed="false">
      <c r="A11" s="0" t="s">
        <v>12</v>
      </c>
      <c r="B11" s="9" t="n">
        <v>30</v>
      </c>
    </row>
    <row r="12" customFormat="false" ht="15" hidden="false" customHeight="false" outlineLevel="0" collapsed="false">
      <c r="A12" s="0" t="s">
        <v>13</v>
      </c>
      <c r="B12" s="10" t="n">
        <v>0.05</v>
      </c>
    </row>
    <row r="13" customFormat="false" ht="15" hidden="false" customHeight="false" outlineLevel="0" collapsed="false">
      <c r="A13" s="0" t="s">
        <v>14</v>
      </c>
      <c r="B13" s="11" t="n">
        <v>350</v>
      </c>
    </row>
    <row r="14" customFormat="false" ht="15" hidden="false" customHeight="false" outlineLevel="0" collapsed="false">
      <c r="A14" s="0" t="s">
        <v>15</v>
      </c>
      <c r="B14" s="9" t="n">
        <v>48</v>
      </c>
    </row>
    <row r="15" customFormat="false" ht="15" hidden="false" customHeight="false" outlineLevel="0" collapsed="false">
      <c r="A15" s="0" t="s">
        <v>16</v>
      </c>
      <c r="B15" s="11" t="n">
        <v>102312</v>
      </c>
    </row>
    <row r="16" customFormat="false" ht="15" hidden="false" customHeight="false" outlineLevel="0" collapsed="false">
      <c r="A16" s="0" t="s">
        <v>17</v>
      </c>
      <c r="B16" s="11" t="n">
        <v>34104</v>
      </c>
    </row>
    <row r="17" customFormat="false" ht="15" hidden="false" customHeight="false" outlineLevel="0" collapsed="false">
      <c r="A17" s="0" t="s">
        <v>18</v>
      </c>
      <c r="B17" s="11" t="n">
        <v>136416</v>
      </c>
    </row>
    <row r="18" customFormat="false" ht="15" hidden="false" customHeight="false" outlineLevel="0" collapsed="false">
      <c r="A18" s="0" t="s">
        <v>19</v>
      </c>
      <c r="B18" s="10" t="n">
        <v>0.03</v>
      </c>
    </row>
    <row r="19" customFormat="false" ht="15" hidden="false" customHeight="false" outlineLevel="0" collapsed="false">
      <c r="A19" s="0" t="s">
        <v>20</v>
      </c>
      <c r="B19" s="11" t="n">
        <v>300</v>
      </c>
    </row>
    <row r="20" customFormat="false" ht="15" hidden="false" customHeight="false" outlineLevel="0" collapsed="false">
      <c r="A20" s="0" t="s">
        <v>21</v>
      </c>
      <c r="B20" s="10" t="n">
        <v>0.65</v>
      </c>
    </row>
    <row r="21" customFormat="false" ht="15" hidden="false" customHeight="false" outlineLevel="0" collapsed="false">
      <c r="A21" s="0" t="s">
        <v>22</v>
      </c>
      <c r="B21" s="12" t="n">
        <v>1.25</v>
      </c>
    </row>
    <row r="22" customFormat="false" ht="15" hidden="false" customHeight="false" outlineLevel="0" collapsed="false">
      <c r="A22" s="0" t="s">
        <v>23</v>
      </c>
      <c r="B22" s="10" t="n">
        <v>0.09</v>
      </c>
    </row>
    <row r="23" customFormat="false" ht="15" hidden="false" customHeight="false" outlineLevel="0" collapsed="false">
      <c r="A23" s="0" t="s">
        <v>24</v>
      </c>
      <c r="B23" s="10" t="n">
        <v>0.01</v>
      </c>
    </row>
    <row r="24" customFormat="false" ht="15" hidden="false" customHeight="false" outlineLevel="0" collapsed="false">
      <c r="A24" s="0" t="s">
        <v>25</v>
      </c>
      <c r="B24" s="11" t="n">
        <v>45000</v>
      </c>
    </row>
    <row r="25" customFormat="false" ht="15" hidden="false" customHeight="false" outlineLevel="0" collapsed="false">
      <c r="A25" s="0" t="s">
        <v>26</v>
      </c>
      <c r="B25" s="11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3" t="n">
        <f aca="false">B6*(1-B12)+B13*B14</f>
        <v>945045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4" t="n">
        <f aca="false">B15+B16+B17+B18*B28</f>
        <v>301183.35</v>
      </c>
    </row>
    <row r="30" customFormat="false" ht="15" hidden="false" customHeight="false" outlineLevel="0" collapsed="false">
      <c r="A30" s="0" t="s">
        <v>31</v>
      </c>
      <c r="B30" s="13" t="n">
        <f aca="false">B28-B29</f>
        <v>643861.65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4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3" t="n">
        <f aca="false">B30-B31</f>
        <v>629461.65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5" t="n">
        <f aca="false">B30/B7</f>
        <v>10731027.5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6" t="n">
        <f aca="false">B8/12</f>
        <v>0.00583333333333333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6" t="n">
        <f aca="false">12*B36*(1+B36)^B37/((1+B36)^B37-1)</f>
        <v>0.0798362994215019</v>
      </c>
    </row>
    <row r="39" customFormat="false" ht="15" hidden="false" customHeight="false" outlineLevel="0" collapsed="false">
      <c r="A39" s="0" t="s">
        <v>42</v>
      </c>
      <c r="B39" s="17" t="n">
        <f aca="false">B20*B33</f>
        <v>6975167.875</v>
      </c>
    </row>
    <row r="40" customFormat="false" ht="15" hidden="false" customHeight="false" outlineLevel="0" collapsed="false">
      <c r="A40" s="0" t="s">
        <v>43</v>
      </c>
      <c r="B40" s="17" t="n">
        <f aca="false">B32/(B21*B38)</f>
        <v>6307523.31519485</v>
      </c>
    </row>
    <row r="41" customFormat="false" ht="15" hidden="false" customHeight="false" outlineLevel="0" collapsed="false">
      <c r="A41" s="0" t="s">
        <v>44</v>
      </c>
      <c r="B41" s="17" t="n">
        <f aca="false">B32/B22</f>
        <v>6994018.33333333</v>
      </c>
    </row>
    <row r="42" customFormat="false" ht="15" hidden="false" customHeight="false" outlineLevel="0" collapsed="false">
      <c r="A42" s="0" t="s">
        <v>45</v>
      </c>
      <c r="B42" s="15" t="n">
        <f aca="false">MIN(B39,B40,B41)</f>
        <v>6307523.31519485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8" t="str">
        <f aca="false">IF(B42=B39,"LTV",IF(B42=B40,"DSCR","Debt yield"))</f>
        <v>DSCR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7" t="n">
        <f aca="false">B42</f>
        <v>6307523.31519485</v>
      </c>
    </row>
    <row r="47" customFormat="false" ht="15" hidden="false" customHeight="false" outlineLevel="0" collapsed="false">
      <c r="A47" s="0" t="s">
        <v>50</v>
      </c>
      <c r="B47" s="17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7" t="n">
        <f aca="false">B23*B42</f>
        <v>63075.2331519485</v>
      </c>
    </row>
    <row r="49" customFormat="false" ht="15" hidden="false" customHeight="false" outlineLevel="0" collapsed="false">
      <c r="A49" s="0" t="s">
        <v>52</v>
      </c>
      <c r="B49" s="17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9" t="n">
        <f aca="false">B47+B48+B49</f>
        <v>4308075.23315195</v>
      </c>
    </row>
    <row r="51" customFormat="false" ht="15" hidden="false" customHeight="false" outlineLevel="0" collapsed="false">
      <c r="A51" s="0" t="s">
        <v>54</v>
      </c>
      <c r="B51" s="20" t="n">
        <f aca="false">B46-B50</f>
        <v>1999448.0820429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21" t="n">
        <f aca="false">B42/B33</f>
        <v>0.587783724829225</v>
      </c>
    </row>
    <row r="55" customFormat="false" ht="15" hidden="false" customHeight="false" outlineLevel="0" collapsed="false">
      <c r="A55" s="0" t="s">
        <v>58</v>
      </c>
      <c r="B55" s="21" t="n">
        <f aca="false">B32/B42</f>
        <v>0.0997953742768774</v>
      </c>
    </row>
    <row r="56" customFormat="false" ht="15" hidden="false" customHeight="false" outlineLevel="0" collapsed="false">
      <c r="A56" s="0" t="s">
        <v>59</v>
      </c>
      <c r="B56" s="22" t="n">
        <f aca="false">B32/(B42*B38)</f>
        <v>1.25</v>
      </c>
    </row>
    <row r="57" customFormat="false" ht="15" hidden="false" customHeight="false" outlineLevel="0" collapsed="false">
      <c r="A57" s="0" t="s">
        <v>60</v>
      </c>
      <c r="B57" s="17" t="n">
        <f aca="false">B42*B38</f>
        <v>503569.32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23" t="s">
        <v>61</v>
      </c>
      <c r="B1" s="23"/>
      <c r="C1" s="23"/>
      <c r="D1" s="23"/>
      <c r="E1" s="23"/>
    </row>
    <row r="2" customFormat="false" ht="15" hidden="false" customHeight="false" outlineLevel="0" collapsed="false">
      <c r="A2" s="24" t="s">
        <v>62</v>
      </c>
      <c r="B2" s="24"/>
      <c r="C2" s="24"/>
      <c r="D2" s="24"/>
      <c r="E2" s="24"/>
    </row>
    <row r="3" customFormat="false" ht="15" hidden="false" customHeight="false" outlineLevel="0" collapsed="false">
      <c r="A3" s="25" t="s">
        <v>63</v>
      </c>
      <c r="B3" s="25"/>
      <c r="C3" s="25"/>
      <c r="D3" s="25"/>
      <c r="E3" s="25"/>
    </row>
    <row r="5" customFormat="false" ht="15" hidden="false" customHeight="false" outlineLevel="0" collapsed="false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</row>
    <row r="6" customFormat="false" ht="21.75" hidden="false" customHeight="true" outlineLevel="0" collapsed="false">
      <c r="A6" s="26" t="s">
        <v>69</v>
      </c>
      <c r="B6" s="26" t="s">
        <v>70</v>
      </c>
      <c r="C6" s="26" t="s">
        <v>71</v>
      </c>
      <c r="D6" s="27" t="s">
        <v>72</v>
      </c>
      <c r="E6" s="26" t="s">
        <v>73</v>
      </c>
    </row>
    <row r="7" customFormat="false" ht="21.75" hidden="false" customHeight="true" outlineLevel="0" collapsed="false">
      <c r="A7" s="26" t="s">
        <v>74</v>
      </c>
      <c r="B7" s="26" t="s">
        <v>75</v>
      </c>
      <c r="C7" s="26" t="s">
        <v>76</v>
      </c>
      <c r="D7" s="27" t="s">
        <v>77</v>
      </c>
      <c r="E7" s="26" t="s">
        <v>78</v>
      </c>
    </row>
    <row r="8" customFormat="false" ht="21.75" hidden="false" customHeight="true" outlineLevel="0" collapsed="false">
      <c r="A8" s="26" t="s">
        <v>79</v>
      </c>
      <c r="B8" s="26" t="s">
        <v>80</v>
      </c>
      <c r="C8" s="26" t="s">
        <v>81</v>
      </c>
      <c r="D8" s="27" t="s">
        <v>82</v>
      </c>
      <c r="E8" s="26" t="s">
        <v>83</v>
      </c>
    </row>
    <row r="9" customFormat="false" ht="21.75" hidden="false" customHeight="true" outlineLevel="0" collapsed="false">
      <c r="A9" s="26" t="s">
        <v>84</v>
      </c>
      <c r="B9" s="26" t="s">
        <v>85</v>
      </c>
      <c r="C9" s="26" t="s">
        <v>86</v>
      </c>
      <c r="D9" s="27" t="s">
        <v>82</v>
      </c>
      <c r="E9" s="26" t="s">
        <v>87</v>
      </c>
    </row>
    <row r="10" customFormat="false" ht="21.75" hidden="false" customHeight="true" outlineLevel="0" collapsed="false">
      <c r="A10" s="26" t="s">
        <v>88</v>
      </c>
      <c r="B10" s="26" t="s">
        <v>89</v>
      </c>
      <c r="C10" s="26" t="s">
        <v>90</v>
      </c>
      <c r="D10" s="27" t="s">
        <v>91</v>
      </c>
      <c r="E10" s="26" t="s">
        <v>92</v>
      </c>
    </row>
    <row r="11" customFormat="false" ht="21.75" hidden="false" customHeight="true" outlineLevel="0" collapsed="false">
      <c r="A11" s="26" t="s">
        <v>93</v>
      </c>
      <c r="B11" s="26" t="s">
        <v>94</v>
      </c>
      <c r="C11" s="26" t="s">
        <v>95</v>
      </c>
      <c r="D11" s="27" t="s">
        <v>96</v>
      </c>
      <c r="E11" s="26" t="s">
        <v>97</v>
      </c>
    </row>
    <row r="12" customFormat="false" ht="21.75" hidden="false" customHeight="true" outlineLevel="0" collapsed="false">
      <c r="A12" s="26" t="s">
        <v>98</v>
      </c>
      <c r="B12" s="26" t="s">
        <v>99</v>
      </c>
      <c r="C12" s="26" t="s">
        <v>100</v>
      </c>
      <c r="D12" s="27" t="s">
        <v>101</v>
      </c>
      <c r="E12" s="26" t="s">
        <v>102</v>
      </c>
    </row>
    <row r="13" customFormat="false" ht="21.75" hidden="false" customHeight="true" outlineLevel="0" collapsed="false">
      <c r="A13" s="26" t="s">
        <v>103</v>
      </c>
      <c r="B13" s="26" t="s">
        <v>104</v>
      </c>
      <c r="C13" s="26" t="s">
        <v>104</v>
      </c>
      <c r="D13" s="26" t="s">
        <v>105</v>
      </c>
      <c r="E13" s="26" t="s">
        <v>106</v>
      </c>
    </row>
    <row r="14" customFormat="false" ht="21.75" hidden="false" customHeight="true" outlineLevel="0" collapsed="false">
      <c r="A14" s="26" t="s">
        <v>107</v>
      </c>
      <c r="B14" s="26" t="s">
        <v>108</v>
      </c>
      <c r="C14" s="26" t="s">
        <v>109</v>
      </c>
      <c r="D14" s="27" t="s">
        <v>110</v>
      </c>
      <c r="E14" s="26" t="s">
        <v>111</v>
      </c>
    </row>
    <row r="15" customFormat="false" ht="21.75" hidden="false" customHeight="true" outlineLevel="0" collapsed="false">
      <c r="A15" s="26" t="s">
        <v>112</v>
      </c>
      <c r="B15" s="26" t="s">
        <v>113</v>
      </c>
      <c r="C15" s="26" t="s">
        <v>114</v>
      </c>
      <c r="D15" s="27" t="s">
        <v>115</v>
      </c>
      <c r="E15" s="26" t="s">
        <v>116</v>
      </c>
    </row>
    <row r="16" customFormat="false" ht="21.75" hidden="false" customHeight="true" outlineLevel="0" collapsed="false">
      <c r="A16" s="26" t="s">
        <v>117</v>
      </c>
      <c r="B16" s="26" t="s">
        <v>118</v>
      </c>
      <c r="C16" s="26" t="s">
        <v>119</v>
      </c>
      <c r="D16" s="27" t="s">
        <v>120</v>
      </c>
      <c r="E16" s="26" t="s">
        <v>121</v>
      </c>
    </row>
    <row r="17" customFormat="false" ht="21.75" hidden="false" customHeight="true" outlineLevel="0" collapsed="false">
      <c r="A17" s="26" t="s">
        <v>122</v>
      </c>
      <c r="B17" s="26" t="s">
        <v>123</v>
      </c>
      <c r="C17" s="26" t="s">
        <v>124</v>
      </c>
      <c r="D17" s="27" t="s">
        <v>125</v>
      </c>
      <c r="E17" s="26" t="s">
        <v>126</v>
      </c>
    </row>
    <row r="18" customFormat="false" ht="21.75" hidden="false" customHeight="true" outlineLevel="0" collapsed="false">
      <c r="A18" s="26" t="s">
        <v>127</v>
      </c>
      <c r="B18" s="26" t="s">
        <v>119</v>
      </c>
      <c r="C18" s="26" t="s">
        <v>119</v>
      </c>
      <c r="D18" s="26" t="s">
        <v>105</v>
      </c>
      <c r="E18" s="26" t="s">
        <v>128</v>
      </c>
    </row>
    <row r="19" customFormat="false" ht="21.75" hidden="false" customHeight="true" outlineLevel="0" collapsed="false">
      <c r="A19" s="26" t="s">
        <v>129</v>
      </c>
      <c r="B19" s="26" t="s">
        <v>130</v>
      </c>
      <c r="C19" s="26" t="s">
        <v>131</v>
      </c>
      <c r="D19" s="27" t="s">
        <v>132</v>
      </c>
      <c r="E19" s="26" t="s">
        <v>133</v>
      </c>
    </row>
    <row r="20" customFormat="false" ht="21.75" hidden="false" customHeight="true" outlineLevel="0" collapsed="false">
      <c r="A20" s="26" t="s">
        <v>134</v>
      </c>
      <c r="B20" s="26" t="s">
        <v>135</v>
      </c>
      <c r="C20" s="26" t="s">
        <v>136</v>
      </c>
      <c r="D20" s="27" t="s">
        <v>137</v>
      </c>
      <c r="E20" s="26" t="s">
        <v>138</v>
      </c>
    </row>
    <row r="21" customFormat="false" ht="21.75" hidden="false" customHeight="true" outlineLevel="0" collapsed="false">
      <c r="A21" s="26" t="s">
        <v>139</v>
      </c>
      <c r="B21" s="26" t="s">
        <v>140</v>
      </c>
      <c r="C21" s="26" t="s">
        <v>141</v>
      </c>
      <c r="D21" s="27" t="s">
        <v>137</v>
      </c>
      <c r="E21" s="26" t="s">
        <v>142</v>
      </c>
    </row>
    <row r="22" customFormat="false" ht="21.75" hidden="false" customHeight="true" outlineLevel="0" collapsed="false">
      <c r="A22" s="26" t="s">
        <v>143</v>
      </c>
      <c r="B22" s="26" t="s">
        <v>144</v>
      </c>
      <c r="C22" s="26" t="s">
        <v>145</v>
      </c>
      <c r="D22" s="27" t="s">
        <v>146</v>
      </c>
      <c r="E22" s="26" t="s">
        <v>147</v>
      </c>
    </row>
    <row r="23" customFormat="false" ht="21.75" hidden="false" customHeight="true" outlineLevel="0" collapsed="false">
      <c r="A23" s="26" t="s">
        <v>42</v>
      </c>
      <c r="B23" s="26" t="s">
        <v>148</v>
      </c>
      <c r="C23" s="26" t="s">
        <v>149</v>
      </c>
      <c r="D23" s="27" t="s">
        <v>150</v>
      </c>
      <c r="E23" s="26" t="s">
        <v>151</v>
      </c>
    </row>
    <row r="24" customFormat="false" ht="21.75" hidden="false" customHeight="true" outlineLevel="0" collapsed="false">
      <c r="A24" s="26" t="s">
        <v>152</v>
      </c>
      <c r="B24" s="26" t="s">
        <v>153</v>
      </c>
      <c r="C24" s="26" t="s">
        <v>154</v>
      </c>
      <c r="D24" s="27" t="s">
        <v>155</v>
      </c>
      <c r="E24" s="26" t="s">
        <v>156</v>
      </c>
    </row>
    <row r="25" customFormat="false" ht="21.75" hidden="false" customHeight="true" outlineLevel="0" collapsed="false">
      <c r="A25" s="26" t="s">
        <v>157</v>
      </c>
      <c r="B25" s="26" t="s">
        <v>158</v>
      </c>
      <c r="C25" s="26" t="s">
        <v>159</v>
      </c>
      <c r="D25" s="27" t="s">
        <v>160</v>
      </c>
      <c r="E25" s="26" t="s">
        <v>161</v>
      </c>
    </row>
    <row r="26" customFormat="false" ht="21.75" hidden="false" customHeight="true" outlineLevel="0" collapsed="false">
      <c r="A26" s="26" t="s">
        <v>47</v>
      </c>
      <c r="B26" s="26" t="s">
        <v>162</v>
      </c>
      <c r="C26" s="26" t="s">
        <v>162</v>
      </c>
      <c r="D26" s="26" t="s">
        <v>105</v>
      </c>
      <c r="E26" s="26" t="s">
        <v>163</v>
      </c>
    </row>
    <row r="27" customFormat="false" ht="21.75" hidden="false" customHeight="true" outlineLevel="0" collapsed="false">
      <c r="A27" s="26" t="s">
        <v>164</v>
      </c>
      <c r="B27" s="26" t="s">
        <v>153</v>
      </c>
      <c r="C27" s="26" t="s">
        <v>154</v>
      </c>
      <c r="D27" s="27" t="s">
        <v>155</v>
      </c>
      <c r="E27" s="26" t="s">
        <v>165</v>
      </c>
    </row>
    <row r="28" customFormat="false" ht="21.75" hidden="false" customHeight="true" outlineLevel="0" collapsed="false">
      <c r="A28" s="26" t="s">
        <v>166</v>
      </c>
      <c r="B28" s="26" t="s">
        <v>167</v>
      </c>
      <c r="C28" s="26" t="s">
        <v>168</v>
      </c>
      <c r="D28" s="27" t="s">
        <v>169</v>
      </c>
      <c r="E28" s="26" t="s">
        <v>170</v>
      </c>
    </row>
    <row r="29" customFormat="false" ht="21.75" hidden="false" customHeight="true" outlineLevel="0" collapsed="false">
      <c r="A29" s="26" t="s">
        <v>171</v>
      </c>
      <c r="B29" s="26" t="s">
        <v>172</v>
      </c>
      <c r="C29" s="26" t="s">
        <v>173</v>
      </c>
      <c r="D29" s="28" t="s">
        <v>174</v>
      </c>
      <c r="E29" s="26" t="s">
        <v>175</v>
      </c>
    </row>
    <row r="30" customFormat="false" ht="21.75" hidden="false" customHeight="true" outlineLevel="0" collapsed="false">
      <c r="A30" s="26" t="s">
        <v>176</v>
      </c>
      <c r="B30" s="26" t="s">
        <v>173</v>
      </c>
      <c r="C30" s="26" t="s">
        <v>173</v>
      </c>
      <c r="D30" s="26" t="s">
        <v>105</v>
      </c>
      <c r="E30" s="26" t="s">
        <v>177</v>
      </c>
    </row>
    <row r="31" customFormat="false" ht="21.75" hidden="false" customHeight="true" outlineLevel="0" collapsed="false">
      <c r="A31" s="26" t="s">
        <v>178</v>
      </c>
      <c r="B31" s="26" t="s">
        <v>173</v>
      </c>
      <c r="C31" s="26" t="s">
        <v>173</v>
      </c>
      <c r="D31" s="26" t="s">
        <v>105</v>
      </c>
      <c r="E31" s="26" t="s">
        <v>179</v>
      </c>
    </row>
    <row r="34" customFormat="false" ht="15" hidden="false" customHeight="false" outlineLevel="0" collapsed="false">
      <c r="A34" s="18" t="s">
        <v>180</v>
      </c>
    </row>
    <row r="35" customFormat="false" ht="18" hidden="false" customHeight="true" outlineLevel="0" collapsed="false">
      <c r="A35" s="29" t="s">
        <v>181</v>
      </c>
      <c r="B35" s="29"/>
      <c r="C35" s="29"/>
      <c r="D35" s="29"/>
      <c r="E35" s="29"/>
    </row>
    <row r="36" customFormat="false" ht="18" hidden="false" customHeight="true" outlineLevel="0" collapsed="false">
      <c r="A36" s="29" t="s">
        <v>182</v>
      </c>
      <c r="B36" s="29"/>
      <c r="C36" s="29"/>
      <c r="D36" s="29"/>
      <c r="E36" s="29"/>
    </row>
    <row r="37" customFormat="false" ht="18" hidden="false" customHeight="true" outlineLevel="0" collapsed="false">
      <c r="A37" s="29" t="s">
        <v>183</v>
      </c>
      <c r="B37" s="29"/>
      <c r="C37" s="29"/>
      <c r="D37" s="29"/>
      <c r="E37" s="29"/>
    </row>
    <row r="38" customFormat="false" ht="18" hidden="false" customHeight="true" outlineLevel="0" collapsed="false">
      <c r="A38" s="29" t="s">
        <v>184</v>
      </c>
      <c r="B38" s="29"/>
      <c r="C38" s="29"/>
      <c r="D38" s="29"/>
      <c r="E38" s="29"/>
    </row>
    <row r="39" customFormat="false" ht="18" hidden="false" customHeight="true" outlineLevel="0" collapsed="false">
      <c r="A39" s="29" t="s">
        <v>185</v>
      </c>
      <c r="B39" s="29"/>
      <c r="C39" s="29"/>
      <c r="D39" s="29"/>
      <c r="E39" s="29"/>
    </row>
    <row r="40" customFormat="false" ht="18" hidden="false" customHeight="true" outlineLevel="0" collapsed="false">
      <c r="A40" s="29" t="s">
        <v>186</v>
      </c>
      <c r="B40" s="29"/>
      <c r="C40" s="29"/>
      <c r="D40" s="29"/>
      <c r="E40" s="29"/>
    </row>
    <row r="41" customFormat="false" ht="18" hidden="false" customHeight="true" outlineLevel="0" collapsed="false">
      <c r="A41" s="29" t="s">
        <v>187</v>
      </c>
      <c r="B41" s="29"/>
      <c r="C41" s="29"/>
      <c r="D41" s="29"/>
      <c r="E41" s="29"/>
    </row>
    <row r="42" customFormat="false" ht="18" hidden="false" customHeight="true" outlineLevel="0" collapsed="false">
      <c r="A42" s="29" t="s">
        <v>188</v>
      </c>
      <c r="B42" s="29"/>
      <c r="C42" s="29"/>
      <c r="D42" s="29"/>
      <c r="E42" s="29"/>
    </row>
    <row r="43" customFormat="false" ht="18" hidden="false" customHeight="true" outlineLevel="0" collapsed="false">
      <c r="A43" s="29" t="s">
        <v>189</v>
      </c>
      <c r="B43" s="29"/>
      <c r="C43" s="29"/>
      <c r="D43" s="29"/>
      <c r="E43" s="29"/>
    </row>
    <row r="44" customFormat="false" ht="18" hidden="false" customHeight="true" outlineLevel="0" collapsed="false">
      <c r="A44" s="29" t="s">
        <v>190</v>
      </c>
      <c r="B44" s="29"/>
      <c r="C44" s="29"/>
      <c r="D44" s="29"/>
      <c r="E44" s="29"/>
    </row>
    <row r="45" customFormat="false" ht="18" hidden="false" customHeight="true" outlineLevel="0" collapsed="false">
      <c r="A45" s="29" t="s">
        <v>191</v>
      </c>
      <c r="B45" s="29"/>
      <c r="C45" s="29"/>
      <c r="D45" s="29"/>
      <c r="E45" s="29"/>
    </row>
    <row r="46" customFormat="false" ht="18" hidden="false" customHeight="true" outlineLevel="0" collapsed="false">
      <c r="A46" s="29" t="s">
        <v>192</v>
      </c>
      <c r="B46" s="29"/>
      <c r="C46" s="29"/>
      <c r="D46" s="29"/>
      <c r="E46" s="29"/>
    </row>
    <row r="47" customFormat="false" ht="18" hidden="false" customHeight="true" outlineLevel="0" collapsed="false">
      <c r="A47" s="29" t="s">
        <v>193</v>
      </c>
      <c r="B47" s="29"/>
      <c r="C47" s="29"/>
      <c r="D47" s="29"/>
      <c r="E47" s="29"/>
    </row>
    <row r="48" customFormat="false" ht="18" hidden="false" customHeight="true" outlineLevel="0" collapsed="false">
      <c r="A48" s="29" t="s">
        <v>194</v>
      </c>
      <c r="B48" s="29"/>
      <c r="C48" s="29"/>
      <c r="D48" s="29"/>
      <c r="E48" s="29"/>
    </row>
    <row r="49" customFormat="false" ht="18" hidden="false" customHeight="true" outlineLevel="0" collapsed="false">
      <c r="A49" s="29" t="s">
        <v>195</v>
      </c>
      <c r="B49" s="29"/>
      <c r="C49" s="29"/>
      <c r="D49" s="29"/>
      <c r="E49" s="29"/>
    </row>
  </sheetData>
  <mergeCells count="18">
    <mergeCell ref="A1:E1"/>
    <mergeCell ref="A2:E2"/>
    <mergeCell ref="A3:E3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3" t="s">
        <v>196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4" t="s">
        <v>197</v>
      </c>
      <c r="B2" s="24"/>
      <c r="C2" s="24"/>
      <c r="D2" s="24"/>
      <c r="E2" s="24"/>
      <c r="F2" s="24"/>
      <c r="G2" s="24"/>
    </row>
    <row r="4" customFormat="false" ht="15" hidden="false" customHeight="false" outlineLevel="0" collapsed="false">
      <c r="A4" s="4" t="s">
        <v>198</v>
      </c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</row>
    <row r="5" customFormat="false" ht="15" hidden="false" customHeight="false" outlineLevel="0" collapsed="false">
      <c r="A5" s="30" t="s">
        <v>205</v>
      </c>
      <c r="B5" s="30" t="s">
        <v>206</v>
      </c>
      <c r="C5" s="31" t="n">
        <v>700</v>
      </c>
      <c r="D5" s="32" t="s">
        <v>76</v>
      </c>
      <c r="E5" s="33" t="n">
        <v>1500</v>
      </c>
      <c r="F5" s="30" t="s">
        <v>207</v>
      </c>
      <c r="G5" s="30"/>
    </row>
    <row r="6" customFormat="false" ht="15" hidden="false" customHeight="false" outlineLevel="0" collapsed="false">
      <c r="A6" s="30" t="s">
        <v>208</v>
      </c>
      <c r="B6" s="30" t="s">
        <v>209</v>
      </c>
      <c r="C6" s="31" t="n">
        <v>820</v>
      </c>
      <c r="D6" s="32" t="s">
        <v>76</v>
      </c>
      <c r="E6" s="33" t="n">
        <v>1650</v>
      </c>
      <c r="F6" s="30" t="s">
        <v>207</v>
      </c>
      <c r="G6" s="30"/>
    </row>
    <row r="7" customFormat="false" ht="15" hidden="false" customHeight="false" outlineLevel="0" collapsed="false">
      <c r="A7" s="30" t="s">
        <v>210</v>
      </c>
      <c r="B7" s="30" t="s">
        <v>211</v>
      </c>
      <c r="C7" s="31" t="n">
        <v>1030</v>
      </c>
      <c r="D7" s="32" t="s">
        <v>76</v>
      </c>
      <c r="E7" s="33" t="n">
        <v>1925</v>
      </c>
      <c r="F7" s="30" t="s">
        <v>207</v>
      </c>
      <c r="G7" s="30"/>
    </row>
    <row r="8" customFormat="false" ht="15" hidden="false" customHeight="false" outlineLevel="0" collapsed="false">
      <c r="A8" s="30" t="s">
        <v>212</v>
      </c>
      <c r="B8" s="30" t="s">
        <v>206</v>
      </c>
      <c r="C8" s="31" t="n">
        <v>700</v>
      </c>
      <c r="D8" s="32" t="s">
        <v>76</v>
      </c>
      <c r="E8" s="33" t="n">
        <v>1500</v>
      </c>
      <c r="F8" s="30" t="s">
        <v>207</v>
      </c>
      <c r="G8" s="30"/>
    </row>
    <row r="9" customFormat="false" ht="15" hidden="false" customHeight="false" outlineLevel="0" collapsed="false">
      <c r="A9" s="30" t="s">
        <v>213</v>
      </c>
      <c r="B9" s="30" t="s">
        <v>209</v>
      </c>
      <c r="C9" s="31" t="n">
        <v>820</v>
      </c>
      <c r="D9" s="32" t="s">
        <v>76</v>
      </c>
      <c r="E9" s="33" t="n">
        <v>1650</v>
      </c>
      <c r="F9" s="30" t="s">
        <v>207</v>
      </c>
      <c r="G9" s="30"/>
    </row>
    <row r="10" customFormat="false" ht="15" hidden="false" customHeight="false" outlineLevel="0" collapsed="false">
      <c r="A10" s="30" t="s">
        <v>214</v>
      </c>
      <c r="B10" s="30" t="s">
        <v>211</v>
      </c>
      <c r="C10" s="31" t="n">
        <v>1030</v>
      </c>
      <c r="D10" s="32" t="s">
        <v>76</v>
      </c>
      <c r="E10" s="33" t="n">
        <v>1925</v>
      </c>
      <c r="F10" s="30" t="s">
        <v>207</v>
      </c>
      <c r="G10" s="30"/>
    </row>
    <row r="11" customFormat="false" ht="15" hidden="false" customHeight="false" outlineLevel="0" collapsed="false">
      <c r="A11" s="30" t="s">
        <v>215</v>
      </c>
      <c r="B11" s="30" t="s">
        <v>206</v>
      </c>
      <c r="C11" s="31" t="n">
        <v>700</v>
      </c>
      <c r="D11" s="32" t="s">
        <v>76</v>
      </c>
      <c r="E11" s="33" t="n">
        <v>1500</v>
      </c>
      <c r="F11" s="30" t="s">
        <v>207</v>
      </c>
      <c r="G11" s="30"/>
    </row>
    <row r="12" customFormat="false" ht="15" hidden="false" customHeight="false" outlineLevel="0" collapsed="false">
      <c r="A12" s="30" t="s">
        <v>216</v>
      </c>
      <c r="B12" s="30" t="s">
        <v>209</v>
      </c>
      <c r="C12" s="31" t="n">
        <v>820</v>
      </c>
      <c r="D12" s="32" t="s">
        <v>76</v>
      </c>
      <c r="E12" s="33" t="n">
        <v>1650</v>
      </c>
      <c r="F12" s="30" t="s">
        <v>207</v>
      </c>
      <c r="G12" s="30"/>
    </row>
    <row r="13" customFormat="false" ht="15" hidden="false" customHeight="false" outlineLevel="0" collapsed="false">
      <c r="A13" s="30" t="s">
        <v>217</v>
      </c>
      <c r="B13" s="30" t="s">
        <v>211</v>
      </c>
      <c r="C13" s="31" t="n">
        <v>1030</v>
      </c>
      <c r="D13" s="32" t="s">
        <v>76</v>
      </c>
      <c r="E13" s="33" t="n">
        <v>1925</v>
      </c>
      <c r="F13" s="30" t="s">
        <v>207</v>
      </c>
      <c r="G13" s="30"/>
    </row>
    <row r="14" customFormat="false" ht="15" hidden="false" customHeight="false" outlineLevel="0" collapsed="false">
      <c r="A14" s="30" t="s">
        <v>218</v>
      </c>
      <c r="B14" s="30" t="s">
        <v>206</v>
      </c>
      <c r="C14" s="31" t="n">
        <v>700</v>
      </c>
      <c r="D14" s="32" t="s">
        <v>76</v>
      </c>
      <c r="E14" s="33" t="n">
        <v>1500</v>
      </c>
      <c r="F14" s="30" t="s">
        <v>207</v>
      </c>
      <c r="G14" s="30"/>
    </row>
    <row r="15" customFormat="false" ht="15" hidden="false" customHeight="false" outlineLevel="0" collapsed="false">
      <c r="A15" s="30" t="s">
        <v>219</v>
      </c>
      <c r="B15" s="30" t="s">
        <v>209</v>
      </c>
      <c r="C15" s="31" t="n">
        <v>820</v>
      </c>
      <c r="D15" s="32" t="s">
        <v>76</v>
      </c>
      <c r="E15" s="33" t="n">
        <v>1650</v>
      </c>
      <c r="F15" s="30" t="s">
        <v>207</v>
      </c>
      <c r="G15" s="30"/>
    </row>
    <row r="16" customFormat="false" ht="15" hidden="false" customHeight="false" outlineLevel="0" collapsed="false">
      <c r="A16" s="30" t="s">
        <v>220</v>
      </c>
      <c r="B16" s="30" t="s">
        <v>211</v>
      </c>
      <c r="C16" s="31" t="n">
        <v>1030</v>
      </c>
      <c r="D16" s="32" t="s">
        <v>76</v>
      </c>
      <c r="E16" s="33" t="n">
        <v>1925</v>
      </c>
      <c r="F16" s="30" t="s">
        <v>207</v>
      </c>
      <c r="G16" s="30"/>
    </row>
    <row r="17" customFormat="false" ht="15" hidden="false" customHeight="false" outlineLevel="0" collapsed="false">
      <c r="A17" s="30" t="s">
        <v>221</v>
      </c>
      <c r="B17" s="30" t="s">
        <v>206</v>
      </c>
      <c r="C17" s="31" t="n">
        <v>700</v>
      </c>
      <c r="D17" s="32" t="s">
        <v>76</v>
      </c>
      <c r="E17" s="33" t="n">
        <v>1500</v>
      </c>
      <c r="F17" s="30" t="s">
        <v>207</v>
      </c>
      <c r="G17" s="30"/>
    </row>
    <row r="18" customFormat="false" ht="15" hidden="false" customHeight="false" outlineLevel="0" collapsed="false">
      <c r="A18" s="30" t="s">
        <v>222</v>
      </c>
      <c r="B18" s="30" t="s">
        <v>209</v>
      </c>
      <c r="C18" s="31" t="n">
        <v>820</v>
      </c>
      <c r="D18" s="32" t="s">
        <v>76</v>
      </c>
      <c r="E18" s="33" t="n">
        <v>1650</v>
      </c>
      <c r="F18" s="30" t="s">
        <v>207</v>
      </c>
      <c r="G18" s="30"/>
    </row>
    <row r="19" customFormat="false" ht="15" hidden="false" customHeight="false" outlineLevel="0" collapsed="false">
      <c r="A19" s="30" t="s">
        <v>223</v>
      </c>
      <c r="B19" s="30" t="s">
        <v>211</v>
      </c>
      <c r="C19" s="31" t="n">
        <v>1030</v>
      </c>
      <c r="D19" s="32" t="s">
        <v>76</v>
      </c>
      <c r="E19" s="33" t="n">
        <v>1925</v>
      </c>
      <c r="F19" s="30" t="s">
        <v>207</v>
      </c>
      <c r="G19" s="30"/>
    </row>
    <row r="20" customFormat="false" ht="15" hidden="false" customHeight="false" outlineLevel="0" collapsed="false">
      <c r="A20" s="30" t="s">
        <v>224</v>
      </c>
      <c r="B20" s="30" t="s">
        <v>206</v>
      </c>
      <c r="C20" s="31" t="n">
        <v>700</v>
      </c>
      <c r="D20" s="32" t="s">
        <v>76</v>
      </c>
      <c r="E20" s="33" t="n">
        <v>1500</v>
      </c>
      <c r="F20" s="30" t="s">
        <v>207</v>
      </c>
      <c r="G20" s="30"/>
    </row>
    <row r="21" customFormat="false" ht="15" hidden="false" customHeight="false" outlineLevel="0" collapsed="false">
      <c r="A21" s="30" t="s">
        <v>225</v>
      </c>
      <c r="B21" s="30" t="s">
        <v>209</v>
      </c>
      <c r="C21" s="31" t="n">
        <v>820</v>
      </c>
      <c r="D21" s="32" t="s">
        <v>76</v>
      </c>
      <c r="E21" s="33" t="n">
        <v>1650</v>
      </c>
      <c r="F21" s="30" t="s">
        <v>207</v>
      </c>
      <c r="G21" s="30"/>
    </row>
    <row r="22" customFormat="false" ht="15" hidden="false" customHeight="false" outlineLevel="0" collapsed="false">
      <c r="A22" s="30" t="s">
        <v>226</v>
      </c>
      <c r="B22" s="30" t="s">
        <v>211</v>
      </c>
      <c r="C22" s="31" t="n">
        <v>1030</v>
      </c>
      <c r="D22" s="32" t="s">
        <v>76</v>
      </c>
      <c r="E22" s="33" t="n">
        <v>1925</v>
      </c>
      <c r="F22" s="30" t="s">
        <v>207</v>
      </c>
      <c r="G22" s="30"/>
    </row>
    <row r="23" customFormat="false" ht="15" hidden="false" customHeight="false" outlineLevel="0" collapsed="false">
      <c r="A23" s="30" t="s">
        <v>227</v>
      </c>
      <c r="B23" s="30" t="s">
        <v>206</v>
      </c>
      <c r="C23" s="31" t="n">
        <v>700</v>
      </c>
      <c r="D23" s="32" t="s">
        <v>76</v>
      </c>
      <c r="E23" s="33" t="n">
        <v>1500</v>
      </c>
      <c r="F23" s="30" t="s">
        <v>207</v>
      </c>
      <c r="G23" s="30"/>
    </row>
    <row r="24" customFormat="false" ht="15" hidden="false" customHeight="false" outlineLevel="0" collapsed="false">
      <c r="A24" s="30" t="s">
        <v>228</v>
      </c>
      <c r="B24" s="30" t="s">
        <v>209</v>
      </c>
      <c r="C24" s="31" t="n">
        <v>820</v>
      </c>
      <c r="D24" s="32" t="s">
        <v>76</v>
      </c>
      <c r="E24" s="33" t="n">
        <v>1650</v>
      </c>
      <c r="F24" s="30" t="s">
        <v>207</v>
      </c>
      <c r="G24" s="30"/>
    </row>
    <row r="25" customFormat="false" ht="15" hidden="false" customHeight="false" outlineLevel="0" collapsed="false">
      <c r="A25" s="30" t="s">
        <v>229</v>
      </c>
      <c r="B25" s="30" t="s">
        <v>211</v>
      </c>
      <c r="C25" s="31" t="n">
        <v>1030</v>
      </c>
      <c r="D25" s="32" t="s">
        <v>76</v>
      </c>
      <c r="E25" s="33" t="n">
        <v>1925</v>
      </c>
      <c r="F25" s="30" t="s">
        <v>207</v>
      </c>
      <c r="G25" s="30"/>
    </row>
    <row r="26" customFormat="false" ht="15" hidden="false" customHeight="false" outlineLevel="0" collapsed="false">
      <c r="A26" s="30" t="s">
        <v>230</v>
      </c>
      <c r="B26" s="30" t="s">
        <v>206</v>
      </c>
      <c r="C26" s="31" t="n">
        <v>700</v>
      </c>
      <c r="D26" s="32" t="s">
        <v>76</v>
      </c>
      <c r="E26" s="33" t="n">
        <v>1500</v>
      </c>
      <c r="F26" s="30" t="s">
        <v>207</v>
      </c>
      <c r="G26" s="30"/>
    </row>
    <row r="27" customFormat="false" ht="15" hidden="false" customHeight="false" outlineLevel="0" collapsed="false">
      <c r="A27" s="30" t="s">
        <v>231</v>
      </c>
      <c r="B27" s="30" t="s">
        <v>209</v>
      </c>
      <c r="C27" s="31" t="n">
        <v>820</v>
      </c>
      <c r="D27" s="32" t="s">
        <v>76</v>
      </c>
      <c r="E27" s="33" t="n">
        <v>1650</v>
      </c>
      <c r="F27" s="30" t="s">
        <v>207</v>
      </c>
      <c r="G27" s="30"/>
    </row>
    <row r="28" customFormat="false" ht="15" hidden="false" customHeight="false" outlineLevel="0" collapsed="false">
      <c r="A28" s="30" t="s">
        <v>232</v>
      </c>
      <c r="B28" s="30" t="s">
        <v>211</v>
      </c>
      <c r="C28" s="31" t="n">
        <v>1030</v>
      </c>
      <c r="D28" s="32" t="s">
        <v>76</v>
      </c>
      <c r="E28" s="33" t="n">
        <v>1925</v>
      </c>
      <c r="F28" s="30" t="s">
        <v>207</v>
      </c>
      <c r="G28" s="30"/>
    </row>
    <row r="29" customFormat="false" ht="15" hidden="false" customHeight="false" outlineLevel="0" collapsed="false">
      <c r="A29" s="30" t="s">
        <v>233</v>
      </c>
      <c r="B29" s="30" t="s">
        <v>206</v>
      </c>
      <c r="C29" s="31" t="n">
        <v>700</v>
      </c>
      <c r="D29" s="32" t="s">
        <v>76</v>
      </c>
      <c r="E29" s="33" t="n">
        <v>1500</v>
      </c>
      <c r="F29" s="30" t="s">
        <v>207</v>
      </c>
      <c r="G29" s="30"/>
    </row>
    <row r="30" customFormat="false" ht="15" hidden="false" customHeight="false" outlineLevel="0" collapsed="false">
      <c r="A30" s="30" t="s">
        <v>234</v>
      </c>
      <c r="B30" s="30" t="s">
        <v>209</v>
      </c>
      <c r="C30" s="31" t="n">
        <v>820</v>
      </c>
      <c r="D30" s="32" t="s">
        <v>76</v>
      </c>
      <c r="E30" s="33" t="n">
        <v>1650</v>
      </c>
      <c r="F30" s="30" t="s">
        <v>207</v>
      </c>
      <c r="G30" s="30"/>
    </row>
    <row r="31" customFormat="false" ht="15" hidden="false" customHeight="false" outlineLevel="0" collapsed="false">
      <c r="A31" s="30" t="s">
        <v>235</v>
      </c>
      <c r="B31" s="30" t="s">
        <v>211</v>
      </c>
      <c r="C31" s="31" t="n">
        <v>1030</v>
      </c>
      <c r="D31" s="32" t="s">
        <v>76</v>
      </c>
      <c r="E31" s="33" t="n">
        <v>1925</v>
      </c>
      <c r="F31" s="30" t="s">
        <v>207</v>
      </c>
      <c r="G31" s="30"/>
    </row>
    <row r="32" customFormat="false" ht="15" hidden="false" customHeight="false" outlineLevel="0" collapsed="false">
      <c r="A32" s="30" t="s">
        <v>236</v>
      </c>
      <c r="B32" s="30" t="s">
        <v>206</v>
      </c>
      <c r="C32" s="31" t="n">
        <v>700</v>
      </c>
      <c r="D32" s="32" t="s">
        <v>76</v>
      </c>
      <c r="E32" s="33" t="n">
        <v>1500</v>
      </c>
      <c r="F32" s="30" t="s">
        <v>207</v>
      </c>
      <c r="G32" s="30"/>
    </row>
    <row r="33" customFormat="false" ht="15" hidden="false" customHeight="false" outlineLevel="0" collapsed="false">
      <c r="A33" s="30" t="s">
        <v>237</v>
      </c>
      <c r="B33" s="30" t="s">
        <v>209</v>
      </c>
      <c r="C33" s="31" t="n">
        <v>820</v>
      </c>
      <c r="D33" s="32" t="s">
        <v>76</v>
      </c>
      <c r="E33" s="33" t="n">
        <v>1650</v>
      </c>
      <c r="F33" s="30" t="s">
        <v>207</v>
      </c>
      <c r="G33" s="30"/>
    </row>
    <row r="34" customFormat="false" ht="15" hidden="false" customHeight="false" outlineLevel="0" collapsed="false">
      <c r="A34" s="30" t="s">
        <v>238</v>
      </c>
      <c r="B34" s="30" t="s">
        <v>211</v>
      </c>
      <c r="C34" s="31" t="n">
        <v>1030</v>
      </c>
      <c r="D34" s="32" t="s">
        <v>76</v>
      </c>
      <c r="E34" s="33" t="n">
        <v>1925</v>
      </c>
      <c r="F34" s="30" t="s">
        <v>207</v>
      </c>
      <c r="G34" s="30"/>
    </row>
    <row r="35" customFormat="false" ht="15" hidden="false" customHeight="false" outlineLevel="0" collapsed="false">
      <c r="A35" s="30" t="s">
        <v>239</v>
      </c>
      <c r="B35" s="30" t="s">
        <v>206</v>
      </c>
      <c r="C35" s="31" t="n">
        <v>700</v>
      </c>
      <c r="D35" s="32" t="s">
        <v>76</v>
      </c>
      <c r="E35" s="33" t="n">
        <v>1500</v>
      </c>
      <c r="F35" s="30" t="s">
        <v>207</v>
      </c>
      <c r="G35" s="30"/>
    </row>
    <row r="36" customFormat="false" ht="15" hidden="false" customHeight="false" outlineLevel="0" collapsed="false">
      <c r="A36" s="30" t="s">
        <v>240</v>
      </c>
      <c r="B36" s="30" t="s">
        <v>209</v>
      </c>
      <c r="C36" s="31" t="n">
        <v>820</v>
      </c>
      <c r="D36" s="32" t="s">
        <v>76</v>
      </c>
      <c r="E36" s="33" t="n">
        <v>1650</v>
      </c>
      <c r="F36" s="30" t="s">
        <v>207</v>
      </c>
      <c r="G36" s="30"/>
    </row>
    <row r="37" customFormat="false" ht="15" hidden="false" customHeight="false" outlineLevel="0" collapsed="false">
      <c r="A37" s="30" t="s">
        <v>241</v>
      </c>
      <c r="B37" s="30" t="s">
        <v>211</v>
      </c>
      <c r="C37" s="31" t="n">
        <v>1030</v>
      </c>
      <c r="D37" s="32" t="s">
        <v>76</v>
      </c>
      <c r="E37" s="33" t="n">
        <v>1925</v>
      </c>
      <c r="F37" s="30" t="s">
        <v>207</v>
      </c>
      <c r="G37" s="30"/>
    </row>
    <row r="38" customFormat="false" ht="15" hidden="false" customHeight="false" outlineLevel="0" collapsed="false">
      <c r="A38" s="30" t="s">
        <v>242</v>
      </c>
      <c r="B38" s="30" t="s">
        <v>206</v>
      </c>
      <c r="C38" s="31" t="n">
        <v>700</v>
      </c>
      <c r="D38" s="32" t="s">
        <v>76</v>
      </c>
      <c r="E38" s="33" t="n">
        <v>1500</v>
      </c>
      <c r="F38" s="30" t="s">
        <v>207</v>
      </c>
      <c r="G38" s="30"/>
    </row>
    <row r="39" customFormat="false" ht="15" hidden="false" customHeight="false" outlineLevel="0" collapsed="false">
      <c r="A39" s="30" t="s">
        <v>243</v>
      </c>
      <c r="B39" s="30" t="s">
        <v>209</v>
      </c>
      <c r="C39" s="31" t="n">
        <v>820</v>
      </c>
      <c r="D39" s="32" t="s">
        <v>76</v>
      </c>
      <c r="E39" s="33" t="n">
        <v>1650</v>
      </c>
      <c r="F39" s="30" t="s">
        <v>207</v>
      </c>
      <c r="G39" s="30"/>
    </row>
    <row r="40" customFormat="false" ht="15" hidden="false" customHeight="false" outlineLevel="0" collapsed="false">
      <c r="A40" s="30" t="s">
        <v>244</v>
      </c>
      <c r="B40" s="30" t="s">
        <v>211</v>
      </c>
      <c r="C40" s="31" t="n">
        <v>1030</v>
      </c>
      <c r="D40" s="32" t="s">
        <v>76</v>
      </c>
      <c r="E40" s="33" t="n">
        <v>1925</v>
      </c>
      <c r="F40" s="30" t="s">
        <v>207</v>
      </c>
      <c r="G40" s="30"/>
    </row>
    <row r="41" customFormat="false" ht="15" hidden="false" customHeight="false" outlineLevel="0" collapsed="false">
      <c r="A41" s="30" t="s">
        <v>245</v>
      </c>
      <c r="B41" s="30" t="s">
        <v>206</v>
      </c>
      <c r="C41" s="31" t="n">
        <v>700</v>
      </c>
      <c r="D41" s="32" t="s">
        <v>76</v>
      </c>
      <c r="E41" s="33" t="n">
        <v>1500</v>
      </c>
      <c r="F41" s="30" t="s">
        <v>207</v>
      </c>
      <c r="G41" s="30"/>
    </row>
    <row r="42" customFormat="false" ht="15" hidden="false" customHeight="false" outlineLevel="0" collapsed="false">
      <c r="A42" s="30" t="s">
        <v>246</v>
      </c>
      <c r="B42" s="30" t="s">
        <v>209</v>
      </c>
      <c r="C42" s="31" t="n">
        <v>820</v>
      </c>
      <c r="D42" s="32" t="s">
        <v>76</v>
      </c>
      <c r="E42" s="33" t="n">
        <v>1650</v>
      </c>
      <c r="F42" s="30" t="s">
        <v>207</v>
      </c>
      <c r="G42" s="30"/>
    </row>
    <row r="43" customFormat="false" ht="15" hidden="false" customHeight="false" outlineLevel="0" collapsed="false">
      <c r="A43" s="30" t="s">
        <v>247</v>
      </c>
      <c r="B43" s="30" t="s">
        <v>211</v>
      </c>
      <c r="C43" s="31" t="n">
        <v>1030</v>
      </c>
      <c r="D43" s="32" t="s">
        <v>76</v>
      </c>
      <c r="E43" s="33" t="n">
        <v>1925</v>
      </c>
      <c r="F43" s="30" t="s">
        <v>207</v>
      </c>
      <c r="G43" s="30"/>
    </row>
    <row r="44" customFormat="false" ht="15" hidden="false" customHeight="false" outlineLevel="0" collapsed="false">
      <c r="A44" s="30" t="s">
        <v>248</v>
      </c>
      <c r="B44" s="30" t="s">
        <v>206</v>
      </c>
      <c r="C44" s="31" t="n">
        <v>700</v>
      </c>
      <c r="D44" s="32" t="s">
        <v>76</v>
      </c>
      <c r="E44" s="33" t="n">
        <v>1500</v>
      </c>
      <c r="F44" s="30" t="s">
        <v>207</v>
      </c>
      <c r="G44" s="30"/>
    </row>
    <row r="45" customFormat="false" ht="15" hidden="false" customHeight="false" outlineLevel="0" collapsed="false">
      <c r="A45" s="30" t="s">
        <v>249</v>
      </c>
      <c r="B45" s="30" t="s">
        <v>209</v>
      </c>
      <c r="C45" s="31" t="n">
        <v>820</v>
      </c>
      <c r="D45" s="32" t="s">
        <v>76</v>
      </c>
      <c r="E45" s="33" t="n">
        <v>1650</v>
      </c>
      <c r="F45" s="30" t="s">
        <v>207</v>
      </c>
      <c r="G45" s="30"/>
    </row>
    <row r="46" customFormat="false" ht="15" hidden="false" customHeight="false" outlineLevel="0" collapsed="false">
      <c r="A46" s="30" t="s">
        <v>250</v>
      </c>
      <c r="B46" s="30" t="s">
        <v>211</v>
      </c>
      <c r="C46" s="31" t="n">
        <v>1030</v>
      </c>
      <c r="D46" s="32" t="s">
        <v>76</v>
      </c>
      <c r="E46" s="33" t="n">
        <v>1925</v>
      </c>
      <c r="F46" s="30" t="s">
        <v>207</v>
      </c>
      <c r="G46" s="30"/>
    </row>
    <row r="47" customFormat="false" ht="15" hidden="false" customHeight="false" outlineLevel="0" collapsed="false">
      <c r="A47" s="30" t="s">
        <v>251</v>
      </c>
      <c r="B47" s="30" t="s">
        <v>206</v>
      </c>
      <c r="C47" s="31" t="n">
        <v>700</v>
      </c>
      <c r="D47" s="32" t="s">
        <v>76</v>
      </c>
      <c r="E47" s="33" t="n">
        <v>1500</v>
      </c>
      <c r="F47" s="30" t="s">
        <v>207</v>
      </c>
      <c r="G47" s="30"/>
    </row>
    <row r="48" customFormat="false" ht="15" hidden="false" customHeight="false" outlineLevel="0" collapsed="false">
      <c r="A48" s="30" t="s">
        <v>252</v>
      </c>
      <c r="B48" s="30" t="s">
        <v>209</v>
      </c>
      <c r="C48" s="31" t="n">
        <v>820</v>
      </c>
      <c r="D48" s="32" t="s">
        <v>76</v>
      </c>
      <c r="E48" s="33" t="n">
        <v>1650</v>
      </c>
      <c r="F48" s="30" t="s">
        <v>207</v>
      </c>
      <c r="G48" s="30"/>
    </row>
    <row r="49" customFormat="false" ht="15" hidden="false" customHeight="false" outlineLevel="0" collapsed="false">
      <c r="A49" s="34" t="s">
        <v>253</v>
      </c>
      <c r="B49" s="34" t="s">
        <v>211</v>
      </c>
      <c r="C49" s="35" t="n">
        <v>1030</v>
      </c>
      <c r="D49" s="34" t="s">
        <v>76</v>
      </c>
      <c r="E49" s="6" t="n">
        <v>2150</v>
      </c>
      <c r="F49" s="34" t="s">
        <v>207</v>
      </c>
      <c r="G49" s="34" t="s">
        <v>254</v>
      </c>
    </row>
    <row r="50" customFormat="false" ht="15" hidden="false" customHeight="false" outlineLevel="0" collapsed="false">
      <c r="A50" s="30" t="s">
        <v>255</v>
      </c>
      <c r="B50" s="30" t="s">
        <v>206</v>
      </c>
      <c r="C50" s="31" t="n">
        <v>700</v>
      </c>
      <c r="D50" s="36" t="s">
        <v>256</v>
      </c>
      <c r="E50" s="33" t="n">
        <v>1500</v>
      </c>
      <c r="F50" s="30" t="s">
        <v>207</v>
      </c>
      <c r="G50" s="30"/>
    </row>
    <row r="51" customFormat="false" ht="15" hidden="false" customHeight="false" outlineLevel="0" collapsed="false">
      <c r="A51" s="30" t="s">
        <v>257</v>
      </c>
      <c r="B51" s="30" t="s">
        <v>209</v>
      </c>
      <c r="C51" s="31" t="n">
        <v>820</v>
      </c>
      <c r="D51" s="36" t="s">
        <v>256</v>
      </c>
      <c r="E51" s="33" t="n">
        <v>1650</v>
      </c>
      <c r="F51" s="30" t="s">
        <v>207</v>
      </c>
      <c r="G51" s="30"/>
    </row>
    <row r="52" customFormat="false" ht="15" hidden="false" customHeight="false" outlineLevel="0" collapsed="false">
      <c r="A52" s="30" t="s">
        <v>258</v>
      </c>
      <c r="B52" s="30" t="s">
        <v>211</v>
      </c>
      <c r="C52" s="31" t="n">
        <v>1030</v>
      </c>
      <c r="D52" s="36" t="s">
        <v>256</v>
      </c>
      <c r="E52" s="33" t="n">
        <v>1925</v>
      </c>
      <c r="F52" s="30" t="s">
        <v>207</v>
      </c>
      <c r="G52" s="30"/>
    </row>
    <row r="53" customFormat="false" ht="15" hidden="false" customHeight="false" outlineLevel="0" collapsed="false">
      <c r="A53" s="18" t="s">
        <v>259</v>
      </c>
      <c r="C53" s="37" t="n">
        <f aca="false">SUM(C5:C52)</f>
        <v>40800</v>
      </c>
      <c r="E53" s="19" t="n">
        <f aca="false">SUM(E5:E52)</f>
        <v>81425</v>
      </c>
    </row>
    <row r="56" customFormat="false" ht="15" hidden="false" customHeight="false" outlineLevel="0" collapsed="false">
      <c r="A56" s="18" t="s">
        <v>260</v>
      </c>
    </row>
    <row r="57" customFormat="false" ht="15" hidden="false" customHeight="false" outlineLevel="0" collapsed="false">
      <c r="A57" s="0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0" t="s">
        <v>93</v>
      </c>
      <c r="B58" s="0" t="n">
        <f aca="false">COUNTIF(D5:D52,"active")</f>
        <v>45</v>
      </c>
    </row>
    <row r="59" customFormat="false" ht="15" hidden="false" customHeight="false" outlineLevel="0" collapsed="false">
      <c r="A59" s="0" t="s">
        <v>98</v>
      </c>
      <c r="B59" s="0" t="n">
        <f aca="false">COUNTIF(D5:D52,"pending")</f>
        <v>0</v>
      </c>
    </row>
    <row r="60" customFormat="false" ht="15" hidden="false" customHeight="false" outlineLevel="0" collapsed="false">
      <c r="A60" s="0" t="s">
        <v>103</v>
      </c>
      <c r="B60" s="0" t="n">
        <f aca="false">COUNTIF(D5:D52,"vacant")</f>
        <v>3</v>
      </c>
    </row>
    <row r="61" customFormat="false" ht="15" hidden="false" customHeight="false" outlineLevel="0" collapsed="false">
      <c r="A61" s="0" t="s">
        <v>107</v>
      </c>
      <c r="B61" s="21" t="n">
        <f aca="false">B58/B57</f>
        <v>0.9375</v>
      </c>
    </row>
    <row r="62" customFormat="false" ht="15" hidden="false" customHeight="false" outlineLevel="0" collapsed="false">
      <c r="A62" s="0" t="s">
        <v>261</v>
      </c>
      <c r="B62" s="38" t="n">
        <f aca="false">SUM(C5:C52)</f>
        <v>40800</v>
      </c>
    </row>
    <row r="63" customFormat="false" ht="15" hidden="false" customHeight="false" outlineLevel="0" collapsed="false">
      <c r="A63" s="0" t="s">
        <v>262</v>
      </c>
      <c r="B63" s="38" t="n">
        <f aca="false">SUMIF(D5:D52,"active",C5:C52)</f>
        <v>38250</v>
      </c>
    </row>
    <row r="64" customFormat="false" ht="15" hidden="false" customHeight="false" outlineLevel="0" collapsed="false">
      <c r="A64" s="0" t="s">
        <v>112</v>
      </c>
      <c r="B64" s="21" t="n">
        <f aca="false">B63/B62</f>
        <v>0.9375</v>
      </c>
    </row>
    <row r="65" customFormat="false" ht="15" hidden="false" customHeight="false" outlineLevel="0" collapsed="false">
      <c r="A65" s="0" t="s">
        <v>263</v>
      </c>
      <c r="B65" s="17" t="n">
        <f aca="false">SUM(E5:E52)</f>
        <v>81425</v>
      </c>
    </row>
    <row r="66" customFormat="false" ht="15" hidden="false" customHeight="false" outlineLevel="0" collapsed="false">
      <c r="A66" s="0" t="s">
        <v>264</v>
      </c>
      <c r="B66" s="17" t="n">
        <f aca="false">B65*12</f>
        <v>977100</v>
      </c>
    </row>
    <row r="69" customFormat="false" ht="15" hidden="false" customHeight="false" outlineLevel="0" collapsed="false">
      <c r="A69" s="18" t="s">
        <v>265</v>
      </c>
    </row>
    <row r="70" customFormat="false" ht="15" hidden="false" customHeight="false" outlineLevel="0" collapsed="false">
      <c r="A70" s="18" t="s">
        <v>266</v>
      </c>
      <c r="B70" s="18" t="s">
        <v>267</v>
      </c>
      <c r="C70" s="18" t="s">
        <v>268</v>
      </c>
      <c r="D70" s="18" t="s">
        <v>269</v>
      </c>
    </row>
    <row r="71" customFormat="false" ht="15" hidden="false" customHeight="false" outlineLevel="0" collapsed="false">
      <c r="A71" s="0" t="s">
        <v>270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271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272</v>
      </c>
      <c r="B73" s="0" t="n">
        <f aca="false">COUNTIF(B5:B52,"2BR")</f>
        <v>16</v>
      </c>
      <c r="C73" s="0" t="n">
        <f aca="false">COUNTIFS(B5:B52,"2BR",D5:D52,"active")</f>
        <v>15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3" t="s">
        <v>273</v>
      </c>
      <c r="B1" s="23"/>
      <c r="C1" s="23"/>
      <c r="D1" s="23"/>
    </row>
    <row r="3" customFormat="false" ht="15" hidden="false" customHeight="false" outlineLevel="0" collapsed="false">
      <c r="A3" s="4" t="s">
        <v>274</v>
      </c>
      <c r="B3" s="4" t="s">
        <v>275</v>
      </c>
      <c r="C3" s="4" t="s">
        <v>276</v>
      </c>
      <c r="D3" s="4" t="s">
        <v>277</v>
      </c>
    </row>
    <row r="4" customFormat="false" ht="15" hidden="false" customHeight="false" outlineLevel="0" collapsed="false">
      <c r="A4" s="0" t="s">
        <v>278</v>
      </c>
      <c r="B4" s="17" t="n">
        <v>876960</v>
      </c>
      <c r="D4" s="0" t="s">
        <v>279</v>
      </c>
    </row>
    <row r="5" customFormat="false" ht="15" hidden="false" customHeight="false" outlineLevel="0" collapsed="false">
      <c r="A5" s="0" t="s">
        <v>280</v>
      </c>
      <c r="C5" s="17" t="n">
        <f aca="false">Summary!B6</f>
        <v>977100</v>
      </c>
      <c r="D5" s="0" t="s">
        <v>281</v>
      </c>
    </row>
    <row r="6" customFormat="false" ht="15" hidden="false" customHeight="false" outlineLevel="0" collapsed="false">
      <c r="A6" s="0" t="s">
        <v>282</v>
      </c>
      <c r="C6" s="39" t="n">
        <f aca="false">-Summary!B6*Summary!B12</f>
        <v>-48855</v>
      </c>
      <c r="D6" s="0" t="s">
        <v>283</v>
      </c>
    </row>
    <row r="7" customFormat="false" ht="15" hidden="false" customHeight="false" outlineLevel="0" collapsed="false">
      <c r="A7" s="0" t="s">
        <v>284</v>
      </c>
      <c r="C7" s="17" t="n">
        <f aca="false">Summary!B13*Summary!B14</f>
        <v>16800</v>
      </c>
      <c r="D7" s="0" t="s">
        <v>283</v>
      </c>
    </row>
    <row r="8" customFormat="false" ht="15" hidden="false" customHeight="false" outlineLevel="0" collapsed="false">
      <c r="A8" s="0" t="s">
        <v>28</v>
      </c>
      <c r="C8" s="19" t="n">
        <f aca="false">Summary!B28</f>
        <v>945045</v>
      </c>
    </row>
    <row r="10" customFormat="false" ht="15" hidden="false" customHeight="false" outlineLevel="0" collapsed="false">
      <c r="A10" s="0" t="s">
        <v>285</v>
      </c>
      <c r="B10" s="39" t="n">
        <v>-102312</v>
      </c>
      <c r="C10" s="39" t="n">
        <f aca="false">-Summary!B15</f>
        <v>-102312</v>
      </c>
      <c r="D10" s="0" t="s">
        <v>286</v>
      </c>
    </row>
    <row r="11" customFormat="false" ht="15" hidden="false" customHeight="false" outlineLevel="0" collapsed="false">
      <c r="A11" s="0" t="s">
        <v>287</v>
      </c>
      <c r="B11" s="39" t="n">
        <v>-34104</v>
      </c>
      <c r="C11" s="39" t="n">
        <f aca="false">-Summary!B16</f>
        <v>-34104</v>
      </c>
      <c r="D11" s="0" t="s">
        <v>288</v>
      </c>
    </row>
    <row r="12" customFormat="false" ht="15" hidden="false" customHeight="false" outlineLevel="0" collapsed="false">
      <c r="A12" s="0" t="s">
        <v>289</v>
      </c>
      <c r="B12" s="39" t="n">
        <v>-136416</v>
      </c>
      <c r="C12" s="39" t="n">
        <f aca="false">-Summary!B17</f>
        <v>-136416</v>
      </c>
      <c r="D12" s="0" t="s">
        <v>286</v>
      </c>
    </row>
    <row r="13" customFormat="false" ht="15" hidden="false" customHeight="false" outlineLevel="0" collapsed="false">
      <c r="A13" s="0" t="s">
        <v>290</v>
      </c>
      <c r="C13" s="39" t="n">
        <f aca="false">-Summary!B18*Summary!B28</f>
        <v>-28351.35</v>
      </c>
      <c r="D13" s="0" t="s">
        <v>291</v>
      </c>
    </row>
    <row r="14" customFormat="false" ht="15" hidden="false" customHeight="false" outlineLevel="0" collapsed="false">
      <c r="A14" s="0" t="s">
        <v>292</v>
      </c>
      <c r="B14" s="17" t="n">
        <v>0</v>
      </c>
      <c r="D14" s="0" t="s">
        <v>286</v>
      </c>
    </row>
    <row r="15" customFormat="false" ht="15" hidden="false" customHeight="false" outlineLevel="0" collapsed="false">
      <c r="A15" s="0" t="s">
        <v>293</v>
      </c>
      <c r="B15" s="19" t="n">
        <v>604128</v>
      </c>
      <c r="C15" s="19" t="n">
        <f aca="false">Summary!B30</f>
        <v>643861.65</v>
      </c>
      <c r="D15" s="0" t="s">
        <v>294</v>
      </c>
    </row>
    <row r="17" customFormat="false" ht="15" hidden="false" customHeight="false" outlineLevel="0" collapsed="false">
      <c r="A17" s="0" t="s">
        <v>295</v>
      </c>
      <c r="C17" s="39" t="n">
        <f aca="false">-Summary!B31</f>
        <v>-14400</v>
      </c>
      <c r="D17" s="0" t="s">
        <v>286</v>
      </c>
    </row>
    <row r="18" customFormat="false" ht="15" hidden="false" customHeight="false" outlineLevel="0" collapsed="false">
      <c r="A18" s="0" t="s">
        <v>296</v>
      </c>
      <c r="C18" s="19" t="n">
        <f aca="false">Summary!B32</f>
        <v>629461.65</v>
      </c>
    </row>
    <row r="20" customFormat="false" ht="15" hidden="false" customHeight="false" outlineLevel="0" collapsed="false">
      <c r="A20" s="18" t="s">
        <v>297</v>
      </c>
    </row>
    <row r="21" customFormat="false" ht="15" hidden="false" customHeight="false" outlineLevel="0" collapsed="false">
      <c r="A21" s="0" t="s">
        <v>298</v>
      </c>
    </row>
    <row r="22" customFormat="false" ht="15" hidden="false" customHeight="false" outlineLevel="0" collapsed="false">
      <c r="A22" s="0" t="s">
        <v>299</v>
      </c>
    </row>
    <row r="23" customFormat="false" ht="15" hidden="false" customHeight="false" outlineLevel="0" collapsed="false">
      <c r="A23" s="0" t="s">
        <v>300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3" t="s">
        <v>301</v>
      </c>
      <c r="B1" s="23"/>
      <c r="C1" s="23"/>
    </row>
    <row r="3" customFormat="false" ht="15" hidden="false" customHeight="false" outlineLevel="0" collapsed="false">
      <c r="A3" s="0" t="s">
        <v>302</v>
      </c>
      <c r="B3" s="40" t="n">
        <f aca="false">Summary!B8</f>
        <v>0.07</v>
      </c>
    </row>
    <row r="4" customFormat="false" ht="15" hidden="false" customHeight="false" outlineLevel="0" collapsed="false">
      <c r="A4" s="0" t="s">
        <v>303</v>
      </c>
      <c r="B4" s="40" t="n">
        <f aca="false">Summary!B9</f>
        <v>0.07</v>
      </c>
    </row>
    <row r="5" customFormat="false" ht="15" hidden="false" customHeight="false" outlineLevel="0" collapsed="false">
      <c r="A5" s="0" t="s">
        <v>304</v>
      </c>
      <c r="B5" s="40" t="n">
        <f aca="false">Summary!B10</f>
        <v>0.06</v>
      </c>
    </row>
    <row r="6" customFormat="false" ht="15" hidden="false" customHeight="false" outlineLevel="0" collapsed="false">
      <c r="A6" s="0" t="s">
        <v>305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306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307</v>
      </c>
      <c r="B8" s="16" t="n">
        <f aca="false">Summary!B38</f>
        <v>0.0798362994215019</v>
      </c>
    </row>
    <row r="10" customFormat="false" ht="15" hidden="false" customHeight="false" outlineLevel="0" collapsed="false">
      <c r="A10" s="0" t="s">
        <v>308</v>
      </c>
      <c r="B10" s="17" t="n">
        <f aca="false">Summary!B33</f>
        <v>10731027.5</v>
      </c>
    </row>
    <row r="11" customFormat="false" ht="15" hidden="false" customHeight="false" outlineLevel="0" collapsed="false">
      <c r="A11" s="0" t="s">
        <v>309</v>
      </c>
      <c r="B11" s="17" t="n">
        <f aca="false">Summary!B32</f>
        <v>629461.65</v>
      </c>
    </row>
    <row r="13" customFormat="false" ht="15" hidden="false" customHeight="false" outlineLevel="0" collapsed="false">
      <c r="A13" s="0" t="s">
        <v>310</v>
      </c>
      <c r="B13" s="17" t="n">
        <f aca="false">Summary!B39</f>
        <v>6975167.875</v>
      </c>
    </row>
    <row r="14" customFormat="false" ht="15" hidden="false" customHeight="false" outlineLevel="0" collapsed="false">
      <c r="A14" s="0" t="s">
        <v>311</v>
      </c>
      <c r="B14" s="17" t="n">
        <f aca="false">Summary!B40</f>
        <v>6307523.31519485</v>
      </c>
    </row>
    <row r="15" customFormat="false" ht="15" hidden="false" customHeight="false" outlineLevel="0" collapsed="false">
      <c r="A15" s="0" t="s">
        <v>312</v>
      </c>
      <c r="B15" s="17" t="n">
        <f aca="false">Summary!B41</f>
        <v>6994018.33333333</v>
      </c>
    </row>
    <row r="16" customFormat="false" ht="15" hidden="false" customHeight="false" outlineLevel="0" collapsed="false">
      <c r="A16" s="0" t="s">
        <v>313</v>
      </c>
      <c r="B16" s="19" t="n">
        <f aca="false">Summary!B42</f>
        <v>6307523.31519485</v>
      </c>
    </row>
    <row r="17" customFormat="false" ht="15" hidden="false" customHeight="false" outlineLevel="0" collapsed="false">
      <c r="A17" s="0" t="s">
        <v>47</v>
      </c>
      <c r="B17" s="18" t="str">
        <f aca="false">Summary!B43</f>
        <v>DSCR</v>
      </c>
    </row>
    <row r="19" customFormat="false" ht="15" hidden="false" customHeight="false" outlineLevel="0" collapsed="false">
      <c r="A19" s="18" t="s">
        <v>314</v>
      </c>
    </row>
    <row r="20" customFormat="false" ht="15" hidden="false" customHeight="false" outlineLevel="0" collapsed="false">
      <c r="A20" s="0" t="s">
        <v>315</v>
      </c>
      <c r="B20" s="17" t="n">
        <f aca="false">Summary!B46</f>
        <v>6307523.31519485</v>
      </c>
    </row>
    <row r="21" customFormat="false" ht="15" hidden="false" customHeight="false" outlineLevel="0" collapsed="false">
      <c r="A21" s="0" t="s">
        <v>316</v>
      </c>
      <c r="B21" s="17" t="n">
        <f aca="false">Summary!B47</f>
        <v>4200000</v>
      </c>
    </row>
    <row r="22" customFormat="false" ht="15" hidden="false" customHeight="false" outlineLevel="0" collapsed="false">
      <c r="A22" s="0" t="s">
        <v>317</v>
      </c>
      <c r="B22" s="17" t="n">
        <f aca="false">Summary!B48</f>
        <v>63075.2331519485</v>
      </c>
    </row>
    <row r="23" customFormat="false" ht="15" hidden="false" customHeight="false" outlineLevel="0" collapsed="false">
      <c r="A23" s="0" t="s">
        <v>52</v>
      </c>
      <c r="B23" s="17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9" t="n">
        <f aca="false">Summary!B50</f>
        <v>4308075.23315195</v>
      </c>
    </row>
    <row r="25" customFormat="false" ht="15" hidden="false" customHeight="false" outlineLevel="0" collapsed="false">
      <c r="A25" s="0" t="s">
        <v>166</v>
      </c>
      <c r="B25" s="41" t="n">
        <f aca="false">Summary!B51</f>
        <v>1999448.0820429</v>
      </c>
      <c r="C25" s="0" t="s">
        <v>318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3" t="s">
        <v>319</v>
      </c>
      <c r="B1" s="23"/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A2" s="24" t="s">
        <v>320</v>
      </c>
      <c r="B2" s="24"/>
      <c r="C2" s="24"/>
      <c r="D2" s="24"/>
      <c r="E2" s="24"/>
      <c r="F2" s="24"/>
      <c r="G2" s="24"/>
      <c r="H2" s="24"/>
    </row>
    <row r="4" customFormat="false" ht="15" hidden="false" customHeight="false" outlineLevel="0" collapsed="false">
      <c r="A4" s="18" t="s">
        <v>321</v>
      </c>
    </row>
    <row r="5" customFormat="false" ht="15" hidden="false" customHeight="false" outlineLevel="0" collapsed="false">
      <c r="A5" s="42" t="s">
        <v>322</v>
      </c>
      <c r="B5" s="43" t="n">
        <v>0.06</v>
      </c>
      <c r="C5" s="43" t="n">
        <v>0.065</v>
      </c>
      <c r="D5" s="43" t="n">
        <v>0.07</v>
      </c>
      <c r="E5" s="43" t="n">
        <v>0.075</v>
      </c>
      <c r="F5" s="43" t="n">
        <v>0.08</v>
      </c>
      <c r="G5" s="43" t="n">
        <v>0.085</v>
      </c>
    </row>
    <row r="6" customFormat="false" ht="15" hidden="false" customHeight="false" outlineLevel="0" collapsed="false">
      <c r="A6" s="43" t="n">
        <v>0.0525</v>
      </c>
      <c r="B6" s="33" t="n">
        <f aca="false">MIN(Summary!$B$20*Summary!$B$30/$A6,Summary!$B$32/(Summary!$B$21*12*(B$5/12)*(1+B$5/12)^(Summary!$B$11*12)/((1+B$5/12)^(Summary!$B$11*12)-1)),Summary!$B$32/Summary!$B$22)</f>
        <v>6994018.33333333</v>
      </c>
      <c r="C6" s="33" t="n">
        <f aca="false">MIN(Summary!$B$20*Summary!$B$30/$A6,Summary!$B$32/(Summary!$B$21*12*(C$5/12)*(1+C$5/12)^(Summary!$B$11*12)/((1+C$5/12)^(Summary!$B$11*12)-1)),Summary!$B$32/Summary!$B$22)</f>
        <v>6639176.23424388</v>
      </c>
      <c r="D6" s="33" t="n">
        <f aca="false">MIN(Summary!$B$20*Summary!$B$30/$A6,Summary!$B$32/(Summary!$B$21*12*(D$5/12)*(1+D$5/12)^(Summary!$B$11*12)/((1+D$5/12)^(Summary!$B$11*12)-1)),Summary!$B$32/Summary!$B$22)</f>
        <v>6307523.31519485</v>
      </c>
      <c r="E6" s="33" t="n">
        <f aca="false">MIN(Summary!$B$20*Summary!$B$30/$A6,Summary!$B$32/(Summary!$B$21*12*(E$5/12)*(1+E$5/12)^(Summary!$B$11*12)/((1+E$5/12)^(Summary!$B$11*12)-1)),Summary!$B$32/Summary!$B$22)</f>
        <v>6001607.44473919</v>
      </c>
      <c r="F6" s="33" t="n">
        <f aca="false">MIN(Summary!$B$20*Summary!$B$30/$A6,Summary!$B$32/(Summary!$B$21*12*(F$5/12)*(1+F$5/12)^(Summary!$B$11*12)/((1+F$5/12)^(Summary!$B$11*12)-1)),Summary!$B$32/Summary!$B$22)</f>
        <v>5719015.53902198</v>
      </c>
      <c r="G6" s="33" t="n">
        <f aca="false">MIN(Summary!$B$20*Summary!$B$30/$A6,Summary!$B$32/(Summary!$B$21*12*(G$5/12)*(1+G$5/12)^(Summary!$B$11*12)/((1+G$5/12)^(Summary!$B$11*12)-1)),Summary!$B$32/Summary!$B$22)</f>
        <v>5457585.3975641</v>
      </c>
    </row>
    <row r="7" customFormat="false" ht="15" hidden="false" customHeight="false" outlineLevel="0" collapsed="false">
      <c r="A7" s="43" t="n">
        <v>0.0575</v>
      </c>
      <c r="B7" s="33" t="n">
        <f aca="false">MIN(Summary!$B$20*Summary!$B$30/$A7,Summary!$B$32/(Summary!$B$21*12*(B$5/12)*(1+B$5/12)^(Summary!$B$11*12)/((1+B$5/12)^(Summary!$B$11*12)-1)),Summary!$B$32/Summary!$B$22)</f>
        <v>6994018.33333333</v>
      </c>
      <c r="C7" s="33" t="n">
        <f aca="false">MIN(Summary!$B$20*Summary!$B$30/$A7,Summary!$B$32/(Summary!$B$21*12*(C$5/12)*(1+C$5/12)^(Summary!$B$11*12)/((1+C$5/12)^(Summary!$B$11*12)-1)),Summary!$B$32/Summary!$B$22)</f>
        <v>6639176.23424388</v>
      </c>
      <c r="D7" s="33" t="n">
        <f aca="false">MIN(Summary!$B$20*Summary!$B$30/$A7,Summary!$B$32/(Summary!$B$21*12*(D$5/12)*(1+D$5/12)^(Summary!$B$11*12)/((1+D$5/12)^(Summary!$B$11*12)-1)),Summary!$B$32/Summary!$B$22)</f>
        <v>6307523.31519485</v>
      </c>
      <c r="E7" s="33" t="n">
        <f aca="false">MIN(Summary!$B$20*Summary!$B$30/$A7,Summary!$B$32/(Summary!$B$21*12*(E$5/12)*(1+E$5/12)^(Summary!$B$11*12)/((1+E$5/12)^(Summary!$B$11*12)-1)),Summary!$B$32/Summary!$B$22)</f>
        <v>6001607.44473919</v>
      </c>
      <c r="F7" s="33" t="n">
        <f aca="false">MIN(Summary!$B$20*Summary!$B$30/$A7,Summary!$B$32/(Summary!$B$21*12*(F$5/12)*(1+F$5/12)^(Summary!$B$11*12)/((1+F$5/12)^(Summary!$B$11*12)-1)),Summary!$B$32/Summary!$B$22)</f>
        <v>5719015.53902198</v>
      </c>
      <c r="G7" s="33" t="n">
        <f aca="false">MIN(Summary!$B$20*Summary!$B$30/$A7,Summary!$B$32/(Summary!$B$21*12*(G$5/12)*(1+G$5/12)^(Summary!$B$11*12)/((1+G$5/12)^(Summary!$B$11*12)-1)),Summary!$B$32/Summary!$B$22)</f>
        <v>5457585.3975641</v>
      </c>
    </row>
    <row r="8" customFormat="false" ht="15" hidden="false" customHeight="false" outlineLevel="0" collapsed="false">
      <c r="A8" s="43" t="n">
        <v>0.06</v>
      </c>
      <c r="B8" s="33" t="n">
        <f aca="false">MIN(Summary!$B$20*Summary!$B$30/$A8,Summary!$B$32/(Summary!$B$21*12*(B$5/12)*(1+B$5/12)^(Summary!$B$11*12)/((1+B$5/12)^(Summary!$B$11*12)-1)),Summary!$B$32/Summary!$B$22)</f>
        <v>6975167.875</v>
      </c>
      <c r="C8" s="33" t="n">
        <f aca="false">MIN(Summary!$B$20*Summary!$B$30/$A8,Summary!$B$32/(Summary!$B$21*12*(C$5/12)*(1+C$5/12)^(Summary!$B$11*12)/((1+C$5/12)^(Summary!$B$11*12)-1)),Summary!$B$32/Summary!$B$22)</f>
        <v>6639176.23424388</v>
      </c>
      <c r="D8" s="44" t="n">
        <f aca="false">MIN(Summary!$B$20*Summary!$B$30/$A8,Summary!$B$32/(Summary!$B$21*12*(D$5/12)*(1+D$5/12)^(Summary!$B$11*12)/((1+D$5/12)^(Summary!$B$11*12)-1)),Summary!$B$32/Summary!$B$22)</f>
        <v>6307523.31519485</v>
      </c>
      <c r="E8" s="33" t="n">
        <f aca="false">MIN(Summary!$B$20*Summary!$B$30/$A8,Summary!$B$32/(Summary!$B$21*12*(E$5/12)*(1+E$5/12)^(Summary!$B$11*12)/((1+E$5/12)^(Summary!$B$11*12)-1)),Summary!$B$32/Summary!$B$22)</f>
        <v>6001607.44473919</v>
      </c>
      <c r="F8" s="33" t="n">
        <f aca="false">MIN(Summary!$B$20*Summary!$B$30/$A8,Summary!$B$32/(Summary!$B$21*12*(F$5/12)*(1+F$5/12)^(Summary!$B$11*12)/((1+F$5/12)^(Summary!$B$11*12)-1)),Summary!$B$32/Summary!$B$22)</f>
        <v>5719015.53902198</v>
      </c>
      <c r="G8" s="33" t="n">
        <f aca="false">MIN(Summary!$B$20*Summary!$B$30/$A8,Summary!$B$32/(Summary!$B$21*12*(G$5/12)*(1+G$5/12)^(Summary!$B$11*12)/((1+G$5/12)^(Summary!$B$11*12)-1)),Summary!$B$32/Summary!$B$22)</f>
        <v>5457585.3975641</v>
      </c>
    </row>
    <row r="9" customFormat="false" ht="15" hidden="false" customHeight="false" outlineLevel="0" collapsed="false">
      <c r="A9" s="43" t="n">
        <v>0.0625</v>
      </c>
      <c r="B9" s="33" t="n">
        <f aca="false">MIN(Summary!$B$20*Summary!$B$30/$A9,Summary!$B$32/(Summary!$B$21*12*(B$5/12)*(1+B$5/12)^(Summary!$B$11*12)/((1+B$5/12)^(Summary!$B$11*12)-1)),Summary!$B$32/Summary!$B$22)</f>
        <v>6696161.16</v>
      </c>
      <c r="C9" s="33" t="n">
        <f aca="false">MIN(Summary!$B$20*Summary!$B$30/$A9,Summary!$B$32/(Summary!$B$21*12*(C$5/12)*(1+C$5/12)^(Summary!$B$11*12)/((1+C$5/12)^(Summary!$B$11*12)-1)),Summary!$B$32/Summary!$B$22)</f>
        <v>6639176.23424388</v>
      </c>
      <c r="D9" s="33" t="n">
        <f aca="false">MIN(Summary!$B$20*Summary!$B$30/$A9,Summary!$B$32/(Summary!$B$21*12*(D$5/12)*(1+D$5/12)^(Summary!$B$11*12)/((1+D$5/12)^(Summary!$B$11*12)-1)),Summary!$B$32/Summary!$B$22)</f>
        <v>6307523.31519485</v>
      </c>
      <c r="E9" s="33" t="n">
        <f aca="false">MIN(Summary!$B$20*Summary!$B$30/$A9,Summary!$B$32/(Summary!$B$21*12*(E$5/12)*(1+E$5/12)^(Summary!$B$11*12)/((1+E$5/12)^(Summary!$B$11*12)-1)),Summary!$B$32/Summary!$B$22)</f>
        <v>6001607.44473919</v>
      </c>
      <c r="F9" s="33" t="n">
        <f aca="false">MIN(Summary!$B$20*Summary!$B$30/$A9,Summary!$B$32/(Summary!$B$21*12*(F$5/12)*(1+F$5/12)^(Summary!$B$11*12)/((1+F$5/12)^(Summary!$B$11*12)-1)),Summary!$B$32/Summary!$B$22)</f>
        <v>5719015.53902198</v>
      </c>
      <c r="G9" s="33" t="n">
        <f aca="false">MIN(Summary!$B$20*Summary!$B$30/$A9,Summary!$B$32/(Summary!$B$21*12*(G$5/12)*(1+G$5/12)^(Summary!$B$11*12)/((1+G$5/12)^(Summary!$B$11*12)-1)),Summary!$B$32/Summary!$B$22)</f>
        <v>5457585.3975641</v>
      </c>
    </row>
    <row r="10" customFormat="false" ht="15" hidden="false" customHeight="false" outlineLevel="0" collapsed="false">
      <c r="A10" s="43" t="n">
        <v>0.0675</v>
      </c>
      <c r="B10" s="33" t="n">
        <f aca="false">MIN(Summary!$B$20*Summary!$B$30/$A10,Summary!$B$32/(Summary!$B$21*12*(B$5/12)*(1+B$5/12)^(Summary!$B$11*12)/((1+B$5/12)^(Summary!$B$11*12)-1)),Summary!$B$32/Summary!$B$22)</f>
        <v>6200149.22222222</v>
      </c>
      <c r="C10" s="33" t="n">
        <f aca="false">MIN(Summary!$B$20*Summary!$B$30/$A10,Summary!$B$32/(Summary!$B$21*12*(C$5/12)*(1+C$5/12)^(Summary!$B$11*12)/((1+C$5/12)^(Summary!$B$11*12)-1)),Summary!$B$32/Summary!$B$22)</f>
        <v>6200149.22222222</v>
      </c>
      <c r="D10" s="33" t="n">
        <f aca="false">MIN(Summary!$B$20*Summary!$B$30/$A10,Summary!$B$32/(Summary!$B$21*12*(D$5/12)*(1+D$5/12)^(Summary!$B$11*12)/((1+D$5/12)^(Summary!$B$11*12)-1)),Summary!$B$32/Summary!$B$22)</f>
        <v>6200149.22222222</v>
      </c>
      <c r="E10" s="33" t="n">
        <f aca="false">MIN(Summary!$B$20*Summary!$B$30/$A10,Summary!$B$32/(Summary!$B$21*12*(E$5/12)*(1+E$5/12)^(Summary!$B$11*12)/((1+E$5/12)^(Summary!$B$11*12)-1)),Summary!$B$32/Summary!$B$22)</f>
        <v>6001607.44473919</v>
      </c>
      <c r="F10" s="33" t="n">
        <f aca="false">MIN(Summary!$B$20*Summary!$B$30/$A10,Summary!$B$32/(Summary!$B$21*12*(F$5/12)*(1+F$5/12)^(Summary!$B$11*12)/((1+F$5/12)^(Summary!$B$11*12)-1)),Summary!$B$32/Summary!$B$22)</f>
        <v>5719015.53902198</v>
      </c>
      <c r="G10" s="33" t="n">
        <f aca="false">MIN(Summary!$B$20*Summary!$B$30/$A10,Summary!$B$32/(Summary!$B$21*12*(G$5/12)*(1+G$5/12)^(Summary!$B$11*12)/((1+G$5/12)^(Summary!$B$11*12)-1)),Summary!$B$32/Summary!$B$22)</f>
        <v>5457585.3975641</v>
      </c>
    </row>
    <row r="11" customFormat="false" ht="15" hidden="false" customHeight="false" outlineLevel="0" collapsed="false">
      <c r="A11" s="43" t="n">
        <v>0.0725</v>
      </c>
      <c r="B11" s="33" t="n">
        <f aca="false">MIN(Summary!$B$20*Summary!$B$30/$A11,Summary!$B$32/(Summary!$B$21*12*(B$5/12)*(1+B$5/12)^(Summary!$B$11*12)/((1+B$5/12)^(Summary!$B$11*12)-1)),Summary!$B$32/Summary!$B$22)</f>
        <v>5772552.72413793</v>
      </c>
      <c r="C11" s="33" t="n">
        <f aca="false">MIN(Summary!$B$20*Summary!$B$30/$A11,Summary!$B$32/(Summary!$B$21*12*(C$5/12)*(1+C$5/12)^(Summary!$B$11*12)/((1+C$5/12)^(Summary!$B$11*12)-1)),Summary!$B$32/Summary!$B$22)</f>
        <v>5772552.72413793</v>
      </c>
      <c r="D11" s="33" t="n">
        <f aca="false">MIN(Summary!$B$20*Summary!$B$30/$A11,Summary!$B$32/(Summary!$B$21*12*(D$5/12)*(1+D$5/12)^(Summary!$B$11*12)/((1+D$5/12)^(Summary!$B$11*12)-1)),Summary!$B$32/Summary!$B$22)</f>
        <v>5772552.72413793</v>
      </c>
      <c r="E11" s="33" t="n">
        <f aca="false">MIN(Summary!$B$20*Summary!$B$30/$A11,Summary!$B$32/(Summary!$B$21*12*(E$5/12)*(1+E$5/12)^(Summary!$B$11*12)/((1+E$5/12)^(Summary!$B$11*12)-1)),Summary!$B$32/Summary!$B$22)</f>
        <v>5772552.72413793</v>
      </c>
      <c r="F11" s="33" t="n">
        <f aca="false">MIN(Summary!$B$20*Summary!$B$30/$A11,Summary!$B$32/(Summary!$B$21*12*(F$5/12)*(1+F$5/12)^(Summary!$B$11*12)/((1+F$5/12)^(Summary!$B$11*12)-1)),Summary!$B$32/Summary!$B$22)</f>
        <v>5719015.53902198</v>
      </c>
      <c r="G11" s="33" t="n">
        <f aca="false">MIN(Summary!$B$20*Summary!$B$30/$A11,Summary!$B$32/(Summary!$B$21*12*(G$5/12)*(1+G$5/12)^(Summary!$B$11*12)/((1+G$5/12)^(Summary!$B$11*12)-1)),Summary!$B$32/Summary!$B$22)</f>
        <v>5457585.3975641</v>
      </c>
    </row>
    <row r="14" customFormat="false" ht="15" hidden="false" customHeight="false" outlineLevel="0" collapsed="false">
      <c r="A14" s="18" t="s">
        <v>323</v>
      </c>
    </row>
    <row r="15" customFormat="false" ht="15" hidden="false" customHeight="false" outlineLevel="0" collapsed="false">
      <c r="A15" s="42" t="s">
        <v>322</v>
      </c>
      <c r="B15" s="43" t="n">
        <v>0.06</v>
      </c>
      <c r="C15" s="43" t="n">
        <v>0.065</v>
      </c>
      <c r="D15" s="43" t="n">
        <v>0.07</v>
      </c>
      <c r="E15" s="43" t="n">
        <v>0.075</v>
      </c>
      <c r="F15" s="43" t="n">
        <v>0.08</v>
      </c>
      <c r="G15" s="43" t="n">
        <v>0.085</v>
      </c>
    </row>
    <row r="16" customFormat="false" ht="15" hidden="false" customHeight="false" outlineLevel="0" collapsed="false">
      <c r="A16" s="43" t="n">
        <v>0.0525</v>
      </c>
      <c r="B16" s="45" t="n">
        <f aca="false">B6-Summary!$B$25-Summary!$B$23*B6-Summary!$B$24</f>
        <v>2679078.15</v>
      </c>
      <c r="C16" s="45" t="n">
        <f aca="false">C6-Summary!$B$25-Summary!$B$23*C6-Summary!$B$24</f>
        <v>2327784.47190144</v>
      </c>
      <c r="D16" s="45" t="n">
        <f aca="false">D6-Summary!$B$25-Summary!$B$23*D6-Summary!$B$24</f>
        <v>1999448.0820429</v>
      </c>
      <c r="E16" s="45" t="n">
        <f aca="false">E6-Summary!$B$25-Summary!$B$23*E6-Summary!$B$24</f>
        <v>1696591.3702918</v>
      </c>
      <c r="F16" s="45" t="n">
        <f aca="false">F6-Summary!$B$25-Summary!$B$23*F6-Summary!$B$24</f>
        <v>1416825.38363176</v>
      </c>
      <c r="G16" s="45" t="n">
        <f aca="false">G6-Summary!$B$25-Summary!$B$23*G6-Summary!$B$24</f>
        <v>1158009.54358846</v>
      </c>
    </row>
    <row r="17" customFormat="false" ht="15" hidden="false" customHeight="false" outlineLevel="0" collapsed="false">
      <c r="A17" s="43" t="n">
        <v>0.0575</v>
      </c>
      <c r="B17" s="45" t="n">
        <f aca="false">B7-Summary!$B$25-Summary!$B$23*B7-Summary!$B$24</f>
        <v>2679078.15</v>
      </c>
      <c r="C17" s="45" t="n">
        <f aca="false">C7-Summary!$B$25-Summary!$B$23*C7-Summary!$B$24</f>
        <v>2327784.47190144</v>
      </c>
      <c r="D17" s="45" t="n">
        <f aca="false">D7-Summary!$B$25-Summary!$B$23*D7-Summary!$B$24</f>
        <v>1999448.0820429</v>
      </c>
      <c r="E17" s="45" t="n">
        <f aca="false">E7-Summary!$B$25-Summary!$B$23*E7-Summary!$B$24</f>
        <v>1696591.3702918</v>
      </c>
      <c r="F17" s="45" t="n">
        <f aca="false">F7-Summary!$B$25-Summary!$B$23*F7-Summary!$B$24</f>
        <v>1416825.38363176</v>
      </c>
      <c r="G17" s="45" t="n">
        <f aca="false">G7-Summary!$B$25-Summary!$B$23*G7-Summary!$B$24</f>
        <v>1158009.54358846</v>
      </c>
    </row>
    <row r="18" customFormat="false" ht="15" hidden="false" customHeight="false" outlineLevel="0" collapsed="false">
      <c r="A18" s="43" t="n">
        <v>0.06</v>
      </c>
      <c r="B18" s="45" t="n">
        <f aca="false">B8-Summary!$B$25-Summary!$B$23*B8-Summary!$B$24</f>
        <v>2660416.19625</v>
      </c>
      <c r="C18" s="45" t="n">
        <f aca="false">C8-Summary!$B$25-Summary!$B$23*C8-Summary!$B$24</f>
        <v>2327784.47190144</v>
      </c>
      <c r="D18" s="46" t="n">
        <f aca="false">D8-Summary!$B$25-Summary!$B$23*D8-Summary!$B$24</f>
        <v>1999448.0820429</v>
      </c>
      <c r="E18" s="45" t="n">
        <f aca="false">E8-Summary!$B$25-Summary!$B$23*E8-Summary!$B$24</f>
        <v>1696591.3702918</v>
      </c>
      <c r="F18" s="45" t="n">
        <f aca="false">F8-Summary!$B$25-Summary!$B$23*F8-Summary!$B$24</f>
        <v>1416825.38363176</v>
      </c>
      <c r="G18" s="45" t="n">
        <f aca="false">G8-Summary!$B$25-Summary!$B$23*G8-Summary!$B$24</f>
        <v>1158009.54358846</v>
      </c>
    </row>
    <row r="19" customFormat="false" ht="15" hidden="false" customHeight="false" outlineLevel="0" collapsed="false">
      <c r="A19" s="43" t="n">
        <v>0.0625</v>
      </c>
      <c r="B19" s="45" t="n">
        <f aca="false">B9-Summary!$B$25-Summary!$B$23*B9-Summary!$B$24</f>
        <v>2384199.5484</v>
      </c>
      <c r="C19" s="45" t="n">
        <f aca="false">C9-Summary!$B$25-Summary!$B$23*C9-Summary!$B$24</f>
        <v>2327784.47190144</v>
      </c>
      <c r="D19" s="45" t="n">
        <f aca="false">D9-Summary!$B$25-Summary!$B$23*D9-Summary!$B$24</f>
        <v>1999448.0820429</v>
      </c>
      <c r="E19" s="45" t="n">
        <f aca="false">E9-Summary!$B$25-Summary!$B$23*E9-Summary!$B$24</f>
        <v>1696591.3702918</v>
      </c>
      <c r="F19" s="45" t="n">
        <f aca="false">F9-Summary!$B$25-Summary!$B$23*F9-Summary!$B$24</f>
        <v>1416825.38363176</v>
      </c>
      <c r="G19" s="45" t="n">
        <f aca="false">G9-Summary!$B$25-Summary!$B$23*G9-Summary!$B$24</f>
        <v>1158009.54358846</v>
      </c>
    </row>
    <row r="20" customFormat="false" ht="15" hidden="false" customHeight="false" outlineLevel="0" collapsed="false">
      <c r="A20" s="43" t="n">
        <v>0.0675</v>
      </c>
      <c r="B20" s="45" t="n">
        <f aca="false">B10-Summary!$B$25-Summary!$B$23*B10-Summary!$B$24</f>
        <v>1893147.73</v>
      </c>
      <c r="C20" s="45" t="n">
        <f aca="false">C10-Summary!$B$25-Summary!$B$23*C10-Summary!$B$24</f>
        <v>1893147.73</v>
      </c>
      <c r="D20" s="45" t="n">
        <f aca="false">D10-Summary!$B$25-Summary!$B$23*D10-Summary!$B$24</f>
        <v>1893147.73</v>
      </c>
      <c r="E20" s="45" t="n">
        <f aca="false">E10-Summary!$B$25-Summary!$B$23*E10-Summary!$B$24</f>
        <v>1696591.3702918</v>
      </c>
      <c r="F20" s="45" t="n">
        <f aca="false">F10-Summary!$B$25-Summary!$B$23*F10-Summary!$B$24</f>
        <v>1416825.38363176</v>
      </c>
      <c r="G20" s="45" t="n">
        <f aca="false">G10-Summary!$B$25-Summary!$B$23*G10-Summary!$B$24</f>
        <v>1158009.54358846</v>
      </c>
    </row>
    <row r="21" customFormat="false" ht="15" hidden="false" customHeight="false" outlineLevel="0" collapsed="false">
      <c r="A21" s="43" t="n">
        <v>0.0725</v>
      </c>
      <c r="B21" s="45" t="n">
        <f aca="false">B11-Summary!$B$25-Summary!$B$23*B11-Summary!$B$24</f>
        <v>1469827.19689655</v>
      </c>
      <c r="C21" s="45" t="n">
        <f aca="false">C11-Summary!$B$25-Summary!$B$23*C11-Summary!$B$24</f>
        <v>1469827.19689655</v>
      </c>
      <c r="D21" s="45" t="n">
        <f aca="false">D11-Summary!$B$25-Summary!$B$23*D11-Summary!$B$24</f>
        <v>1469827.19689655</v>
      </c>
      <c r="E21" s="45" t="n">
        <f aca="false">E11-Summary!$B$25-Summary!$B$23*E11-Summary!$B$24</f>
        <v>1469827.19689655</v>
      </c>
      <c r="F21" s="45" t="n">
        <f aca="false">F11-Summary!$B$25-Summary!$B$23*F11-Summary!$B$24</f>
        <v>1416825.38363176</v>
      </c>
      <c r="G21" s="45" t="n">
        <f aca="false">G11-Summary!$B$25-Summary!$B$23*G11-Summary!$B$24</f>
        <v>1158009.54358846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3" t="s">
        <v>324</v>
      </c>
      <c r="B1" s="23"/>
      <c r="C1" s="23"/>
      <c r="D1" s="23"/>
    </row>
    <row r="3" customFormat="false" ht="15" hidden="false" customHeight="false" outlineLevel="0" collapsed="false">
      <c r="A3" s="4" t="s">
        <v>325</v>
      </c>
      <c r="B3" s="4" t="s">
        <v>326</v>
      </c>
      <c r="C3" s="4" t="s">
        <v>327</v>
      </c>
      <c r="D3" s="4" t="s">
        <v>328</v>
      </c>
    </row>
    <row r="4" customFormat="false" ht="60" hidden="false" customHeight="true" outlineLevel="0" collapsed="false">
      <c r="A4" s="26" t="s">
        <v>121</v>
      </c>
      <c r="B4" s="26" t="s">
        <v>329</v>
      </c>
      <c r="C4" s="26" t="s">
        <v>330</v>
      </c>
      <c r="D4" s="26" t="s">
        <v>331</v>
      </c>
    </row>
    <row r="5" customFormat="false" ht="60" hidden="false" customHeight="true" outlineLevel="0" collapsed="false">
      <c r="A5" s="26" t="s">
        <v>332</v>
      </c>
      <c r="B5" s="26" t="s">
        <v>333</v>
      </c>
      <c r="C5" s="26" t="s">
        <v>334</v>
      </c>
      <c r="D5" s="26" t="s">
        <v>335</v>
      </c>
    </row>
    <row r="6" customFormat="false" ht="60" hidden="false" customHeight="true" outlineLevel="0" collapsed="false">
      <c r="A6" s="26" t="s">
        <v>336</v>
      </c>
      <c r="B6" s="26" t="s">
        <v>337</v>
      </c>
      <c r="C6" s="26" t="s">
        <v>338</v>
      </c>
      <c r="D6" s="26" t="s">
        <v>339</v>
      </c>
    </row>
    <row r="7" customFormat="false" ht="60" hidden="false" customHeight="true" outlineLevel="0" collapsed="false">
      <c r="A7" s="26" t="s">
        <v>340</v>
      </c>
      <c r="B7" s="26" t="s">
        <v>341</v>
      </c>
      <c r="C7" s="26" t="s">
        <v>342</v>
      </c>
      <c r="D7" s="26" t="s">
        <v>343</v>
      </c>
    </row>
    <row r="8" customFormat="false" ht="60" hidden="false" customHeight="true" outlineLevel="0" collapsed="false">
      <c r="A8" s="26" t="s">
        <v>344</v>
      </c>
      <c r="B8" s="26" t="s">
        <v>329</v>
      </c>
      <c r="C8" s="26" t="s">
        <v>345</v>
      </c>
      <c r="D8" s="26" t="s">
        <v>346</v>
      </c>
    </row>
    <row r="9" customFormat="false" ht="60" hidden="false" customHeight="true" outlineLevel="0" collapsed="false">
      <c r="A9" s="26" t="s">
        <v>347</v>
      </c>
      <c r="B9" s="26" t="s">
        <v>329</v>
      </c>
      <c r="C9" s="26" t="s">
        <v>348</v>
      </c>
      <c r="D9" s="26" t="s">
        <v>349</v>
      </c>
    </row>
    <row r="10" customFormat="false" ht="60" hidden="false" customHeight="true" outlineLevel="0" collapsed="false">
      <c r="A10" s="26" t="s">
        <v>350</v>
      </c>
      <c r="B10" s="26" t="s">
        <v>329</v>
      </c>
      <c r="C10" s="26" t="s">
        <v>351</v>
      </c>
      <c r="D10" s="26" t="s">
        <v>352</v>
      </c>
    </row>
    <row r="11" customFormat="false" ht="60" hidden="false" customHeight="true" outlineLevel="0" collapsed="false">
      <c r="A11" s="26" t="s">
        <v>353</v>
      </c>
      <c r="B11" s="26" t="s">
        <v>354</v>
      </c>
      <c r="C11" s="26" t="s">
        <v>355</v>
      </c>
      <c r="D11" s="26" t="s">
        <v>356</v>
      </c>
    </row>
    <row r="12" customFormat="false" ht="60" hidden="false" customHeight="true" outlineLevel="0" collapsed="false">
      <c r="A12" s="26" t="s">
        <v>283</v>
      </c>
      <c r="B12" s="26" t="s">
        <v>329</v>
      </c>
      <c r="C12" s="26" t="s">
        <v>357</v>
      </c>
      <c r="D12" s="26" t="s">
        <v>358</v>
      </c>
    </row>
    <row r="13" customFormat="false" ht="60" hidden="false" customHeight="true" outlineLevel="0" collapsed="false">
      <c r="A13" s="26" t="s">
        <v>359</v>
      </c>
      <c r="B13" s="26" t="s">
        <v>329</v>
      </c>
      <c r="C13" s="26" t="s">
        <v>360</v>
      </c>
      <c r="D13" s="26" t="s">
        <v>361</v>
      </c>
    </row>
    <row r="14" customFormat="false" ht="60" hidden="false" customHeight="true" outlineLevel="0" collapsed="false">
      <c r="A14" s="26" t="s">
        <v>362</v>
      </c>
      <c r="B14" s="26" t="s">
        <v>329</v>
      </c>
      <c r="C14" s="26" t="s">
        <v>363</v>
      </c>
      <c r="D14" s="26" t="s">
        <v>364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3" t="s">
        <v>365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4" t="s">
        <v>366</v>
      </c>
      <c r="B3" s="4" t="s">
        <v>367</v>
      </c>
      <c r="C3" s="4" t="s">
        <v>368</v>
      </c>
      <c r="D3" s="4" t="s">
        <v>369</v>
      </c>
      <c r="E3" s="4" t="s">
        <v>326</v>
      </c>
      <c r="F3" s="4" t="s">
        <v>370</v>
      </c>
    </row>
    <row r="4" customFormat="false" ht="31.5" hidden="false" customHeight="true" outlineLevel="0" collapsed="false">
      <c r="A4" s="47" t="s">
        <v>371</v>
      </c>
      <c r="B4" s="26" t="n">
        <v>48</v>
      </c>
      <c r="C4" s="26" t="s">
        <v>372</v>
      </c>
      <c r="D4" s="26" t="s">
        <v>332</v>
      </c>
      <c r="E4" s="26" t="s">
        <v>373</v>
      </c>
      <c r="F4" s="26" t="s">
        <v>374</v>
      </c>
    </row>
    <row r="5" customFormat="false" ht="31.5" hidden="false" customHeight="true" outlineLevel="0" collapsed="false">
      <c r="A5" s="27" t="s">
        <v>375</v>
      </c>
      <c r="B5" s="48" t="n">
        <v>45</v>
      </c>
      <c r="C5" s="48" t="s">
        <v>372</v>
      </c>
      <c r="D5" s="48" t="s">
        <v>332</v>
      </c>
      <c r="E5" s="48" t="s">
        <v>376</v>
      </c>
      <c r="F5" s="48" t="s">
        <v>377</v>
      </c>
    </row>
    <row r="6" customFormat="false" ht="31.5" hidden="false" customHeight="true" outlineLevel="0" collapsed="false">
      <c r="A6" s="27" t="s">
        <v>378</v>
      </c>
      <c r="B6" s="48" t="n">
        <v>0</v>
      </c>
      <c r="C6" s="48" t="s">
        <v>372</v>
      </c>
      <c r="D6" s="48" t="s">
        <v>332</v>
      </c>
      <c r="E6" s="48" t="s">
        <v>379</v>
      </c>
      <c r="F6" s="48" t="s">
        <v>380</v>
      </c>
    </row>
    <row r="7" customFormat="false" ht="31.5" hidden="false" customHeight="true" outlineLevel="0" collapsed="false">
      <c r="A7" s="47" t="s">
        <v>381</v>
      </c>
      <c r="B7" s="26" t="n">
        <v>40800</v>
      </c>
      <c r="C7" s="26" t="s">
        <v>382</v>
      </c>
      <c r="D7" s="26" t="s">
        <v>332</v>
      </c>
      <c r="E7" s="26" t="s">
        <v>383</v>
      </c>
      <c r="F7" s="26" t="s">
        <v>384</v>
      </c>
    </row>
    <row r="8" customFormat="false" ht="31.5" hidden="false" customHeight="true" outlineLevel="0" collapsed="false">
      <c r="A8" s="27" t="s">
        <v>385</v>
      </c>
      <c r="B8" s="48" t="n">
        <v>37710</v>
      </c>
      <c r="C8" s="48" t="s">
        <v>382</v>
      </c>
      <c r="D8" s="48" t="s">
        <v>332</v>
      </c>
      <c r="E8" s="48" t="s">
        <v>386</v>
      </c>
      <c r="F8" s="48" t="s">
        <v>387</v>
      </c>
    </row>
    <row r="9" customFormat="false" ht="31.5" hidden="false" customHeight="true" outlineLevel="0" collapsed="false">
      <c r="A9" s="27" t="s">
        <v>388</v>
      </c>
      <c r="B9" s="49" t="n">
        <v>0.9375</v>
      </c>
      <c r="C9" s="48" t="s">
        <v>389</v>
      </c>
      <c r="D9" s="48" t="s">
        <v>332</v>
      </c>
      <c r="E9" s="48" t="s">
        <v>390</v>
      </c>
      <c r="F9" s="48" t="s">
        <v>391</v>
      </c>
    </row>
    <row r="10" customFormat="false" ht="31.5" hidden="false" customHeight="true" outlineLevel="0" collapsed="false">
      <c r="A10" s="27" t="s">
        <v>392</v>
      </c>
      <c r="B10" s="49" t="n">
        <v>0.9243</v>
      </c>
      <c r="C10" s="48" t="s">
        <v>389</v>
      </c>
      <c r="D10" s="48" t="s">
        <v>332</v>
      </c>
      <c r="E10" s="48" t="s">
        <v>390</v>
      </c>
      <c r="F10" s="48" t="s">
        <v>393</v>
      </c>
    </row>
    <row r="11" customFormat="false" ht="31.5" hidden="false" customHeight="true" outlineLevel="0" collapsed="false">
      <c r="A11" s="27" t="s">
        <v>394</v>
      </c>
      <c r="B11" s="50" t="n">
        <v>977100</v>
      </c>
      <c r="C11" s="48" t="s">
        <v>395</v>
      </c>
      <c r="D11" s="48" t="s">
        <v>332</v>
      </c>
      <c r="E11" s="48" t="s">
        <v>396</v>
      </c>
      <c r="F11" s="48" t="s">
        <v>397</v>
      </c>
    </row>
    <row r="12" customFormat="false" ht="31.5" hidden="false" customHeight="true" outlineLevel="0" collapsed="false">
      <c r="A12" s="47" t="s">
        <v>398</v>
      </c>
      <c r="B12" s="51" t="n">
        <v>1850</v>
      </c>
      <c r="C12" s="26" t="s">
        <v>399</v>
      </c>
      <c r="D12" s="26" t="s">
        <v>400</v>
      </c>
      <c r="E12" s="26" t="s">
        <v>401</v>
      </c>
      <c r="F12" s="26" t="s">
        <v>402</v>
      </c>
    </row>
    <row r="13" customFormat="false" ht="31.5" hidden="false" customHeight="true" outlineLevel="0" collapsed="false">
      <c r="A13" s="27" t="s">
        <v>5</v>
      </c>
      <c r="B13" s="50" t="n">
        <v>977100</v>
      </c>
      <c r="C13" s="48" t="s">
        <v>395</v>
      </c>
      <c r="D13" s="48" t="s">
        <v>403</v>
      </c>
      <c r="E13" s="48" t="s">
        <v>404</v>
      </c>
      <c r="F13" s="48" t="s">
        <v>405</v>
      </c>
    </row>
    <row r="14" customFormat="false" ht="31.5" hidden="false" customHeight="true" outlineLevel="0" collapsed="false">
      <c r="A14" s="27" t="s">
        <v>29</v>
      </c>
      <c r="B14" s="52" t="n">
        <v>945045</v>
      </c>
      <c r="C14" s="48" t="s">
        <v>395</v>
      </c>
      <c r="D14" s="48" t="s">
        <v>406</v>
      </c>
      <c r="E14" s="48" t="s">
        <v>407</v>
      </c>
      <c r="F14" s="48" t="s">
        <v>408</v>
      </c>
    </row>
    <row r="15" customFormat="false" ht="31.5" hidden="false" customHeight="true" outlineLevel="0" collapsed="false">
      <c r="A15" s="47" t="s">
        <v>409</v>
      </c>
      <c r="B15" s="51" t="n">
        <v>102312</v>
      </c>
      <c r="C15" s="26" t="s">
        <v>395</v>
      </c>
      <c r="D15" s="26" t="s">
        <v>353</v>
      </c>
      <c r="E15" s="26" t="s">
        <v>329</v>
      </c>
      <c r="F15" s="26" t="s">
        <v>410</v>
      </c>
    </row>
    <row r="16" customFormat="false" ht="31.5" hidden="false" customHeight="true" outlineLevel="0" collapsed="false">
      <c r="A16" s="47" t="s">
        <v>411</v>
      </c>
      <c r="B16" s="51" t="n">
        <v>34104</v>
      </c>
      <c r="C16" s="26" t="s">
        <v>395</v>
      </c>
      <c r="D16" s="26" t="s">
        <v>353</v>
      </c>
      <c r="E16" s="26" t="s">
        <v>329</v>
      </c>
      <c r="F16" s="26" t="s">
        <v>410</v>
      </c>
    </row>
    <row r="17" customFormat="false" ht="31.5" hidden="false" customHeight="true" outlineLevel="0" collapsed="false">
      <c r="A17" s="27" t="s">
        <v>412</v>
      </c>
      <c r="B17" s="52" t="n">
        <v>301183.35</v>
      </c>
      <c r="C17" s="48" t="s">
        <v>395</v>
      </c>
      <c r="D17" s="48" t="s">
        <v>406</v>
      </c>
      <c r="E17" s="48" t="s">
        <v>413</v>
      </c>
      <c r="F17" s="48" t="s">
        <v>414</v>
      </c>
    </row>
    <row r="18" customFormat="false" ht="31.5" hidden="false" customHeight="true" outlineLevel="0" collapsed="false">
      <c r="A18" s="27" t="s">
        <v>32</v>
      </c>
      <c r="B18" s="52" t="n">
        <v>643861.65</v>
      </c>
      <c r="C18" s="48" t="s">
        <v>395</v>
      </c>
      <c r="D18" s="48" t="s">
        <v>406</v>
      </c>
      <c r="E18" s="48" t="s">
        <v>415</v>
      </c>
      <c r="F18" s="48" t="s">
        <v>416</v>
      </c>
    </row>
    <row r="19" customFormat="false" ht="31.5" hidden="false" customHeight="true" outlineLevel="0" collapsed="false">
      <c r="A19" s="27" t="s">
        <v>35</v>
      </c>
      <c r="B19" s="52" t="n">
        <v>629461.65</v>
      </c>
      <c r="C19" s="48" t="s">
        <v>395</v>
      </c>
      <c r="D19" s="48" t="s">
        <v>406</v>
      </c>
      <c r="E19" s="48" t="s">
        <v>417</v>
      </c>
      <c r="F19" s="48" t="s">
        <v>418</v>
      </c>
    </row>
    <row r="20" customFormat="false" ht="31.5" hidden="false" customHeight="true" outlineLevel="0" collapsed="false">
      <c r="A20" s="27" t="s">
        <v>9</v>
      </c>
      <c r="B20" s="49" t="n">
        <v>0.07</v>
      </c>
      <c r="C20" s="48" t="s">
        <v>389</v>
      </c>
      <c r="D20" s="48" t="s">
        <v>419</v>
      </c>
      <c r="E20" s="48" t="s">
        <v>420</v>
      </c>
      <c r="F20" s="48" t="s">
        <v>421</v>
      </c>
    </row>
    <row r="21" customFormat="false" ht="31.5" hidden="false" customHeight="true" outlineLevel="0" collapsed="false">
      <c r="A21" s="27" t="s">
        <v>7</v>
      </c>
      <c r="B21" s="49" t="n">
        <v>0.06</v>
      </c>
      <c r="C21" s="48" t="s">
        <v>389</v>
      </c>
      <c r="D21" s="48" t="s">
        <v>419</v>
      </c>
      <c r="E21" s="48" t="s">
        <v>420</v>
      </c>
      <c r="F21" s="48" t="s">
        <v>422</v>
      </c>
    </row>
    <row r="22" customFormat="false" ht="31.5" hidden="false" customHeight="true" outlineLevel="0" collapsed="false">
      <c r="A22" s="27" t="s">
        <v>37</v>
      </c>
      <c r="B22" s="50" t="n">
        <v>10731028</v>
      </c>
      <c r="C22" s="48" t="s">
        <v>395</v>
      </c>
      <c r="D22" s="48" t="s">
        <v>406</v>
      </c>
      <c r="E22" s="48" t="s">
        <v>423</v>
      </c>
      <c r="F22" s="48" t="s">
        <v>424</v>
      </c>
    </row>
    <row r="23" customFormat="false" ht="31.5" hidden="false" customHeight="true" outlineLevel="0" collapsed="false">
      <c r="A23" s="47" t="s">
        <v>425</v>
      </c>
      <c r="B23" s="53" t="n">
        <v>0.65</v>
      </c>
      <c r="C23" s="26" t="s">
        <v>389</v>
      </c>
      <c r="D23" s="26" t="s">
        <v>283</v>
      </c>
      <c r="E23" s="26" t="s">
        <v>329</v>
      </c>
      <c r="F23" s="26" t="s">
        <v>410</v>
      </c>
    </row>
    <row r="24" customFormat="false" ht="31.5" hidden="false" customHeight="true" outlineLevel="0" collapsed="false">
      <c r="A24" s="47" t="s">
        <v>426</v>
      </c>
      <c r="B24" s="54" t="n">
        <v>1.25</v>
      </c>
      <c r="C24" s="26" t="s">
        <v>427</v>
      </c>
      <c r="D24" s="26" t="s">
        <v>283</v>
      </c>
      <c r="E24" s="26" t="s">
        <v>329</v>
      </c>
      <c r="F24" s="26" t="s">
        <v>410</v>
      </c>
    </row>
    <row r="25" customFormat="false" ht="31.5" hidden="false" customHeight="true" outlineLevel="0" collapsed="false">
      <c r="A25" s="47" t="s">
        <v>428</v>
      </c>
      <c r="B25" s="53" t="n">
        <v>0.09</v>
      </c>
      <c r="C25" s="26" t="s">
        <v>389</v>
      </c>
      <c r="D25" s="26" t="s">
        <v>283</v>
      </c>
      <c r="E25" s="26" t="s">
        <v>329</v>
      </c>
      <c r="F25" s="26" t="s">
        <v>410</v>
      </c>
    </row>
    <row r="26" customFormat="false" ht="31.5" hidden="false" customHeight="true" outlineLevel="0" collapsed="false">
      <c r="A26" s="27" t="s">
        <v>46</v>
      </c>
      <c r="B26" s="50" t="n">
        <f aca="false">Summary!B42</f>
        <v>6307523.31519485</v>
      </c>
      <c r="C26" s="48" t="s">
        <v>395</v>
      </c>
      <c r="D26" s="48" t="s">
        <v>406</v>
      </c>
      <c r="E26" s="48" t="s">
        <v>429</v>
      </c>
      <c r="F26" s="48" t="s">
        <v>430</v>
      </c>
    </row>
    <row r="27" customFormat="false" ht="31.5" hidden="false" customHeight="true" outlineLevel="0" collapsed="false">
      <c r="A27" s="27" t="s">
        <v>55</v>
      </c>
      <c r="B27" s="55" t="n">
        <f aca="false">Summary!B51</f>
        <v>1999448.0820429</v>
      </c>
      <c r="C27" s="48" t="s">
        <v>395</v>
      </c>
      <c r="D27" s="48" t="s">
        <v>406</v>
      </c>
      <c r="E27" s="48" t="s">
        <v>431</v>
      </c>
      <c r="F27" s="48" t="s">
        <v>432</v>
      </c>
    </row>
    <row r="28" customFormat="false" ht="31.5" hidden="false" customHeight="true" outlineLevel="0" collapsed="false">
      <c r="A28" s="47" t="s">
        <v>433</v>
      </c>
      <c r="B28" s="51" t="n">
        <v>2000000</v>
      </c>
      <c r="C28" s="26" t="s">
        <v>395</v>
      </c>
      <c r="D28" s="26" t="s">
        <v>359</v>
      </c>
      <c r="E28" s="26" t="s">
        <v>329</v>
      </c>
      <c r="F28" s="26" t="s">
        <v>434</v>
      </c>
    </row>
    <row r="29" customFormat="false" ht="31.5" hidden="false" customHeight="true" outlineLevel="0" collapsed="false">
      <c r="A29" s="27" t="s">
        <v>435</v>
      </c>
      <c r="B29" s="48" t="s">
        <v>71</v>
      </c>
      <c r="C29" s="48" t="s">
        <v>436</v>
      </c>
      <c r="D29" s="48" t="s">
        <v>332</v>
      </c>
      <c r="E29" s="48" t="s">
        <v>437</v>
      </c>
      <c r="F29" s="48" t="s">
        <v>438</v>
      </c>
    </row>
    <row r="30" customFormat="false" ht="31.5" hidden="false" customHeight="true" outlineLevel="0" collapsed="false">
      <c r="A30" s="47" t="s">
        <v>439</v>
      </c>
      <c r="B30" s="51" t="n">
        <v>604128</v>
      </c>
      <c r="C30" s="26" t="s">
        <v>395</v>
      </c>
      <c r="D30" s="26" t="s">
        <v>353</v>
      </c>
      <c r="E30" s="26" t="s">
        <v>329</v>
      </c>
      <c r="F30" s="26" t="s">
        <v>440</v>
      </c>
    </row>
    <row r="31" customFormat="false" ht="31.5" hidden="false" customHeight="true" outlineLevel="0" collapsed="false">
      <c r="A31" s="47" t="s">
        <v>441</v>
      </c>
      <c r="B31" s="26" t="n">
        <v>16</v>
      </c>
      <c r="C31" s="26" t="s">
        <v>372</v>
      </c>
      <c r="D31" s="26" t="s">
        <v>442</v>
      </c>
      <c r="E31" s="26" t="s">
        <v>443</v>
      </c>
      <c r="F31" s="26" t="s">
        <v>444</v>
      </c>
    </row>
    <row r="32" customFormat="false" ht="31.5" hidden="false" customHeight="true" outlineLevel="0" collapsed="false">
      <c r="A32" s="47" t="s">
        <v>445</v>
      </c>
      <c r="B32" s="26" t="n">
        <v>16</v>
      </c>
      <c r="C32" s="26" t="s">
        <v>372</v>
      </c>
      <c r="D32" s="26" t="s">
        <v>332</v>
      </c>
      <c r="E32" s="26" t="s">
        <v>446</v>
      </c>
      <c r="F32" s="26" t="s">
        <v>447</v>
      </c>
    </row>
    <row r="33" customFormat="false" ht="31.5" hidden="false" customHeight="true" outlineLevel="0" collapsed="false">
      <c r="A33" s="47" t="s">
        <v>448</v>
      </c>
      <c r="B33" s="26" t="n">
        <v>16</v>
      </c>
      <c r="C33" s="26" t="s">
        <v>372</v>
      </c>
      <c r="D33" s="26" t="s">
        <v>442</v>
      </c>
      <c r="E33" s="26" t="s">
        <v>443</v>
      </c>
      <c r="F33" s="26" t="s">
        <v>449</v>
      </c>
    </row>
    <row r="34" customFormat="false" ht="31.5" hidden="false" customHeight="true" outlineLevel="0" collapsed="false">
      <c r="A34" s="47" t="s">
        <v>450</v>
      </c>
      <c r="B34" s="26" t="n">
        <v>16</v>
      </c>
      <c r="C34" s="26" t="s">
        <v>372</v>
      </c>
      <c r="D34" s="26" t="s">
        <v>332</v>
      </c>
      <c r="E34" s="26" t="s">
        <v>451</v>
      </c>
      <c r="F34" s="26" t="s">
        <v>452</v>
      </c>
    </row>
    <row r="35" customFormat="false" ht="31.5" hidden="false" customHeight="true" outlineLevel="0" collapsed="false">
      <c r="A35" s="47" t="s">
        <v>453</v>
      </c>
      <c r="B35" s="26" t="n">
        <v>16</v>
      </c>
      <c r="C35" s="26" t="s">
        <v>372</v>
      </c>
      <c r="D35" s="26" t="s">
        <v>442</v>
      </c>
      <c r="E35" s="26" t="s">
        <v>443</v>
      </c>
      <c r="F35" s="26" t="s">
        <v>454</v>
      </c>
    </row>
    <row r="36" customFormat="false" ht="31.5" hidden="false" customHeight="true" outlineLevel="0" collapsed="false">
      <c r="A36" s="27" t="s">
        <v>455</v>
      </c>
      <c r="B36" s="48" t="n">
        <v>13</v>
      </c>
      <c r="C36" s="48" t="s">
        <v>372</v>
      </c>
      <c r="D36" s="48" t="s">
        <v>332</v>
      </c>
      <c r="E36" s="48" t="s">
        <v>456</v>
      </c>
      <c r="F36" s="48" t="s">
        <v>457</v>
      </c>
    </row>
    <row r="37" customFormat="false" ht="31.5" hidden="false" customHeight="true" outlineLevel="0" collapsed="false">
      <c r="A37" s="27" t="s">
        <v>171</v>
      </c>
      <c r="B37" s="48" t="s">
        <v>173</v>
      </c>
      <c r="C37" s="48" t="s">
        <v>458</v>
      </c>
      <c r="D37" s="48" t="s">
        <v>442</v>
      </c>
      <c r="E37" s="48" t="s">
        <v>459</v>
      </c>
      <c r="F37" s="48" t="s">
        <v>460</v>
      </c>
    </row>
    <row r="38" customFormat="false" ht="31.5" hidden="false" customHeight="true" outlineLevel="0" collapsed="false">
      <c r="A38" s="47" t="s">
        <v>461</v>
      </c>
      <c r="B38" s="26" t="s">
        <v>173</v>
      </c>
      <c r="C38" s="26" t="s">
        <v>458</v>
      </c>
      <c r="D38" s="26" t="s">
        <v>332</v>
      </c>
      <c r="E38" s="26" t="s">
        <v>462</v>
      </c>
      <c r="F38" s="26" t="s">
        <v>463</v>
      </c>
    </row>
    <row r="39" customFormat="false" ht="31.5" hidden="false" customHeight="true" outlineLevel="0" collapsed="false">
      <c r="A39" s="47" t="s">
        <v>464</v>
      </c>
      <c r="B39" s="26" t="s">
        <v>173</v>
      </c>
      <c r="C39" s="26" t="s">
        <v>458</v>
      </c>
      <c r="D39" s="26" t="s">
        <v>359</v>
      </c>
      <c r="E39" s="26" t="s">
        <v>329</v>
      </c>
      <c r="F39" s="26" t="s">
        <v>465</v>
      </c>
    </row>
    <row r="40" customFormat="false" ht="31.5" hidden="false" customHeight="true" outlineLevel="0" collapsed="false">
      <c r="A40" s="47" t="s">
        <v>466</v>
      </c>
      <c r="B40" s="26" t="s">
        <v>173</v>
      </c>
      <c r="C40" s="26" t="s">
        <v>458</v>
      </c>
      <c r="D40" s="26" t="s">
        <v>353</v>
      </c>
      <c r="E40" s="26" t="s">
        <v>329</v>
      </c>
      <c r="F40" s="26" t="s">
        <v>467</v>
      </c>
    </row>
    <row r="41" customFormat="false" ht="31.5" hidden="false" customHeight="true" outlineLevel="0" collapsed="false">
      <c r="A41" s="47" t="s">
        <v>468</v>
      </c>
      <c r="B41" s="26" t="s">
        <v>173</v>
      </c>
      <c r="C41" s="26" t="s">
        <v>458</v>
      </c>
      <c r="D41" s="26" t="s">
        <v>400</v>
      </c>
      <c r="E41" s="26" t="s">
        <v>469</v>
      </c>
      <c r="F41" s="26" t="s">
        <v>470</v>
      </c>
    </row>
    <row r="42" customFormat="false" ht="31.5" hidden="false" customHeight="true" outlineLevel="0" collapsed="false">
      <c r="A42" s="47" t="s">
        <v>471</v>
      </c>
      <c r="B42" s="26" t="s">
        <v>173</v>
      </c>
      <c r="C42" s="26" t="s">
        <v>458</v>
      </c>
      <c r="D42" s="26" t="s">
        <v>347</v>
      </c>
      <c r="E42" s="26" t="s">
        <v>329</v>
      </c>
      <c r="F42" s="26" t="s">
        <v>472</v>
      </c>
    </row>
    <row r="43" customFormat="false" ht="31.5" hidden="false" customHeight="true" outlineLevel="0" collapsed="false">
      <c r="A43" s="47" t="s">
        <v>176</v>
      </c>
      <c r="B43" s="26" t="s">
        <v>173</v>
      </c>
      <c r="C43" s="26" t="s">
        <v>458</v>
      </c>
      <c r="D43" s="26" t="s">
        <v>419</v>
      </c>
      <c r="E43" s="26" t="s">
        <v>420</v>
      </c>
      <c r="F43" s="26" t="s">
        <v>473</v>
      </c>
    </row>
    <row r="44" customFormat="false" ht="31.5" hidden="false" customHeight="true" outlineLevel="0" collapsed="false">
      <c r="A44" s="47" t="s">
        <v>178</v>
      </c>
      <c r="B44" s="26" t="str">
        <f aca="false">IF(Summary!B51&lt;0,"present","absent")</f>
        <v>absent</v>
      </c>
      <c r="C44" s="26" t="s">
        <v>458</v>
      </c>
      <c r="D44" s="26" t="s">
        <v>406</v>
      </c>
      <c r="E44" s="26" t="s">
        <v>431</v>
      </c>
      <c r="F44" s="26" t="s">
        <v>474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3" t="s">
        <v>475</v>
      </c>
      <c r="B1" s="23"/>
      <c r="C1" s="23"/>
    </row>
    <row r="3" customFormat="false" ht="15" hidden="false" customHeight="false" outlineLevel="0" collapsed="false">
      <c r="A3" s="18" t="s">
        <v>476</v>
      </c>
    </row>
    <row r="4" customFormat="false" ht="15" hidden="false" customHeight="false" outlineLevel="0" collapsed="false">
      <c r="A4" s="4" t="s">
        <v>477</v>
      </c>
      <c r="B4" s="4" t="s">
        <v>478</v>
      </c>
      <c r="C4" s="4" t="s">
        <v>479</v>
      </c>
    </row>
    <row r="5" customFormat="false" ht="15" hidden="false" customHeight="false" outlineLevel="0" collapsed="false">
      <c r="A5" s="56" t="s">
        <v>5</v>
      </c>
      <c r="B5" s="30" t="s">
        <v>480</v>
      </c>
      <c r="C5" s="30" t="s">
        <v>481</v>
      </c>
    </row>
    <row r="6" customFormat="false" ht="15" hidden="false" customHeight="false" outlineLevel="0" collapsed="false">
      <c r="A6" s="56" t="s">
        <v>7</v>
      </c>
      <c r="B6" s="30" t="s">
        <v>482</v>
      </c>
      <c r="C6" s="30" t="s">
        <v>483</v>
      </c>
    </row>
    <row r="7" customFormat="false" ht="15" hidden="false" customHeight="false" outlineLevel="0" collapsed="false">
      <c r="A7" s="56" t="s">
        <v>9</v>
      </c>
      <c r="B7" s="30" t="s">
        <v>484</v>
      </c>
      <c r="C7" s="30" t="s">
        <v>485</v>
      </c>
    </row>
    <row r="9" customFormat="false" ht="15" hidden="false" customHeight="false" outlineLevel="0" collapsed="false">
      <c r="A9" s="18" t="s">
        <v>486</v>
      </c>
    </row>
    <row r="10" customFormat="false" ht="15" hidden="false" customHeight="false" outlineLevel="0" collapsed="false">
      <c r="A10" s="4" t="s">
        <v>477</v>
      </c>
      <c r="B10" s="4" t="s">
        <v>478</v>
      </c>
      <c r="C10" s="4" t="s">
        <v>479</v>
      </c>
    </row>
    <row r="11" customFormat="false" ht="15" hidden="false" customHeight="false" outlineLevel="0" collapsed="false">
      <c r="A11" s="56" t="s">
        <v>29</v>
      </c>
      <c r="B11" s="30" t="s">
        <v>407</v>
      </c>
      <c r="C11" s="30" t="s">
        <v>487</v>
      </c>
    </row>
    <row r="12" customFormat="false" ht="15" hidden="false" customHeight="false" outlineLevel="0" collapsed="false">
      <c r="A12" s="56" t="s">
        <v>32</v>
      </c>
      <c r="B12" s="30" t="s">
        <v>415</v>
      </c>
      <c r="C12" s="30" t="s">
        <v>487</v>
      </c>
    </row>
    <row r="13" customFormat="false" ht="15" hidden="false" customHeight="false" outlineLevel="0" collapsed="false">
      <c r="A13" s="56" t="s">
        <v>35</v>
      </c>
      <c r="B13" s="30" t="s">
        <v>417</v>
      </c>
      <c r="C13" s="30" t="s">
        <v>487</v>
      </c>
    </row>
    <row r="14" customFormat="false" ht="15" hidden="false" customHeight="false" outlineLevel="0" collapsed="false">
      <c r="A14" s="56" t="s">
        <v>37</v>
      </c>
      <c r="B14" s="30" t="s">
        <v>423</v>
      </c>
      <c r="C14" s="30" t="s">
        <v>488</v>
      </c>
    </row>
    <row r="15" customFormat="false" ht="15" hidden="false" customHeight="false" outlineLevel="0" collapsed="false">
      <c r="A15" s="56" t="s">
        <v>46</v>
      </c>
      <c r="B15" s="30" t="s">
        <v>429</v>
      </c>
      <c r="C15" s="30" t="s">
        <v>489</v>
      </c>
    </row>
    <row r="16" customFormat="false" ht="15" hidden="false" customHeight="false" outlineLevel="0" collapsed="false">
      <c r="A16" s="56" t="s">
        <v>55</v>
      </c>
      <c r="B16" s="30" t="s">
        <v>431</v>
      </c>
      <c r="C16" s="30" t="s">
        <v>490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2026-09-07T13:04:13Z</dcterms:created>
  <dc:creator>openpyxl</dc:creator>
  <dc:description/>
  <dc:language>en-US</dc:language>
  <cp:lastModifiedBy/>
  <dcterms:modified xsi:type="dcterms:W3CDTF">2026-09-07T13:04:13Z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