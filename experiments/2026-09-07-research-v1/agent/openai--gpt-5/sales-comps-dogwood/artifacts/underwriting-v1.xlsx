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506f89d1e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88e2488bc9de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b1964fdba4f8f" /><Relationship Type="http://schemas.openxmlformats.org/officeDocument/2006/relationships/theme" Target="/xl/theme/theme1.xml" Id="Ra1e1544592a54231" /><Relationship Type="http://schemas.openxmlformats.org/officeDocument/2006/relationships/sharedStrings" Target="/xl/sharedStrings.xml" Id="R0a0ff5ee177a49ec" /><Relationship Type="http://schemas.openxmlformats.org/officeDocument/2006/relationships/worksheet" Target="/xl/worksheets/sheet1.xml" Id="R88e2488bc9de4e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8" hidden="0" customWidth="1"/>
    <x:col min="5" max="5" width="20" hidden="0" customWidth="1"/>
    <x:col min="6" max="6" width="16" hidden="0" customWidth="1"/>
    <x:col min="7" max="7" width="14" hidden="0" customWidth="1"/>
    <x:col min="8" max="8" width="34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event_date</x:v>
      </x:c>
      <x:c r="D1" s="3" t="str">
        <x:v>consideration_usd</x:v>
      </x:c>
      <x:c r="E1" s="3" t="str">
        <x:v>property_size (units)</x:v>
      </x:c>
      <x:c r="F1" s="3" t="str">
        <x:v>price_per_unit</x:v>
      </x:c>
      <x:c r="G1" s="3" t="str">
        <x:v>distance_miles</x:v>
      </x:c>
      <x:c r="H1" s="3" t="str">
        <x:v>source_ids (citations)</x:v>
      </x:c>
    </x:row>
    <x:row r="2" ht="36" customHeight="1">
      <x:c r="A2" s="1" t="str">
        <x:v>R5709</x:v>
      </x:c>
      <x:c r="B2" s="1" t="str">
        <x:v>DOGWOOD-SAL-78916</x:v>
      </x:c>
      <x:c r="C2" s="1" t="str">
        <x:v>2026-02-05</x:v>
      </x:c>
      <x:c r="D2" s="4" t="n">
        <x:v>28000000</x:v>
      </x:c>
      <x:c r="E2" s="1" t="n">
        <x:v>96</x:v>
      </x:c>
      <x:c r="F2" s="6" t="n">
        <x:f>D2/E2</x:f>
        <x:v>291666.6666666667</x:v>
      </x:c>
      <x:c r="G2" s="1" t="n">
        <x:v>0.8</x:v>
      </x:c>
      <x:c r="H2" s="8" t="str">
        <x:v>S-R5709</x:v>
      </x:c>
    </x:row>
    <x:row r="3" ht="36" customHeight="1">
      <x:c r="A3" s="1" t="str">
        <x:v>R1935</x:v>
      </x:c>
      <x:c r="B3" s="1" t="str">
        <x:v>DOGWOOD-SAL-66133</x:v>
      </x:c>
      <x:c r="C3" s="1" t="str">
        <x:v>2026-03-06</x:v>
      </x:c>
      <x:c r="D3" s="4" t="n">
        <x:v>32550000</x:v>
      </x:c>
      <x:c r="E3" s="1" t="n">
        <x:v>103</x:v>
      </x:c>
      <x:c r="F3" s="6" t="n">
        <x:f>D3/E3</x:f>
        <x:v>316019.41747572814</x:v>
      </x:c>
      <x:c r="G3" s="1" t="n">
        <x:v>1.03</x:v>
      </x:c>
      <x:c r="H3" s="8" t="str">
        <x:v>S-R1935;U-R1935-1</x:v>
      </x:c>
    </x:row>
    <x:row r="4" ht="36" customHeight="1">
      <x:c r="A4" s="1" t="str">
        <x:v>R8685</x:v>
      </x:c>
      <x:c r="B4" s="1" t="str">
        <x:v>DOGWOOD-SAL-12100</x:v>
      </x:c>
      <x:c r="C4" s="1" t="str">
        <x:v>2026-04-07</x:v>
      </x:c>
      <x:c r="D4" s="4" t="n">
        <x:v>32200000</x:v>
      </x:c>
      <x:c r="E4" s="1" t="n">
        <x:v>110</x:v>
      </x:c>
      <x:c r="F4" s="6" t="n">
        <x:f>D4/E4</x:f>
        <x:v>292727.2727272727</x:v>
      </x:c>
      <x:c r="G4" s="1" t="n">
        <x:v>1.26</x:v>
      </x:c>
      <x:c r="H4" s="8" t="str">
        <x:v>S-R8685</x:v>
      </x:c>
    </x:row>
    <x:row r="5" ht="36" customHeight="1">
      <x:c r="A5" s="1" t="str">
        <x:v>R1029</x:v>
      </x:c>
      <x:c r="B5" s="1" t="str">
        <x:v>DOGWOOD-SAL-64711</x:v>
      </x:c>
      <x:c r="C5" s="1" t="str">
        <x:v>2026-05-08</x:v>
      </x:c>
      <x:c r="D5" s="4" t="n">
        <x:v>34300000</x:v>
      </x:c>
      <x:c r="E5" s="1" t="n">
        <x:v>118</x:v>
      </x:c>
      <x:c r="F5" s="6" t="n">
        <x:f>D5/E5</x:f>
        <x:v>290677.9661016949</x:v>
      </x:c>
      <x:c r="G5" s="1" t="n">
        <x:v>1.49</x:v>
      </x:c>
      <x:c r="H5" s="8" t="str">
        <x:v>S-R1029</x:v>
      </x:c>
    </x:row>
    <x:row r="6" ht="36" customHeight="1">
      <x:c r="A6" s="1" t="str">
        <x:v>R4639</x:v>
      </x:c>
      <x:c r="B6" s="1" t="str">
        <x:v>DOGWOOD-SAL-75833</x:v>
      </x:c>
      <x:c r="C6" s="1" t="str">
        <x:v>2026-06-09</x:v>
      </x:c>
      <x:c r="D6" s="4" t="n">
        <x:v>36400000</x:v>
      </x:c>
      <x:c r="E6" s="1" t="n">
        <x:v>125</x:v>
      </x:c>
      <x:c r="F6" s="6" t="n">
        <x:f>D6/E6</x:f>
        <x:v>291200</x:v>
      </x:c>
      <x:c r="G6" s="1" t="n">
        <x:v>1.72</x:v>
      </x:c>
      <x:c r="H6" s="8" t="str">
        <x:v>S-R4639</x:v>
      </x:c>
    </x:row>
  </x:sheetData>
  <x:pageMargins left="0.7" right="0.7" top="0.75" bottom="0.75" header="0.3" footer="0.3"/>
</x:worksheet>
</file>