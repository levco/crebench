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4c5a71184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55de4f4f17c8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5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fe230cfc24a7e" /><Relationship Type="http://schemas.openxmlformats.org/officeDocument/2006/relationships/theme" Target="/xl/theme/theme1.xml" Id="R297db4ee7aeb466e" /><Relationship Type="http://schemas.openxmlformats.org/officeDocument/2006/relationships/sharedStrings" Target="/xl/sharedStrings.xml" Id="R8d47efe696574b6c" /><Relationship Type="http://schemas.openxmlformats.org/officeDocument/2006/relationships/worksheet" Target="/xl/worksheets/sheet1.xml" Id="R55de4f4f17c84e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2" hidden="0" customWidth="1"/>
    <x:col min="5" max="5" width="10" hidden="0" customWidth="1"/>
    <x:col min="6" max="6" width="9" hidden="0" customWidth="1"/>
    <x:col min="7" max="7" width="10" hidden="0" customWidth="1"/>
    <x:col min="8" max="8" width="16" hidden="0" customWidth="1"/>
    <x:col min="9" max="9" width="12" hidden="0" customWidth="1"/>
    <x:col min="10" max="10" width="11" hidden="0" customWidth="1"/>
    <x:col min="11" max="11" width="11" hidden="0" customWidth="1"/>
    <x:col min="12" max="12" width="9" hidden="0" customWidth="1"/>
    <x:col min="13" max="13" width="9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14" hidden="0" customWidth="1"/>
    <x:col min="19" max="19" width="28" hidden="0" customWidth="1"/>
  </x:cols>
  <x:sheetData>
    <x:row r="1" ht="27" customHeight="1">
      <x:c r="A1" s="2" t="str">
        <x:v>Rent Comps - Alder / Multifamily / Charlotte</x:v>
      </x:c>
    </x:row>
    <x:row r="2" ht="36" customHeight="1">
      <x:c r="A2" s="4" t="str">
        <x:v>As of 2026-08-31. Executed leases 2025-09-01 to 2026-08-31, within 8 miles. Client convention: annualized face rent, escalation at months 13/25/etc., no face rent during free months, gross expense deduction every month, TI subtracted once, undiscounted.</x:v>
      </x:c>
    </x:row>
    <x:row r="3" ht="25" customHeight="1">
      <x:c r="A3" s="6" t="str">
        <x:v>record_id</x:v>
      </x:c>
      <x:c r="B3" s="6" t="str">
        <x:v>entity_id</x:v>
      </x:c>
      <x:c r="C3" s="6" t="str">
        <x:v>name</x:v>
      </x:c>
      <x:c r="D3" s="6" t="str">
        <x:v>event_date</x:v>
      </x:c>
      <x:c r="E3" s="6" t="str">
        <x:v>distance_miles</x:v>
      </x:c>
      <x:c r="F3" s="6" t="str">
        <x:v>term_months</x:v>
      </x:c>
      <x:c r="G3" s="6" t="str">
        <x:v>rent_quote</x:v>
      </x:c>
      <x:c r="H3" s="6" t="str">
        <x:v>rent_quote_unit</x:v>
      </x:c>
      <x:c r="I3" s="6" t="str">
        <x:v>annual_face_rent_psf</x:v>
      </x:c>
      <x:c r="J3" s="6" t="str">
        <x:v>expense_basis</x:v>
      </x:c>
      <x:c r="K3" s="6" t="str">
        <x:v>annual_expenses_psf</x:v>
      </x:c>
      <x:c r="L3" s="6" t="str">
        <x:v>free_months</x:v>
      </x:c>
      <x:c r="M3" s="6" t="str">
        <x:v>ti_allowance_psf</x:v>
      </x:c>
      <x:c r="N3" s="6" t="str">
        <x:v>annual_increase_pct</x:v>
      </x:c>
      <x:c r="O3" s="6" t="str">
        <x:v>face_total_psf_over_term</x:v>
      </x:c>
      <x:c r="P3" s="6" t="str">
        <x:v>expense_deduction_psf</x:v>
      </x:c>
      <x:c r="Q3" s="6" t="str">
        <x:v>net_total_psf</x:v>
      </x:c>
      <x:c r="R3" s="6" t="str">
        <x:v>effective_net_rent_psf_year</x:v>
      </x:c>
      <x:c r="S3" s="6" t="str">
        <x:v>source_ids</x:v>
      </x:c>
    </x:row>
    <x:row r="4" ht="22" customHeight="1">
      <x:c r="A4" s="1" t="str">
        <x:v>R1298</x:v>
      </x:c>
      <x:c r="B4" s="1" t="str">
        <x:v>ALDER-REN-19075</x:v>
      </x:c>
      <x:c r="C4" s="1" t="str">
        <x:v>Alder Park 1</x:v>
      </x:c>
      <x:c r="D4" s="1" t="str">
        <x:v>2026-02-05</x:v>
      </x:c>
      <x:c r="E4" s="7" t="n">
        <x:v>0.8</x:v>
      </x:c>
      <x:c r="F4" s="7" t="n">
        <x:v>36</x:v>
      </x:c>
      <x:c r="G4" s="7" t="n">
        <x:v>21</x:v>
      </x:c>
      <x:c r="H4" s="1" t="str">
        <x:v>USD_per_sf_year</x:v>
      </x:c>
      <x:c r="I4" s="8" t="n">
        <x:f>G4</x:f>
        <x:v>21</x:v>
      </x:c>
      <x:c r="J4" s="1" t="str">
        <x:v>gross</x:v>
      </x:c>
      <x:c r="K4" s="7" t="n">
        <x:v>6.25</x:v>
      </x:c>
      <x:c r="L4" s="7" t="n">
        <x:v>0</x:v>
      </x:c>
      <x:c r="M4" s="7" t="n">
        <x:v>12</x:v>
      </x:c>
      <x:c r="N4" s="9" t="n">
        <x:v>0.025</x:v>
      </x:c>
      <x:c r="O4" s="8" t="n">
        <x:f>I4*(12-L4)/12+I4*((1+N4)+(1+N4)^2)</x:f>
        <x:v>64.58812499999999</x:v>
      </x:c>
      <x:c r="P4" s="8" t="n">
        <x:f>IF(J4="gross",K4*F4/12,0)</x:f>
        <x:v>18.75</x:v>
      </x:c>
      <x:c r="Q4" s="8" t="n">
        <x:f>O4-P4-M4</x:f>
        <x:v>33.83812499999999</x:v>
      </x:c>
      <x:c r="R4" s="11" t="n">
        <x:f>Q4/F4*12</x:f>
        <x:v>11.279374999999998</x:v>
      </x:c>
      <x:c r="S4" s="1" t="str">
        <x:v>S-R1298</x:v>
      </x:c>
    </x:row>
    <x:row r="5" ht="22" customHeight="1">
      <x:c r="A5" s="1" t="str">
        <x:v>R9957</x:v>
      </x:c>
      <x:c r="B5" s="1" t="str">
        <x:v>ALDER-REN-19383</x:v>
      </x:c>
      <x:c r="C5" s="1" t="str">
        <x:v>Alder Crossing 2</x:v>
      </x:c>
      <x:c r="D5" s="1" t="str">
        <x:v>2026-03-06</x:v>
      </x:c>
      <x:c r="E5" s="7" t="n">
        <x:v>1.03</x:v>
      </x:c>
      <x:c r="F5" s="7" t="n">
        <x:v>48</x:v>
      </x:c>
      <x:c r="G5" s="7" t="n">
        <x:v>1.87</x:v>
      </x:c>
      <x:c r="H5" s="1" t="str">
        <x:v>USD_per_sf_month</x:v>
      </x:c>
      <x:c r="I5" s="8" t="n">
        <x:f>G5*12</x:f>
        <x:v>22.44</x:v>
      </x:c>
      <x:c r="J5" s="1" t="str">
        <x:v>NNN</x:v>
      </x:c>
      <x:c r="K5" s="1"/>
      <x:c r="L5" s="7" t="n">
        <x:v>4</x:v>
      </x:c>
      <x:c r="M5" s="7" t="n">
        <x:v>18</x:v>
      </x:c>
      <x:c r="N5" s="9" t="n">
        <x:v>0.025</x:v>
      </x:c>
      <x:c r="O5" s="8" t="n">
        <x:f>I5*(12-L5)/12+I5*((1+N5)+(1+N5)^2+(1+N5)^3)</x:f>
        <x:v>85.70245062499998</x:v>
      </x:c>
      <x:c r="P5" s="8" t="n">
        <x:f>IF(J5="gross",K5*F5/12,0)</x:f>
        <x:v>0</x:v>
      </x:c>
      <x:c r="Q5" s="8" t="n">
        <x:f>O5-P5-M5</x:f>
        <x:v>67.70245062499998</x:v>
      </x:c>
      <x:c r="R5" s="11" t="n">
        <x:f>Q5/F5*12</x:f>
        <x:v>16.925612656249996</x:v>
      </x:c>
      <x:c r="S5" s="1" t="str">
        <x:v>S-R9957; U-R9957-1</x:v>
      </x:c>
    </x:row>
    <x:row r="6" ht="22" customHeight="1">
      <x:c r="A6" s="1" t="str">
        <x:v>R2302</x:v>
      </x:c>
      <x:c r="B6" s="1" t="str">
        <x:v>ALDER-REN-80164</x:v>
      </x:c>
      <x:c r="C6" s="1" t="str">
        <x:v>Alder Grove 3</x:v>
      </x:c>
      <x:c r="D6" s="1" t="str">
        <x:v>2026-04-07</x:v>
      </x:c>
      <x:c r="E6" s="7" t="n">
        <x:v>1.26</x:v>
      </x:c>
      <x:c r="F6" s="7" t="n">
        <x:v>60</x:v>
      </x:c>
      <x:c r="G6" s="7" t="n">
        <x:v>22.6</x:v>
      </x:c>
      <x:c r="H6" s="1" t="str">
        <x:v>USD_per_sf_year</x:v>
      </x:c>
      <x:c r="I6" s="8" t="n">
        <x:f>G6</x:f>
        <x:v>22.6</x:v>
      </x:c>
      <x:c r="J6" s="1" t="str">
        <x:v>NNN</x:v>
      </x:c>
      <x:c r="K6" s="1"/>
      <x:c r="L6" s="7" t="n">
        <x:v>2</x:v>
      </x:c>
      <x:c r="M6" s="7" t="n">
        <x:v>18</x:v>
      </x:c>
      <x:c r="N6" s="9" t="n">
        <x:v>0.025</x:v>
      </x:c>
      <x:c r="O6" s="8" t="n">
        <x:f>I6*(12-L6)/12+I6*((1+N6)+(1+N6)^2+(1+N6)^3+(1+N6)^4)</x:f>
        <x:v>115.0263577864583</x:v>
      </x:c>
      <x:c r="P6" s="8" t="n">
        <x:f>IF(J6="gross",K6*F6/12,0)</x:f>
        <x:v>0</x:v>
      </x:c>
      <x:c r="Q6" s="8" t="n">
        <x:f>O6-P6-M6</x:f>
        <x:v>97.0263577864583</x:v>
      </x:c>
      <x:c r="R6" s="11" t="n">
        <x:f>Q6/F6*12</x:f>
        <x:v>19.40527155729166</x:v>
      </x:c>
      <x:c r="S6" s="1" t="str">
        <x:v>S-R2302 (U-R2302-2 excluded: effective after cutoff)</x:v>
      </x:c>
    </x:row>
    <x:row r="7" ht="22" customHeight="1">
      <x:c r="A7" s="1" t="str">
        <x:v>R6740</x:v>
      </x:c>
      <x:c r="B7" s="1" t="str">
        <x:v>ALDER-REN-24854</x:v>
      </x:c>
      <x:c r="C7" s="1" t="str">
        <x:v>Alder Point 4</x:v>
      </x:c>
      <x:c r="D7" s="1" t="str">
        <x:v>2026-05-08</x:v>
      </x:c>
      <x:c r="E7" s="7" t="n">
        <x:v>1.49</x:v>
      </x:c>
      <x:c r="F7" s="7" t="n">
        <x:v>36</x:v>
      </x:c>
      <x:c r="G7" s="7" t="n">
        <x:v>2.01</x:v>
      </x:c>
      <x:c r="H7" s="1" t="str">
        <x:v>USD_per_sf_month</x:v>
      </x:c>
      <x:c r="I7" s="8" t="n">
        <x:f>G7*12</x:f>
        <x:v>24.119999999999997</x:v>
      </x:c>
      <x:c r="J7" s="1" t="str">
        <x:v>gross</x:v>
      </x:c>
      <x:c r="K7" s="7" t="n">
        <x:v>6.25</x:v>
      </x:c>
      <x:c r="L7" s="7" t="n">
        <x:v>3</x:v>
      </x:c>
      <x:c r="M7" s="7" t="n">
        <x:v>21</x:v>
      </x:c>
      <x:c r="N7" s="9" t="n">
        <x:v>0.025</x:v>
      </x:c>
      <x:c r="O7" s="8" t="n">
        <x:f>I7*(12-L7)/12+I7*((1+N7)+(1+N7)^2)</x:f>
        <x:v>68.15407499999999</x:v>
      </x:c>
      <x:c r="P7" s="8" t="n">
        <x:f>IF(J7="gross",K7*F7/12,0)</x:f>
        <x:v>18.75</x:v>
      </x:c>
      <x:c r="Q7" s="8" t="n">
        <x:f>O7-P7-M7</x:f>
        <x:v>28.40407499999999</x:v>
      </x:c>
      <x:c r="R7" s="11" t="n">
        <x:f>Q7/F7*12</x:f>
        <x:v>9.468024999999997</x:v>
      </x:c>
      <x:c r="S7" s="1" t="str">
        <x:v>S-R6740 (U-R6740-3 excluded: unsigned draft)</x:v>
      </x:c>
    </x:row>
    <x:row r="8" ht="22" customHeight="1">
      <x:c r="A8" s="1" t="str">
        <x:v>R6049</x:v>
      </x:c>
      <x:c r="B8" s="1" t="str">
        <x:v>ALDER-REN-90122</x:v>
      </x:c>
      <x:c r="C8" s="1" t="str">
        <x:v>Alder Park 5</x:v>
      </x:c>
      <x:c r="D8" s="1" t="str">
        <x:v>2026-06-09</x:v>
      </x:c>
      <x:c r="E8" s="7" t="n">
        <x:v>1.72</x:v>
      </x:c>
      <x:c r="F8" s="7" t="n">
        <x:v>48</x:v>
      </x:c>
      <x:c r="G8" s="7" t="n">
        <x:v>24.2</x:v>
      </x:c>
      <x:c r="H8" s="1" t="str">
        <x:v>USD_per_sf_year</x:v>
      </x:c>
      <x:c r="I8" s="8" t="n">
        <x:f>G8</x:f>
        <x:v>24.2</x:v>
      </x:c>
      <x:c r="J8" s="1" t="str">
        <x:v>NNN</x:v>
      </x:c>
      <x:c r="K8" s="1"/>
      <x:c r="L8" s="7" t="n">
        <x:v>0</x:v>
      </x:c>
      <x:c r="M8" s="7" t="n">
        <x:v>12</x:v>
      </x:c>
      <x:c r="N8" s="9" t="n">
        <x:v>0.025</x:v>
      </x:c>
      <x:c r="O8" s="8" t="n">
        <x:f>I8*(12-L8)/12+I8*((1+N8)+(1+N8)^2+(1+N8)^3)</x:f>
        <x:v>100.490878125</x:v>
      </x:c>
      <x:c r="P8" s="8" t="n">
        <x:f>IF(J8="gross",K8*F8/12,0)</x:f>
        <x:v>0</x:v>
      </x:c>
      <x:c r="Q8" s="8" t="n">
        <x:f>O8-P8-M8</x:f>
        <x:v>88.490878125</x:v>
      </x:c>
      <x:c r="R8" s="11" t="n">
        <x:f>Q8/F8*12</x:f>
        <x:v>22.12271953125</x:v>
      </x:c>
      <x:c r="S8" s="1" t="str">
        <x:v>S-R6049</x:v>
      </x:c>
    </x:row>
    <x:row r="10" ht="22" customHeight="1">
      <x:c r="A10" s="1" t="str">
        <x:v>Average effective net rent psf/yr (shortlist)</x:v>
      </x:c>
      <x:c r="R10" s="11" t="n">
        <x:f>AVERAGE(R4:R8)</x:f>
        <x:v>15.84020074895833</x:v>
      </x:c>
    </x:row>
    <x:row r="11" ht="36" customHeight="1">
      <x:c r="A11" s="4" t="str">
        <x:v>Ranked by distance ascending, then latest lease date. R1927 is a duplicate of entity ALDER-REN-19075 (shown once via R1298). Blank annual_expenses_psf = unknown (NNN deduction is zero).</x:v>
      </x:c>
    </x:row>
  </x:sheetData>
  <x:pageMargins left="0.7" right="0.7" top="0.75" bottom="0.75" header="0.3" footer="0.3"/>
</x:worksheet>
</file>