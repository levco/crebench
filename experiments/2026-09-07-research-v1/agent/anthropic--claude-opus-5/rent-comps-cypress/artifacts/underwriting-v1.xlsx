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19f7cd57d847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 Grid" sheetId="1" r:id="R125f429c146b49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%"/>
  </x:numFmts>
  <x:fonts count="7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9"/>
      <x:color rgb="FF526258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17171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0" fontId="1" fillId="0" borderId="0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ad6d5f577645f8" /><Relationship Type="http://schemas.openxmlformats.org/officeDocument/2006/relationships/theme" Target="/xl/theme/theme1.xml" Id="R0c57f543237d4cf1" /><Relationship Type="http://schemas.openxmlformats.org/officeDocument/2006/relationships/sharedStrings" Target="/xl/sharedStrings.xml" Id="R8f00f65db9af4efb" /><Relationship Type="http://schemas.openxmlformats.org/officeDocument/2006/relationships/worksheet" Target="/xl/worksheets/sheet1.xml" Id="R125f429c146b49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0" hidden="0" customWidth="1"/>
    <x:col min="3" max="3" width="12" hidden="0" customWidth="1"/>
    <x:col min="4" max="4" width="9" hidden="0" customWidth="1"/>
    <x:col min="5" max="5" width="8" hidden="0" customWidth="1"/>
    <x:col min="6" max="6" width="11" hidden="0" customWidth="1"/>
    <x:col min="7" max="7" width="9" hidden="0" customWidth="1"/>
    <x:col min="8" max="8" width="7" hidden="0" customWidth="1"/>
    <x:col min="9" max="9" width="9" hidden="0" customWidth="1"/>
    <x:col min="10" max="10" width="11" hidden="0" customWidth="1"/>
    <x:col min="11" max="11" width="9" hidden="0" customWidth="1"/>
    <x:col min="12" max="12" width="12" hidden="0" customWidth="1"/>
    <x:col min="13" max="13" width="11" hidden="0" customWidth="1"/>
    <x:col min="14" max="14" width="12" hidden="0" customWidth="1"/>
    <x:col min="15" max="15" width="9" hidden="0" customWidth="1"/>
    <x:col min="16" max="16" width="12" hidden="0" customWidth="1"/>
    <x:col min="17" max="17" width="14" hidden="0" customWidth="1"/>
    <x:col min="18" max="18" width="26" hidden="0" customWidth="1"/>
  </x:cols>
  <x:sheetData>
    <x:row r="1" ht="27" customHeight="1">
      <x:c r="A1" s="2" t="str">
        <x:v>Rent Comps - Cypress / Industrial / Columbus</x:v>
      </x:c>
    </x:row>
    <x:row r="2" ht="36" customHeight="1">
      <x:c r="A2" s="4" t="str">
        <x:v>Executed leases 2025-09-01 to 2026-08-31, within 8 miles; ranked by distance ascending then latest lease date. Undiscounted rent-only client convention (escalations at months 13/25/37/49, free rent, gross expense deduction every month, TI once).</x:v>
      </x:c>
    </x:row>
    <x:row r="3" ht="36" customHeight="1">
      <x:c r="A3" s="4" t="str">
        <x:v>As-of date 2026-08-31. Nulls shown as 'null' (unknown, not zero). Rents in USD per sf per year.</x:v>
      </x:c>
    </x:row>
    <x:row r="4" ht="25" customHeight="1">
      <x:c r="A4" s="6" t="str">
        <x:v>record_id</x:v>
      </x:c>
      <x:c r="B4" s="6" t="str">
        <x:v>entity_id</x:v>
      </x:c>
      <x:c r="C4" s="6" t="str">
        <x:v>event_date</x:v>
      </x:c>
      <x:c r="D4" s="6" t="str">
        <x:v>distance_miles</x:v>
      </x:c>
      <x:c r="E4" s="6" t="str">
        <x:v>term_months</x:v>
      </x:c>
      <x:c r="F4" s="6" t="str">
        <x:v>annual_face_rent_psf</x:v>
      </x:c>
      <x:c r="G4" s="6" t="str">
        <x:v>annual_increase_pct</x:v>
      </x:c>
      <x:c r="H4" s="6" t="str">
        <x:v>free_months</x:v>
      </x:c>
      <x:c r="I4" s="6" t="str">
        <x:v>expense_basis</x:v>
      </x:c>
      <x:c r="J4" s="6" t="str">
        <x:v>annual_expenses_psf</x:v>
      </x:c>
      <x:c r="K4" s="6" t="str">
        <x:v>ti_allowance_psf</x:v>
      </x:c>
      <x:c r="L4" s="7" t="str">
        <x:v>face rent total over term ($/sf)</x:v>
      </x:c>
      <x:c r="M4" s="7" t="str">
        <x:v>free rent deduction ($/sf)</x:v>
      </x:c>
      <x:c r="N4" s="7" t="str">
        <x:v>expense deduction ($/sf)</x:v>
      </x:c>
      <x:c r="O4" s="7" t="str">
        <x:v>TI deduction ($/sf)</x:v>
      </x:c>
      <x:c r="P4" s="7" t="str">
        <x:v>net total ($/sf)</x:v>
      </x:c>
      <x:c r="Q4" s="7" t="str">
        <x:v>effective_net_rent_psf_year</x:v>
      </x:c>
      <x:c r="R4" s="6" t="str">
        <x:v>source_ids</x:v>
      </x:c>
    </x:row>
    <x:row r="5" ht="22" customHeight="1">
      <x:c r="A5" s="1" t="str">
        <x:v>R2732</x:v>
      </x:c>
      <x:c r="B5" s="1" t="str">
        <x:v>CYPRESS-REN-54094</x:v>
      </x:c>
      <x:c r="C5" s="1" t="str">
        <x:v>2026-02-05</x:v>
      </x:c>
      <x:c r="D5" s="9" t="n">
        <x:v>0.8</x:v>
      </x:c>
      <x:c r="E5" s="8" t="n">
        <x:v>36</x:v>
      </x:c>
      <x:c r="F5" s="9" t="n">
        <x:v>21</x:v>
      </x:c>
      <x:c r="G5" s="10" t="n">
        <x:v>0.025</x:v>
      </x:c>
      <x:c r="H5" s="8" t="n">
        <x:v>0</x:v>
      </x:c>
      <x:c r="I5" s="8" t="str">
        <x:v>gross</x:v>
      </x:c>
      <x:c r="J5" s="9" t="n">
        <x:v>6.25</x:v>
      </x:c>
      <x:c r="K5" s="9" t="n">
        <x:v>12</x:v>
      </x:c>
      <x:c r="L5" s="11" t="n">
        <x:f>F5*IF(E5=36,1+(1+G5)+(1+G5)^2,IF(E5=48,1+(1+G5)+(1+G5)^2+(1+G5)^3,1+(1+G5)+(1+G5)^2+(1+G5)^3+(1+G5)^4))</x:f>
        <x:v>64.58812499999999</x:v>
      </x:c>
      <x:c r="M5" s="11" t="n">
        <x:f>H5*F5/12</x:f>
        <x:v>0</x:v>
      </x:c>
      <x:c r="N5" s="11" t="n">
        <x:f>IF(I5="gross",J5/12*E5,0)</x:f>
        <x:v>18.75</x:v>
      </x:c>
      <x:c r="O5" s="11" t="n">
        <x:f>K5</x:f>
        <x:v>12</x:v>
      </x:c>
      <x:c r="P5" s="11" t="n">
        <x:f>L5-M5-N5-O5</x:f>
        <x:v>33.83812499999999</x:v>
      </x:c>
      <x:c r="Q5" s="13" t="n">
        <x:f>P5/E5*12</x:f>
        <x:v>11.279374999999998</x:v>
      </x:c>
      <x:c r="R5" s="1" t="str">
        <x:v>S-R2732 (dup of S-R5958)</x:v>
      </x:c>
    </x:row>
    <x:row r="6" ht="22" customHeight="1">
      <x:c r="A6" s="1" t="str">
        <x:v>R7377</x:v>
      </x:c>
      <x:c r="B6" s="1" t="str">
        <x:v>CYPRESS-REN-75613</x:v>
      </x:c>
      <x:c r="C6" s="1" t="str">
        <x:v>2026-03-06</x:v>
      </x:c>
      <x:c r="D6" s="9" t="n">
        <x:v>1.03</x:v>
      </x:c>
      <x:c r="E6" s="8" t="n">
        <x:v>48</x:v>
      </x:c>
      <x:c r="F6" s="9" t="n">
        <x:v>22.44</x:v>
      </x:c>
      <x:c r="G6" s="10" t="n">
        <x:v>0.025</x:v>
      </x:c>
      <x:c r="H6" s="8" t="n">
        <x:v>4</x:v>
      </x:c>
      <x:c r="I6" s="8" t="str">
        <x:v>NNN</x:v>
      </x:c>
      <x:c r="J6" s="8" t="str">
        <x:v>null</x:v>
      </x:c>
      <x:c r="K6" s="9" t="n">
        <x:v>18</x:v>
      </x:c>
      <x:c r="L6" s="11" t="n">
        <x:f>F6*IF(E6=36,1+(1+G6)+(1+G6)^2,IF(E6=48,1+(1+G6)+(1+G6)^2+(1+G6)^3,1+(1+G6)+(1+G6)^2+(1+G6)^3+(1+G6)^4))</x:f>
        <x:v>93.18245062499999</x:v>
      </x:c>
      <x:c r="M6" s="11" t="n">
        <x:f>H6*F6/12</x:f>
        <x:v>7.48</x:v>
      </x:c>
      <x:c r="N6" s="11" t="n">
        <x:f>IF(I6="gross",J6/12*E6,0)</x:f>
        <x:v>0</x:v>
      </x:c>
      <x:c r="O6" s="11" t="n">
        <x:f>K6</x:f>
        <x:v>18</x:v>
      </x:c>
      <x:c r="P6" s="11" t="n">
        <x:f>L6-M6-N6-O6</x:f>
        <x:v>67.70245062499998</x:v>
      </x:c>
      <x:c r="Q6" s="13" t="n">
        <x:f>P6/E6*12</x:f>
        <x:v>16.925612656249996</x:v>
      </x:c>
      <x:c r="R6" s="1" t="str">
        <x:v>S-R7377; U-R7377-1</x:v>
      </x:c>
    </x:row>
    <x:row r="7" ht="22" customHeight="1">
      <x:c r="A7" s="1" t="str">
        <x:v>R7850</x:v>
      </x:c>
      <x:c r="B7" s="1" t="str">
        <x:v>CYPRESS-REN-73837</x:v>
      </x:c>
      <x:c r="C7" s="1" t="str">
        <x:v>2026-04-07</x:v>
      </x:c>
      <x:c r="D7" s="9" t="n">
        <x:v>1.26</x:v>
      </x:c>
      <x:c r="E7" s="8" t="n">
        <x:v>60</x:v>
      </x:c>
      <x:c r="F7" s="9" t="n">
        <x:v>22.6</x:v>
      </x:c>
      <x:c r="G7" s="10" t="n">
        <x:v>0.025</x:v>
      </x:c>
      <x:c r="H7" s="8" t="n">
        <x:v>2</x:v>
      </x:c>
      <x:c r="I7" s="8" t="str">
        <x:v>NNN</x:v>
      </x:c>
      <x:c r="J7" s="8" t="str">
        <x:v>null</x:v>
      </x:c>
      <x:c r="K7" s="9" t="n">
        <x:v>18</x:v>
      </x:c>
      <x:c r="L7" s="11" t="n">
        <x:f>F7*IF(E7=36,1+(1+G7)+(1+G7)^2,IF(E7=48,1+(1+G7)+(1+G7)^2+(1+G7)^3,1+(1+G7)+(1+G7)^2+(1+G7)^3+(1+G7)^4))</x:f>
        <x:v>118.79302445312497</x:v>
      </x:c>
      <x:c r="M7" s="11" t="n">
        <x:f>H7*F7/12</x:f>
        <x:v>3.766666666666667</x:v>
      </x:c>
      <x:c r="N7" s="11" t="n">
        <x:f>IF(I7="gross",J7/12*E7,0)</x:f>
        <x:v>0</x:v>
      </x:c>
      <x:c r="O7" s="11" t="n">
        <x:f>K7</x:f>
        <x:v>18</x:v>
      </x:c>
      <x:c r="P7" s="11" t="n">
        <x:f>L7-M7-N7-O7</x:f>
        <x:v>97.0263577864583</x:v>
      </x:c>
      <x:c r="Q7" s="13" t="n">
        <x:f>P7/E7*12</x:f>
        <x:v>19.40527155729166</x:v>
      </x:c>
      <x:c r="R7" s="1" t="str">
        <x:v>S-R7850 (U-R7850-2 excluded: post-cutoff)</x:v>
      </x:c>
    </x:row>
    <x:row r="8" ht="22" customHeight="1">
      <x:c r="A8" s="1" t="str">
        <x:v>R9286</x:v>
      </x:c>
      <x:c r="B8" s="1" t="str">
        <x:v>CYPRESS-REN-55027</x:v>
      </x:c>
      <x:c r="C8" s="1" t="str">
        <x:v>2026-05-08</x:v>
      </x:c>
      <x:c r="D8" s="9" t="n">
        <x:v>1.49</x:v>
      </x:c>
      <x:c r="E8" s="8" t="n">
        <x:v>36</x:v>
      </x:c>
      <x:c r="F8" s="9" t="n">
        <x:v>24.12</x:v>
      </x:c>
      <x:c r="G8" s="10" t="n">
        <x:v>0.025</x:v>
      </x:c>
      <x:c r="H8" s="8" t="n">
        <x:v>3</x:v>
      </x:c>
      <x:c r="I8" s="8" t="str">
        <x:v>gross</x:v>
      </x:c>
      <x:c r="J8" s="9" t="n">
        <x:v>6.25</x:v>
      </x:c>
      <x:c r="K8" s="9" t="n">
        <x:v>21</x:v>
      </x:c>
      <x:c r="L8" s="11" t="n">
        <x:f>F8*IF(E8=36,1+(1+G8)+(1+G8)^2,IF(E8=48,1+(1+G8)+(1+G8)^2+(1+G8)^3,1+(1+G8)+(1+G8)^2+(1+G8)^3+(1+G8)^4))</x:f>
        <x:v>74.18407499999999</x:v>
      </x:c>
      <x:c r="M8" s="11" t="n">
        <x:f>H8*F8/12</x:f>
        <x:v>6.03</x:v>
      </x:c>
      <x:c r="N8" s="11" t="n">
        <x:f>IF(I8="gross",J8/12*E8,0)</x:f>
        <x:v>18.75</x:v>
      </x:c>
      <x:c r="O8" s="11" t="n">
        <x:f>K8</x:f>
        <x:v>21</x:v>
      </x:c>
      <x:c r="P8" s="11" t="n">
        <x:f>L8-M8-N8-O8</x:f>
        <x:v>28.40407499999999</x:v>
      </x:c>
      <x:c r="Q8" s="13" t="n">
        <x:f>P8/E8*12</x:f>
        <x:v>9.468024999999997</x:v>
      </x:c>
      <x:c r="R8" s="1" t="str">
        <x:v>S-R9286 (U-R9286-3 excluded: unsigned draft)</x:v>
      </x:c>
    </x:row>
    <x:row r="9" ht="22" customHeight="1">
      <x:c r="A9" s="1" t="str">
        <x:v>R9636</x:v>
      </x:c>
      <x:c r="B9" s="1" t="str">
        <x:v>CYPRESS-REN-82731</x:v>
      </x:c>
      <x:c r="C9" s="1" t="str">
        <x:v>2026-06-09</x:v>
      </x:c>
      <x:c r="D9" s="9" t="n">
        <x:v>1.72</x:v>
      </x:c>
      <x:c r="E9" s="8" t="n">
        <x:v>48</x:v>
      </x:c>
      <x:c r="F9" s="9" t="n">
        <x:v>24.2</x:v>
      </x:c>
      <x:c r="G9" s="10" t="n">
        <x:v>0.025</x:v>
      </x:c>
      <x:c r="H9" s="8" t="n">
        <x:v>0</x:v>
      </x:c>
      <x:c r="I9" s="8" t="str">
        <x:v>NNN</x:v>
      </x:c>
      <x:c r="J9" s="8" t="str">
        <x:v>null</x:v>
      </x:c>
      <x:c r="K9" s="9" t="n">
        <x:v>12</x:v>
      </x:c>
      <x:c r="L9" s="11" t="n">
        <x:f>F9*IF(E9=36,1+(1+G9)+(1+G9)^2,IF(E9=48,1+(1+G9)+(1+G9)^2+(1+G9)^3,1+(1+G9)+(1+G9)^2+(1+G9)^3+(1+G9)^4))</x:f>
        <x:v>100.49087812499998</x:v>
      </x:c>
      <x:c r="M9" s="11" t="n">
        <x:f>H9*F9/12</x:f>
        <x:v>0</x:v>
      </x:c>
      <x:c r="N9" s="11" t="n">
        <x:f>IF(I9="gross",J9/12*E9,0)</x:f>
        <x:v>0</x:v>
      </x:c>
      <x:c r="O9" s="11" t="n">
        <x:f>K9</x:f>
        <x:v>12</x:v>
      </x:c>
      <x:c r="P9" s="11" t="n">
        <x:f>L9-M9-N9-O9</x:f>
        <x:v>88.49087812499998</x:v>
      </x:c>
      <x:c r="Q9" s="13" t="n">
        <x:f>P9/E9*12</x:f>
        <x:v>22.122719531249995</x:v>
      </x:c>
      <x:c r="R9" s="1" t="str">
        <x:v>S-R9636</x:v>
      </x:c>
    </x:row>
    <x:row r="11" ht="22" customHeight="1">
      <x:c r="A11" s="1" t="str">
        <x:v>Average effective net rent ($/sf/yr)</x:v>
      </x:c>
      <x:c r="Q11" s="13" t="n">
        <x:f>AVERAGE(Q5:Q9)</x:f>
        <x:v>15.84020074895833</x:v>
      </x:c>
    </x:row>
    <x:row r="12" ht="22" customHeight="1">
      <x:c r="A12" s="1" t="str">
        <x:v>Min / Max effective net rent</x:v>
      </x:c>
      <x:c r="P12" s="13" t="n">
        <x:f>MIN(Q5:Q9)</x:f>
        <x:v>9.468024999999997</x:v>
      </x:c>
      <x:c r="Q12" s="13" t="n">
        <x:f>MAX(Q5:Q9)</x:f>
        <x:v>22.122719531249995</x:v>
      </x:c>
    </x:row>
    <x:row r="14" ht="36" customHeight="1">
      <x:c r="A14" s="4" t="str">
        <x:v>Excluded (reasons): R5936 term null; R5587 TI null; R3881 asking; R8711 rent null; R2921 event 2024 (outside window); R5588 rent 0; R3746 published 2026-09-03 (post-cutoff); R1369 gross expenses null; R7843 free_months null; R3375 Office; R7637 unsigned proposal; R1207 18.6 mi; R5958 duplicate of R2732 (same entity CYPRESS-REN-54094). Beyond top five by distance: R1188 (1.95 mi), R2670 (2.18 mi).</x:v>
      </x:c>
    </x:row>
  </x:sheetData>
  <x:pageMargins left="0.7" right="0.7" top="0.75" bottom="0.75" header="0.3" footer="0.3"/>
</x:worksheet>
</file>