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d0115907cf41d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mp Grid" sheetId="1" r:id="R7bffcb9f3d62475c"/>
    <x:sheet xmlns:r="http://schemas.openxmlformats.org/officeDocument/2006/relationships" name="Assumptions" sheetId="2" r:id="Rd8ac83f187814bfe"/>
    <x:sheet xmlns:r="http://schemas.openxmlformats.org/officeDocument/2006/relationships" name="Excluded" sheetId="3" r:id="R7521e94e51c14d6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#,##0"/>
  </x:numFmts>
  <x:fonts count="7">
    <x:font>
      <x:sz val="11"/>
      <x:name val="Carlito"/>
    </x:font>
    <x:font>
      <x:sz val="10"/>
      <x:color rgb="FF171717"/>
      <x:name val="Arial"/>
    </x:font>
    <x:font>
      <x:b/>
      <x:sz val="15"/>
      <x:color rgb="FF171717"/>
      <x:name val="Arial"/>
    </x:font>
    <x:font>
      <x:sz val="9"/>
      <x:color rgb="FF526258"/>
      <x:name val="Arial"/>
    </x:font>
    <x:font>
      <x:b/>
      <x:sz val="10"/>
      <x:color rgb="FFFFFFFF"/>
      <x:name val="Arial"/>
    </x:font>
    <x:font>
      <x:sz val="10"/>
      <x:color rgb="FF0000FF"/>
      <x:name val="Arial"/>
    </x:font>
    <x:font>
      <x:b/>
      <x:sz val="10"/>
      <x:color rgb="FF171717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33F32"/>
      </x:patternFill>
    </x:fill>
  </x:fills>
  <x:borders count="2">
    <x:border/>
    <x:border>
      <x:bottom style="thin">
        <x:color rgb="FFAAB8AF"/>
      </x:bottom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200" fontId="1" fillId="0" borderId="0" xfId="0" applyNumberFormat="1" applyFont="1" applyFill="1" applyBorder="1"/>
    <x:xf numFmtId="0" fontId="5" fillId="0" borderId="0" xfId="0" applyNumberFormat="1" applyFont="1" applyFill="1" applyBorder="1"/>
    <x:xf numFmtId="201" fontId="5" fillId="0" borderId="0" xfId="0" applyNumberFormat="1" applyFont="1" applyFill="1" applyBorder="1"/>
    <x:xf numFmtId="201" fontId="1" fillId="0" borderId="0" xfId="0" applyNumberFormat="1" applyFont="1" applyFill="1" applyBorder="1"/>
    <x:xf numFmtId="201" fontId="6" fillId="0" borderId="0" xfId="0" applyNumberFormat="1" applyFont="1" applyFill="1" applyBorder="1"/>
    <x:xf numFmtId="201" fontId="6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f629a26ec894603" /><Relationship Type="http://schemas.openxmlformats.org/officeDocument/2006/relationships/theme" Target="/xl/theme/theme1.xml" Id="R87d70567e335462a" /><Relationship Type="http://schemas.openxmlformats.org/officeDocument/2006/relationships/sharedStrings" Target="/xl/sharedStrings.xml" Id="R2d6dfdc76a97426e" /><Relationship Type="http://schemas.openxmlformats.org/officeDocument/2006/relationships/worksheet" Target="/xl/worksheets/sheet1.xml" Id="R7bffcb9f3d62475c" /><Relationship Type="http://schemas.openxmlformats.org/officeDocument/2006/relationships/worksheet" Target="/xl/worksheets/sheet2.xml" Id="Rd8ac83f187814bfe" /><Relationship Type="http://schemas.openxmlformats.org/officeDocument/2006/relationships/worksheet" Target="/xl/worksheets/sheet3.xml" Id="R7521e94e51c14d6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0" hidden="0" customWidth="1"/>
    <x:col min="2" max="2" width="22" hidden="0" customWidth="1"/>
    <x:col min="3" max="3" width="20" hidden="0" customWidth="1"/>
    <x:col min="4" max="4" width="12" hidden="0" customWidth="1"/>
    <x:col min="5" max="5" width="12" hidden="0" customWidth="1"/>
    <x:col min="6" max="6" width="12" hidden="0" customWidth="1"/>
    <x:col min="7" max="7" width="16" hidden="0" customWidth="1"/>
    <x:col min="8" max="8" width="15" hidden="0" customWidth="1"/>
    <x:col min="9" max="9" width="15" hidden="0" customWidth="1"/>
    <x:col min="10" max="10" width="26" hidden="0" customWidth="1"/>
    <x:col min="11" max="11" width="30" hidden="0" customWidth="1"/>
  </x:cols>
  <x:sheetData>
    <x:row r="1" ht="27" customHeight="1">
      <x:c r="A1" s="2" t="str">
        <x:v>Dogwood Sales Comps - Multifamily, Tampa (as of 2026-08-31)</x:v>
      </x:c>
    </x:row>
    <x:row r="2" ht="36" customHeight="1">
      <x:c r="A2" s="4" t="str">
        <x:v>Qualified closed sales 2025-09-01 to 2026-08-31, &lt;=8 miles, 78-174 units; ranked by distance asc, then most recent close</x:v>
      </x:c>
    </x:row>
    <x:row r="3" ht="25" customHeight="1">
      <x:c r="A3" s="6" t="str">
        <x:v>Rank</x:v>
      </x:c>
      <x:c r="B3" s="6" t="str">
        <x:v>Record ID</x:v>
      </x:c>
      <x:c r="C3" s="6" t="str">
        <x:v>Entity ID</x:v>
      </x:c>
      <x:c r="D3" s="6" t="str">
        <x:v>Name</x:v>
      </x:c>
      <x:c r="E3" s="6" t="str">
        <x:v>Event Date</x:v>
      </x:c>
      <x:c r="F3" s="6" t="str">
        <x:v>Distance (mi)</x:v>
      </x:c>
      <x:c r="G3" s="6" t="str">
        <x:v>Consideration (USD)</x:v>
      </x:c>
      <x:c r="H3" s="6" t="str">
        <x:v>Property Size</x:v>
      </x:c>
      <x:c r="I3" s="6" t="str">
        <x:v>Size Unit</x:v>
      </x:c>
      <x:c r="J3" s="6" t="str">
        <x:v>Price per Unit (USD)</x:v>
      </x:c>
      <x:c r="K3" s="6" t="str">
        <x:v>Source IDs</x:v>
      </x:c>
    </x:row>
    <x:row r="4" ht="36" customHeight="1">
      <x:c r="A4" s="1" t="n">
        <x:v>1</x:v>
      </x:c>
      <x:c r="B4" s="1" t="str">
        <x:v>R5709</x:v>
      </x:c>
      <x:c r="C4" s="1" t="str">
        <x:v>DOGWOOD-SAL-78916</x:v>
      </x:c>
      <x:c r="D4" s="1" t="str">
        <x:v>Dogwood Park 1</x:v>
      </x:c>
      <x:c r="E4" s="1" t="str">
        <x:v>2026-02-05</x:v>
      </x:c>
      <x:c r="F4" s="7" t="n">
        <x:v>0.8</x:v>
      </x:c>
      <x:c r="G4" s="9" t="n">
        <x:v>28000000</x:v>
      </x:c>
      <x:c r="H4" s="9" t="n">
        <x:v>96</x:v>
      </x:c>
      <x:c r="I4" s="1" t="str">
        <x:v>unit</x:v>
      </x:c>
      <x:c r="J4" s="12" t="n">
        <x:f>G4/H4</x:f>
        <x:v>291666.6666666667</x:v>
      </x:c>
      <x:c r="K4" s="4" t="str">
        <x:v>S-R5709 (dup S-R4477)</x:v>
      </x:c>
    </x:row>
    <x:row r="5" ht="36" customHeight="1">
      <x:c r="A5" s="1" t="n">
        <x:v>2</x:v>
      </x:c>
      <x:c r="B5" s="1" t="str">
        <x:v>R1935</x:v>
      </x:c>
      <x:c r="C5" s="1" t="str">
        <x:v>DOGWOOD-SAL-66133</x:v>
      </x:c>
      <x:c r="D5" s="1" t="str">
        <x:v>Dogwood Grove 2</x:v>
      </x:c>
      <x:c r="E5" s="1" t="str">
        <x:v>2026-03-06</x:v>
      </x:c>
      <x:c r="F5" s="7" t="n">
        <x:v>1.03</x:v>
      </x:c>
      <x:c r="G5" s="9" t="n">
        <x:v>32550000</x:v>
      </x:c>
      <x:c r="H5" s="9" t="n">
        <x:v>103</x:v>
      </x:c>
      <x:c r="I5" s="1" t="str">
        <x:v>unit</x:v>
      </x:c>
      <x:c r="J5" s="12" t="n">
        <x:f>G5/H5</x:f>
        <x:v>316019.41747572814</x:v>
      </x:c>
      <x:c r="K5" s="4" t="str">
        <x:v>S-R1935; U-R1935-1</x:v>
      </x:c>
    </x:row>
    <x:row r="6" ht="36" customHeight="1">
      <x:c r="A6" s="1" t="n">
        <x:v>3</x:v>
      </x:c>
      <x:c r="B6" s="1" t="str">
        <x:v>R8685</x:v>
      </x:c>
      <x:c r="C6" s="1" t="str">
        <x:v>DOGWOOD-SAL-12100</x:v>
      </x:c>
      <x:c r="D6" s="1" t="str">
        <x:v>Dogwood Grove 3</x:v>
      </x:c>
      <x:c r="E6" s="1" t="str">
        <x:v>2026-04-07</x:v>
      </x:c>
      <x:c r="F6" s="7" t="n">
        <x:v>1.26</x:v>
      </x:c>
      <x:c r="G6" s="9" t="n">
        <x:v>32200000</x:v>
      </x:c>
      <x:c r="H6" s="9" t="n">
        <x:v>110</x:v>
      </x:c>
      <x:c r="I6" s="1" t="str">
        <x:v>unit</x:v>
      </x:c>
      <x:c r="J6" s="12" t="n">
        <x:f>G6/H6</x:f>
        <x:v>292727.2727272727</x:v>
      </x:c>
      <x:c r="K6" s="4" t="str">
        <x:v>S-R8685 (U-R8685-2 excluded: published after cutoff)</x:v>
      </x:c>
    </x:row>
    <x:row r="7" ht="36" customHeight="1">
      <x:c r="A7" s="1" t="n">
        <x:v>4</x:v>
      </x:c>
      <x:c r="B7" s="1" t="str">
        <x:v>R1029</x:v>
      </x:c>
      <x:c r="C7" s="1" t="str">
        <x:v>DOGWOOD-SAL-64711</x:v>
      </x:c>
      <x:c r="D7" s="1" t="str">
        <x:v>Dogwood Grove 4</x:v>
      </x:c>
      <x:c r="E7" s="1" t="str">
        <x:v>2026-05-08</x:v>
      </x:c>
      <x:c r="F7" s="7" t="n">
        <x:v>1.49</x:v>
      </x:c>
      <x:c r="G7" s="9" t="n">
        <x:v>34300000</x:v>
      </x:c>
      <x:c r="H7" s="9" t="n">
        <x:v>118</x:v>
      </x:c>
      <x:c r="I7" s="1" t="str">
        <x:v>unit</x:v>
      </x:c>
      <x:c r="J7" s="12" t="n">
        <x:f>G7/H7</x:f>
        <x:v>290677.9661016949</x:v>
      </x:c>
      <x:c r="K7" s="4" t="str">
        <x:v>S-R1029 (U-R1029-3 excluded: unsigned draft)</x:v>
      </x:c>
    </x:row>
    <x:row r="8" ht="36" customHeight="1">
      <x:c r="A8" s="1" t="n">
        <x:v>5</x:v>
      </x:c>
      <x:c r="B8" s="1" t="str">
        <x:v>R4639</x:v>
      </x:c>
      <x:c r="C8" s="1" t="str">
        <x:v>DOGWOOD-SAL-75833</x:v>
      </x:c>
      <x:c r="D8" s="1" t="str">
        <x:v>Dogwood Grove 5</x:v>
      </x:c>
      <x:c r="E8" s="1" t="str">
        <x:v>2026-06-09</x:v>
      </x:c>
      <x:c r="F8" s="7" t="n">
        <x:v>1.72</x:v>
      </x:c>
      <x:c r="G8" s="9" t="n">
        <x:v>36400000</x:v>
      </x:c>
      <x:c r="H8" s="9" t="n">
        <x:v>125</x:v>
      </x:c>
      <x:c r="I8" s="1" t="str">
        <x:v>unit</x:v>
      </x:c>
      <x:c r="J8" s="12" t="n">
        <x:f>G8/H8</x:f>
        <x:v>291200</x:v>
      </x:c>
      <x:c r="K8" s="4" t="str">
        <x:v>S-R4639</x:v>
      </x:c>
    </x:row>
    <x:row r="10" ht="25" customHeight="1">
      <x:c r="A10" s="6" t="str">
        <x:v>Summary statistics</x:v>
      </x:c>
    </x:row>
    <x:row r="11" ht="22" customHeight="1">
      <x:c r="A11" s="1" t="str">
        <x:v>Min price per unit</x:v>
      </x:c>
      <x:c r="B11" s="12" t="n">
        <x:f>MIN(J4:J8)</x:f>
        <x:v>290677.9661016949</x:v>
      </x:c>
    </x:row>
    <x:row r="12" ht="22" customHeight="1">
      <x:c r="A12" s="1" t="str">
        <x:v>Max price per unit</x:v>
      </x:c>
      <x:c r="B12" s="12" t="n">
        <x:f>MAX(J4:J8)</x:f>
        <x:v>316019.41747572814</x:v>
      </x:c>
    </x:row>
    <x:row r="13" ht="22" customHeight="1">
      <x:c r="A13" s="1" t="str">
        <x:v>Average price per unit</x:v>
      </x:c>
      <x:c r="B13" s="12" t="n">
        <x:f>SUM(J4:J8)/5</x:f>
        <x:v>296458.2645942725</x:v>
      </x:c>
    </x:row>
    <x:row r="14" ht="22" customHeight="1">
      <x:c r="A14" s="1" t="str">
        <x:v>Total consideration (USD)</x:v>
      </x:c>
      <x:c r="B14" s="12" t="n">
        <x:f>SUM(G4:G8)</x:f>
        <x:v>163450000</x:v>
      </x:c>
    </x:row>
    <x:row r="15" ht="22" customHeight="1">
      <x:c r="A15" s="1" t="str">
        <x:v>Total units</x:v>
      </x:c>
      <x:c r="B15" s="12" t="n">
        <x:f>SUM(H4:H8)</x:f>
        <x:v>552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 ht="27" customHeight="1">
      <x:c r="A1" s="2" t="str">
        <x:v>Underwriting assumptions (not supplied by the source packet)</x:v>
      </x:c>
    </x:row>
    <x:row r="2" ht="36" customHeight="1">
      <x:c r="A2" s="4" t="str">
        <x:v>This is a sales comparable grid; no income or loan-sizing inputs were provided in the frozen extracts. Blank cells are unknown, not zero.</x:v>
      </x:c>
    </x:row>
    <x:row r="4" ht="36" customHeight="1">
      <x:c r="A4" s="1" t="str">
        <x:v>Cap rate</x:v>
      </x:c>
      <x:c r="B4" s="8"/>
      <x:c r="C4" s="4" t="str">
        <x:v>unknown - not in packet</x:v>
      </x:c>
    </x:row>
    <x:row r="5" ht="36" customHeight="1">
      <x:c r="A5" s="1" t="str">
        <x:v>Sizing rate</x:v>
      </x:c>
      <x:c r="B5" s="8"/>
      <x:c r="C5" s="4" t="str">
        <x:v>unknown - not in packet</x:v>
      </x:c>
    </x:row>
    <x:row r="6" ht="36" customHeight="1">
      <x:c r="A6" s="1" t="str">
        <x:v>EGI</x:v>
      </x:c>
      <x:c r="B6" s="8"/>
      <x:c r="C6" s="4" t="str">
        <x:v>unknown - not in packet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12" hidden="0" customWidth="1"/>
    <x:col min="2" max="2" width="22" hidden="0" customWidth="1"/>
    <x:col min="3" max="3" width="60" hidden="0" customWidth="1"/>
    <x:col min="4" max="4" width="22" hidden="0" customWidth="1"/>
  </x:cols>
  <x:sheetData>
    <x:row r="1" ht="27" customHeight="1">
      <x:c r="A1" s="2" t="str">
        <x:v>Excluded / non-selected base records</x:v>
      </x:c>
    </x:row>
    <x:row r="2" ht="25" customHeight="1">
      <x:c r="A2" s="6" t="str">
        <x:v>Record ID</x:v>
      </x:c>
      <x:c r="B2" s="6" t="str">
        <x:v>Entity ID</x:v>
      </x:c>
      <x:c r="C2" s="6" t="str">
        <x:v>Reason</x:v>
      </x:c>
      <x:c r="D2" s="6" t="str">
        <x:v>Source IDs</x:v>
      </x:c>
    </x:row>
    <x:row r="3" ht="36" customHeight="1">
      <x:c r="A3" s="1" t="str">
        <x:v>R3713</x:v>
      </x:c>
      <x:c r="B3" s="1" t="str">
        <x:v>DOGWOOD-SAL-30999</x:v>
      </x:c>
      <x:c r="C3" s="1" t="str">
        <x:v>Size unit is acre, not unit</x:v>
      </x:c>
      <x:c r="D3" s="4" t="str">
        <x:v>S-R3713</x:v>
      </x:c>
    </x:row>
    <x:row r="4" ht="36" customHeight="1">
      <x:c r="A4" s="1" t="str">
        <x:v>R4402</x:v>
      </x:c>
      <x:c r="B4" s="1" t="str">
        <x:v>DOGWOOD-SAL-66190</x:v>
      </x:c>
      <x:c r="C4" s="1" t="str">
        <x:v>252 units exceeds 78-174 range</x:v>
      </x:c>
      <x:c r="D4" s="4" t="str">
        <x:v>S-R4402</x:v>
      </x:c>
    </x:row>
    <x:row r="5" ht="36" customHeight="1">
      <x:c r="A5" s="1" t="str">
        <x:v>R9886</x:v>
      </x:c>
      <x:c r="B5" s="1" t="str">
        <x:v>DOGWOOD-SAL-70940</x:v>
      </x:c>
      <x:c r="C5" s="1" t="str">
        <x:v>Qualified (2.18 mi) but outside top five by distance</x:v>
      </x:c>
      <x:c r="D5" s="4" t="str">
        <x:v>S-R9886</x:v>
      </x:c>
    </x:row>
    <x:row r="6" ht="36" customHeight="1">
      <x:c r="A6" s="1" t="str">
        <x:v>R5751</x:v>
      </x:c>
      <x:c r="B6" s="1" t="str">
        <x:v>DOGWOOD-SAL-34623</x:v>
      </x:c>
      <x:c r="C6" s="1" t="str">
        <x:v>Qualified (1.95 mi) but outside top five by distance</x:v>
      </x:c>
      <x:c r="D6" s="4" t="str">
        <x:v>S-R5751</x:v>
      </x:c>
    </x:row>
    <x:row r="7" ht="36" customHeight="1">
      <x:c r="A7" s="1" t="str">
        <x:v>R3929</x:v>
      </x:c>
      <x:c r="B7" s="1" t="str">
        <x:v>DOGWOOD-SAL-76437</x:v>
      </x:c>
      <x:c r="C7" s="1" t="str">
        <x:v>Consideration null - unknown, not positive known price</x:v>
      </x:c>
      <x:c r="D7" s="4" t="str">
        <x:v>S-R3929</x:v>
      </x:c>
    </x:row>
    <x:row r="8" ht="36" customHeight="1">
      <x:c r="A8" s="1" t="str">
        <x:v>R4855</x:v>
      </x:c>
      <x:c r="B8" s="1" t="str">
        <x:v>DOGWOOD-SAL-84624</x:v>
      </x:c>
      <x:c r="C8" s="1" t="str">
        <x:v>Minority equity interest, not fee simple</x:v>
      </x:c>
      <x:c r="D8" s="4" t="str">
        <x:v>S-R4855</x:v>
      </x:c>
    </x:row>
    <x:row r="9" ht="36" customHeight="1">
      <x:c r="A9" s="1" t="str">
        <x:v>R1347</x:v>
      </x:c>
      <x:c r="B9" s="1" t="str">
        <x:v>DOGWOOD-SAL-38637</x:v>
      </x:c>
      <x:c r="C9" s="1" t="str">
        <x:v>Office asset type, out of scope</x:v>
      </x:c>
      <x:c r="D9" s="4" t="str">
        <x:v>S-R1347</x:v>
      </x:c>
    </x:row>
    <x:row r="10" ht="36" customHeight="1">
      <x:c r="A10" s="1" t="str">
        <x:v>R1328</x:v>
      </x:c>
      <x:c r="B10" s="1" t="str">
        <x:v>DOGWOOD-SAL-79908</x:v>
      </x:c>
      <x:c r="C10" s="1" t="str">
        <x:v>Unallocated portfolio price</x:v>
      </x:c>
      <x:c r="D10" s="4" t="str">
        <x:v>S-R1328</x:v>
      </x:c>
    </x:row>
    <x:row r="11" ht="36" customHeight="1">
      <x:c r="A11" s="1" t="str">
        <x:v>R7446</x:v>
      </x:c>
      <x:c r="B11" s="1" t="str">
        <x:v>DOGWOOD-SAL-10850</x:v>
      </x:c>
      <x:c r="C11" s="1" t="str">
        <x:v>Closed 2024-02-10, outside 2025-09-01 to 2026-08-31 window</x:v>
      </x:c>
      <x:c r="D11" s="4" t="str">
        <x:v>S-R7446</x:v>
      </x:c>
    </x:row>
    <x:row r="12" ht="36" customHeight="1">
      <x:c r="A12" s="1" t="str">
        <x:v>R4477</x:v>
      </x:c>
      <x:c r="B12" s="1" t="str">
        <x:v>DOGWOOD-SAL-78916</x:v>
      </x:c>
      <x:c r="C12" s="1" t="str">
        <x:v>Duplicate second source of R5709 (same entity); no extra slot</x:v>
      </x:c>
      <x:c r="D12" s="4" t="str">
        <x:v>S-R4477</x:v>
      </x:c>
    </x:row>
    <x:row r="13" ht="36" customHeight="1">
      <x:c r="A13" s="1" t="str">
        <x:v>R4014</x:v>
      </x:c>
      <x:c r="B13" s="1" t="str">
        <x:v>DOGWOOD-SAL-19547</x:v>
      </x:c>
      <x:c r="C13" s="1" t="str">
        <x:v>Published 2026-09-03, after 2026-08-31 cutoff</x:v>
      </x:c>
      <x:c r="D13" s="4" t="str">
        <x:v>S-R4014</x:v>
      </x:c>
    </x:row>
    <x:row r="14" ht="36" customHeight="1">
      <x:c r="A14" s="1" t="str">
        <x:v>R3120</x:v>
      </x:c>
      <x:c r="B14" s="1" t="str">
        <x:v>DOGWOOD-SAL-26524</x:v>
      </x:c>
      <x:c r="C14" s="1" t="str">
        <x:v>Listing, not a closed sale</x:v>
      </x:c>
      <x:c r="D14" s="4" t="str">
        <x:v>S-R3120</x:v>
      </x:c>
    </x:row>
    <x:row r="15" ht="36" customHeight="1">
      <x:c r="A15" s="1" t="str">
        <x:v>R4010</x:v>
      </x:c>
      <x:c r="B15" s="1" t="str">
        <x:v>DOGWOOD-SAL-70410</x:v>
      </x:c>
      <x:c r="C15" s="1" t="str">
        <x:v>Redevelopment condition, not stabilized</x:v>
      </x:c>
      <x:c r="D15" s="4" t="str">
        <x:v>S-R4010</x:v>
      </x:c>
    </x:row>
    <x:row r="16" ht="36" customHeight="1">
      <x:c r="A16" s="1" t="str">
        <x:v>R7792</x:v>
      </x:c>
      <x:c r="B16" s="1" t="str">
        <x:v>DOGWOOD-SAL-78888</x:v>
      </x:c>
      <x:c r="C16" s="1" t="str">
        <x:v>Related-party transaction</x:v>
      </x:c>
      <x:c r="D16" s="4" t="str">
        <x:v>S-R7792</x:v>
      </x:c>
    </x:row>
    <x:row r="17" ht="36" customHeight="1">
      <x:c r="A17" s="1" t="str">
        <x:v>R1717</x:v>
      </x:c>
      <x:c r="B17" s="1" t="str">
        <x:v>DOGWOOD-SAL-14724</x:v>
      </x:c>
      <x:c r="C17" s="1" t="str">
        <x:v>18.6 miles exceeds 8-mile radius</x:v>
      </x:c>
      <x:c r="D17" s="4" t="str">
        <x:v>S-R1717</x:v>
      </x:c>
    </x:row>
  </x:sheetData>
  <x:pageMargins left="0.7" right="0.7" top="0.75" bottom="0.75" header="0.3" footer="0.3"/>
</x:worksheet>
</file>