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729ca407f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5c9c0f6c378a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d1653601a4608" /><Relationship Type="http://schemas.openxmlformats.org/officeDocument/2006/relationships/theme" Target="/xl/theme/theme1.xml" Id="Rd953023dbded49fc" /><Relationship Type="http://schemas.openxmlformats.org/officeDocument/2006/relationships/sharedStrings" Target="/xl/sharedStrings.xml" Id="Rc535e0beccb349d8" /><Relationship Type="http://schemas.openxmlformats.org/officeDocument/2006/relationships/worksheet" Target="/xl/worksheets/sheet1.xml" Id="R5c9c0f6c378a4c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2" hidden="0" customWidth="1"/>
    <x:col min="5" max="5" width="10" hidden="0" customWidth="1"/>
    <x:col min="6" max="6" width="13" hidden="0" customWidth="1"/>
    <x:col min="7" max="7" width="12" hidden="0" customWidth="1"/>
    <x:col min="8" max="8" width="11" hidden="0" customWidth="1"/>
    <x:col min="9" max="9" width="11" hidden="0" customWidth="1"/>
    <x:col min="10" max="10" width="10" hidden="0" customWidth="1"/>
    <x:col min="11" max="11" width="11" hidden="0" customWidth="1"/>
    <x:col min="12" max="12" width="13" hidden="0" customWidth="1"/>
    <x:col min="13" max="13" width="16" hidden="0" customWidth="1"/>
    <x:col min="14" max="14" width="30" hidden="0" customWidth="1"/>
  </x:cols>
  <x:sheetData>
    <x:row r="1" ht="27" customHeight="1">
      <x:c r="A1" s="2" t="str">
        <x:v>rent-comps-dogwood - Multifamily Tampa Executed Lease Comp Grid</x:v>
      </x:c>
    </x:row>
    <x:row r="2" ht="36" customHeight="1">
      <x:c r="A2" s="4" t="str">
        <x:v>Client convention: annualized face rent, 2.5% step-ups at months 13/25/37/49, no face rent during free months, gross expense deduction every month, TI subtracted once, net total / term x 12. Undiscounted, rent-only.</x:v>
      </x:c>
    </x:row>
    <x:row r="3" ht="36" customHeight="1">
      <x:c r="A3" s="4" t="str">
        <x:v>As-of 2026-08-31. Ranked by distance ascending, then latest lease date. Top 5 unique entities.</x:v>
      </x:c>
    </x:row>
    <x:row r="4" ht="25" customHeight="1">
      <x:c r="A4" s="6" t="str">
        <x:v>Rank</x:v>
      </x:c>
      <x:c r="B4" s="6" t="str">
        <x:v>record_id</x:v>
      </x:c>
      <x:c r="C4" s="6" t="str">
        <x:v>entity_id</x:v>
      </x:c>
      <x:c r="D4" s="6" t="str">
        <x:v>event_date</x:v>
      </x:c>
      <x:c r="E4" s="6" t="str">
        <x:v>dist_mi</x:v>
      </x:c>
      <x:c r="F4" s="6" t="str">
        <x:v>annual_face_rent_psf</x:v>
      </x:c>
      <x:c r="G4" s="6" t="str">
        <x:v>term_months</x:v>
      </x:c>
      <x:c r="H4" s="6" t="str">
        <x:v>free_months</x:v>
      </x:c>
      <x:c r="I4" s="6" t="str">
        <x:v>escal_pct</x:v>
      </x:c>
      <x:c r="J4" s="6" t="str">
        <x:v>expense_basis</x:v>
      </x:c>
      <x:c r="K4" s="6" t="str">
        <x:v>expense_psf_yr</x:v>
      </x:c>
      <x:c r="L4" s="6" t="str">
        <x:v>ti_psf</x:v>
      </x:c>
      <x:c r="M4" s="6" t="str">
        <x:v>effective_net_rent_psf_year</x:v>
      </x:c>
      <x:c r="N4" s="6" t="str">
        <x:v>source_ids</x:v>
      </x:c>
    </x:row>
    <x:row r="5" ht="36" customHeight="1">
      <x:c r="A5" s="1" t="n">
        <x:v>1</x:v>
      </x:c>
      <x:c r="B5" s="1" t="str">
        <x:v>R8720</x:v>
      </x:c>
      <x:c r="C5" s="1" t="str">
        <x:v>DOGWOOD-REN-60901</x:v>
      </x:c>
      <x:c r="D5" s="1" t="str">
        <x:v>2026-02-05</x:v>
      </x:c>
      <x:c r="E5" s="7" t="n">
        <x:v>0.8</x:v>
      </x:c>
      <x:c r="F5" s="8" t="n">
        <x:v>21</x:v>
      </x:c>
      <x:c r="G5" s="7" t="n">
        <x:v>36</x:v>
      </x:c>
      <x:c r="H5" s="7" t="n">
        <x:v>0</x:v>
      </x:c>
      <x:c r="I5" s="9" t="n">
        <x:v>0.025</x:v>
      </x:c>
      <x:c r="J5" s="1" t="str">
        <x:v>gross</x:v>
      </x:c>
      <x:c r="K5" s="8" t="n">
        <x:v>6.25</x:v>
      </x:c>
      <x:c r="L5" s="8" t="n">
        <x:v>12</x:v>
      </x:c>
      <x:c r="M5" s="12" t="n">
        <x:f>(F5*((1+I5)^(G5/12)-1)/I5-F5*H5/12-K5/12*G5-L5)/G5*12</x:f>
        <x:v>11.279374999999902</x:v>
      </x:c>
      <x:c r="N5" s="4" t="str">
        <x:v>S-R8720 (dup S-R6660)</x:v>
      </x:c>
    </x:row>
    <x:row r="6" ht="36" customHeight="1">
      <x:c r="A6" s="1" t="n">
        <x:v>2</x:v>
      </x:c>
      <x:c r="B6" s="1" t="str">
        <x:v>R3534</x:v>
      </x:c>
      <x:c r="C6" s="1" t="str">
        <x:v>DOGWOOD-REN-79987</x:v>
      </x:c>
      <x:c r="D6" s="1" t="str">
        <x:v>2026-03-06</x:v>
      </x:c>
      <x:c r="E6" s="7" t="n">
        <x:v>1.03</x:v>
      </x:c>
      <x:c r="F6" s="8" t="n">
        <x:v>22.44</x:v>
      </x:c>
      <x:c r="G6" s="7" t="n">
        <x:v>48</x:v>
      </x:c>
      <x:c r="H6" s="7" t="n">
        <x:v>4</x:v>
      </x:c>
      <x:c r="I6" s="9" t="n">
        <x:v>0.025</x:v>
      </x:c>
      <x:c r="J6" s="1" t="str">
        <x:v>NNN</x:v>
      </x:c>
      <x:c r="K6" s="8" t="n">
        <x:v>0</x:v>
      </x:c>
      <x:c r="L6" s="8" t="n">
        <x:v>18</x:v>
      </x:c>
      <x:c r="M6" s="12" t="n">
        <x:f>(F6*((1+I6)^(G6/12)-1)/I6-F6*H6/12-K6/12*G6-L6)/G6*12</x:f>
        <x:v>16.925612656249896</x:v>
      </x:c>
      <x:c r="N6" s="4" t="str">
        <x:v>S-R3534; U-R3534-1 (executed amendment: free 4, TI 18)</x:v>
      </x:c>
    </x:row>
    <x:row r="7" ht="36" customHeight="1">
      <x:c r="A7" s="1" t="n">
        <x:v>3</x:v>
      </x:c>
      <x:c r="B7" s="1" t="str">
        <x:v>R6645</x:v>
      </x:c>
      <x:c r="C7" s="1" t="str">
        <x:v>DOGWOOD-REN-64895</x:v>
      </x:c>
      <x:c r="D7" s="1" t="str">
        <x:v>2026-04-07</x:v>
      </x:c>
      <x:c r="E7" s="7" t="n">
        <x:v>1.26</x:v>
      </x:c>
      <x:c r="F7" s="8" t="n">
        <x:v>22.6</x:v>
      </x:c>
      <x:c r="G7" s="7" t="n">
        <x:v>60</x:v>
      </x:c>
      <x:c r="H7" s="7" t="n">
        <x:v>2</x:v>
      </x:c>
      <x:c r="I7" s="9" t="n">
        <x:v>0.025</x:v>
      </x:c>
      <x:c r="J7" s="1" t="str">
        <x:v>NNN</x:v>
      </x:c>
      <x:c r="K7" s="8" t="n">
        <x:v>0</x:v>
      </x:c>
      <x:c r="L7" s="8" t="n">
        <x:v>18</x:v>
      </x:c>
      <x:c r="M7" s="12" t="n">
        <x:f>(F7*((1+I7)^(G7/12)-1)/I7-F7*H7/12-K7/12*G7-L7)/G7*12</x:f>
        <x:v>19.405271557291563</x:v>
      </x:c>
      <x:c r="N7" s="4" t="str">
        <x:v>S-R6645 (U-R6645-2 dated 2026-09-10 excluded: after cutoff)</x:v>
      </x:c>
    </x:row>
    <x:row r="8" ht="36" customHeight="1">
      <x:c r="A8" s="1" t="n">
        <x:v>4</x:v>
      </x:c>
      <x:c r="B8" s="1" t="str">
        <x:v>R6812</x:v>
      </x:c>
      <x:c r="C8" s="1" t="str">
        <x:v>DOGWOOD-REN-50280</x:v>
      </x:c>
      <x:c r="D8" s="1" t="str">
        <x:v>2026-05-08</x:v>
      </x:c>
      <x:c r="E8" s="7" t="n">
        <x:v>1.49</x:v>
      </x:c>
      <x:c r="F8" s="8" t="n">
        <x:v>24.12</x:v>
      </x:c>
      <x:c r="G8" s="7" t="n">
        <x:v>36</x:v>
      </x:c>
      <x:c r="H8" s="7" t="n">
        <x:v>3</x:v>
      </x:c>
      <x:c r="I8" s="9" t="n">
        <x:v>0.025</x:v>
      </x:c>
      <x:c r="J8" s="1" t="str">
        <x:v>gross</x:v>
      </x:c>
      <x:c r="K8" s="8" t="n">
        <x:v>6.25</x:v>
      </x:c>
      <x:c r="L8" s="8" t="n">
        <x:v>21</x:v>
      </x:c>
      <x:c r="M8" s="12" t="n">
        <x:f>(F8*((1+I8)^(G8/12)-1)/I8-F8*H8/12-K8/12*G8-L8)/G8*12</x:f>
        <x:v>9.468024999999887</x:v>
      </x:c>
      <x:c r="N8" s="4" t="str">
        <x:v>S-R6812 (U-R6812-3 unsigned draft excluded)</x:v>
      </x:c>
    </x:row>
    <x:row r="9" ht="36" customHeight="1">
      <x:c r="A9" s="1" t="n">
        <x:v>5</x:v>
      </x:c>
      <x:c r="B9" s="1" t="str">
        <x:v>R1551</x:v>
      </x:c>
      <x:c r="C9" s="1" t="str">
        <x:v>DOGWOOD-REN-99067</x:v>
      </x:c>
      <x:c r="D9" s="1" t="str">
        <x:v>2026-06-09</x:v>
      </x:c>
      <x:c r="E9" s="7" t="n">
        <x:v>1.72</x:v>
      </x:c>
      <x:c r="F9" s="8" t="n">
        <x:v>24.2</x:v>
      </x:c>
      <x:c r="G9" s="7" t="n">
        <x:v>48</x:v>
      </x:c>
      <x:c r="H9" s="7" t="n">
        <x:v>0</x:v>
      </x:c>
      <x:c r="I9" s="9" t="n">
        <x:v>0.025</x:v>
      </x:c>
      <x:c r="J9" s="1" t="str">
        <x:v>NNN</x:v>
      </x:c>
      <x:c r="K9" s="8" t="n">
        <x:v>0</x:v>
      </x:c>
      <x:c r="L9" s="8" t="n">
        <x:v>12</x:v>
      </x:c>
      <x:c r="M9" s="12" t="n">
        <x:f>(F9*((1+I9)^(G9/12)-1)/I9-F9*H9/12-K9/12*G9-L9)/G9*12</x:f>
        <x:v>22.12271953124989</x:v>
      </x:c>
      <x:c r="N9" s="4" t="str">
        <x:v>S-R1551</x:v>
      </x:c>
    </x:row>
    <x:row r="11" ht="22" customHeight="1">
      <x:c r="A11" s="1" t="str">
        <x:v>Average effective net rent psf/yr (selected comps)</x:v>
      </x:c>
      <x:c r="M11" s="12" t="n">
        <x:f>AVERAGE(M5:M9)</x:f>
        <x:v>15.840200748958228</x:v>
      </x:c>
    </x:row>
    <x:row r="12" ht="22" customHeight="1">
      <x:c r="A12" s="1" t="str">
        <x:v>Min / Max</x:v>
      </x:c>
      <x:c r="L12" s="12" t="n">
        <x:f>MIN(M5:M9)</x:f>
        <x:v>9.468024999999887</x:v>
      </x:c>
      <x:c r="M12" s="12" t="n">
        <x:f>MAX(M5:M9)</x:f>
        <x:v>22.12271953124989</x:v>
      </x:c>
    </x:row>
    <x:row r="14" ht="36" customHeight="1">
      <x:c r="A14" s="4" t="str">
        <x:v>Excluded base records (see research answer for reasons): R8926 (gross, expense psf unknown), R9647 (rent null), R9438 (free_months null), R6157 (asking), R6717 (2024 lease date), R9661 (published 2026-09-03, after cutoff), R6613 (18.6 mi), R9315 (unsigned proposal), R7718 (Office), R1330 (term null), R6660 (duplicate of R8720), R9145 (TI null), R4220 (rent 0), R9947 / R4285 (qualified, ranked 6th / 7th).</x:v>
      </x:c>
    </x:row>
  </x:sheetData>
  <x:pageMargins left="0.7" right="0.7" top="0.75" bottom="0.75" header="0.3" footer="0.3"/>
</x:worksheet>
</file>