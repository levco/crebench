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175072ac5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801f4bd67d1a46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64a32b7a74cf0" /><Relationship Type="http://schemas.openxmlformats.org/officeDocument/2006/relationships/theme" Target="/xl/theme/theme1.xml" Id="R08f4a42da785469e" /><Relationship Type="http://schemas.openxmlformats.org/officeDocument/2006/relationships/sharedStrings" Target="/xl/sharedStrings.xml" Id="R2bdef80b5ed146a0" /><Relationship Type="http://schemas.openxmlformats.org/officeDocument/2006/relationships/worksheet" Target="/xl/worksheets/sheet1.xml" Id="R801f4bd67d1a46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2" hidden="0" customWidth="1"/>
    <x:col min="4" max="4" width="10" hidden="0" customWidth="1"/>
    <x:col min="5" max="5" width="10" hidden="0" customWidth="1"/>
    <x:col min="6" max="6" width="12" hidden="0" customWidth="1"/>
    <x:col min="7" max="7" width="10" hidden="0" customWidth="1"/>
    <x:col min="8" max="8" width="10" hidden="0" customWidth="1"/>
    <x:col min="9" max="9" width="12" hidden="0" customWidth="1"/>
    <x:col min="10" max="10" width="9" hidden="0" customWidth="1"/>
    <x:col min="11" max="11" width="14" hidden="0" customWidth="1"/>
    <x:col min="12" max="12" width="26" hidden="0" customWidth="1"/>
  </x:cols>
  <x:sheetData>
    <x:row r="1" ht="27" customHeight="1">
      <x:c r="A1" s="2" t="str">
        <x:v>Rent Comps - Retail, Raleigh (executed leases 2025-09-01 to 2026-08-31, &lt;=8 mi)</x:v>
      </x:c>
    </x:row>
    <x:row r="2" ht="36" customHeight="1">
      <x:c r="A2" s="4" t="str">
        <x:v>Effective net rent per client convention: annualized face rent, 2.5% steps at months 13/25/37/49, no face rent in free months, gross expenses deducted every month, TI subtracted once, undiscounted.</x:v>
      </x:c>
    </x:row>
    <x:row r="3" ht="25" customHeight="1">
      <x:c r="A3" s="6" t="str">
        <x:v>record_id</x:v>
      </x:c>
      <x:c r="B3" s="6" t="str">
        <x:v>entity_id</x:v>
      </x:c>
      <x:c r="C3" s="6" t="str">
        <x:v>event_date</x:v>
      </x:c>
      <x:c r="D3" s="6" t="str">
        <x:v>distance_miles</x:v>
      </x:c>
      <x:c r="E3" s="6" t="str">
        <x:v>term_months</x:v>
      </x:c>
      <x:c r="F3" s="6" t="str">
        <x:v>annual_face_rent_psf</x:v>
      </x:c>
      <x:c r="G3" s="6" t="str">
        <x:v>annual_increase_pct</x:v>
      </x:c>
      <x:c r="H3" s="6" t="str">
        <x:v>free_months</x:v>
      </x:c>
      <x:c r="I3" s="6" t="str">
        <x:v>annual_expenses_psf (gross)</x:v>
      </x:c>
      <x:c r="J3" s="6" t="str">
        <x:v>ti_allowance_psf</x:v>
      </x:c>
      <x:c r="K3" s="6" t="str">
        <x:v>effective_net_rent_psf_year</x:v>
      </x:c>
      <x:c r="L3" s="6" t="str">
        <x:v>source_ids</x:v>
      </x:c>
    </x:row>
    <x:row r="4" ht="22" customHeight="1">
      <x:c r="A4" s="1" t="str">
        <x:v>R5361</x:v>
      </x:c>
      <x:c r="B4" s="1" t="str">
        <x:v>ELM-REN-25776</x:v>
      </x:c>
      <x:c r="C4" s="1" t="str">
        <x:v>2026-02-05</x:v>
      </x:c>
      <x:c r="D4" s="7" t="n">
        <x:v>0.8</x:v>
      </x:c>
      <x:c r="E4" s="8" t="n">
        <x:v>36</x:v>
      </x:c>
      <x:c r="F4" s="9" t="n">
        <x:v>21</x:v>
      </x:c>
      <x:c r="G4" s="10" t="n">
        <x:v>0.025</x:v>
      </x:c>
      <x:c r="H4" s="8" t="n">
        <x:v>0</x:v>
      </x:c>
      <x:c r="I4" s="9" t="n">
        <x:v>6.25</x:v>
      </x:c>
      <x:c r="J4" s="9" t="n">
        <x:v>12</x:v>
      </x:c>
      <x:c r="K4" s="12" t="n">
        <x:f>(F4*(1+(1+G4)+(1+G4)^2)-H4*F4/12-I4*E4/12-J4)/E4*12</x:f>
        <x:v>11.279374999999998</x:v>
      </x:c>
      <x:c r="L4" s="1" t="str">
        <x:v>S-R5361 (dup of S-R6572)</x:v>
      </x:c>
    </x:row>
    <x:row r="5" ht="22" customHeight="1">
      <x:c r="A5" s="1" t="str">
        <x:v>R8528</x:v>
      </x:c>
      <x:c r="B5" s="1" t="str">
        <x:v>ELM-REN-95631</x:v>
      </x:c>
      <x:c r="C5" s="1" t="str">
        <x:v>2026-03-06</x:v>
      </x:c>
      <x:c r="D5" s="7" t="n">
        <x:v>1.03</x:v>
      </x:c>
      <x:c r="E5" s="8" t="n">
        <x:v>48</x:v>
      </x:c>
      <x:c r="F5" s="7" t="n">
        <x:f>1.87*12</x:f>
        <x:v>22.44</x:v>
      </x:c>
      <x:c r="G5" s="10" t="n">
        <x:v>0.025</x:v>
      </x:c>
      <x:c r="H5" s="8" t="n">
        <x:v>4</x:v>
      </x:c>
      <x:c r="I5" s="9" t="n">
        <x:v>0</x:v>
      </x:c>
      <x:c r="J5" s="9" t="n">
        <x:v>18</x:v>
      </x:c>
      <x:c r="K5" s="12" t="n">
        <x:f>(F5*(1+(1+G5)+(1+G5)^2+(1+G5)^3)-H5*F5/12-I5*E5/12-J5)/E5*12</x:f>
        <x:v>16.925612656249996</x:v>
      </x:c>
      <x:c r="L5" s="1" t="str">
        <x:v>S-R8528; U-R8528-1</x:v>
      </x:c>
    </x:row>
    <x:row r="6" ht="22" customHeight="1">
      <x:c r="A6" s="1" t="str">
        <x:v>R4908</x:v>
      </x:c>
      <x:c r="B6" s="1" t="str">
        <x:v>ELM-REN-51407</x:v>
      </x:c>
      <x:c r="C6" s="1" t="str">
        <x:v>2026-04-07</x:v>
      </x:c>
      <x:c r="D6" s="7" t="n">
        <x:v>1.26</x:v>
      </x:c>
      <x:c r="E6" s="8" t="n">
        <x:v>60</x:v>
      </x:c>
      <x:c r="F6" s="9" t="n">
        <x:v>22.6</x:v>
      </x:c>
      <x:c r="G6" s="10" t="n">
        <x:v>0.025</x:v>
      </x:c>
      <x:c r="H6" s="8" t="n">
        <x:v>2</x:v>
      </x:c>
      <x:c r="I6" s="9" t="n">
        <x:v>0</x:v>
      </x:c>
      <x:c r="J6" s="9" t="n">
        <x:v>18</x:v>
      </x:c>
      <x:c r="K6" s="12" t="n">
        <x:f>(F6*(1+(1+G6)+(1+G6)^2+(1+G6)^3+(1+G6)^4)-H6*F6/12-I6*E6/12-J6)/E6*12</x:f>
        <x:v>19.40527155729166</x:v>
      </x:c>
      <x:c r="L6" s="1" t="str">
        <x:v>S-R4908 (U-R4908-2 dated 2026-09-10 excluded, post-cutoff)</x:v>
      </x:c>
    </x:row>
    <x:row r="8" ht="22" customHeight="1">
      <x:c r="A8" s="1" t="str">
        <x:v>Average effective net rent ($/sf/yr)</x:v>
      </x:c>
      <x:c r="K8" s="12" t="n">
        <x:f>AVERAGE(K4:K6)</x:f>
        <x:v>15.870086404513884</x:v>
      </x:c>
    </x:row>
    <x:row r="9" ht="36" customHeight="1">
      <x:c r="A9" s="4" t="str">
        <x:v>NNN comps carry a zero expense deduction; gross comp R5361 deducts 6.25/12 per month for all 36 months.</x:v>
      </x:c>
    </x:row>
    <x:row r="10" ht="36" customHeight="1">
      <x:c r="A10" s="4" t="str">
        <x:v>Ranked by distance ascending, then latest lease date. Only three of 21 base records qualified.</x:v>
      </x:c>
    </x:row>
  </x:sheetData>
  <x:pageMargins left="0.7" right="0.7" top="0.75" bottom="0.75" header="0.3" footer="0.3"/>
</x:worksheet>
</file>