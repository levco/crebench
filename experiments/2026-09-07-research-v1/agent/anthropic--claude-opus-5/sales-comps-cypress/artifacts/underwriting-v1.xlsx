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95a2273e0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047b03803ef2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0.0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1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1e18beb40448e" /><Relationship Type="http://schemas.openxmlformats.org/officeDocument/2006/relationships/theme" Target="/xl/theme/theme1.xml" Id="R18b80d8391a341dd" /><Relationship Type="http://schemas.openxmlformats.org/officeDocument/2006/relationships/sharedStrings" Target="/xl/sharedStrings.xml" Id="R2d5cb549273242e2" /><Relationship Type="http://schemas.openxmlformats.org/officeDocument/2006/relationships/worksheet" Target="/xl/worksheets/sheet1.xml" Id="R047b03803ef243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12" hidden="0" customWidth="1"/>
    <x:col min="5" max="5" width="16" hidden="0" customWidth="1"/>
    <x:col min="6" max="6" width="14" hidden="0" customWidth="1"/>
    <x:col min="7" max="7" width="10" hidden="0" customWidth="1"/>
    <x:col min="8" max="8" width="14" hidden="0" customWidth="1"/>
    <x:col min="9" max="9" width="12" hidden="0" customWidth="1"/>
    <x:col min="10" max="10" width="30" hidden="0" customWidth="1"/>
  </x:cols>
  <x:sheetData>
    <x:row r="1" ht="27" customHeight="1">
      <x:c r="A1" s="2" t="str">
        <x:v>Sales Comps - Industrial, Columbus (as of 2026-08-31)</x:v>
      </x:c>
    </x:row>
    <x:row r="2" ht="36" customHeight="1">
      <x:c r="A2" s="4" t="str">
        <x:v>Ranked by distance ascending, then most recent closing date. Nulls preserved as "null".</x:v>
      </x:c>
    </x:row>
    <x:row r="3" ht="25" customHeight="1">
      <x:c r="A3" s="6" t="str">
        <x:v>Rank</x:v>
      </x:c>
      <x:c r="B3" s="6" t="str">
        <x:v>record_id</x:v>
      </x:c>
      <x:c r="C3" s="6" t="str">
        <x:v>entity_id</x:v>
      </x:c>
      <x:c r="D3" s="6" t="str">
        <x:v>event_date</x:v>
      </x:c>
      <x:c r="E3" s="6" t="str">
        <x:v>consideration_usd</x:v>
      </x:c>
      <x:c r="F3" s="6" t="str">
        <x:v>property_size</x:v>
      </x:c>
      <x:c r="G3" s="6" t="str">
        <x:v>size_unit</x:v>
      </x:c>
      <x:c r="H3" s="6" t="str">
        <x:v>price_per_unit ($/sf)</x:v>
      </x:c>
      <x:c r="I3" s="6" t="str">
        <x:v>distance_miles</x:v>
      </x:c>
      <x:c r="J3" s="6" t="str">
        <x:v>source_ids</x:v>
      </x:c>
    </x:row>
    <x:row r="4" ht="22" customHeight="1">
      <x:c r="A4" s="1" t="n">
        <x:v>1</x:v>
      </x:c>
      <x:c r="B4" s="1" t="str">
        <x:v>R6807</x:v>
      </x:c>
      <x:c r="C4" s="1" t="str">
        <x:v>CYPRESS-SAL-30526</x:v>
      </x:c>
      <x:c r="D4" s="1" t="str">
        <x:v>2026-02-05</x:v>
      </x:c>
      <x:c r="E4" s="8" t="n">
        <x:v>8000000</x:v>
      </x:c>
      <x:c r="F4" s="8" t="n">
        <x:v>64000</x:v>
      </x:c>
      <x:c r="G4" s="1" t="str">
        <x:v>sf</x:v>
      </x:c>
      <x:c r="H4" s="11" t="n">
        <x:f>E4/F4</x:f>
        <x:v>125</x:v>
      </x:c>
      <x:c r="I4" s="12" t="n">
        <x:v>0.8</x:v>
      </x:c>
      <x:c r="J4" s="1" t="str">
        <x:v>S-R6807 (dup S-R8212)</x:v>
      </x:c>
    </x:row>
    <x:row r="5" ht="22" customHeight="1">
      <x:c r="A5" s="1" t="n">
        <x:v>2</x:v>
      </x:c>
      <x:c r="B5" s="1" t="str">
        <x:v>R1278</x:v>
      </x:c>
      <x:c r="C5" s="1" t="str">
        <x:v>CYPRESS-SAL-84892</x:v>
      </x:c>
      <x:c r="D5" s="1" t="str">
        <x:v>2026-03-06</x:v>
      </x:c>
      <x:c r="E5" s="8" t="n">
        <x:v>9300000</x:v>
      </x:c>
      <x:c r="F5" s="8" t="n">
        <x:v>68800</x:v>
      </x:c>
      <x:c r="G5" s="1" t="str">
        <x:v>sf</x:v>
      </x:c>
      <x:c r="H5" s="11" t="n">
        <x:f>E5/F5</x:f>
        <x:v>135.17441860465115</x:v>
      </x:c>
      <x:c r="I5" s="12" t="n">
        <x:v>1.03</x:v>
      </x:c>
      <x:c r="J5" s="1" t="str">
        <x:v>S-R1278; U-R1278-1</x:v>
      </x:c>
    </x:row>
    <x:row r="6" ht="22" customHeight="1">
      <x:c r="A6" s="1" t="n">
        <x:v>3</x:v>
      </x:c>
      <x:c r="B6" s="1" t="str">
        <x:v>R3282</x:v>
      </x:c>
      <x:c r="C6" s="1" t="str">
        <x:v>CYPRESS-SAL-51360</x:v>
      </x:c>
      <x:c r="D6" s="1" t="str">
        <x:v>2026-04-07</x:v>
      </x:c>
      <x:c r="E6" s="8" t="n">
        <x:v>9200000</x:v>
      </x:c>
      <x:c r="F6" s="8" t="n">
        <x:v>73600</x:v>
      </x:c>
      <x:c r="G6" s="1" t="str">
        <x:v>sf</x:v>
      </x:c>
      <x:c r="H6" s="11" t="n">
        <x:f>E6/F6</x:f>
        <x:v>125</x:v>
      </x:c>
      <x:c r="I6" s="12" t="n">
        <x:v>1.26</x:v>
      </x:c>
      <x:c r="J6" s="1" t="str">
        <x:v>S-R3282 (U-R3282-2 post-cutoff, excluded)</x:v>
      </x:c>
    </x:row>
    <x:row r="7" ht="22" customHeight="1">
      <x:c r="A7" s="1" t="n">
        <x:v>4</x:v>
      </x:c>
      <x:c r="B7" s="1" t="str">
        <x:v>R2008</x:v>
      </x:c>
      <x:c r="C7" s="1" t="str">
        <x:v>CYPRESS-SAL-79686</x:v>
      </x:c>
      <x:c r="D7" s="1" t="str">
        <x:v>2026-05-08</x:v>
      </x:c>
      <x:c r="E7" s="8" t="n">
        <x:v>9800000</x:v>
      </x:c>
      <x:c r="F7" s="8" t="n">
        <x:v>78400</x:v>
      </x:c>
      <x:c r="G7" s="1" t="str">
        <x:v>sf</x:v>
      </x:c>
      <x:c r="H7" s="11" t="n">
        <x:f>E7/F7</x:f>
        <x:v>125</x:v>
      </x:c>
      <x:c r="I7" s="12" t="n">
        <x:v>1.49</x:v>
      </x:c>
      <x:c r="J7" s="1" t="str">
        <x:v>S-R2008 (U-R2008-3 unsigned draft, excluded)</x:v>
      </x:c>
    </x:row>
    <x:row r="8" ht="22" customHeight="1">
      <x:c r="A8" s="1" t="n">
        <x:v>5</x:v>
      </x:c>
      <x:c r="B8" s="1" t="str">
        <x:v>R6608</x:v>
      </x:c>
      <x:c r="C8" s="1" t="str">
        <x:v>CYPRESS-SAL-19485</x:v>
      </x:c>
      <x:c r="D8" s="1" t="str">
        <x:v>2026-06-09</x:v>
      </x:c>
      <x:c r="E8" s="8" t="n">
        <x:v>10400000</x:v>
      </x:c>
      <x:c r="F8" s="8" t="n">
        <x:v>83200</x:v>
      </x:c>
      <x:c r="G8" s="1" t="str">
        <x:v>sf</x:v>
      </x:c>
      <x:c r="H8" s="11" t="n">
        <x:f>E8/F8</x:f>
        <x:v>125</x:v>
      </x:c>
      <x:c r="I8" s="12" t="n">
        <x:v>1.72</x:v>
      </x:c>
      <x:c r="J8" s="1" t="str">
        <x:v>S-R6608</x:v>
      </x:c>
    </x:row>
    <x:row r="10" ht="22" customHeight="1">
      <x:c r="A10" s="6" t="str">
        <x:v>Median $/sf</x:v>
      </x:c>
      <x:c r="B10" s="11" t="n">
        <x:f>MEDIAN(H4:H8)</x:f>
        <x:v>125</x:v>
      </x:c>
    </x:row>
    <x:row r="11" ht="22" customHeight="1">
      <x:c r="A11" s="6" t="str">
        <x:v>Min / Max $/sf</x:v>
      </x:c>
      <x:c r="B11" s="11" t="n">
        <x:f>MIN(H4:H8)</x:f>
        <x:v>125</x:v>
      </x:c>
      <x:c r="C11" s="11" t="n">
        <x:f>MAX(H4:H8)</x:f>
        <x:v>135.17441860465115</x:v>
      </x:c>
    </x:row>
  </x:sheetData>
  <x:pageMargins left="0.7" right="0.7" top="0.75" bottom="0.75" header="0.3" footer="0.3"/>
</x:worksheet>
</file>