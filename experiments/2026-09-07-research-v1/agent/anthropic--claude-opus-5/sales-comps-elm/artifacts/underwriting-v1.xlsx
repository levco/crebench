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3989963d124a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 Grid" sheetId="1" r:id="R47fca98fa2904058"/>
    <x:sheet xmlns:r="http://schemas.openxmlformats.org/officeDocument/2006/relationships" name="Excluded" sheetId="2" r:id="Re70475e6d2a645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"/>
    <x:numFmt numFmtId="202" formatCode="0.00"/>
    <x:numFmt numFmtId="203" formatCode="0"/>
  </x:numFmts>
  <x:fonts count="7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sz val="9"/>
      <x:color rgb="FF526258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b/>
      <x:sz val="10"/>
      <x:color rgb="FF17171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1" fillId="0" borderId="0" xfId="0" applyNumberFormat="1" applyFont="1" applyFill="1" applyBorder="1"/>
    <x:xf numFmtId="201" fontId="6" fillId="0" borderId="0" xfId="0" applyNumberFormat="1" applyFont="1" applyFill="1" applyBorder="1"/>
    <x:xf numFmtId="201" fontId="6" fillId="0" borderId="1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3" fontId="6" fillId="0" borderId="0" xfId="0" applyNumberFormat="1" applyFont="1" applyFill="1" applyBorder="1"/>
    <x:xf numFmtId="203" fontId="6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775bd912884494" /><Relationship Type="http://schemas.openxmlformats.org/officeDocument/2006/relationships/theme" Target="/xl/theme/theme1.xml" Id="R3a10ca362df54bf0" /><Relationship Type="http://schemas.openxmlformats.org/officeDocument/2006/relationships/sharedStrings" Target="/xl/sharedStrings.xml" Id="Rc385272a382e42bb" /><Relationship Type="http://schemas.openxmlformats.org/officeDocument/2006/relationships/worksheet" Target="/xl/worksheets/sheet1.xml" Id="R47fca98fa2904058" /><Relationship Type="http://schemas.openxmlformats.org/officeDocument/2006/relationships/worksheet" Target="/xl/worksheets/sheet2.xml" Id="Re70475e6d2a645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16" hidden="0" customWidth="1"/>
    <x:col min="3" max="3" width="16" hidden="0" customWidth="1"/>
    <x:col min="4" max="4" width="12" hidden="0" customWidth="1"/>
    <x:col min="5" max="5" width="16" hidden="0" customWidth="1"/>
    <x:col min="6" max="6" width="14" hidden="0" customWidth="1"/>
    <x:col min="7" max="7" width="10" hidden="0" customWidth="1"/>
    <x:col min="8" max="8" width="14" hidden="0" customWidth="1"/>
    <x:col min="9" max="9" width="30" hidden="0" customWidth="1"/>
  </x:cols>
  <x:sheetData>
    <x:row r="1" ht="27" customHeight="1">
      <x:c r="A1" s="2" t="str">
        <x:v>Sales Comp Grid - Retail, Raleigh (closed 2025-09-01 to 2026-08-31, &lt;=8 mi, 29,250-65,250 sf)</x:v>
      </x:c>
    </x:row>
    <x:row r="2" ht="36" customHeight="1">
      <x:c r="A2" s="4" t="str">
        <x:v>As-of cutoff 2026-08-31. Ranked by distance ascending, then most recent closing date.</x:v>
      </x:c>
    </x:row>
    <x:row r="3" ht="25" customHeight="1">
      <x:c r="A3" s="6" t="str">
        <x:v>record_id</x:v>
      </x:c>
      <x:c r="B3" s="6" t="str">
        <x:v>entity_id</x:v>
      </x:c>
      <x:c r="C3" s="6" t="str">
        <x:v>event_date</x:v>
      </x:c>
      <x:c r="D3" s="6" t="str">
        <x:v>consideration_usd</x:v>
      </x:c>
      <x:c r="E3" s="6" t="str">
        <x:v>property_size (sf)</x:v>
      </x:c>
      <x:c r="F3" s="6" t="str">
        <x:v>price_per_unit (USD/sf)</x:v>
      </x:c>
      <x:c r="G3" s="6" t="str">
        <x:v>distance_miles</x:v>
      </x:c>
      <x:c r="H3" s="6" t="str">
        <x:v>condition</x:v>
      </x:c>
      <x:c r="I3" s="6" t="str">
        <x:v>source_ids</x:v>
      </x:c>
    </x:row>
    <x:row r="4" ht="36" customHeight="1">
      <x:c r="A4" s="1" t="str">
        <x:v>R4105</x:v>
      </x:c>
      <x:c r="B4" s="1" t="str">
        <x:v>ELM-SAL-91902</x:v>
      </x:c>
      <x:c r="C4" s="1" t="str">
        <x:v>2026-02-05</x:v>
      </x:c>
      <x:c r="D4" s="8" t="n">
        <x:v>14400000</x:v>
      </x:c>
      <x:c r="E4" s="8" t="n">
        <x:v>36000</x:v>
      </x:c>
      <x:c r="F4" s="11" t="n">
        <x:f>D4/E4</x:f>
        <x:v>400</x:v>
      </x:c>
      <x:c r="G4" s="12" t="n">
        <x:v>0.8</x:v>
      </x:c>
      <x:c r="H4" s="1" t="str">
        <x:v>stabilized</x:v>
      </x:c>
      <x:c r="I4" s="4" t="str">
        <x:v>S-R4105 (duplicate second source S-R3577)</x:v>
      </x:c>
    </x:row>
    <x:row r="5" ht="36" customHeight="1">
      <x:c r="A5" s="1" t="str">
        <x:v>R8422</x:v>
      </x:c>
      <x:c r="B5" s="1" t="str">
        <x:v>ELM-SAL-64090</x:v>
      </x:c>
      <x:c r="C5" s="1" t="str">
        <x:v>2026-03-06</x:v>
      </x:c>
      <x:c r="D5" s="8" t="n">
        <x:v>16740000</x:v>
      </x:c>
      <x:c r="E5" s="8" t="n">
        <x:v>38700</x:v>
      </x:c>
      <x:c r="F5" s="11" t="n">
        <x:f>D5/E5</x:f>
        <x:v>432.5581395348837</x:v>
      </x:c>
      <x:c r="G5" s="12" t="n">
        <x:v>1.03</x:v>
      </x:c>
      <x:c r="H5" s="1" t="str">
        <x:v>stabilized</x:v>
      </x:c>
      <x:c r="I5" s="4" t="str">
        <x:v>S-R8422; U-R8422-1 (executed amendment)</x:v>
      </x:c>
    </x:row>
    <x:row r="6" ht="36" customHeight="1">
      <x:c r="A6" s="1" t="str">
        <x:v>R3397</x:v>
      </x:c>
      <x:c r="B6" s="1" t="str">
        <x:v>ELM-SAL-96210</x:v>
      </x:c>
      <x:c r="C6" s="1" t="str">
        <x:v>2026-04-07</x:v>
      </x:c>
      <x:c r="D6" s="8" t="n">
        <x:v>16560000</x:v>
      </x:c>
      <x:c r="E6" s="8" t="n">
        <x:v>41400</x:v>
      </x:c>
      <x:c r="F6" s="11" t="n">
        <x:f>D6/E6</x:f>
        <x:v>400</x:v>
      </x:c>
      <x:c r="G6" s="12" t="n">
        <x:v>1.26</x:v>
      </x:c>
      <x:c r="H6" s="1" t="str">
        <x:v>stabilized</x:v>
      </x:c>
      <x:c r="I6" s="4" t="str">
        <x:v>S-R3397 (U-R3397-2 excluded: published 2026-09-10, after cutoff)</x:v>
      </x:c>
    </x:row>
    <x:row r="8" ht="25" customHeight="1">
      <x:c r="A8" s="6" t="str">
        <x:v>Summary statistics</x:v>
      </x:c>
    </x:row>
    <x:row r="9" ht="22" customHeight="1">
      <x:c r="A9" s="1" t="str">
        <x:v>Count of comps</x:v>
      </x:c>
      <x:c r="B9" s="15" t="n">
        <x:f>COUNT(F4:F6)</x:f>
        <x:v>3</x:v>
      </x:c>
    </x:row>
    <x:row r="10" ht="22" customHeight="1">
      <x:c r="A10" s="1" t="str">
        <x:v>Min price per sf</x:v>
      </x:c>
      <x:c r="B10" s="11" t="n">
        <x:f>MIN(F4:F6)</x:f>
        <x:v>400</x:v>
      </x:c>
    </x:row>
    <x:row r="11" ht="22" customHeight="1">
      <x:c r="A11" s="1" t="str">
        <x:v>Max price per sf</x:v>
      </x:c>
      <x:c r="B11" s="11" t="n">
        <x:f>MAX(F4:F6)</x:f>
        <x:v>432.5581395348837</x:v>
      </x:c>
    </x:row>
    <x:row r="12" ht="22" customHeight="1">
      <x:c r="A12" s="1" t="str">
        <x:v>Average price per sf</x:v>
      </x:c>
      <x:c r="B12" s="11" t="n">
        <x:f>SUM(D4:D6)/SUM(E4:E6)</x:f>
        <x:v>410.85271317829455</x:v>
      </x:c>
    </x:row>
    <x:row r="14" ht="36" customHeight="1">
      <x:c r="A14" s="4" t="str">
        <x:v>Notes: 2 duplicate records of entity ELM-SAL-91902 (R4105 base, R3577 second source) consolidated into one slot. Only 3 of 21 base records qualified.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6" hidden="0" customWidth="1"/>
    <x:col min="3" max="3" width="52" hidden="0" customWidth="1"/>
    <x:col min="4" max="4" width="24" hidden="0" customWidth="1"/>
  </x:cols>
  <x:sheetData>
    <x:row r="1" ht="25" customHeight="1">
      <x:c r="A1" s="6" t="str">
        <x:v>record_id</x:v>
      </x:c>
      <x:c r="B1" s="6" t="str">
        <x:v>entity_id</x:v>
      </x:c>
      <x:c r="C1" s="6" t="str">
        <x:v>exclusion reason</x:v>
      </x:c>
      <x:c r="D1" s="6" t="str">
        <x:v>source_ids</x:v>
      </x:c>
    </x:row>
    <x:row r="2" ht="36" customHeight="1">
      <x:c r="A2" s="1" t="str">
        <x:v>R8129</x:v>
      </x:c>
      <x:c r="B2" s="1" t="str">
        <x:v>ELM-SAL-50563</x:v>
      </x:c>
      <x:c r="C2" s="1" t="str">
        <x:v>Redevelopment condition (not stabilized)</x:v>
      </x:c>
      <x:c r="D2" s="4" t="str">
        <x:v>S-R8129</x:v>
      </x:c>
    </x:row>
    <x:row r="3" ht="36" customHeight="1">
      <x:c r="A3" s="1" t="str">
        <x:v>R7280</x:v>
      </x:c>
      <x:c r="B3" s="1" t="str">
        <x:v>ELM-SAL-84299</x:v>
      </x:c>
      <x:c r="C3" s="1" t="str">
        <x:v>Asset type amended to Office</x:v>
      </x:c>
      <x:c r="D3" s="4" t="str">
        <x:v>S-R7280; U-R7280-6</x:v>
      </x:c>
    </x:row>
    <x:row r="4" ht="36" customHeight="1">
      <x:c r="A4" s="1" t="str">
        <x:v>R7302</x:v>
      </x:c>
      <x:c r="B4" s="1" t="str">
        <x:v>ELM-SAL-58336</x:v>
      </x:c>
      <x:c r="C4" s="1" t="str">
        <x:v>Asset type amended to Office</x:v>
      </x:c>
      <x:c r="D4" s="4" t="str">
        <x:v>S-R7302; U-R7302-5</x:v>
      </x:c>
    </x:row>
    <x:row r="5" ht="36" customHeight="1">
      <x:c r="A5" s="1" t="str">
        <x:v>R3794</x:v>
      </x:c>
      <x:c r="B5" s="1" t="str">
        <x:v>ELM-SAL-70740</x:v>
      </x:c>
      <x:c r="C5" s="1" t="str">
        <x:v>Closed 2024-02-10, outside 2025-09-01 to 2026-08-31 window</x:v>
      </x:c>
      <x:c r="D5" s="4" t="str">
        <x:v>S-R3794</x:v>
      </x:c>
    </x:row>
    <x:row r="6" ht="36" customHeight="1">
      <x:c r="A6" s="1" t="str">
        <x:v>R2952</x:v>
      </x:c>
      <x:c r="B6" s="1" t="str">
        <x:v>ELM-SAL-82982</x:v>
      </x:c>
      <x:c r="C6" s="1" t="str">
        <x:v>18.6 miles, outside 8-mile radius</x:v>
      </x:c>
      <x:c r="D6" s="4" t="str">
        <x:v>S-R2952</x:v>
      </x:c>
    </x:row>
    <x:row r="7" ht="36" customHeight="1">
      <x:c r="A7" s="1" t="str">
        <x:v>R3577</x:v>
      </x:c>
      <x:c r="B7" s="1" t="str">
        <x:v>ELM-SAL-91902</x:v>
      </x:c>
      <x:c r="C7" s="1" t="str">
        <x:v>Eligible but duplicate of R4105 (same entity); no second slot</x:v>
      </x:c>
      <x:c r="D7" s="4" t="str">
        <x:v>S-R3577; S-R4105</x:v>
      </x:c>
    </x:row>
    <x:row r="8" ht="36" customHeight="1">
      <x:c r="A8" s="1" t="str">
        <x:v>R3742</x:v>
      </x:c>
      <x:c r="B8" s="1" t="str">
        <x:v>ELM-SAL-21445</x:v>
      </x:c>
      <x:c r="C8" s="1" t="str">
        <x:v>Asset type amended to Office</x:v>
      </x:c>
      <x:c r="D8" s="4" t="str">
        <x:v>S-R3742; U-R3742-7</x:v>
      </x:c>
    </x:row>
    <x:row r="9" ht="36" customHeight="1">
      <x:c r="A9" s="1" t="str">
        <x:v>R8218</x:v>
      </x:c>
      <x:c r="B9" s="1" t="str">
        <x:v>ELM-SAL-39386</x:v>
      </x:c>
      <x:c r="C9" s="1" t="str">
        <x:v>Consideration null (unknown), not known positive</x:v>
      </x:c>
      <x:c r="D9" s="4" t="str">
        <x:v>S-R8218</x:v>
      </x:c>
    </x:row>
    <x:row r="10" ht="36" customHeight="1">
      <x:c r="A10" s="1" t="str">
        <x:v>R5078</x:v>
      </x:c>
      <x:c r="B10" s="1" t="str">
        <x:v>ELM-SAL-41773</x:v>
      </x:c>
      <x:c r="C10" s="1" t="str">
        <x:v>Office asset type, out of scope</x:v>
      </x:c>
      <x:c r="D10" s="4" t="str">
        <x:v>S-R5078</x:v>
      </x:c>
    </x:row>
    <x:row r="11" ht="36" customHeight="1">
      <x:c r="A11" s="1" t="str">
        <x:v>R4512</x:v>
      </x:c>
      <x:c r="B11" s="1" t="str">
        <x:v>ELM-SAL-83019</x:v>
      </x:c>
      <x:c r="C11" s="1" t="str">
        <x:v>Size unit is acre, not sf (incorrect size unit)</x:v>
      </x:c>
      <x:c r="D11" s="4" t="str">
        <x:v>S-R4512</x:v>
      </x:c>
    </x:row>
    <x:row r="12" ht="36" customHeight="1">
      <x:c r="A12" s="1" t="str">
        <x:v>R4218</x:v>
      </x:c>
      <x:c r="B12" s="1" t="str">
        <x:v>ELM-SAL-43118</x:v>
      </x:c>
      <x:c r="C12" s="1" t="str">
        <x:v>94,500 sf exceeds 65,250 sf maximum</x:v>
      </x:c>
      <x:c r="D12" s="4" t="str">
        <x:v>S-R4218</x:v>
      </x:c>
    </x:row>
    <x:row r="13" ht="36" customHeight="1">
      <x:c r="A13" s="1" t="str">
        <x:v>R6058</x:v>
      </x:c>
      <x:c r="B13" s="1" t="str">
        <x:v>ELM-SAL-70158</x:v>
      </x:c>
      <x:c r="C13" s="1" t="str">
        <x:v>Minority equity interest, not fee simple</x:v>
      </x:c>
      <x:c r="D13" s="4" t="str">
        <x:v>S-R6058</x:v>
      </x:c>
    </x:row>
    <x:row r="14" ht="36" customHeight="1">
      <x:c r="A14" s="1" t="str">
        <x:v>R2453</x:v>
      </x:c>
      <x:c r="B14" s="1" t="str">
        <x:v>ELM-SAL-62140</x:v>
      </x:c>
      <x:c r="C14" s="1" t="str">
        <x:v>Source published 2026-09-03, after cutoff</x:v>
      </x:c>
      <x:c r="D14" s="4" t="str">
        <x:v>S-R2453</x:v>
      </x:c>
    </x:row>
    <x:row r="15" ht="36" customHeight="1">
      <x:c r="A15" s="1" t="str">
        <x:v>R7069</x:v>
      </x:c>
      <x:c r="B15" s="1" t="str">
        <x:v>ELM-SAL-40404</x:v>
      </x:c>
      <x:c r="C15" s="1" t="str">
        <x:v>Asset type amended to Office (unsigned draft price change ignored)</x:v>
      </x:c>
      <x:c r="D15" s="4" t="str">
        <x:v>S-R7069; U-R7069-4; U-R7069-3</x:v>
      </x:c>
    </x:row>
    <x:row r="16" ht="36" customHeight="1">
      <x:c r="A16" s="1" t="str">
        <x:v>R8810</x:v>
      </x:c>
      <x:c r="B16" s="1" t="str">
        <x:v>ELM-SAL-50672</x:v>
      </x:c>
      <x:c r="C16" s="1" t="str">
        <x:v>Related-party transaction</x:v>
      </x:c>
      <x:c r="D16" s="4" t="str">
        <x:v>S-R8810</x:v>
      </x:c>
    </x:row>
    <x:row r="17" ht="36" customHeight="1">
      <x:c r="A17" s="1" t="str">
        <x:v>R4592</x:v>
      </x:c>
      <x:c r="B17" s="1" t="str">
        <x:v>ELM-SAL-32403</x:v>
      </x:c>
      <x:c r="C17" s="1" t="str">
        <x:v>Unallocated portfolio price</x:v>
      </x:c>
      <x:c r="D17" s="4" t="str">
        <x:v>S-R4592</x:v>
      </x:c>
    </x:row>
    <x:row r="18" ht="36" customHeight="1">
      <x:c r="A18" s="1" t="str">
        <x:v>R6121</x:v>
      </x:c>
      <x:c r="B18" s="1" t="str">
        <x:v>ELM-SAL-85659</x:v>
      </x:c>
      <x:c r="C18" s="1" t="str">
        <x:v>Listing, not a closed sale</x:v>
      </x:c>
      <x:c r="D18" s="4" t="str">
        <x:v>S-R6121</x:v>
      </x:c>
    </x:row>
  </x:sheetData>
  <x:pageMargins left="0.7" right="0.7" top="0.75" bottom="0.75" header="0.3" footer="0.3"/>
</x:worksheet>
</file>