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f3a0d82bb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45a9a2f594b3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1bf24535046ba" /><Relationship Type="http://schemas.openxmlformats.org/officeDocument/2006/relationships/theme" Target="/xl/theme/theme1.xml" Id="Rdcd259e3191c4a5b" /><Relationship Type="http://schemas.openxmlformats.org/officeDocument/2006/relationships/sharedStrings" Target="/xl/sharedStrings.xml" Id="R59ad043d38e14949" /><Relationship Type="http://schemas.openxmlformats.org/officeDocument/2006/relationships/worksheet" Target="/xl/worksheets/sheet1.xml" Id="R45a9a2f594b347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8" hidden="0" customWidth="1"/>
    <x:col min="4" max="4" width="16" hidden="0" customWidth="1"/>
    <x:col min="5" max="5" width="12" hidden="0" customWidth="1"/>
    <x:col min="6" max="6" width="16" hidden="0" customWidth="1"/>
    <x:col min="7" max="7" width="12" hidden="0" customWidth="1"/>
    <x:col min="8" max="8" width="10" hidden="0" customWidth="1"/>
    <x:col min="9" max="9" width="14" hidden="0" customWidth="1"/>
    <x:col min="10" max="10" width="10" hidden="0" customWidth="1"/>
    <x:col min="11" max="11" width="30" hidden="0" customWidth="1"/>
  </x:cols>
  <x:sheetData>
    <x:row r="1" ht="27" customHeight="1">
      <x:c r="A1" s="2" t="str">
        <x:v>Sales Comps - Multifamily, Charlotte (as of 2026-08-31)</x:v>
      </x:c>
    </x:row>
    <x:row r="2" ht="36" customHeight="1">
      <x:c r="A2" s="4" t="str">
        <x:v>Closed 2025-09-01 to 2026-08-31; &lt;=8 mi; 52-116 units; stabilized, single-asset, fee-simple, unrelated party; ranked by distance then recency</x:v>
      </x:c>
    </x:row>
    <x:row r="3" ht="25" customHeight="1">
      <x:c r="A3" s="6" t="str">
        <x:v>Rank</x:v>
      </x:c>
      <x:c r="B3" s="6" t="str">
        <x:v>Record</x:v>
      </x:c>
      <x:c r="C3" s="6" t="str">
        <x:v>Entity ID</x:v>
      </x:c>
      <x:c r="D3" s="6" t="str">
        <x:v>Name</x:v>
      </x:c>
      <x:c r="E3" s="6" t="str">
        <x:v>Event Date</x:v>
      </x:c>
      <x:c r="F3" s="6" t="str">
        <x:v>Consideration (USD)</x:v>
      </x:c>
      <x:c r="G3" s="6" t="str">
        <x:v>Property Size</x:v>
      </x:c>
      <x:c r="H3" s="6" t="str">
        <x:v>Size Unit</x:v>
      </x:c>
      <x:c r="I3" s="6" t="str">
        <x:v>Price / Unit</x:v>
      </x:c>
      <x:c r="J3" s="6" t="str">
        <x:v>Distance (mi)</x:v>
      </x:c>
      <x:c r="K3" s="6" t="str">
        <x:v>Source IDs</x:v>
      </x:c>
    </x:row>
    <x:row r="4" ht="36" customHeight="1">
      <x:c r="A4" s="1" t="n">
        <x:v>1</x:v>
      </x:c>
      <x:c r="B4" s="1" t="str">
        <x:v>R5793</x:v>
      </x:c>
      <x:c r="C4" s="1" t="str">
        <x:v>ALDER-SAL-26768</x:v>
      </x:c>
      <x:c r="D4" s="1" t="str">
        <x:v>Alder Park 1</x:v>
      </x:c>
      <x:c r="E4" s="1" t="str">
        <x:v>2026-02-05</x:v>
      </x:c>
      <x:c r="F4" s="8" t="n">
        <x:v>24000000</x:v>
      </x:c>
      <x:c r="G4" s="8" t="n">
        <x:v>64</x:v>
      </x:c>
      <x:c r="H4" s="1" t="str">
        <x:v>unit</x:v>
      </x:c>
      <x:c r="I4" s="11" t="n">
        <x:f>F4/G4</x:f>
        <x:v>375000</x:v>
      </x:c>
      <x:c r="J4" s="12" t="n">
        <x:v>0.8</x:v>
      </x:c>
      <x:c r="K4" s="4" t="str">
        <x:v>S-R5793 (duplicate of S-R8631, same entity)</x:v>
      </x:c>
    </x:row>
    <x:row r="5" ht="36" customHeight="1">
      <x:c r="A5" s="1" t="n">
        <x:v>2</x:v>
      </x:c>
      <x:c r="B5" s="1" t="str">
        <x:v>R2721</x:v>
      </x:c>
      <x:c r="C5" s="1" t="str">
        <x:v>ALDER-SAL-30580</x:v>
      </x:c>
      <x:c r="D5" s="1" t="str">
        <x:v>Alder Point 2</x:v>
      </x:c>
      <x:c r="E5" s="1" t="str">
        <x:v>2026-03-06</x:v>
      </x:c>
      <x:c r="F5" s="8" t="n">
        <x:v>27900000</x:v>
      </x:c>
      <x:c r="G5" s="8" t="n">
        <x:v>69</x:v>
      </x:c>
      <x:c r="H5" s="1" t="str">
        <x:v>unit</x:v>
      </x:c>
      <x:c r="I5" s="11" t="n">
        <x:f>F5/G5</x:f>
        <x:v>404347.82608695654</x:v>
      </x:c>
      <x:c r="J5" s="12" t="n">
        <x:v>1.03</x:v>
      </x:c>
      <x:c r="K5" s="4" t="str">
        <x:v>S-R2721; U-R2721-1 (executed amendment)</x:v>
      </x:c>
    </x:row>
    <x:row r="6" ht="36" customHeight="1">
      <x:c r="A6" s="1" t="n">
        <x:v>3</x:v>
      </x:c>
      <x:c r="B6" s="1" t="str">
        <x:v>R1038</x:v>
      </x:c>
      <x:c r="C6" s="1" t="str">
        <x:v>ALDER-SAL-50728</x:v>
      </x:c>
      <x:c r="D6" s="1" t="str">
        <x:v>Alder Grove 3</x:v>
      </x:c>
      <x:c r="E6" s="1" t="str">
        <x:v>2026-04-07</x:v>
      </x:c>
      <x:c r="F6" s="8" t="n">
        <x:v>27600000</x:v>
      </x:c>
      <x:c r="G6" s="8" t="n">
        <x:v>74</x:v>
      </x:c>
      <x:c r="H6" s="1" t="str">
        <x:v>unit</x:v>
      </x:c>
      <x:c r="I6" s="11" t="n">
        <x:f>F6/G6</x:f>
        <x:v>372972.97297297296</x:v>
      </x:c>
      <x:c r="J6" s="12" t="n">
        <x:v>1.26</x:v>
      </x:c>
      <x:c r="K6" s="4" t="str">
        <x:v>S-R1038 (U-R1038-2 dated after cutoff; excluded)</x:v>
      </x:c>
    </x:row>
    <x:row r="7" ht="36" customHeight="1">
      <x:c r="A7" s="1" t="n">
        <x:v>4</x:v>
      </x:c>
      <x:c r="B7" s="1" t="str">
        <x:v>R4976</x:v>
      </x:c>
      <x:c r="C7" s="1" t="str">
        <x:v>ALDER-SAL-87412</x:v>
      </x:c>
      <x:c r="D7" s="1" t="str">
        <x:v>Alder Park 4</x:v>
      </x:c>
      <x:c r="E7" s="1" t="str">
        <x:v>2026-05-08</x:v>
      </x:c>
      <x:c r="F7" s="8" t="n">
        <x:v>29400000</x:v>
      </x:c>
      <x:c r="G7" s="8" t="n">
        <x:v>78</x:v>
      </x:c>
      <x:c r="H7" s="1" t="str">
        <x:v>unit</x:v>
      </x:c>
      <x:c r="I7" s="11" t="n">
        <x:f>F7/G7</x:f>
        <x:v>376923.07692307694</x:v>
      </x:c>
      <x:c r="J7" s="12" t="n">
        <x:v>1.49</x:v>
      </x:c>
      <x:c r="K7" s="4" t="str">
        <x:v>S-R4976 (U-R4976-3 unsigned draft; not applied)</x:v>
      </x:c>
    </x:row>
    <x:row r="8" ht="36" customHeight="1">
      <x:c r="A8" s="1" t="n">
        <x:v>5</x:v>
      </x:c>
      <x:c r="B8" s="1" t="str">
        <x:v>R1363</x:v>
      </x:c>
      <x:c r="C8" s="1" t="str">
        <x:v>ALDER-SAL-96959</x:v>
      </x:c>
      <x:c r="D8" s="1" t="str">
        <x:v>Alder Park 5</x:v>
      </x:c>
      <x:c r="E8" s="1" t="str">
        <x:v>2026-06-09</x:v>
      </x:c>
      <x:c r="F8" s="8" t="n">
        <x:v>31200000</x:v>
      </x:c>
      <x:c r="G8" s="8" t="n">
        <x:v>83</x:v>
      </x:c>
      <x:c r="H8" s="1" t="str">
        <x:v>unit</x:v>
      </x:c>
      <x:c r="I8" s="11" t="n">
        <x:f>F8/G8</x:f>
        <x:v>375903.6144578313</x:v>
      </x:c>
      <x:c r="J8" s="12" t="n">
        <x:v>1.72</x:v>
      </x:c>
      <x:c r="K8" s="4" t="str">
        <x:v>S-R1363 (USD_thousands normalized)</x:v>
      </x:c>
    </x:row>
    <x:row r="10" ht="22" customHeight="1">
      <x:c r="A10" s="6" t="str">
        <x:v>Median price per unit</x:v>
      </x:c>
      <x:c r="I10" s="11" t="n">
        <x:f>MEDIAN(I4:I8)</x:f>
        <x:v>375903.6144578313</x:v>
      </x:c>
    </x:row>
    <x:row r="11" ht="22" customHeight="1">
      <x:c r="A11" s="6" t="str">
        <x:v>Average price per unit</x:v>
      </x:c>
      <x:c r="I11" s="11" t="n">
        <x:f>AVERAGE(I4:I8)</x:f>
        <x:v>381029.4980881676</x:v>
      </x:c>
    </x:row>
  </x:sheetData>
  <x:pageMargins left="0.7" right="0.7" top="0.75" bottom="0.75" header="0.3" footer="0.3"/>
</x:worksheet>
</file>