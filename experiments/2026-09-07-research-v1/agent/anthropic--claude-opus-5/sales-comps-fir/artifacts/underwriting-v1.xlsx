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81a4e833724a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 Grid" sheetId="1" r:id="R393de21721d744dc"/>
    <x:sheet xmlns:r="http://schemas.openxmlformats.org/officeDocument/2006/relationships" name="Screening" sheetId="2" r:id="R632d87c739704f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171717"/>
      <x:name val="Arial"/>
    </x:font>
    <x:font>
      <x:b/>
      <x:sz val="15"/>
      <x:color rgb="FF171717"/>
      <x:name val="Arial"/>
    </x:font>
    <x:font>
      <x:sz val="9"/>
      <x:color rgb="FF526258"/>
      <x:name val="Arial"/>
    </x:font>
    <x:font>
      <x:b/>
      <x:sz val="10"/>
      <x:color rgb="FFFFFFFF"/>
      <x:name val="Arial"/>
    </x:font>
    <x:font>
      <x:b/>
      <x:sz val="10"/>
      <x:color rgb="FF17171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F32"/>
      </x:patternFill>
    </x:fill>
  </x:fills>
  <x:borders count="2">
    <x:border/>
    <x:border>
      <x:bottom style="thin">
        <x:color rgb="FFAAB8AF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2dd77f5f2f426e" /><Relationship Type="http://schemas.openxmlformats.org/officeDocument/2006/relationships/theme" Target="/xl/theme/theme1.xml" Id="Rd1a7c3d8985e4a9c" /><Relationship Type="http://schemas.microsoft.com/office/2022/11/relationships/FeaturePropertyBag" Target="/xl/featurePropertyBag/featurePropertyBag.xml" Id="R058573e58d494fcc" /><Relationship Type="http://schemas.openxmlformats.org/officeDocument/2006/relationships/sharedStrings" Target="/xl/sharedStrings.xml" Id="R7f4bacd280bf45b8" /><Relationship Type="http://schemas.openxmlformats.org/officeDocument/2006/relationships/worksheet" Target="/xl/worksheets/sheet1.xml" Id="R393de21721d744dc" /><Relationship Type="http://schemas.openxmlformats.org/officeDocument/2006/relationships/worksheet" Target="/xl/worksheets/sheet2.xml" Id="R632d87c739704fd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12" hidden="0" customWidth="1"/>
    <x:col min="4" max="4" width="18" hidden="0" customWidth="1"/>
    <x:col min="5" max="5" width="14" hidden="0" customWidth="1"/>
    <x:col min="6" max="6" width="10" hidden="0" customWidth="1"/>
    <x:col min="7" max="7" width="14" hidden="0" customWidth="1"/>
    <x:col min="8" max="8" width="12" hidden="0" customWidth="1"/>
    <x:col min="9" max="9" width="30" hidden="0" customWidth="1"/>
  </x:cols>
  <x:sheetData>
    <x:row r="1" ht="27" customHeight="1">
      <x:c r="A1" s="2" t="str">
        <x:v>Sales Comps - Industrial / Dallas (as of 2026-08-31)</x:v>
      </x:c>
    </x:row>
    <x:row r="2" ht="36" customHeight="1">
      <x:c r="A2" s="4" t="str">
        <x:v>Window 2025-09-01 to 2026-08-31; &lt;=8 miles; 71,500-159,500 sf; stabilized, single-asset, fee-simple, unrelated party, known positive consideration, size unit = sf</x:v>
      </x:c>
    </x:row>
    <x:row r="4" ht="22" customHeight="1">
      <x:c r="A4" s="6" t="str">
        <x:v>Qualified comps selected</x:v>
      </x:c>
      <x:c r="B4" s="8" t="n">
        <x:v>0</x:v>
      </x:c>
    </x:row>
    <x:row r="6" ht="25" customHeight="1">
      <x:c r="A6" s="6" t="str">
        <x:v>record_id</x:v>
      </x:c>
      <x:c r="B6" s="6" t="str">
        <x:v>entity_id</x:v>
      </x:c>
      <x:c r="C6" s="6" t="str">
        <x:v>event_date</x:v>
      </x:c>
      <x:c r="D6" s="6" t="str">
        <x:v>consideration_usd</x:v>
      </x:c>
      <x:c r="E6" s="6" t="str">
        <x:v>property_size</x:v>
      </x:c>
      <x:c r="F6" s="6" t="str">
        <x:v>size_unit</x:v>
      </x:c>
      <x:c r="G6" s="6" t="str">
        <x:v>price_per_unit</x:v>
      </x:c>
      <x:c r="H6" s="6" t="str">
        <x:v>distance_miles</x:v>
      </x:c>
      <x:c r="I6" s="6" t="str">
        <x:v>source_ids</x:v>
      </x:c>
    </x:row>
    <x:row r="7" ht="22" customHeight="1">
      <x:c r="A7" s="1" t="str">
        <x:v>NONE - no qualifying closed sale in scope</x:v>
      </x:c>
      <x:c r="D7" s="1"/>
      <x:c r="E7" s="1"/>
      <x:c r="G7" s="1"/>
    </x:row>
    <x:row r="9" ht="36" customHeight="1">
      <x:c r="A9" s="4" t="str">
        <x:v>All 20 base records were screened out; see Screening sheet for record-level reasons and citations.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14" hidden="0" customWidth="1"/>
    <x:col min="4" max="4" width="16" hidden="0" customWidth="1"/>
    <x:col min="5" max="5" width="10" hidden="0" customWidth="1"/>
    <x:col min="6" max="6" width="62" hidden="0" customWidth="1"/>
  </x:cols>
  <x:sheetData>
    <x:row r="1" ht="27" customHeight="1">
      <x:c r="A1" s="2" t="str">
        <x:v>Record-level eligibility screening (all base records)</x:v>
      </x:c>
    </x:row>
    <x:row r="2" ht="25" customHeight="1">
      <x:c r="A2" s="6" t="str">
        <x:v>record_id</x:v>
      </x:c>
      <x:c r="B2" s="6" t="str">
        <x:v>entity_id</x:v>
      </x:c>
      <x:c r="C2" s="6" t="str">
        <x:v>base_source_id</x:v>
      </x:c>
      <x:c r="D2" s="6" t="str">
        <x:v>controlling_update</x:v>
      </x:c>
      <x:c r="E2" s="6" t="str">
        <x:v>eligible</x:v>
      </x:c>
      <x:c r="F2" s="6" t="str">
        <x:v>reason</x:v>
      </x:c>
    </x:row>
    <x:row r="3" ht="36" customHeight="1">
      <x:c r="A3" s="1" t="str">
        <x:v>R8490</x:v>
      </x:c>
      <x:c r="B3" s="1" t="str">
        <x:v>FIR-SAL-26959</x:v>
      </x:c>
      <x:c r="C3" s="1" t="str">
        <x:v>S-R8490</x:v>
      </x:c>
      <x:c r="D3" s="1" t="str">
        <x:v>U-R8490-6</x:v>
      </x:c>
      <x:c r="E3" s="10" t="b">
        <x:v>0</x:v>
      </x:c>
      <x:c r="F3" s="11" t="str">
        <x:v>Executed amendment moves market to Seattle; outside Dallas scope. Later 2026-09-10 amendment ignored (post-cutoff).</x:v>
      </x:c>
    </x:row>
    <x:row r="4" ht="36" customHeight="1">
      <x:c r="A4" s="1" t="str">
        <x:v>R8993</x:v>
      </x:c>
      <x:c r="B4" s="1" t="str">
        <x:v>FIR-SAL-16417</x:v>
      </x:c>
      <x:c r="C4" s="1" t="str">
        <x:v>S-R8993</x:v>
      </x:c>
      <x:c r="D4" s="1"/>
      <x:c r="E4" s="10" t="b">
        <x:v>0</x:v>
      </x:c>
      <x:c r="F4" s="11" t="str">
        <x:v>Property size 231,000 sf exceeds 159,500 sf band.</x:v>
      </x:c>
    </x:row>
    <x:row r="5" ht="36" customHeight="1">
      <x:c r="A5" s="1" t="str">
        <x:v>R8114</x:v>
      </x:c>
      <x:c r="B5" s="1" t="str">
        <x:v>FIR-SAL-89538</x:v>
      </x:c>
      <x:c r="C5" s="1" t="str">
        <x:v>S-R8114</x:v>
      </x:c>
      <x:c r="D5" s="1"/>
      <x:c r="E5" s="10" t="b">
        <x:v>0</x:v>
      </x:c>
      <x:c r="F5" s="11" t="str">
        <x:v>Consideration null (unknown, not zero); positive consideration not evidenced.</x:v>
      </x:c>
    </x:row>
    <x:row r="6" ht="36" customHeight="1">
      <x:c r="A6" s="1" t="str">
        <x:v>R8252</x:v>
      </x:c>
      <x:c r="B6" s="1" t="str">
        <x:v>FIR-SAL-91456</x:v>
      </x:c>
      <x:c r="C6" s="1" t="str">
        <x:v>S-R8252</x:v>
      </x:c>
      <x:c r="D6" s="1"/>
      <x:c r="E6" s="10" t="b">
        <x:v>0</x:v>
      </x:c>
      <x:c r="F6" s="11" t="str">
        <x:v>Asset type Office, not Industrial.</x:v>
      </x:c>
    </x:row>
    <x:row r="7" ht="36" customHeight="1">
      <x:c r="A7" s="1" t="str">
        <x:v>R2607</x:v>
      </x:c>
      <x:c r="B7" s="1" t="str">
        <x:v>FIR-SAL-95060</x:v>
      </x:c>
      <x:c r="C7" s="1" t="str">
        <x:v>S-R2607</x:v>
      </x:c>
      <x:c r="D7" s="1" t="str">
        <x:v>U-R6997-4</x:v>
      </x:c>
      <x:c r="E7" s="10" t="b">
        <x:v>0</x:v>
      </x:c>
      <x:c r="F7" s="11" t="str">
        <x:v>Duplicate of R6997 (same entity/date/price); entity amendment moves market to Seattle.</x:v>
      </x:c>
    </x:row>
    <x:row r="8" ht="36" customHeight="1">
      <x:c r="A8" s="1" t="str">
        <x:v>R2188</x:v>
      </x:c>
      <x:c r="B8" s="1" t="str">
        <x:v>FIR-SAL-59912</x:v>
      </x:c>
      <x:c r="C8" s="1" t="str">
        <x:v>S-R2188</x:v>
      </x:c>
      <x:c r="D8" s="1"/>
      <x:c r="E8" s="10" t="b">
        <x:v>0</x:v>
      </x:c>
      <x:c r="F8" s="11" t="str">
        <x:v>Unallocated portfolio price; not a single-asset qualifying sale.</x:v>
      </x:c>
    </x:row>
    <x:row r="9" ht="36" customHeight="1">
      <x:c r="A9" s="1" t="str">
        <x:v>R7726</x:v>
      </x:c>
      <x:c r="B9" s="1" t="str">
        <x:v>FIR-SAL-55694</x:v>
      </x:c>
      <x:c r="C9" s="1" t="str">
        <x:v>S-R7726</x:v>
      </x:c>
      <x:c r="D9" s="1"/>
      <x:c r="E9" s="10" t="b">
        <x:v>0</x:v>
      </x:c>
      <x:c r="F9" s="11" t="str">
        <x:v>Published 2026-09-03, after the 2026-08-31 cutoff; later-dated evidence not usable.</x:v>
      </x:c>
    </x:row>
    <x:row r="10" ht="36" customHeight="1">
      <x:c r="A10" s="1" t="str">
        <x:v>R2939</x:v>
      </x:c>
      <x:c r="B10" s="1" t="str">
        <x:v>FIR-SAL-85658</x:v>
      </x:c>
      <x:c r="C10" s="1" t="str">
        <x:v>S-R2939</x:v>
      </x:c>
      <x:c r="D10" s="1"/>
      <x:c r="E10" s="10" t="b">
        <x:v>0</x:v>
      </x:c>
      <x:c r="F10" s="11" t="str">
        <x:v>Distance 18.6 miles exceeds 8-mile radius.</x:v>
      </x:c>
    </x:row>
    <x:row r="11" ht="36" customHeight="1">
      <x:c r="A11" s="1" t="str">
        <x:v>R6997</x:v>
      </x:c>
      <x:c r="B11" s="1" t="str">
        <x:v>FIR-SAL-95060</x:v>
      </x:c>
      <x:c r="C11" s="1" t="str">
        <x:v>S-R6997</x:v>
      </x:c>
      <x:c r="D11" s="1" t="str">
        <x:v>U-R6997-4</x:v>
      </x:c>
      <x:c r="E11" s="10" t="b">
        <x:v>0</x:v>
      </x:c>
      <x:c r="F11" s="11" t="str">
        <x:v>Executed amendment moves market to Seattle; outside Dallas scope.</x:v>
      </x:c>
    </x:row>
    <x:row r="12" ht="36" customHeight="1">
      <x:c r="A12" s="1" t="str">
        <x:v>R9929</x:v>
      </x:c>
      <x:c r="B12" s="1" t="str">
        <x:v>FIR-SAL-47218</x:v>
      </x:c>
      <x:c r="C12" s="1" t="str">
        <x:v>S-R9929</x:v>
      </x:c>
      <x:c r="D12" s="1" t="str">
        <x:v>U-R9929-5; U-R9929-1</x:v>
      </x:c>
      <x:c r="E12" s="10" t="b">
        <x:v>0</x:v>
      </x:c>
      <x:c r="F12" s="11" t="str">
        <x:v>Amended market Seattle (price amended to $14,880,000 but market disqualifies).</x:v>
      </x:c>
    </x:row>
    <x:row r="13" ht="36" customHeight="1">
      <x:c r="A13" s="1" t="str">
        <x:v>R9726</x:v>
      </x:c>
      <x:c r="B13" s="1" t="str">
        <x:v>FIR-SAL-48564</x:v>
      </x:c>
      <x:c r="C13" s="1" t="str">
        <x:v>S-R9726</x:v>
      </x:c>
      <x:c r="D13" s="1"/>
      <x:c r="E13" s="10" t="b">
        <x:v>0</x:v>
      </x:c>
      <x:c r="F13" s="11" t="str">
        <x:v>Related-party transaction.</x:v>
      </x:c>
    </x:row>
    <x:row r="14" ht="36" customHeight="1">
      <x:c r="A14" s="1" t="str">
        <x:v>R8402</x:v>
      </x:c>
      <x:c r="B14" s="1" t="str">
        <x:v>FIR-SAL-10084</x:v>
      </x:c>
      <x:c r="C14" s="1" t="str">
        <x:v>S-R8402</x:v>
      </x:c>
      <x:c r="D14" s="1"/>
      <x:c r="E14" s="10" t="b">
        <x:v>0</x:v>
      </x:c>
      <x:c r="F14" s="11" t="str">
        <x:v>Minority equity interest, not fee-simple whole-asset sale.</x:v>
      </x:c>
    </x:row>
    <x:row r="15" ht="36" customHeight="1">
      <x:c r="A15" s="1" t="str">
        <x:v>R2942</x:v>
      </x:c>
      <x:c r="B15" s="1" t="str">
        <x:v>FIR-SAL-14121</x:v>
      </x:c>
      <x:c r="C15" s="1" t="str">
        <x:v>S-R2942</x:v>
      </x:c>
      <x:c r="D15" s="1"/>
      <x:c r="E15" s="10" t="b">
        <x:v>0</x:v>
      </x:c>
      <x:c r="F15" s="11" t="str">
        <x:v>Closed 2024-02-10, outside 2025-09-01 to 2026-08-31 window.</x:v>
      </x:c>
    </x:row>
    <x:row r="16" ht="36" customHeight="1">
      <x:c r="A16" s="1" t="str">
        <x:v>R3099</x:v>
      </x:c>
      <x:c r="B16" s="1" t="str">
        <x:v>FIR-SAL-27341</x:v>
      </x:c>
      <x:c r="C16" s="1" t="str">
        <x:v>S-R3099</x:v>
      </x:c>
      <x:c r="D16" s="1"/>
      <x:c r="E16" s="10" t="b">
        <x:v>0</x:v>
      </x:c>
      <x:c r="F16" s="11" t="str">
        <x:v>Status listing, not a closed sale.</x:v>
      </x:c>
    </x:row>
    <x:row r="17" ht="36" customHeight="1">
      <x:c r="A17" s="1" t="str">
        <x:v>R3387</x:v>
      </x:c>
      <x:c r="B17" s="1" t="str">
        <x:v>FIR-SAL-97680</x:v>
      </x:c>
      <x:c r="C17" s="1" t="str">
        <x:v>S-R3387</x:v>
      </x:c>
      <x:c r="D17" s="1"/>
      <x:c r="E17" s="10" t="b">
        <x:v>0</x:v>
      </x:c>
      <x:c r="F17" s="11" t="str">
        <x:v>Size unit reported in acres; incorrect size unit for sf screen.</x:v>
      </x:c>
    </x:row>
    <x:row r="18" ht="36" customHeight="1">
      <x:c r="A18" s="1" t="str">
        <x:v>R8382</x:v>
      </x:c>
      <x:c r="B18" s="1" t="str">
        <x:v>FIR-SAL-46518</x:v>
      </x:c>
      <x:c r="C18" s="1" t="str">
        <x:v>S-R8382</x:v>
      </x:c>
      <x:c r="D18" s="1" t="str">
        <x:v>U-R8382-7</x:v>
      </x:c>
      <x:c r="E18" s="10" t="b">
        <x:v>0</x:v>
      </x:c>
      <x:c r="F18" s="11" t="str">
        <x:v>Executed amendment moves market to Seattle. Unsigned draft U-R8382-3 price change disregarded.</x:v>
      </x:c>
    </x:row>
    <x:row r="19" ht="36" customHeight="1">
      <x:c r="A19" s="1" t="str">
        <x:v>R7274</x:v>
      </x:c>
      <x:c r="B19" s="1" t="str">
        <x:v>FIR-SAL-82857</x:v>
      </x:c>
      <x:c r="C19" s="1" t="str">
        <x:v>S-R7274</x:v>
      </x:c>
      <x:c r="D19" s="1" t="str">
        <x:v>U-R7274-9</x:v>
      </x:c>
      <x:c r="E19" s="10" t="b">
        <x:v>0</x:v>
      </x:c>
      <x:c r="F19" s="11" t="str">
        <x:v>Executed amendment moves market to Seattle; outside Dallas scope.</x:v>
      </x:c>
    </x:row>
    <x:row r="20" ht="36" customHeight="1">
      <x:c r="A20" s="1" t="str">
        <x:v>R7218</x:v>
      </x:c>
      <x:c r="B20" s="1" t="str">
        <x:v>FIR-SAL-46212</x:v>
      </x:c>
      <x:c r="C20" s="1" t="str">
        <x:v>S-R7218</x:v>
      </x:c>
      <x:c r="D20" s="1" t="str">
        <x:v>U-R7218-8</x:v>
      </x:c>
      <x:c r="E20" s="10" t="b">
        <x:v>0</x:v>
      </x:c>
      <x:c r="F20" s="11" t="str">
        <x:v>Executed amendment moves market to Seattle; outside Dallas scope.</x:v>
      </x:c>
    </x:row>
    <x:row r="21" ht="36" customHeight="1">
      <x:c r="A21" s="1" t="str">
        <x:v>R8181</x:v>
      </x:c>
      <x:c r="B21" s="1" t="str">
        <x:v>FIR-SAL-56956</x:v>
      </x:c>
      <x:c r="C21" s="1" t="str">
        <x:v>S-R8181</x:v>
      </x:c>
      <x:c r="D21" s="1"/>
      <x:c r="E21" s="10" t="b">
        <x:v>0</x:v>
      </x:c>
      <x:c r="F21" s="11" t="str">
        <x:v>Condition redevelopment; not stabilized.</x:v>
      </x:c>
    </x:row>
    <x:row r="22" ht="36" customHeight="1">
      <x:c r="A22" s="1" t="str">
        <x:v>R4189</x:v>
      </x:c>
      <x:c r="B22" s="1" t="str">
        <x:v>FIR-SAL-23807</x:v>
      </x:c>
      <x:c r="C22" s="1" t="str">
        <x:v>S-R4189</x:v>
      </x:c>
      <x:c r="D22" s="1" t="str">
        <x:v>U-R4189-10</x:v>
      </x:c>
      <x:c r="E22" s="10" t="b">
        <x:v>0</x:v>
      </x:c>
      <x:c r="F22" s="11" t="str">
        <x:v>Executed amendment moves market to Seattle; outside Dallas scope.</x:v>
      </x:c>
    </x:row>
    <x:row r="24" ht="22" customHeight="1">
      <x:c r="A24" s="6" t="str">
        <x:v>Qualified count</x:v>
      </x:c>
      <x:c r="B24" s="8" t="n">
        <x:f>COUNTIF(E3:E22,TRUE)</x:f>
        <x:v>0</x:v>
      </x:c>
    </x:row>
  </x:sheetData>
  <x:pageMargins left="0.7" right="0.7" top="0.75" bottom="0.75" header="0.3" footer="0.3"/>
</x:worksheet>
</file>