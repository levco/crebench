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b261d4ac0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add6dffc7b55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.0%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1016f31044ca1" /><Relationship Type="http://schemas.openxmlformats.org/officeDocument/2006/relationships/theme" Target="/xl/theme/theme1.xml" Id="R81bc3fd504a44602" /><Relationship Type="http://schemas.openxmlformats.org/officeDocument/2006/relationships/sharedStrings" Target="/xl/sharedStrings.xml" Id="Ra496abd7f1314a48" /><Relationship Type="http://schemas.openxmlformats.org/officeDocument/2006/relationships/worksheet" Target="/xl/worksheets/sheet1.xml" Id="Radd6dffc7b55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2" hidden="0" customWidth="1"/>
    <x:col min="5" max="5" width="9" hidden="0" customWidth="1"/>
    <x:col min="6" max="6" width="9" hidden="0" customWidth="1"/>
    <x:col min="7" max="7" width="9" hidden="0" customWidth="1"/>
    <x:col min="8" max="8" width="18" hidden="0" customWidth="1"/>
    <x:col min="9" max="9" width="11" hidden="0" customWidth="1"/>
    <x:col min="10" max="10" width="11" hidden="0" customWidth="1"/>
    <x:col min="11" max="11" width="11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11" hidden="0" customWidth="1"/>
    <x:col min="23" max="23" width="13" hidden="0" customWidth="1"/>
    <x:col min="24" max="24" width="60" hidden="0" customWidth="1"/>
  </x:cols>
  <x:sheetData>
    <x:row r="1" ht="27" customHeight="1">
      <x:c r="A1" s="2" t="str">
        <x:v>rent-comps-birch - Retail Phoenix Executed Lease Comp Grid (as of 2026-08-31)</x:v>
      </x:c>
    </x:row>
    <x:row r="2" ht="36" customHeight="1">
      <x:c r="A2" s="4" t="str">
        <x:v>Client convention: face quote annualized; step-ups at months 13/25/...; no face rent during free months; gross expense deduction annual_expenses_psf/12 every month (NNN = 0); TI subtracted once; net total / term_months x 12. Undiscounted rent-only, not an appraisal.</x:v>
      </x:c>
    </x:row>
    <x:row r="3" ht="36" customHeight="1">
      <x:c r="A3" s="4" t="str">
        <x:v>Ranked by distance ascending, then latest lease date. Blue cells are source inputs; 'null' means unknown (not zero).</x:v>
      </x:c>
    </x:row>
    <x:row r="4" ht="25" customHeight="1">
      <x:c r="A4" s="6" t="str">
        <x:v>record_id</x:v>
      </x:c>
      <x:c r="B4" s="6" t="str">
        <x:v>entity_id</x:v>
      </x:c>
      <x:c r="C4" s="6" t="str">
        <x:v>name</x:v>
      </x:c>
      <x:c r="D4" s="6" t="str">
        <x:v>event_date</x:v>
      </x:c>
      <x:c r="E4" s="6" t="str">
        <x:v>distance_mi</x:v>
      </x:c>
      <x:c r="F4" s="6" t="str">
        <x:v>area_sf</x:v>
      </x:c>
      <x:c r="G4" s="6" t="str">
        <x:v>face_quote</x:v>
      </x:c>
      <x:c r="H4" s="6" t="str">
        <x:v>quote_unit</x:v>
      </x:c>
      <x:c r="I4" s="6" t="str">
        <x:v>annual_face_rent_psf</x:v>
      </x:c>
      <x:c r="J4" s="6" t="str">
        <x:v>expense_basis</x:v>
      </x:c>
      <x:c r="K4" s="6" t="str">
        <x:v>annual_expenses_psf</x:v>
      </x:c>
      <x:c r="L4" s="6" t="str">
        <x:v>free_months</x:v>
      </x:c>
      <x:c r="M4" s="6" t="str">
        <x:v>term_months</x:v>
      </x:c>
      <x:c r="N4" s="6" t="str">
        <x:v>annual_increase</x:v>
      </x:c>
      <x:c r="O4" s="6" t="str">
        <x:v>ti_psf</x:v>
      </x:c>
      <x:c r="P4" s="6" t="str">
        <x:v>yr1_face</x:v>
      </x:c>
      <x:c r="Q4" s="6" t="str">
        <x:v>yr2_face</x:v>
      </x:c>
      <x:c r="R4" s="6" t="str">
        <x:v>yr3_face</x:v>
      </x:c>
      <x:c r="S4" s="6" t="str">
        <x:v>yr4_face</x:v>
      </x:c>
      <x:c r="T4" s="6" t="str">
        <x:v>yr5_face</x:v>
      </x:c>
      <x:c r="U4" s="6" t="str">
        <x:v>expense_ded</x:v>
      </x:c>
      <x:c r="V4" s="6" t="str">
        <x:v>net_total_psf</x:v>
      </x:c>
      <x:c r="W4" s="6" t="str">
        <x:v>effective_net_rent_psf_year</x:v>
      </x:c>
      <x:c r="X4" s="6" t="str">
        <x:v>source_ids</x:v>
      </x:c>
    </x:row>
    <x:row r="5" ht="22" customHeight="1">
      <x:c r="A5" s="1" t="str">
        <x:v>R1695</x:v>
      </x:c>
      <x:c r="B5" s="1" t="str">
        <x:v>BIRCH-REN-46690</x:v>
      </x:c>
      <x:c r="C5" s="1" t="str">
        <x:v>Birch Square 1</x:v>
      </x:c>
      <x:c r="D5" s="1" t="str">
        <x:v>2026-02-05</x:v>
      </x:c>
      <x:c r="E5" s="8" t="n">
        <x:v>0.8</x:v>
      </x:c>
      <x:c r="F5" s="9" t="n">
        <x:v>9600</x:v>
      </x:c>
      <x:c r="G5" s="8" t="n">
        <x:v>21</x:v>
      </x:c>
      <x:c r="H5" s="1" t="str">
        <x:v>USD_per_sf_year</x:v>
      </x:c>
      <x:c r="I5" s="8" t="n">
        <x:v>21</x:v>
      </x:c>
      <x:c r="J5" s="7" t="str">
        <x:v>gross</x:v>
      </x:c>
      <x:c r="K5" s="8" t="n">
        <x:v>6.25</x:v>
      </x:c>
      <x:c r="L5" s="7" t="n">
        <x:v>0</x:v>
      </x:c>
      <x:c r="M5" s="7" t="n">
        <x:v>36</x:v>
      </x:c>
      <x:c r="N5" s="10" t="n">
        <x:v>0.025</x:v>
      </x:c>
      <x:c r="O5" s="8" t="n">
        <x:v>12</x:v>
      </x:c>
      <x:c r="P5" s="11" t="n">
        <x:f>($I5*(1+$N5)^0/12)*(MAX(0,MIN(12,$M5-0))-MAX(0,MIN(MAX(0,MIN(12,$M5-0)),$L5-0)))</x:f>
        <x:v>21</x:v>
      </x:c>
      <x:c r="Q5" s="11" t="n">
        <x:f>($I5*(1+$N5)^1/12)*(MAX(0,MIN(12,$M5-12))-MAX(0,MIN(MAX(0,MIN(12,$M5-12)),$L5-12)))</x:f>
        <x:v>21.525</x:v>
      </x:c>
      <x:c r="R5" s="11" t="n">
        <x:f>($I5*(1+$N5)^2/12)*(MAX(0,MIN(12,$M5-24))-MAX(0,MIN(MAX(0,MIN(12,$M5-24)),$L5-24)))</x:f>
        <x:v>22.063125</x:v>
      </x:c>
      <x:c r="S5" s="11" t="n">
        <x:f>($I5*(1+$N5)^3/12)*(MAX(0,MIN(12,$M5-36))-MAX(0,MIN(MAX(0,MIN(12,$M5-36)),$L5-36)))</x:f>
        <x:v>0</x:v>
      </x:c>
      <x:c r="T5" s="11" t="n">
        <x:f>($I5*(1+$N5)^4/12)*(MAX(0,MIN(12,$M5-48))-MAX(0,MIN(MAX(0,MIN(12,$M5-48)),$L5-48)))</x:f>
        <x:v>0</x:v>
      </x:c>
      <x:c r="U5" s="11" t="n">
        <x:f>IF($J5="gross",$K5/12*$M5,0)</x:f>
        <x:v>18.75</x:v>
      </x:c>
      <x:c r="V5" s="13" t="n">
        <x:f>SUM(P5:T5)-U5-$O5</x:f>
        <x:v>33.83812499999999</x:v>
      </x:c>
      <x:c r="W5" s="13" t="n">
        <x:f>V5/$M5*12</x:f>
        <x:v>11.279374999999998</x:v>
      </x:c>
      <x:c r="X5" s="4" t="str">
        <x:v>S-R1695 (duplicate entity record R2614 / S-R2614 not counted twice)</x:v>
      </x:c>
    </x:row>
    <x:row r="6" ht="22" customHeight="1">
      <x:c r="A6" s="1" t="str">
        <x:v>R3353</x:v>
      </x:c>
      <x:c r="B6" s="1" t="str">
        <x:v>BIRCH-REN-48467</x:v>
      </x:c>
      <x:c r="C6" s="1" t="str">
        <x:v>Birch Grove 2</x:v>
      </x:c>
      <x:c r="D6" s="1" t="str">
        <x:v>2026-03-06</x:v>
      </x:c>
      <x:c r="E6" s="8" t="n">
        <x:v>1.03</x:v>
      </x:c>
      <x:c r="F6" s="9" t="n">
        <x:v>10320</x:v>
      </x:c>
      <x:c r="G6" s="8" t="n">
        <x:v>1.87</x:v>
      </x:c>
      <x:c r="H6" s="1" t="str">
        <x:v>USD_per_sf_month</x:v>
      </x:c>
      <x:c r="I6" s="11" t="n">
        <x:f>G6*12</x:f>
        <x:v>22.44</x:v>
      </x:c>
      <x:c r="J6" s="7" t="str">
        <x:v>NNN</x:v>
      </x:c>
      <x:c r="K6" s="7" t="str">
        <x:v>null</x:v>
      </x:c>
      <x:c r="L6" s="7" t="n">
        <x:v>4</x:v>
      </x:c>
      <x:c r="M6" s="7" t="n">
        <x:v>48</x:v>
      </x:c>
      <x:c r="N6" s="10" t="n">
        <x:v>0.025</x:v>
      </x:c>
      <x:c r="O6" s="8" t="n">
        <x:v>18</x:v>
      </x:c>
      <x:c r="P6" s="11" t="n">
        <x:f>($I6*(1+$N6)^0/12)*(MAX(0,MIN(12,$M6-0))-MAX(0,MIN(MAX(0,MIN(12,$M6-0)),$L6-0)))</x:f>
        <x:v>14.96</x:v>
      </x:c>
      <x:c r="Q6" s="11" t="n">
        <x:f>($I6*(1+$N6)^1/12)*(MAX(0,MIN(12,$M6-12))-MAX(0,MIN(MAX(0,MIN(12,$M6-12)),$L6-12)))</x:f>
        <x:v>23.000999999999998</x:v>
      </x:c>
      <x:c r="R6" s="11" t="n">
        <x:f>($I6*(1+$N6)^2/12)*(MAX(0,MIN(12,$M6-24))-MAX(0,MIN(MAX(0,MIN(12,$M6-24)),$L6-24)))</x:f>
        <x:v>23.576024999999998</x:v>
      </x:c>
      <x:c r="S6" s="11" t="n">
        <x:f>($I6*(1+$N6)^3/12)*(MAX(0,MIN(12,$M6-36))-MAX(0,MIN(MAX(0,MIN(12,$M6-36)),$L6-36)))</x:f>
        <x:v>24.165425624999997</x:v>
      </x:c>
      <x:c r="T6" s="11" t="n">
        <x:f>($I6*(1+$N6)^4/12)*(MAX(0,MIN(12,$M6-48))-MAX(0,MIN(MAX(0,MIN(12,$M6-48)),$L6-48)))</x:f>
        <x:v>0</x:v>
      </x:c>
      <x:c r="U6" s="11" t="n">
        <x:f>IF($J6="gross",$K6/12*$M6,0)</x:f>
        <x:v>0</x:v>
      </x:c>
      <x:c r="V6" s="13" t="n">
        <x:f>SUM(P6:T6)-U6-$O6</x:f>
        <x:v>67.702450625</x:v>
      </x:c>
      <x:c r="W6" s="13" t="n">
        <x:f>V6/$M6*12</x:f>
        <x:v>16.92561265625</x:v>
      </x:c>
      <x:c r="X6" s="4" t="str">
        <x:v>S-R3353; U-R3353-1 (executed amendment eff. 2026-08-20: free_months 4, TI 18)</x:v>
      </x:c>
    </x:row>
    <x:row r="7" ht="22" customHeight="1">
      <x:c r="A7" s="1" t="str">
        <x:v>R2434</x:v>
      </x:c>
      <x:c r="B7" s="1" t="str">
        <x:v>BIRCH-REN-81113</x:v>
      </x:c>
      <x:c r="C7" s="1" t="str">
        <x:v>Birch Grove 3</x:v>
      </x:c>
      <x:c r="D7" s="1" t="str">
        <x:v>2026-04-07</x:v>
      </x:c>
      <x:c r="E7" s="8" t="n">
        <x:v>1.26</x:v>
      </x:c>
      <x:c r="F7" s="9" t="n">
        <x:v>11040</x:v>
      </x:c>
      <x:c r="G7" s="8" t="n">
        <x:v>22.6</x:v>
      </x:c>
      <x:c r="H7" s="1" t="str">
        <x:v>USD_per_sf_year</x:v>
      </x:c>
      <x:c r="I7" s="8" t="n">
        <x:v>22.6</x:v>
      </x:c>
      <x:c r="J7" s="7" t="str">
        <x:v>NNN</x:v>
      </x:c>
      <x:c r="K7" s="7" t="str">
        <x:v>null</x:v>
      </x:c>
      <x:c r="L7" s="7" t="n">
        <x:v>2</x:v>
      </x:c>
      <x:c r="M7" s="7" t="n">
        <x:v>60</x:v>
      </x:c>
      <x:c r="N7" s="10" t="n">
        <x:v>0.025</x:v>
      </x:c>
      <x:c r="O7" s="8" t="n">
        <x:v>18</x:v>
      </x:c>
      <x:c r="P7" s="11" t="n">
        <x:f>($I7*(1+$N7)^0/12)*(MAX(0,MIN(12,$M7-0))-MAX(0,MIN(MAX(0,MIN(12,$M7-0)),$L7-0)))</x:f>
        <x:v>18.833333333333336</x:v>
      </x:c>
      <x:c r="Q7" s="11" t="n">
        <x:f>($I7*(1+$N7)^1/12)*(MAX(0,MIN(12,$M7-12))-MAX(0,MIN(MAX(0,MIN(12,$M7-12)),$L7-12)))</x:f>
        <x:v>23.165</x:v>
      </x:c>
      <x:c r="R7" s="11" t="n">
        <x:f>($I7*(1+$N7)^2/12)*(MAX(0,MIN(12,$M7-24))-MAX(0,MIN(MAX(0,MIN(12,$M7-24)),$L7-24)))</x:f>
        <x:v>23.744125</x:v>
      </x:c>
      <x:c r="S7" s="11" t="n">
        <x:f>($I7*(1+$N7)^3/12)*(MAX(0,MIN(12,$M7-36))-MAX(0,MIN(MAX(0,MIN(12,$M7-36)),$L7-36)))</x:f>
        <x:v>24.337728124999998</x:v>
      </x:c>
      <x:c r="T7" s="11" t="n">
        <x:f>($I7*(1+$N7)^4/12)*(MAX(0,MIN(12,$M7-48))-MAX(0,MIN(MAX(0,MIN(12,$M7-48)),$L7-48)))</x:f>
        <x:v>24.94617132812499</x:v>
      </x:c>
      <x:c r="U7" s="11" t="n">
        <x:f>IF($J7="gross",$K7/12*$M7,0)</x:f>
        <x:v>0</x:v>
      </x:c>
      <x:c r="V7" s="13" t="n">
        <x:f>SUM(P7:T7)-U7-$O7</x:f>
        <x:v>97.02635778645832</x:v>
      </x:c>
      <x:c r="W7" s="13" t="n">
        <x:f>V7/$M7*12</x:f>
        <x:v>19.405271557291666</x:v>
      </x:c>
      <x:c r="X7" s="4" t="str">
        <x:v>S-R2434 (U-R2434-2 published 2026-09-10 is after cutoff - excluded)</x:v>
      </x:c>
    </x:row>
    <x:row r="8" ht="22" customHeight="1">
      <x:c r="A8" s="1" t="str">
        <x:v>R1930</x:v>
      </x:c>
      <x:c r="B8" s="1" t="str">
        <x:v>BIRCH-REN-15479</x:v>
      </x:c>
      <x:c r="C8" s="1" t="str">
        <x:v>Birch Point 4</x:v>
      </x:c>
      <x:c r="D8" s="1" t="str">
        <x:v>2026-05-08</x:v>
      </x:c>
      <x:c r="E8" s="8" t="n">
        <x:v>1.49</x:v>
      </x:c>
      <x:c r="F8" s="9" t="n">
        <x:v>11760</x:v>
      </x:c>
      <x:c r="G8" s="8" t="n">
        <x:v>2.01</x:v>
      </x:c>
      <x:c r="H8" s="1" t="str">
        <x:v>USD_per_sf_month</x:v>
      </x:c>
      <x:c r="I8" s="11" t="n">
        <x:f>G8*12</x:f>
        <x:v>24.119999999999997</x:v>
      </x:c>
      <x:c r="J8" s="7" t="str">
        <x:v>gross</x:v>
      </x:c>
      <x:c r="K8" s="8" t="n">
        <x:v>6.25</x:v>
      </x:c>
      <x:c r="L8" s="7" t="n">
        <x:v>3</x:v>
      </x:c>
      <x:c r="M8" s="7" t="n">
        <x:v>36</x:v>
      </x:c>
      <x:c r="N8" s="10" t="n">
        <x:v>0.025</x:v>
      </x:c>
      <x:c r="O8" s="8" t="n">
        <x:v>21</x:v>
      </x:c>
      <x:c r="P8" s="11" t="n">
        <x:f>($I8*(1+$N8)^0/12)*(MAX(0,MIN(12,$M8-0))-MAX(0,MIN(MAX(0,MIN(12,$M8-0)),$L8-0)))</x:f>
        <x:v>18.089999999999996</x:v>
      </x:c>
      <x:c r="Q8" s="11" t="n">
        <x:f>($I8*(1+$N8)^1/12)*(MAX(0,MIN(12,$M8-12))-MAX(0,MIN(MAX(0,MIN(12,$M8-12)),$L8-12)))</x:f>
        <x:v>24.722999999999992</x:v>
      </x:c>
      <x:c r="R8" s="11" t="n">
        <x:f>($I8*(1+$N8)^2/12)*(MAX(0,MIN(12,$M8-24))-MAX(0,MIN(MAX(0,MIN(12,$M8-24)),$L8-24)))</x:f>
        <x:v>25.341074999999996</x:v>
      </x:c>
      <x:c r="S8" s="11" t="n">
        <x:f>($I8*(1+$N8)^3/12)*(MAX(0,MIN(12,$M8-36))-MAX(0,MIN(MAX(0,MIN(12,$M8-36)),$L8-36)))</x:f>
        <x:v>0</x:v>
      </x:c>
      <x:c r="T8" s="11" t="n">
        <x:f>($I8*(1+$N8)^4/12)*(MAX(0,MIN(12,$M8-48))-MAX(0,MIN(MAX(0,MIN(12,$M8-48)),$L8-48)))</x:f>
        <x:v>0</x:v>
      </x:c>
      <x:c r="U8" s="11" t="n">
        <x:f>IF($J8="gross",$K8/12*$M8,0)</x:f>
        <x:v>18.75</x:v>
      </x:c>
      <x:c r="V8" s="13" t="n">
        <x:f>SUM(P8:T8)-U8-$O8</x:f>
        <x:v>28.404074999999978</x:v>
      </x:c>
      <x:c r="W8" s="13" t="n">
        <x:f>V8/$M8*12</x:f>
        <x:v>9.468024999999992</x:v>
      </x:c>
      <x:c r="X8" s="4" t="str">
        <x:v>S-R1930 (U-R1930-3 unsigned draft free_months 8 - excluded)</x:v>
      </x:c>
    </x:row>
    <x:row r="9" ht="22" customHeight="1">
      <x:c r="A9" s="1" t="str">
        <x:v>R6289</x:v>
      </x:c>
      <x:c r="B9" s="1" t="str">
        <x:v>BIRCH-REN-11670</x:v>
      </x:c>
      <x:c r="C9" s="1" t="str">
        <x:v>Birch Point 5</x:v>
      </x:c>
      <x:c r="D9" s="1" t="str">
        <x:v>2026-06-09</x:v>
      </x:c>
      <x:c r="E9" s="8" t="n">
        <x:v>1.72</x:v>
      </x:c>
      <x:c r="F9" s="9" t="n">
        <x:v>12480</x:v>
      </x:c>
      <x:c r="G9" s="8" t="n">
        <x:v>24.2</x:v>
      </x:c>
      <x:c r="H9" s="1" t="str">
        <x:v>USD_per_sf_year</x:v>
      </x:c>
      <x:c r="I9" s="8" t="n">
        <x:v>24.2</x:v>
      </x:c>
      <x:c r="J9" s="7" t="str">
        <x:v>NNN</x:v>
      </x:c>
      <x:c r="K9" s="7" t="str">
        <x:v>null</x:v>
      </x:c>
      <x:c r="L9" s="7" t="n">
        <x:v>0</x:v>
      </x:c>
      <x:c r="M9" s="7" t="n">
        <x:v>48</x:v>
      </x:c>
      <x:c r="N9" s="10" t="n">
        <x:v>0.025</x:v>
      </x:c>
      <x:c r="O9" s="8" t="n">
        <x:v>12</x:v>
      </x:c>
      <x:c r="P9" s="11" t="n">
        <x:f>($I9*(1+$N9)^0/12)*(MAX(0,MIN(12,$M9-0))-MAX(0,MIN(MAX(0,MIN(12,$M9-0)),$L9-0)))</x:f>
        <x:v>24.2</x:v>
      </x:c>
      <x:c r="Q9" s="11" t="n">
        <x:f>($I9*(1+$N9)^1/12)*(MAX(0,MIN(12,$M9-12))-MAX(0,MIN(MAX(0,MIN(12,$M9-12)),$L9-12)))</x:f>
        <x:v>24.805</x:v>
      </x:c>
      <x:c r="R9" s="11" t="n">
        <x:f>($I9*(1+$N9)^2/12)*(MAX(0,MIN(12,$M9-24))-MAX(0,MIN(MAX(0,MIN(12,$M9-24)),$L9-24)))</x:f>
        <x:v>25.425124999999998</x:v>
      </x:c>
      <x:c r="S9" s="11" t="n">
        <x:f>($I9*(1+$N9)^3/12)*(MAX(0,MIN(12,$M9-36))-MAX(0,MIN(MAX(0,MIN(12,$M9-36)),$L9-36)))</x:f>
        <x:v>26.06075312499999</x:v>
      </x:c>
      <x:c r="T9" s="11" t="n">
        <x:f>($I9*(1+$N9)^4/12)*(MAX(0,MIN(12,$M9-48))-MAX(0,MIN(MAX(0,MIN(12,$M9-48)),$L9-48)))</x:f>
        <x:v>0</x:v>
      </x:c>
      <x:c r="U9" s="11" t="n">
        <x:f>IF($J9="gross",$K9/12*$M9,0)</x:f>
        <x:v>0</x:v>
      </x:c>
      <x:c r="V9" s="13" t="n">
        <x:f>SUM(P9:T9)-U9-$O9</x:f>
        <x:v>88.49087812499998</x:v>
      </x:c>
      <x:c r="W9" s="13" t="n">
        <x:f>V9/$M9*12</x:f>
        <x:v>22.122719531249995</x:v>
      </x:c>
      <x:c r="X9" s="4" t="str">
        <x:v>S-R6289</x:v>
      </x:c>
    </x:row>
    <x:row r="11" ht="36" customHeight="1">
      <x:c r="A11" s="4" t="str">
        <x:v>Excluded base records (see research answer for full decision log): R7254 (2024 lease date, outside window), R8177 (18.6 mi), R2614 (duplicate of R1695, same entity BIRCH-REN-46690), R3442 (TI unknown), R5629 (free months unknown), R1009 (term unknown), R9966 (Office), R7377 (rent unknown), R9256 (published 2026-09-03, after cutoff), R5471 (gross with unknown expenses), R7345 (unsigned proposal), R3964 (asking), R7562 (rent 0), R8772 / R5747 (qualified but ranked 6th / 7th by distance).</x:v>
      </x:c>
    </x:row>
  </x:sheetData>
  <x:pageMargins left="0.7" right="0.7" top="0.75" bottom="0.75" header="0.3" footer="0.3"/>
</x:worksheet>
</file>