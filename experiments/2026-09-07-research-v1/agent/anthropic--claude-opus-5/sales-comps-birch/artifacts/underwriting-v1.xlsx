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284c03554242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 Grid" sheetId="1" r:id="R20dadd03ceca49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"/>
  </x:numFmts>
  <x:fonts count="7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9"/>
      <x:color rgb="FF526258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17171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1" fillId="0" borderId="0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200" fontId="1" fillId="0" borderId="0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c9ebdd796241b5" /><Relationship Type="http://schemas.openxmlformats.org/officeDocument/2006/relationships/theme" Target="/xl/theme/theme1.xml" Id="R6ef421940aed4fdf" /><Relationship Type="http://schemas.openxmlformats.org/officeDocument/2006/relationships/sharedStrings" Target="/xl/sharedStrings.xml" Id="Re411e9eaa2374d4f" /><Relationship Type="http://schemas.openxmlformats.org/officeDocument/2006/relationships/worksheet" Target="/xl/worksheets/sheet1.xml" Id="R20dadd03ceca49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20" hidden="0" customWidth="1"/>
    <x:col min="3" max="3" width="12" hidden="0" customWidth="1"/>
    <x:col min="4" max="4" width="16" hidden="0" customWidth="1"/>
    <x:col min="5" max="5" width="14" hidden="0" customWidth="1"/>
    <x:col min="6" max="6" width="11" hidden="0" customWidth="1"/>
    <x:col min="7" max="7" width="14" hidden="0" customWidth="1"/>
    <x:col min="8" max="8" width="10" hidden="0" customWidth="1"/>
    <x:col min="9" max="9" width="30" hidden="0" customWidth="1"/>
  </x:cols>
  <x:sheetData>
    <x:row r="1" ht="27" customHeight="1">
      <x:c r="A1" s="2" t="str">
        <x:v>sales-comps-birch — Retail / Phoenix comparable closed sales</x:v>
      </x:c>
    </x:row>
    <x:row r="2" ht="36" customHeight="1">
      <x:c r="A2" s="4" t="str">
        <x:v>As of 2026-08-31; ranked by distance ascending, then most recent closing date. Consideration normalized to USD.</x:v>
      </x:c>
    </x:row>
    <x:row r="3" ht="25" customHeight="1">
      <x:c r="A3" s="6" t="str">
        <x:v>Rank</x:v>
      </x:c>
      <x:c r="B3" s="6" t="str">
        <x:v>entity_id</x:v>
      </x:c>
      <x:c r="C3" s="6" t="str">
        <x:v>record_id</x:v>
      </x:c>
      <x:c r="D3" s="6" t="str">
        <x:v>event_date</x:v>
      </x:c>
      <x:c r="E3" s="6" t="str">
        <x:v>consideration_usd</x:v>
      </x:c>
      <x:c r="F3" s="6" t="str">
        <x:v>property_size</x:v>
      </x:c>
      <x:c r="G3" s="6" t="str">
        <x:v>size_unit</x:v>
      </x:c>
      <x:c r="H3" s="6" t="str">
        <x:v>price_per_unit (USD/sf)</x:v>
      </x:c>
      <x:c r="I3" s="6" t="str">
        <x:v>source_ids</x:v>
      </x:c>
    </x:row>
    <x:row r="4" ht="36" customHeight="1">
      <x:c r="A4" s="1" t="n">
        <x:v>1</x:v>
      </x:c>
      <x:c r="B4" s="1" t="str">
        <x:v>BIRCH-SAL-58018</x:v>
      </x:c>
      <x:c r="C4" s="1" t="str">
        <x:v>R1958</x:v>
      </x:c>
      <x:c r="D4" s="1" t="str">
        <x:v>2026-02-05</x:v>
      </x:c>
      <x:c r="E4" s="8" t="n">
        <x:v>9600000</x:v>
      </x:c>
      <x:c r="F4" s="8" t="n">
        <x:v>24000</x:v>
      </x:c>
      <x:c r="G4" s="1" t="str">
        <x:v>sf</x:v>
      </x:c>
      <x:c r="H4" s="11" t="n">
        <x:f>E4/F4</x:f>
        <x:v>400</x:v>
      </x:c>
      <x:c r="I4" s="4" t="str">
        <x:v>S-R1958</x:v>
      </x:c>
    </x:row>
    <x:row r="5" ht="36" customHeight="1">
      <x:c r="A5" s="1" t="n">
        <x:v>2</x:v>
      </x:c>
      <x:c r="B5" s="1" t="str">
        <x:v>BIRCH-SAL-60411</x:v>
      </x:c>
      <x:c r="C5" s="1" t="str">
        <x:v>R9866</x:v>
      </x:c>
      <x:c r="D5" s="1" t="str">
        <x:v>2026-03-06</x:v>
      </x:c>
      <x:c r="E5" s="8" t="n">
        <x:v>11160000</x:v>
      </x:c>
      <x:c r="F5" s="8" t="n">
        <x:v>25800</x:v>
      </x:c>
      <x:c r="G5" s="1" t="str">
        <x:v>sf</x:v>
      </x:c>
      <x:c r="H5" s="11" t="n">
        <x:f>E5/F5</x:f>
        <x:v>432.5581395348837</x:v>
      </x:c>
      <x:c r="I5" s="4" t="str">
        <x:v>S-R9866; U-R9866-1 (executed amendment)</x:v>
      </x:c>
    </x:row>
    <x:row r="6" ht="36" customHeight="1">
      <x:c r="A6" s="1" t="n">
        <x:v>3</x:v>
      </x:c>
      <x:c r="B6" s="1" t="str">
        <x:v>BIRCH-SAL-14897</x:v>
      </x:c>
      <x:c r="C6" s="1" t="str">
        <x:v>R9548</x:v>
      </x:c>
      <x:c r="D6" s="1" t="str">
        <x:v>2026-04-07</x:v>
      </x:c>
      <x:c r="E6" s="8" t="n">
        <x:v>11040000</x:v>
      </x:c>
      <x:c r="F6" s="8" t="n">
        <x:v>27600</x:v>
      </x:c>
      <x:c r="G6" s="1" t="str">
        <x:v>sf</x:v>
      </x:c>
      <x:c r="H6" s="11" t="n">
        <x:f>E6/F6</x:f>
        <x:v>400</x:v>
      </x:c>
      <x:c r="I6" s="4" t="str">
        <x:v>S-R9548 (U-R9548-2 dated after cutoff; not applied)</x:v>
      </x:c>
    </x:row>
    <x:row r="7" ht="36" customHeight="1">
      <x:c r="A7" s="1" t="n">
        <x:v>4</x:v>
      </x:c>
      <x:c r="B7" s="1" t="str">
        <x:v>BIRCH-SAL-55425</x:v>
      </x:c>
      <x:c r="C7" s="1" t="str">
        <x:v>R4440</x:v>
      </x:c>
      <x:c r="D7" s="1" t="str">
        <x:v>2026-05-08</x:v>
      </x:c>
      <x:c r="E7" s="8" t="n">
        <x:v>11760000</x:v>
      </x:c>
      <x:c r="F7" s="8" t="n">
        <x:v>29400</x:v>
      </x:c>
      <x:c r="G7" s="1" t="str">
        <x:v>sf</x:v>
      </x:c>
      <x:c r="H7" s="11" t="n">
        <x:f>E7/F7</x:f>
        <x:v>400</x:v>
      </x:c>
      <x:c r="I7" s="4" t="str">
        <x:v>S-R4440 (U-R4440-3 unsigned draft; not applied)</x:v>
      </x:c>
    </x:row>
    <x:row r="8" ht="36" customHeight="1">
      <x:c r="A8" s="1" t="n">
        <x:v>5</x:v>
      </x:c>
      <x:c r="B8" s="1" t="str">
        <x:v>BIRCH-SAL-25516</x:v>
      </x:c>
      <x:c r="C8" s="1" t="str">
        <x:v>R1583</x:v>
      </x:c>
      <x:c r="D8" s="1" t="str">
        <x:v>2026-06-09</x:v>
      </x:c>
      <x:c r="E8" s="8" t="n">
        <x:v>12480000</x:v>
      </x:c>
      <x:c r="F8" s="8" t="n">
        <x:v>31200</x:v>
      </x:c>
      <x:c r="G8" s="1" t="str">
        <x:v>sf</x:v>
      </x:c>
      <x:c r="H8" s="11" t="n">
        <x:f>E8/F8</x:f>
        <x:v>400</x:v>
      </x:c>
      <x:c r="I8" s="4" t="str">
        <x:v>S-R1583</x:v>
      </x:c>
    </x:row>
    <x:row r="10" ht="22" customHeight="1">
      <x:c r="A10" s="1" t="str">
        <x:v>Median price per sf</x:v>
      </x:c>
      <x:c r="H10" s="11" t="n">
        <x:f>MEDIAN(H4:H8)</x:f>
        <x:v>400</x:v>
      </x:c>
    </x:row>
    <x:row r="11" ht="22" customHeight="1">
      <x:c r="A11" s="1" t="str">
        <x:v>Total consideration (USD)</x:v>
      </x:c>
      <x:c r="E11" s="14" t="n">
        <x:f>SUM(E4:E8)</x:f>
        <x:v>56040000</x:v>
      </x:c>
    </x:row>
  </x:sheetData>
  <x:pageMargins left="0.7" right="0.7" top="0.75" bottom="0.75" header="0.3" footer="0.3"/>
</x:worksheet>
</file>