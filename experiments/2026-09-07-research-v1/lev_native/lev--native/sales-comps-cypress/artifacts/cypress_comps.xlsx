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 Grid" sheetId="1" state="visible" r:id="rId2"/>
    <sheet name="Note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<sst xmlns="http://schemas.openxmlformats.org/spreadsheetml/2006/main" count="46" uniqueCount="46">
  <si>
    <t xml:space="preserve">Cypress Industrial Sales Comps — Columbus</t>
  </si>
  <si>
    <t xml:space="preserve">Cutoff: 2026-08-31 | Window: 2025-09-01 to 2026-08-31 | Radius: ≤8 mi | Size: 52,000–116,000 sf</t>
  </si>
  <si>
    <t xml:space="preserve">Rank</t>
  </si>
  <si>
    <t xml:space="preserve">Record ID</t>
  </si>
  <si>
    <t xml:space="preserve">Entity ID</t>
  </si>
  <si>
    <t xml:space="preserve">Name</t>
  </si>
  <si>
    <t xml:space="preserve">Event Date</t>
  </si>
  <si>
    <t xml:space="preserve">Distance (mi)</t>
  </si>
  <si>
    <t xml:space="preserve">Property Size (sf)</t>
  </si>
  <si>
    <t xml:space="preserve">Consideration (USD)</t>
  </si>
  <si>
    <t xml:space="preserve">Price / SF</t>
  </si>
  <si>
    <t xml:space="preserve">Source IDs</t>
  </si>
  <si>
    <t xml:space="preserve">R6807</t>
  </si>
  <si>
    <t xml:space="preserve">CYPRESS-SAL-30526</t>
  </si>
  <si>
    <t xml:space="preserve">Cypress Crossing 1</t>
  </si>
  <si>
    <t xml:space="preserve">2026-02-05</t>
  </si>
  <si>
    <t xml:space="preserve">S-R6807</t>
  </si>
  <si>
    <t xml:space="preserve">R1278</t>
  </si>
  <si>
    <t xml:space="preserve">CYPRESS-SAL-84892</t>
  </si>
  <si>
    <t xml:space="preserve">Cypress Square 2</t>
  </si>
  <si>
    <t xml:space="preserve">2026-03-06</t>
  </si>
  <si>
    <t xml:space="preserve">S-R1278, U-R1278-1</t>
  </si>
  <si>
    <t xml:space="preserve">R3282</t>
  </si>
  <si>
    <t xml:space="preserve">CYPRESS-SAL-51360</t>
  </si>
  <si>
    <t xml:space="preserve">Cypress Park 3</t>
  </si>
  <si>
    <t xml:space="preserve">2026-04-07</t>
  </si>
  <si>
    <t xml:space="preserve">S-R3282</t>
  </si>
  <si>
    <t xml:space="preserve">R2008</t>
  </si>
  <si>
    <t xml:space="preserve">CYPRESS-SAL-79686</t>
  </si>
  <si>
    <t xml:space="preserve">Cypress Crossing 4</t>
  </si>
  <si>
    <t xml:space="preserve">2026-05-08</t>
  </si>
  <si>
    <t xml:space="preserve">S-R2008</t>
  </si>
  <si>
    <t xml:space="preserve">R6608</t>
  </si>
  <si>
    <t xml:space="preserve">CYPRESS-SAL-19485</t>
  </si>
  <si>
    <t xml:space="preserve">Cypress Grove 5</t>
  </si>
  <si>
    <t xml:space="preserve">2026-06-09</t>
  </si>
  <si>
    <t xml:space="preserve">S-R6608</t>
  </si>
  <si>
    <t xml:space="preserve">Summary</t>
  </si>
  <si>
    <t xml:space="preserve">Count</t>
  </si>
  <si>
    <t xml:space="preserve">Median $/SF</t>
  </si>
  <si>
    <t xml:space="preserve">Avg $/SF</t>
  </si>
  <si>
    <t xml:space="preserve">Ranking: distance ascending, then most recent closing date.</t>
  </si>
  <si>
    <t xml:space="preserve">R1278 consideration reflects executed amendment U-R1278-1 ($9,300,000 USD, effective 2026-08-20).</t>
  </si>
  <si>
    <t xml:space="preserve">U-R3282-2 (effective 2026-09-10) is after the 2026-08-31 cutoff — not applied; R3282 uses base $9.2M.</t>
  </si>
  <si>
    <t xml:space="preserve">U-R2008-3 is an unsigned draft — not applied.</t>
  </si>
  <si>
    <t xml:space="preserve">R8212 is a second source for entity CYPRESS-SAL-30526 (already represented by R6807).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</si>
</sst>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#,##0"/>
    <numFmt numFmtId="167" formatCode="\$#,##0"/>
    <numFmt numFmtId="168" formatCode="\$#,##0.00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7" min="7" style="0" width="18"/>
    <col collapsed="false" customWidth="true" hidden="false" outlineLevel="0" max="8" min="8" style="0" width="20"/>
    <col collapsed="false" customWidth="true" hidden="false" outlineLevel="0" max="9" min="9" style="0" width="14"/>
    <col collapsed="false" customWidth="true" hidden="false" outlineLevel="0" max="10" min="10" style="0" width="30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n">
        <v>1</v>
      </c>
      <c r="B5" s="4" t="s">
        <v>12</v>
      </c>
      <c r="C5" s="4" t="s">
        <v>13</v>
      </c>
      <c r="D5" s="4" t="s">
        <v>14</v>
      </c>
      <c r="E5" s="4" t="s">
        <v>15</v>
      </c>
      <c r="F5" s="5" t="n">
        <v>0.8</v>
      </c>
      <c r="G5" s="6" t="n">
        <v>64000</v>
      </c>
      <c r="H5" s="7" t="n">
        <v>8000000</v>
      </c>
      <c r="I5" s="8" t="n">
        <f aca="false">H5/G5</f>
        <v>125</v>
      </c>
      <c r="J5" s="4" t="s">
        <v>16</v>
      </c>
    </row>
    <row r="6" customFormat="false" ht="15" hidden="false" customHeight="false" outlineLevel="0" collapsed="false">
      <c r="A6" s="4" t="n">
        <v>2</v>
      </c>
      <c r="B6" s="4" t="s">
        <v>17</v>
      </c>
      <c r="C6" s="4" t="s">
        <v>18</v>
      </c>
      <c r="D6" s="4" t="s">
        <v>19</v>
      </c>
      <c r="E6" s="4" t="s">
        <v>20</v>
      </c>
      <c r="F6" s="5" t="n">
        <v>1.03</v>
      </c>
      <c r="G6" s="6" t="n">
        <v>68800</v>
      </c>
      <c r="H6" s="7" t="n">
        <v>9300000</v>
      </c>
      <c r="I6" s="8" t="n">
        <f aca="false">H6/G6</f>
        <v>135.174418604651</v>
      </c>
      <c r="J6" s="4" t="s">
        <v>21</v>
      </c>
    </row>
    <row r="7" customFormat="false" ht="15" hidden="false" customHeight="false" outlineLevel="0" collapsed="false">
      <c r="A7" s="4" t="n">
        <v>3</v>
      </c>
      <c r="B7" s="4" t="s">
        <v>22</v>
      </c>
      <c r="C7" s="4" t="s">
        <v>23</v>
      </c>
      <c r="D7" s="4" t="s">
        <v>24</v>
      </c>
      <c r="E7" s="4" t="s">
        <v>25</v>
      </c>
      <c r="F7" s="5" t="n">
        <v>1.26</v>
      </c>
      <c r="G7" s="6" t="n">
        <v>73600</v>
      </c>
      <c r="H7" s="7" t="n">
        <v>9200000</v>
      </c>
      <c r="I7" s="8" t="n">
        <f aca="false">H7/G7</f>
        <v>125</v>
      </c>
      <c r="J7" s="4" t="s">
        <v>26</v>
      </c>
    </row>
    <row r="8" customFormat="false" ht="15" hidden="false" customHeight="false" outlineLevel="0" collapsed="false">
      <c r="A8" s="4" t="n">
        <v>4</v>
      </c>
      <c r="B8" s="4" t="s">
        <v>27</v>
      </c>
      <c r="C8" s="4" t="s">
        <v>28</v>
      </c>
      <c r="D8" s="4" t="s">
        <v>29</v>
      </c>
      <c r="E8" s="4" t="s">
        <v>30</v>
      </c>
      <c r="F8" s="5" t="n">
        <v>1.49</v>
      </c>
      <c r="G8" s="6" t="n">
        <v>78400</v>
      </c>
      <c r="H8" s="7" t="n">
        <v>9800000</v>
      </c>
      <c r="I8" s="8" t="n">
        <f aca="false">H8/G8</f>
        <v>125</v>
      </c>
      <c r="J8" s="4" t="s">
        <v>31</v>
      </c>
    </row>
    <row r="9" customFormat="false" ht="15" hidden="false" customHeight="false" outlineLevel="0" collapsed="false">
      <c r="A9" s="4" t="n">
        <v>5</v>
      </c>
      <c r="B9" s="4" t="s">
        <v>32</v>
      </c>
      <c r="C9" s="4" t="s">
        <v>33</v>
      </c>
      <c r="D9" s="4" t="s">
        <v>34</v>
      </c>
      <c r="E9" s="4" t="s">
        <v>35</v>
      </c>
      <c r="F9" s="5" t="n">
        <v>1.72</v>
      </c>
      <c r="G9" s="6" t="n">
        <v>83200</v>
      </c>
      <c r="H9" s="7" t="n">
        <v>10400000</v>
      </c>
      <c r="I9" s="8" t="n">
        <f aca="false">H9/G9</f>
        <v>125</v>
      </c>
      <c r="J9" s="4" t="s">
        <v>36</v>
      </c>
    </row>
    <row r="11" customFormat="false" ht="15" hidden="false" customHeight="false" outlineLevel="0" collapsed="false">
      <c r="A11" s="9" t="s">
        <v>37</v>
      </c>
    </row>
    <row r="12" customFormat="false" ht="15" hidden="false" customHeight="false" outlineLevel="0" collapsed="false">
      <c r="A12" s="9" t="s">
        <v>38</v>
      </c>
      <c r="B12" s="0" t="n">
        <f aca="false">COUNTA(B5:B9)</f>
        <v>5</v>
      </c>
    </row>
    <row r="13" customFormat="false" ht="15" hidden="false" customHeight="false" outlineLevel="0" collapsed="false">
      <c r="A13" s="9" t="s">
        <v>39</v>
      </c>
      <c r="B13" s="10" t="n">
        <f aca="false">MEDIAN(I5:I9)</f>
        <v>125</v>
      </c>
    </row>
    <row r="14" customFormat="false" ht="15" hidden="false" customHeight="false" outlineLevel="0" collapsed="false">
      <c r="A14" s="9" t="s">
        <v>40</v>
      </c>
      <c r="B14" s="10" t="n">
        <f aca="false">AVERAGE(I5:I9)</f>
        <v>127.03488372093</v>
      </c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0"/>
  </cols>
  <sheetData>
    <row r="1" customFormat="false" ht="15" hidden="false" customHeight="false" outlineLevel="0" collapsed="false">
      <c r="A1" s="11" t="s">
        <v>41</v>
      </c>
    </row>
    <row r="2" customFormat="false" ht="15" hidden="false" customHeight="false" outlineLevel="0" collapsed="false">
      <c r="A2" s="11" t="s">
        <v>42</v>
      </c>
    </row>
    <row r="3" customFormat="false" ht="15" hidden="false" customHeight="false" outlineLevel="0" collapsed="false">
      <c r="A3" s="11" t="s">
        <v>43</v>
      </c>
    </row>
    <row r="4" customFormat="false" ht="15" hidden="false" customHeight="false" outlineLevel="0" collapsed="false">
      <c r="A4" s="11" t="s">
        <v>44</v>
      </c>
    </row>
    <row r="5" customFormat="false" ht="15" hidden="false" customHeight="false" outlineLevel="0" collapsed="false">
      <c r="A5" s="11" t="s">
        <v>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2026-09-07T02:28:29Z</dcterms:created>
  <dc:creator>openpyxl</dc:creator>
  <dc:description/>
  <dc:language>en-US</dc:language>
  <cp:lastModifiedBy/>
  <dcterms:modified xsi:type="dcterms:W3CDTF">2026-09-07T02:28:29Z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